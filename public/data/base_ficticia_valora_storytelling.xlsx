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d2052df6c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yline_KPIs" sheetId="1" r:id="R5cc72cf7901c41e0"/>
    <x:sheet xmlns:r="http://schemas.openxmlformats.org/officeDocument/2006/relationships" name="Resumo_Mensal" sheetId="2" r:id="R706e1b022b8b4e9c"/>
    <x:sheet xmlns:r="http://schemas.openxmlformats.org/officeDocument/2006/relationships" name="Contas_Receber_Amostra" sheetId="3" r:id="Ra4674a1a24994325"/>
    <x:sheet xmlns:r="http://schemas.openxmlformats.org/officeDocument/2006/relationships" name="Contas_Pagar_Amostra" sheetId="4" r:id="R1a081926dc84493e"/>
    <x:sheet xmlns:r="http://schemas.openxmlformats.org/officeDocument/2006/relationships" name="Conciliacoes_Amostra" sheetId="5" r:id="Rb9fc327c37f84c6b"/>
    <x:sheet xmlns:r="http://schemas.openxmlformats.org/officeDocument/2006/relationships" name="Clientes" sheetId="6" r:id="R20cf0c4fa4184f6c"/>
    <x:sheet xmlns:r="http://schemas.openxmlformats.org/officeDocument/2006/relationships" name="Cobrancas" sheetId="7" r:id="Re0fafec1714b410d"/>
    <x:sheet xmlns:r="http://schemas.openxmlformats.org/officeDocument/2006/relationships" name="Iniciativas" sheetId="8" r:id="R5752ce6164194949"/>
    <x:sheet xmlns:r="http://schemas.openxmlformats.org/officeDocument/2006/relationships" name="Metas_vs_Resultado" sheetId="9" r:id="R42e72da276ca4d72"/>
    <x:sheet xmlns:r="http://schemas.openxmlformats.org/officeDocument/2006/relationships" name="Painel_Executivo" sheetId="10" r:id="R5a8f61a11826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/yyyy"/>
    <x:numFmt numFmtId="201" formatCode="R$ #,##0.00"/>
    <x:numFmt numFmtId="202" formatCode="0.0%"/>
    <x:numFmt numFmtId="203" formatCode="0.0&quot;%&quot;"/>
    <x:numFmt numFmtId="204" formatCode="dd/mm/yyyy"/>
    <x:numFmt numFmtId="205" formatCode="0&quot;%&quot;"/>
    <x:numFmt numFmtId="206" formatCode="mmm/yy"/>
    <x:numFmt numFmtId="207" formatCode="R$ 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1"/>
      <x:color rgb="FF123C35"/>
      <x:name val="Carlito"/>
    </x:font>
    <x:font>
      <x:b/>
      <x:sz val="14"/>
      <x:color rgb="FF123C3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C35"/>
      </x:patternFill>
    </x:fill>
    <x:fill>
      <x:patternFill patternType="solid">
        <x:fgColor rgb="FFF4F1E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3E1"/>
        </x:patternFill>
      </x:fill>
    </x:dxf>
    <x:dxf>
      <x:font>
        <x:b/>
        <x:color rgb="FF006100"/>
      </x:font>
      <x:fill>
        <x:patternFill patternType="solid">
          <x:bgColor rgb="FFDFF3E8"/>
        </x:patternFill>
      </x:fill>
    </x:dxf>
    <x:dxf>
      <x:font>
        <x:color rgb="FF9C0006"/>
      </x:font>
      <x:fill>
        <x:patternFill patternType="solid">
          <x:bgColor rgb="FFFC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1d290155243b7" /><Relationship Type="http://schemas.openxmlformats.org/officeDocument/2006/relationships/theme" Target="/xl/theme/theme1.xml" Id="Ra23f4298491b40ed" /><Relationship Type="http://schemas.openxmlformats.org/officeDocument/2006/relationships/sharedStrings" Target="/xl/sharedStrings.xml" Id="R4dc296bd51d74750" /><Relationship Type="http://schemas.openxmlformats.org/officeDocument/2006/relationships/worksheet" Target="/xl/worksheets/sheet1.xml" Id="R5cc72cf7901c41e0" /><Relationship Type="http://schemas.openxmlformats.org/officeDocument/2006/relationships/worksheet" Target="/xl/worksheets/sheet2.xml" Id="R706e1b022b8b4e9c" /><Relationship Type="http://schemas.openxmlformats.org/officeDocument/2006/relationships/worksheet" Target="/xl/worksheets/sheet3.xml" Id="Ra4674a1a24994325" /><Relationship Type="http://schemas.openxmlformats.org/officeDocument/2006/relationships/worksheet" Target="/xl/worksheets/sheet4.xml" Id="R1a081926dc84493e" /><Relationship Type="http://schemas.openxmlformats.org/officeDocument/2006/relationships/worksheet" Target="/xl/worksheets/sheet5.xml" Id="Rb9fc327c37f84c6b" /><Relationship Type="http://schemas.openxmlformats.org/officeDocument/2006/relationships/worksheet" Target="/xl/worksheets/sheet6.xml" Id="R20cf0c4fa4184f6c" /><Relationship Type="http://schemas.openxmlformats.org/officeDocument/2006/relationships/worksheet" Target="/xl/worksheets/sheet7.xml" Id="Re0fafec1714b410d" /><Relationship Type="http://schemas.openxmlformats.org/officeDocument/2006/relationships/worksheet" Target="/xl/worksheets/sheet8.xml" Id="R5752ce6164194949" /><Relationship Type="http://schemas.openxmlformats.org/officeDocument/2006/relationships/worksheet" Target="/xl/worksheets/sheet9.xml" Id="R42e72da276ca4d72" /><Relationship Type="http://schemas.openxmlformats.org/officeDocument/2006/relationships/worksheet" Target="/xl/worksheets/sheet10.xml" Id="R5a8f61a1182644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ce75c514ba4026" /><Relationship Type="http://schemas.openxmlformats.org/officeDocument/2006/relationships/chart" Target="/xl/drawings/charts/chart2.xml" Id="R8a8db407423144a9" /><Relationship Type="http://schemas.openxmlformats.org/officeDocument/2006/relationships/chart" Target="/xl/drawings/charts/chart3.xml" Id="Rd4438cd288054f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da receita mensal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Receita</c:v>
          </c:tx>
          <c:cat>
            <c:strRef>
              <c:f>'Painel_Executivo'!$J$2:$J$31</c:f>
              <c:strCache>
                <c:ptCount val="0"/>
              </c:strCache>
            </c:strRef>
          </c:cat>
          <c:val>
            <c:numRef>
              <c:f>'Painel_Executivo'!$K$2:$K$31</c:f>
              <c:numCache>
                <c:formatCode>R$ 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do NPS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ce75c514ba402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8db407423144a9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438cd288054f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oraStoryline" displayName="ValoraStoryline" ref="A1:R6" headerRowCount="1">
  <x:tableColumns count="18">
    <x:tableColumn id="1" name="Fase"/>
    <x:tableColumn id="2" name="Início"/>
    <x:tableColumn id="3" name="Fim"/>
    <x:tableColumn id="4" name="Clientes_Ativos_Médios"/>
    <x:tableColumn id="5" name="Transações_Médias_Mês"/>
    <x:tableColumn id="6" name="Receita_Média_Mês"/>
    <x:tableColumn id="7" name="Margem_Bruta_%"/>
    <x:tableColumn id="8" name="Fechamentos_D5_%"/>
    <x:tableColumn id="9" name="Conciliação_%"/>
    <x:tableColumn id="10" name="Inadimplência_%"/>
    <x:tableColumn id="11" name="DSO_Dias"/>
    <x:tableColumn id="12" name="Acurácia_Forecast_%"/>
    <x:tableColumn id="13" name="Horas_Manuais_Mês"/>
    <x:tableColumn id="14" name="Erros_por_1000"/>
    <x:tableColumn id="15" name="Automação_%"/>
    <x:tableColumn id="16" name="NPS"/>
    <x:tableColumn id="17" name="Novos_Clientes"/>
    <x:tableColumn id="18" name="Clientes_Perdidos"/>
  </x:tableColumns>
  <x:tableStyleInfo name="TableStyleMedium2" showRowStripes="1"/>
</x:table>
</file>

<file path=xl/tables/table2.xml><?xml version="1.0" encoding="utf-8"?>
<x:table xmlns:x="http://schemas.openxmlformats.org/spreadsheetml/2006/main" id="2" name="ValoraResumoMensal" displayName="ValoraResumoMensal" ref="A1:V31" headerRowCount="1">
  <x:tableColumns count="22">
    <x:tableColumn id="1" name="Mês"/>
    <x:tableColumn id="2" name="Fase"/>
    <x:tableColumn id="3" name="Clientes_Ativos"/>
    <x:tableColumn id="4" name="Transações_Processadas"/>
    <x:tableColumn id="5" name="Receita"/>
    <x:tableColumn id="6" name="Custo_Operacional"/>
    <x:tableColumn id="7" name="Lucro_Bruto"/>
    <x:tableColumn id="8" name="Margem_Bruta_%"/>
    <x:tableColumn id="9" name="Fechamentos_D5_%"/>
    <x:tableColumn id="10" name="Dias_para_Fechar"/>
    <x:tableColumn id="11" name="Conciliação_%"/>
    <x:tableColumn id="12" name="Inadimplência_%"/>
    <x:tableColumn id="13" name="DSO_Dias"/>
    <x:tableColumn id="14" name="Acurácia_Forecast_%"/>
    <x:tableColumn id="15" name="Horas_Manuais"/>
    <x:tableColumn id="16" name="Erros_por_1000"/>
    <x:tableColumn id="17" name="Automação_%"/>
    <x:tableColumn id="18" name="NPS"/>
    <x:tableColumn id="19" name="Valores_Recuperados"/>
    <x:tableColumn id="20" name="Chamados_Operacionais"/>
    <x:tableColumn id="21" name="Novos_Clientes"/>
    <x:tableColumn id="22" name="Clientes_Perdidos"/>
  </x:tableColumns>
  <x:tableStyleInfo name="TableStyleMedium2" showRowStripes="1"/>
</x:table>
</file>

<file path=xl/tables/table3.xml><?xml version="1.0" encoding="utf-8"?>
<x:table xmlns:x="http://schemas.openxmlformats.org/spreadsheetml/2006/main" id="3" name="ValoraContasReceber" displayName="ValoraContasReceber" ref="A1:S1801" headerRowCount="1">
  <x:tableColumns count="19">
    <x:tableColumn id="1" name="ID_Título"/>
    <x:tableColumn id="2" name="Data_Emissão"/>
    <x:tableColumn id="3" name="Data_Vencimento"/>
    <x:tableColumn id="4" name="Data_Pagamento"/>
    <x:tableColumn id="5" name="ID_Cliente"/>
    <x:tableColumn id="6" name="Cliente"/>
    <x:tableColumn id="7" name="Segmento"/>
    <x:tableColumn id="8" name="Risco"/>
    <x:tableColumn id="9" name="Plano"/>
    <x:tableColumn id="10" name="Valor_Bruto"/>
    <x:tableColumn id="11" name="Desconto"/>
    <x:tableColumn id="12" name="Juros"/>
    <x:tableColumn id="13" name="Status"/>
    <x:tableColumn id="14" name="Canal_Cobrança"/>
    <x:tableColumn id="15" name="Fase"/>
    <x:tableColumn id="16" name="Valor_Recebido"/>
    <x:tableColumn id="17" name="Saldo"/>
    <x:tableColumn id="18" name="Dias_Atraso"/>
    <x:tableColumn id="19" name="Faixa_Atraso"/>
  </x:tableColumns>
  <x:tableStyleInfo name="TableStyleMedium2" showRowStripes="1"/>
</x:table>
</file>

<file path=xl/tables/table4.xml><?xml version="1.0" encoding="utf-8"?>
<x:table xmlns:x="http://schemas.openxmlformats.org/spreadsheetml/2006/main" id="4" name="ValoraContasPagar" displayName="ValoraContasPagar" ref="A1:N1261" headerRowCount="1">
  <x:tableColumns count="14">
    <x:tableColumn id="1" name="ID_Título"/>
    <x:tableColumn id="2" name="Data_Emissão"/>
    <x:tableColumn id="3" name="Data_Vencimento"/>
    <x:tableColumn id="4" name="Data_Pagamento"/>
    <x:tableColumn id="5" name="Fornecedor"/>
    <x:tableColumn id="6" name="Categoria"/>
    <x:tableColumn id="7" name="Valor_Previsto"/>
    <x:tableColumn id="8" name="Valor_Real"/>
    <x:tableColumn id="9" name="Aprovador"/>
    <x:tableColumn id="10" name="Status"/>
    <x:tableColumn id="11" name="Fase"/>
    <x:tableColumn id="12" name="Desvio_Valor"/>
    <x:tableColumn id="13" name="Desvio_%"/>
    <x:tableColumn id="14" name="Dias_Antecipação_Atraso"/>
  </x:tableColumns>
  <x:tableStyleInfo name="TableStyleMedium2" showRowStripes="1"/>
</x:table>
</file>

<file path=xl/tables/table5.xml><?xml version="1.0" encoding="utf-8"?>
<x:table xmlns:x="http://schemas.openxmlformats.org/spreadsheetml/2006/main" id="5" name="ValoraConciliacoes" displayName="ValoraConciliacoes" ref="A1:K1051" headerRowCount="1">
  <x:tableColumns count="11">
    <x:tableColumn id="1" name="ID_Conciliação"/>
    <x:tableColumn id="2" name="Data_Movimento"/>
    <x:tableColumn id="3" name="Conta_Bancária"/>
    <x:tableColumn id="4" name="Valor_Sistema"/>
    <x:tableColumn id="5" name="Valor_Banco"/>
    <x:tableColumn id="6" name="Status"/>
    <x:tableColumn id="7" name="Causa"/>
    <x:tableColumn id="8" name="Tempo_Resolução_h"/>
    <x:tableColumn id="9" name="Fase"/>
    <x:tableColumn id="10" name="Divergência_Valor"/>
    <x:tableColumn id="11" name="Divergência_%"/>
  </x:tableColumns>
  <x:tableStyleInfo name="TableStyleMedium2" showRowStripes="1"/>
</x:table>
</file>

<file path=xl/tables/table6.xml><?xml version="1.0" encoding="utf-8"?>
<x:table xmlns:x="http://schemas.openxmlformats.org/spreadsheetml/2006/main" id="6" name="ValoraClientes" displayName="ValoraClientes" ref="A1:P31" headerRowCount="1">
  <x:tableColumns count="16">
    <x:tableColumn id="1" name="ID_Cliente"/>
    <x:tableColumn id="2" name="Cliente"/>
    <x:tableColumn id="3" name="Segmento"/>
    <x:tableColumn id="4" name="Cidade"/>
    <x:tableColumn id="5" name="UF"/>
    <x:tableColumn id="6" name="Plano"/>
    <x:tableColumn id="7" name="Início_Relacionamento"/>
    <x:tableColumn id="8" name="Mensalidade"/>
    <x:tableColumn id="9" name="Transações_Mês"/>
    <x:tableColumn id="10" name="Analistas_Alocados"/>
    <x:tableColumn id="11" name="Risco"/>
    <x:tableColumn id="12" name="NPS_2024"/>
    <x:tableColumn id="13" name="NPS_Jun_2026"/>
    <x:tableColumn id="14" name="Variação_NPS"/>
    <x:tableColumn id="15" name="Status"/>
    <x:tableColumn id="16" name="Participação_Receita_%"/>
  </x:tableColumns>
  <x:tableStyleInfo name="TableStyleMedium2" showRowStripes="1"/>
</x:table>
</file>

<file path=xl/tables/table7.xml><?xml version="1.0" encoding="utf-8"?>
<x:table xmlns:x="http://schemas.openxmlformats.org/spreadsheetml/2006/main" id="7" name="ValoraCobrancas" displayName="ValoraCobrancas" ref="A1:M31" headerRowCount="1">
  <x:tableColumns count="13">
    <x:tableColumn id="1" name="ID_Cliente"/>
    <x:tableColumn id="2" name="Cliente"/>
    <x:tableColumn id="3" name="Segmento"/>
    <x:tableColumn id="4" name="Risco"/>
    <x:tableColumn id="5" name="Vencido_2024"/>
    <x:tableColumn id="6" name="Pico_Vencido_2025"/>
    <x:tableColumn id="7" name="Vencido_Jun_2026"/>
    <x:tableColumn id="8" name="Valor_Recuperado"/>
    <x:tableColumn id="9" name="Promessas_Pagamento"/>
    <x:tableColumn id="10" name="Promessas_Cumpridas"/>
    <x:tableColumn id="11" name="Taxa_Cumprimento_%"/>
    <x:tableColumn id="12" name="Estratégia_Principal"/>
    <x:tableColumn id="13" name="Status_Cliente"/>
  </x:tableColumns>
  <x:tableStyleInfo name="TableStyleMedium2" showRowStripes="1"/>
</x:table>
</file>

<file path=xl/tables/table8.xml><?xml version="1.0" encoding="utf-8"?>
<x:table xmlns:x="http://schemas.openxmlformats.org/spreadsheetml/2006/main" id="8" name="ValoraIniciativas" displayName="ValoraIniciativas" ref="A1:M11" headerRowCount="1">
  <x:tableColumns count="13">
    <x:tableColumn id="1" name="ID_Iniciativa"/>
    <x:tableColumn id="2" name="Data_Início"/>
    <x:tableColumn id="3" name="Área"/>
    <x:tableColumn id="4" name="Iniciativa"/>
    <x:tableColumn id="5" name="Objetivo"/>
    <x:tableColumn id="6" name="Investimento"/>
    <x:tableColumn id="7" name="Status"/>
    <x:tableColumn id="8" name="Conclusão_%"/>
    <x:tableColumn id="9" name="KPI_Principal"/>
    <x:tableColumn id="10" name="Impacto_Estimado"/>
    <x:tableColumn id="11" name="Unidade"/>
    <x:tableColumn id="12" name="Payback_Meses"/>
    <x:tableColumn id="13" name="Prioridade"/>
  </x:tableColumns>
  <x:tableStyleInfo name="TableStyleMedium2" showRowStripes="1"/>
</x:table>
</file>

<file path=xl/tables/table9.xml><?xml version="1.0" encoding="utf-8"?>
<x:table xmlns:x="http://schemas.openxmlformats.org/spreadsheetml/2006/main" id="9" name="ValoraMetas" displayName="ValoraMetas" ref="A1:I13" headerRowCount="1">
  <x:tableColumns count="9">
    <x:tableColumn id="1" name="KPI"/>
    <x:tableColumn id="2" name="Categoria"/>
    <x:tableColumn id="3" name="Meta_Jun_2026"/>
    <x:tableColumn id="4" name="Resultado_Jun_2026"/>
    <x:tableColumn id="5" name="Unidade"/>
    <x:tableColumn id="6" name="Pilar"/>
    <x:tableColumn id="7" name="Desvio_Absoluto"/>
    <x:tableColumn id="8" name="Atingimento_%"/>
    <x:tableColumn id="9" name="Status_Me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cab71ea93643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f98a9a2cb24c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2ca057234a42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f30325937b49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deca66125d948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b4fe238d40344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fc5d9e9c15741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9afdc8f382144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96a415024e742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4da8f4641b43447c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4" customHeight="1">
      <x:c r="A1" s="6" t="str">
        <x:v>Fase</x:v>
      </x:c>
      <x:c r="B1" s="6" t="str">
        <x:v>Início</x:v>
      </x:c>
      <x:c r="C1" s="6" t="str">
        <x:v>Fim</x:v>
      </x:c>
      <x:c r="D1" s="6" t="str">
        <x:v>Clientes_Ativos_Médios</x:v>
      </x:c>
      <x:c r="E1" s="6" t="str">
        <x:v>Transações_Médias_Mês</x:v>
      </x:c>
      <x:c r="F1" s="6" t="str">
        <x:v>Receita_Média_Mês</x:v>
      </x:c>
      <x:c r="G1" s="6" t="str">
        <x:v>Margem_Bruta_%</x:v>
      </x:c>
      <x:c r="H1" s="6" t="str">
        <x:v>Fechamentos_D5_%</x:v>
      </x:c>
      <x:c r="I1" s="6" t="str">
        <x:v>Conciliação_%</x:v>
      </x:c>
      <x:c r="J1" s="6" t="str">
        <x:v>Inadimplência_%</x:v>
      </x:c>
      <x:c r="K1" s="6" t="str">
        <x:v>DSO_Dias</x:v>
      </x:c>
      <x:c r="L1" s="6" t="str">
        <x:v>Acurácia_Forecast_%</x:v>
      </x:c>
      <x:c r="M1" s="6" t="str">
        <x:v>Horas_Manuais_Mês</x:v>
      </x:c>
      <x:c r="N1" s="6" t="str">
        <x:v>Erros_por_1000</x:v>
      </x:c>
      <x:c r="O1" s="6" t="str">
        <x:v>Automação_%</x:v>
      </x:c>
      <x:c r="P1" s="6" t="str">
        <x:v>NPS</x:v>
      </x:c>
      <x:c r="Q1" s="6" t="str">
        <x:v>Novos_Clientes</x:v>
      </x:c>
      <x:c r="R1" s="6" t="str">
        <x:v>Clientes_Perdidos</x:v>
      </x:c>
    </x:row>
    <x:row r="2">
      <x:c r="A2" s="13" t="str">
        <x:v>Base controlada</x:v>
      </x:c>
      <x:c r="B2" s="15" t="n">
        <x:v>45292</x:v>
      </x:c>
      <x:c r="C2" s="15" t="n">
        <x:v>45444</x:v>
      </x:c>
      <x:c r="D2" s="13" t="n">
        <x:v>15.8</x:v>
      </x:c>
      <x:c r="E2" s="13" t="n">
        <x:v>17720</x:v>
      </x:c>
      <x:c r="F2" s="17" t="n">
        <x:v>88601.96</x:v>
      </x:c>
      <x:c r="G2" s="19" t="n">
        <x:v>0.352</x:v>
      </x:c>
      <x:c r="H2" s="21" t="n">
        <x:v>90.5</x:v>
      </x:c>
      <x:c r="I2" s="21" t="n">
        <x:v>96.8</x:v>
      </x:c>
      <x:c r="J2" s="21" t="n">
        <x:v>6.6</x:v>
      </x:c>
      <x:c r="K2" s="13" t="n">
        <x:v>36.3</x:v>
      </x:c>
      <x:c r="L2" s="21" t="n">
        <x:v>86.8</x:v>
      </x:c>
      <x:c r="M2" s="13" t="n">
        <x:v>815</x:v>
      </x:c>
      <x:c r="N2" s="13" t="n">
        <x:v>6.2</x:v>
      </x:c>
      <x:c r="O2" s="21" t="n">
        <x:v>26</x:v>
      </x:c>
      <x:c r="P2" s="13" t="n">
        <x:v>60.3</x:v>
      </x:c>
      <x:c r="Q2" s="13" t="n">
        <x:v>9</x:v>
      </x:c>
      <x:c r="R2" s="13" t="n">
        <x:v>2</x:v>
      </x:c>
    </x:row>
    <x:row r="3">
      <x:c r="A3" s="13" t="str">
        <x:v>Crescimento sem escala</x:v>
      </x:c>
      <x:c r="B3" s="15" t="n">
        <x:v>45474</x:v>
      </x:c>
      <x:c r="C3" s="15" t="n">
        <x:v>45627</x:v>
      </x:c>
      <x:c r="D3" s="13" t="n">
        <x:v>18</x:v>
      </x:c>
      <x:c r="E3" s="13" t="n">
        <x:v>23931</x:v>
      </x:c>
      <x:c r="F3" s="17" t="n">
        <x:v>112087.38</x:v>
      </x:c>
      <x:c r="G3" s="19" t="n">
        <x:v>0.3013</x:v>
      </x:c>
      <x:c r="H3" s="21" t="n">
        <x:v>83.6</x:v>
      </x:c>
      <x:c r="I3" s="21" t="n">
        <x:v>91.6</x:v>
      </x:c>
      <x:c r="J3" s="21" t="n">
        <x:v>10</x:v>
      </x:c>
      <x:c r="K3" s="13" t="n">
        <x:v>45.4</x:v>
      </x:c>
      <x:c r="L3" s="21" t="n">
        <x:v>76.9</x:v>
      </x:c>
      <x:c r="M3" s="13" t="n">
        <x:v>1195</x:v>
      </x:c>
      <x:c r="N3" s="13" t="n">
        <x:v>9.9</x:v>
      </x:c>
      <x:c r="O3" s="21" t="n">
        <x:v>30.8</x:v>
      </x:c>
      <x:c r="P3" s="13" t="n">
        <x:v>52</x:v>
      </x:c>
      <x:c r="Q3" s="13" t="n">
        <x:v>10</x:v>
      </x:c>
      <x:c r="R3" s="13" t="n">
        <x:v>5</x:v>
      </x:c>
    </x:row>
    <x:row r="4">
      <x:c r="A4" s="13" t="str">
        <x:v>Pico do descontrole</x:v>
      </x:c>
      <x:c r="B4" s="15" t="n">
        <x:v>45658</x:v>
      </x:c>
      <x:c r="C4" s="15" t="n">
        <x:v>45748</x:v>
      </x:c>
      <x:c r="D4" s="13" t="n">
        <x:v>20</x:v>
      </x:c>
      <x:c r="E4" s="13" t="n">
        <x:v>30538</x:v>
      </x:c>
      <x:c r="F4" s="17" t="n">
        <x:v>134470.71</x:v>
      </x:c>
      <x:c r="G4" s="19" t="n">
        <x:v>0.2415</x:v>
      </x:c>
      <x:c r="H4" s="21" t="n">
        <x:v>72.5</x:v>
      </x:c>
      <x:c r="I4" s="21" t="n">
        <x:v>82.4</x:v>
      </x:c>
      <x:c r="J4" s="21" t="n">
        <x:v>14.5</x:v>
      </x:c>
      <x:c r="K4" s="13" t="n">
        <x:v>57.5</x:v>
      </x:c>
      <x:c r="L4" s="21" t="n">
        <x:v>62.6</x:v>
      </x:c>
      <x:c r="M4" s="13" t="n">
        <x:v>1652</x:v>
      </x:c>
      <x:c r="N4" s="13" t="n">
        <x:v>13.7</x:v>
      </x:c>
      <x:c r="O4" s="21" t="n">
        <x:v>34.8</x:v>
      </x:c>
      <x:c r="P4" s="13" t="n">
        <x:v>42.6</x:v>
      </x:c>
      <x:c r="Q4" s="13" t="n">
        <x:v>11</x:v>
      </x:c>
      <x:c r="R4" s="13" t="n">
        <x:v>3</x:v>
      </x:c>
    </x:row>
    <x:row r="5">
      <x:c r="A5" s="13" t="str">
        <x:v>Operação Clareza</x:v>
      </x:c>
      <x:c r="B5" s="15" t="n">
        <x:v>45778</x:v>
      </x:c>
      <x:c r="C5" s="15" t="n">
        <x:v>45992</x:v>
      </x:c>
      <x:c r="D5" s="13" t="n">
        <x:v>24.8</x:v>
      </x:c>
      <x:c r="E5" s="13" t="n">
        <x:v>37571</x:v>
      </x:c>
      <x:c r="F5" s="17" t="n">
        <x:v>182555.68</x:v>
      </x:c>
      <x:c r="G5" s="19" t="n">
        <x:v>0.3068</x:v>
      </x:c>
      <x:c r="H5" s="21" t="n">
        <x:v>86.1</x:v>
      </x:c>
      <x:c r="I5" s="21" t="n">
        <x:v>93.2</x:v>
      </x:c>
      <x:c r="J5" s="21" t="n">
        <x:v>10.5</x:v>
      </x:c>
      <x:c r="K5" s="13" t="n">
        <x:v>46.3</x:v>
      </x:c>
      <x:c r="L5" s="21" t="n">
        <x:v>80</x:v>
      </x:c>
      <x:c r="M5" s="13" t="n">
        <x:v>1158</x:v>
      </x:c>
      <x:c r="N5" s="13" t="n">
        <x:v>9</x:v>
      </x:c>
      <x:c r="O5" s="21" t="n">
        <x:v>55.5</x:v>
      </x:c>
      <x:c r="P5" s="13" t="n">
        <x:v>56.9</x:v>
      </x:c>
      <x:c r="Q5" s="13" t="n">
        <x:v>27</x:v>
      </x:c>
      <x:c r="R5" s="13" t="n">
        <x:v>1</x:v>
      </x:c>
    </x:row>
    <x:row r="6">
      <x:c r="A6" s="13" t="str">
        <x:v>Escala inteligente</x:v>
      </x:c>
      <x:c r="B6" s="15" t="n">
        <x:v>46023</x:v>
      </x:c>
      <x:c r="C6" s="15" t="n">
        <x:v>46174</x:v>
      </x:c>
      <x:c r="D6" s="13" t="n">
        <x:v>27.2</x:v>
      </x:c>
      <x:c r="E6" s="13" t="n">
        <x:v>46065</x:v>
      </x:c>
      <x:c r="F6" s="17" t="n">
        <x:v>221733.42</x:v>
      </x:c>
      <x:c r="G6" s="19" t="n">
        <x:v>0.4187</x:v>
      </x:c>
      <x:c r="H6" s="21" t="n">
        <x:v>97.1</x:v>
      </x:c>
      <x:c r="I6" s="21" t="n">
        <x:v>98.7</x:v>
      </x:c>
      <x:c r="J6" s="21" t="n">
        <x:v>6.1</x:v>
      </x:c>
      <x:c r="K6" s="13" t="n">
        <x:v>32.7</x:v>
      </x:c>
      <x:c r="L6" s="21" t="n">
        <x:v>94.6</x:v>
      </x:c>
      <x:c r="M6" s="13" t="n">
        <x:v>666</x:v>
      </x:c>
      <x:c r="N6" s="13" t="n">
        <x:v>3.5</x:v>
      </x:c>
      <x:c r="O6" s="21" t="n">
        <x:v>88.4</x:v>
      </x:c>
      <x:c r="P6" s="13" t="n">
        <x:v>74.7</x:v>
      </x:c>
      <x:c r="Q6" s="13" t="n">
        <x:v>24</x:v>
      </x:c>
      <x:c r="R6" s="13" t="n">
        <x:v>0</x:v>
      </x:c>
    </x:row>
  </x:sheetData>
  <x:conditionalFormatting sqref="H2:H6">
    <x:cfRule type="colorScale" priority="1">
      <x:colorScale>
        <x:cfvo type="min"/>
        <x:cfvo type="percentile" val="50"/>
        <x:cfvo type="max"/>
        <x:color rgb="FFF8C9C9"/>
        <x:color rgb="FFFFF0B5"/>
        <x:color rgb="FFCBEBD8"/>
      </x:colorScale>
    </x:cfRule>
  </x:conditionalFormatting>
  <x:conditionalFormatting sqref="J2:J6">
    <x:cfRule type="colorScale" priority="2">
      <x:colorScale>
        <x:cfvo type="min"/>
        <x:cfvo type="percentile" val="50"/>
        <x:cfvo type="max"/>
        <x:color rgb="FFCBEBD8"/>
        <x:color rgb="FFFFF0B5"/>
        <x:color rgb="FFF8C9C9"/>
      </x:colorScale>
    </x:cfRule>
  </x:conditionalFormatting>
  <x:conditionalFormatting sqref="P2:P6">
    <x:cfRule type="colorScale" priority="3">
      <x:colorScale>
        <x:cfvo type="min"/>
        <x:cfvo type="percentile" val="50"/>
        <x:cfvo type="max"/>
        <x:color rgb="FFF8C9C9"/>
        <x:color rgb="FFFFF0B5"/>
        <x:color rgb="FFCBEB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cab71ea93643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4" customHeight="1">
      <x:c r="A1" s="6" t="str">
        <x:v>Mês</x:v>
      </x:c>
      <x:c r="B1" s="6" t="str">
        <x:v>Fase</x:v>
      </x:c>
      <x:c r="C1" s="6" t="str">
        <x:v>Clientes_Ativos</x:v>
      </x:c>
      <x:c r="D1" s="6" t="str">
        <x:v>Transações_Processadas</x:v>
      </x:c>
      <x:c r="E1" s="6" t="str">
        <x:v>Receita</x:v>
      </x:c>
      <x:c r="F1" s="6" t="str">
        <x:v>Custo_Operacional</x:v>
      </x:c>
      <x:c r="G1" s="6" t="str">
        <x:v>Lucro_Bruto</x:v>
      </x:c>
      <x:c r="H1" s="6" t="str">
        <x:v>Margem_Bruta_%</x:v>
      </x:c>
      <x:c r="I1" s="6" t="str">
        <x:v>Fechamentos_D5_%</x:v>
      </x:c>
      <x:c r="J1" s="6" t="str">
        <x:v>Dias_para_Fechar</x:v>
      </x:c>
      <x:c r="K1" s="6" t="str">
        <x:v>Conciliação_%</x:v>
      </x:c>
      <x:c r="L1" s="6" t="str">
        <x:v>Inadimplência_%</x:v>
      </x:c>
      <x:c r="M1" s="6" t="str">
        <x:v>DSO_Dias</x:v>
      </x:c>
      <x:c r="N1" s="6" t="str">
        <x:v>Acurácia_Forecast_%</x:v>
      </x:c>
      <x:c r="O1" s="6" t="str">
        <x:v>Horas_Manuais</x:v>
      </x:c>
      <x:c r="P1" s="6" t="str">
        <x:v>Erros_por_1000</x:v>
      </x:c>
      <x:c r="Q1" s="6" t="str">
        <x:v>Automação_%</x:v>
      </x:c>
      <x:c r="R1" s="6" t="str">
        <x:v>NPS</x:v>
      </x:c>
      <x:c r="S1" s="6" t="str">
        <x:v>Valores_Recuperados</x:v>
      </x:c>
      <x:c r="T1" s="6" t="str">
        <x:v>Chamados_Operacionais</x:v>
      </x:c>
      <x:c r="U1" s="6" t="str">
        <x:v>Novos_Clientes</x:v>
      </x:c>
      <x:c r="V1" s="6" t="str">
        <x:v>Clientes_Perdidos</x:v>
      </x:c>
    </x:row>
    <x:row r="2">
      <x:c r="A2" s="15" t="n">
        <x:v>45292</x:v>
      </x:c>
      <x:c r="B2" s="13" t="str">
        <x:v>Base controlada</x:v>
      </x:c>
      <x:c r="C2" s="13" t="n">
        <x:v>14</x:v>
      </x:c>
      <x:c r="D2" s="13" t="n">
        <x:v>14290</x:v>
      </x:c>
      <x:c r="E2" s="17" t="n">
        <x:v>74297.55106523697</x:v>
      </x:c>
      <x:c r="F2" s="17" t="n">
        <x:v>47660.64146904497</x:v>
      </x:c>
      <x:c r="G2" s="17" t="n">
        <x:f>E2-F2</x:f>
        <x:v>26636.909596192003</x:v>
      </x:c>
      <x:c r="H2" s="19" t="n">
        <x:v>0.35851665652887355</x:v>
      </x:c>
      <x:c r="I2" s="21" t="n">
        <x:v>91.37624023526185</x:v>
      </x:c>
      <x:c r="J2" s="13" t="n">
        <x:v>4.5530001405186065</x:v>
      </x:c>
      <x:c r="K2" s="21" t="n">
        <x:v>97.07339962199039</x:v>
      </x:c>
      <x:c r="L2" s="21" t="n">
        <x:v>6.046966437773725</x:v>
      </x:c>
      <x:c r="M2" s="13" t="n">
        <x:v>34.58642501579629</x:v>
      </x:c>
      <x:c r="N2" s="21" t="n">
        <x:v>88.02493751660907</x:v>
      </x:c>
      <x:c r="O2" s="13" t="n">
        <x:v>750</x:v>
      </x:c>
      <x:c r="P2" s="13" t="n">
        <x:v>5.601734939670745</x:v>
      </x:c>
      <x:c r="Q2" s="21" t="n">
        <x:v>24</x:v>
      </x:c>
      <x:c r="R2" s="13" t="n">
        <x:v>61.20238295711849</x:v>
      </x:c>
      <x:c r="S2" s="17" t="n">
        <x:v>1832.351390583625</x:v>
      </x:c>
      <x:c r="T2" s="13" t="n">
        <x:v>13</x:v>
      </x:c>
      <x:c r="U2" s="13" t="n">
        <x:v>0</x:v>
      </x:c>
      <x:c r="V2" s="13" t="n">
        <x:v>0</x:v>
      </x:c>
    </x:row>
    <x:row r="3">
      <x:c r="A3" s="15" t="n">
        <x:v>45323</x:v>
      </x:c>
      <x:c r="B3" s="13" t="str">
        <x:v>Base controlada</x:v>
      </x:c>
      <x:c r="C3" s="13" t="n">
        <x:v>15</x:v>
      </x:c>
      <x:c r="D3" s="13" t="n">
        <x:v>15553</x:v>
      </x:c>
      <x:c r="E3" s="17" t="n">
        <x:v>80784.2251232777</x:v>
      </x:c>
      <x:c r="F3" s="17" t="n">
        <x:v>51864.25440588528</x:v>
      </x:c>
      <x:c r="G3" s="17" t="n">
        <x:f>E3-F3</x:f>
        <x:v>28919.970717392425</x:v>
      </x:c>
      <x:c r="H3" s="19" t="n">
        <x:v>0.3579903214180764</x:v>
      </x:c>
      <x:c r="I3" s="21" t="n">
        <x:v>90.82225067704518</x:v>
      </x:c>
      <x:c r="J3" s="13" t="n">
        <x:v>4.354762435009192</x:v>
      </x:c>
      <x:c r="K3" s="21" t="n">
        <x:v>97.07464321966916</x:v>
      </x:c>
      <x:c r="L3" s="21" t="n">
        <x:v>6.448750170756533</x:v>
      </x:c>
      <x:c r="M3" s="13" t="n">
        <x:v>34.994949969464905</x:v>
      </x:c>
      <x:c r="N3" s="21" t="n">
        <x:v>87.67587953502901</x:v>
      </x:c>
      <x:c r="O3" s="13" t="n">
        <x:v>770</x:v>
      </x:c>
      <x:c r="P3" s="13" t="n">
        <x:v>5.729070796659327</x:v>
      </x:c>
      <x:c r="Q3" s="21" t="n">
        <x:v>24.8</x:v>
      </x:c>
      <x:c r="R3" s="13" t="n">
        <x:v>61.56851601409524</x:v>
      </x:c>
      <x:c r="S3" s="17" t="n">
        <x:v>1576.1047906475662</x:v>
      </x:c>
      <x:c r="T3" s="13" t="n">
        <x:v>13</x:v>
      </x:c>
      <x:c r="U3" s="13" t="n">
        <x:v>1</x:v>
      </x:c>
      <x:c r="V3" s="13" t="n">
        <x:v>1</x:v>
      </x:c>
    </x:row>
    <x:row r="4">
      <x:c r="A4" s="15" t="n">
        <x:v>45352</x:v>
      </x:c>
      <x:c r="B4" s="13" t="str">
        <x:v>Base controlada</x:v>
      </x:c>
      <x:c r="C4" s="13" t="n">
        <x:v>16</x:v>
      </x:c>
      <x:c r="D4" s="13" t="n">
        <x:v>17459</x:v>
      </x:c>
      <x:c r="E4" s="17" t="n">
        <x:v>88241.44329076272</x:v>
      </x:c>
      <x:c r="F4" s="17" t="n">
        <x:v>57032.95955289436</x:v>
      </x:c>
      <x:c r="G4" s="17" t="n">
        <x:f>E4-F4</x:f>
        <x:v>31208.48373786836</x:v>
      </x:c>
      <x:c r="H4" s="19" t="n">
        <x:v>0.35367150143990594</x:v>
      </x:c>
      <x:c r="I4" s="21" t="n">
        <x:v>90.98562777707536</x:v>
      </x:c>
      <x:c r="J4" s="13" t="n">
        <x:v>4.3055226345539594</x:v>
      </x:c>
      <x:c r="K4" s="21" t="n">
        <x:v>96.5921397420504</x:v>
      </x:c>
      <x:c r="L4" s="21" t="n">
        <x:v>6.414865424717789</x:v>
      </x:c>
      <x:c r="M4" s="13" t="n">
        <x:v>36.00205261095338</x:v>
      </x:c>
      <x:c r="N4" s="21" t="n">
        <x:v>86.6581035729961</x:v>
      </x:c>
      <x:c r="O4" s="13" t="n">
        <x:v>809</x:v>
      </x:c>
      <x:c r="P4" s="13" t="n">
        <x:v>5.948505598105472</x:v>
      </x:c>
      <x:c r="Q4" s="21" t="n">
        <x:v>25.6</x:v>
      </x:c>
      <x:c r="R4" s="13" t="n">
        <x:v>60.804941983119406</x:v>
      </x:c>
      <x:c r="S4" s="17" t="n">
        <x:v>1710.614423659864</x:v>
      </x:c>
      <x:c r="T4" s="13" t="n">
        <x:v>17</x:v>
      </x:c>
      <x:c r="U4" s="13" t="n">
        <x:v>2</x:v>
      </x:c>
      <x:c r="V4" s="13" t="n">
        <x:v>0</x:v>
      </x:c>
    </x:row>
    <x:row r="5">
      <x:c r="A5" s="15" t="n">
        <x:v>45383</x:v>
      </x:c>
      <x:c r="B5" s="13" t="str">
        <x:v>Base controlada</x:v>
      </x:c>
      <x:c r="C5" s="13" t="n">
        <x:v>16</x:v>
      </x:c>
      <x:c r="D5" s="13" t="n">
        <x:v>18561</x:v>
      </x:c>
      <x:c r="E5" s="17" t="n">
        <x:v>90538.79898074007</x:v>
      </x:c>
      <x:c r="F5" s="17" t="n">
        <x:v>59008.250303001085</x:v>
      </x:c>
      <x:c r="G5" s="17" t="n">
        <x:f>E5-F5</x:f>
        <x:v>31530.54867773899</x:v>
      </x:c>
      <x:c r="H5" s="19" t="n">
        <x:v>0.3482545497919222</x:v>
      </x:c>
      <x:c r="I5" s="21" t="n">
        <x:v>90.18978498097115</x:v>
      </x:c>
      <x:c r="J5" s="13" t="n">
        <x:v>4.526539770598806</x:v>
      </x:c>
      <x:c r="K5" s="21" t="n">
        <x:v>96.88887130373976</x:v>
      </x:c>
      <x:c r="L5" s="21" t="n">
        <x:v>6.7456098778850695</x:v>
      </x:c>
      <x:c r="M5" s="13" t="n">
        <x:v>36.79703466431667</x:v>
      </x:c>
      <x:c r="N5" s="21" t="n">
        <x:v>86.94725635193369</x:v>
      </x:c>
      <x:c r="O5" s="13" t="n">
        <x:v>844</x:v>
      </x:c>
      <x:c r="P5" s="13" t="n">
        <x:v>6.449434908998176</x:v>
      </x:c>
      <x:c r="Q5" s="21" t="n">
        <x:v>26.4</x:v>
      </x:c>
      <x:c r="R5" s="13" t="n">
        <x:v>59.65019056534796</x:v>
      </x:c>
      <x:c r="S5" s="17" t="n">
        <x:v>2453.9835124783635</x:v>
      </x:c>
      <x:c r="T5" s="13" t="n">
        <x:v>17</x:v>
      </x:c>
      <x:c r="U5" s="13" t="n">
        <x:v>1</x:v>
      </x:c>
      <x:c r="V5" s="13" t="n">
        <x:v>0</x:v>
      </x:c>
    </x:row>
    <x:row r="6">
      <x:c r="A6" s="15" t="n">
        <x:v>45413</x:v>
      </x:c>
      <x:c r="B6" s="13" t="str">
        <x:v>Base controlada</x:v>
      </x:c>
      <x:c r="C6" s="13" t="n">
        <x:v>17</x:v>
      </x:c>
      <x:c r="D6" s="13" t="n">
        <x:v>19987</x:v>
      </x:c>
      <x:c r="E6" s="17" t="n">
        <x:v>98329.30705311807</x:v>
      </x:c>
      <x:c r="F6" s="17" t="n">
        <x:v>63929.0741999815</x:v>
      </x:c>
      <x:c r="G6" s="17" t="n">
        <x:f>E6-F6</x:f>
        <x:v>34400.23285313657</x:v>
      </x:c>
      <x:c r="H6" s="19" t="n">
        <x:v>0.34984720104407285</x:v>
      </x:c>
      <x:c r="I6" s="21" t="n">
        <x:v>89.77541184237013</x:v>
      </x:c>
      <x:c r="J6" s="13" t="n">
        <x:v>4.599713495765917</x:v>
      </x:c>
      <x:c r="K6" s="21" t="n">
        <x:v>96.53621834877451</x:v>
      </x:c>
      <x:c r="L6" s="21" t="n">
        <x:v>6.799393993258262</x:v>
      </x:c>
      <x:c r="M6" s="13" t="n">
        <x:v>37.122358576617906</x:v>
      </x:c>
      <x:c r="N6" s="21" t="n">
        <x:v>86.3195542643038</x:v>
      </x:c>
      <x:c r="O6" s="13" t="n">
        <x:v>843</x:v>
      </x:c>
      <x:c r="P6" s="13" t="n">
        <x:v>6.741138234075448</x:v>
      </x:c>
      <x:c r="Q6" s="21" t="n">
        <x:v>27.2</x:v>
      </x:c>
      <x:c r="R6" s="13" t="n">
        <x:v>59.36625564149672</x:v>
      </x:c>
      <x:c r="S6" s="17" t="n">
        <x:v>2353.0845664014337</x:v>
      </x:c>
      <x:c r="T6" s="13" t="n">
        <x:v>18</x:v>
      </x:c>
      <x:c r="U6" s="13" t="n">
        <x:v>2</x:v>
      </x:c>
      <x:c r="V6" s="13" t="n">
        <x:v>1</x:v>
      </x:c>
    </x:row>
    <x:row r="7">
      <x:c r="A7" s="15" t="n">
        <x:v>45444</x:v>
      </x:c>
      <x:c r="B7" s="13" t="str">
        <x:v>Base controlada</x:v>
      </x:c>
      <x:c r="C7" s="13" t="n">
        <x:v>17</x:v>
      </x:c>
      <x:c r="D7" s="13" t="n">
        <x:v>20471</x:v>
      </x:c>
      <x:c r="E7" s="17" t="n">
        <x:v>99420.46198176568</x:v>
      </x:c>
      <x:c r="F7" s="17" t="n">
        <x:v>65275.1039362995</x:v>
      </x:c>
      <x:c r="G7" s="17" t="n">
        <x:f>E7-F7</x:f>
        <x:v>34145.35804546618</x:v>
      </x:c>
      <x:c r="H7" s="19" t="n">
        <x:v>0.3434439688253375</x:v>
      </x:c>
      <x:c r="I7" s="21" t="n">
        <x:v>89.68303624150991</x:v>
      </x:c>
      <x:c r="J7" s="13" t="n">
        <x:v>4.324565032566786</x:v>
      </x:c>
      <x:c r="K7" s="21" t="n">
        <x:v>96.35624003313912</x:v>
      </x:c>
      <x:c r="L7" s="21" t="n">
        <x:v>7.099452601469273</x:v>
      </x:c>
      <x:c r="M7" s="13" t="n">
        <x:v>38.10591936860909</x:v>
      </x:c>
      <x:c r="N7" s="21" t="n">
        <x:v>85.47262908220384</x:v>
      </x:c>
      <x:c r="O7" s="13" t="n">
        <x:v>876</x:v>
      </x:c>
      <x:c r="P7" s="13" t="n">
        <x:v>6.7008743560574215</x:v>
      </x:c>
      <x:c r="Q7" s="21" t="n">
        <x:v>28</x:v>
      </x:c>
      <x:c r="R7" s="13" t="n">
        <x:v>59.126316470397896</x:v>
      </x:c>
      <x:c r="S7" s="17" t="n">
        <x:v>2077.1430021093706</x:v>
      </x:c>
      <x:c r="T7" s="13" t="n">
        <x:v>19</x:v>
      </x:c>
      <x:c r="U7" s="13" t="n">
        <x:v>3</x:v>
      </x:c>
      <x:c r="V7" s="13" t="n">
        <x:v>0</x:v>
      </x:c>
    </x:row>
    <x:row r="8">
      <x:c r="A8" s="15" t="n">
        <x:v>45474</x:v>
      </x:c>
      <x:c r="B8" s="13" t="str">
        <x:v>Crescimento sem escala</x:v>
      </x:c>
      <x:c r="C8" s="13" t="n">
        <x:v>18</x:v>
      </x:c>
      <x:c r="D8" s="13" t="n">
        <x:v>21981</x:v>
      </x:c>
      <x:c r="E8" s="17" t="n">
        <x:v>106910.5693339348</x:v>
      </x:c>
      <x:c r="F8" s="17" t="n">
        <x:v>70756.14360149695</x:v>
      </x:c>
      <x:c r="G8" s="17" t="n">
        <x:f>E8-F8</x:f>
        <x:v>36154.425732437856</x:v>
      </x:c>
      <x:c r="H8" s="19" t="n">
        <x:v>0.33817447571071874</x:v>
      </x:c>
      <x:c r="I8" s="21" t="n">
        <x:v>88.74787768209036</x:v>
      </x:c>
      <x:c r="J8" s="13" t="n">
        <x:v>4.661475559219477</x:v>
      </x:c>
      <x:c r="K8" s="21" t="n">
        <x:v>95.45778486260421</x:v>
      </x:c>
      <x:c r="L8" s="21" t="n">
        <x:v>7.57187173495173</x:v>
      </x:c>
      <x:c r="M8" s="13" t="n">
        <x:v>38.36579600187235</x:v>
      </x:c>
      <x:c r="N8" s="21" t="n">
        <x:v>84.38943802593757</x:v>
      </x:c>
      <x:c r="O8" s="13" t="n">
        <x:v>893</x:v>
      </x:c>
      <x:c r="P8" s="13" t="n">
        <x:v>7.248080430316511</x:v>
      </x:c>
      <x:c r="Q8" s="21" t="n">
        <x:v>28.8</x:v>
      </x:c>
      <x:c r="R8" s="13" t="n">
        <x:v>58.92713838210739</x:v>
      </x:c>
      <x:c r="S8" s="17" t="n">
        <x:v>2777.9628996119172</x:v>
      </x:c>
      <x:c r="T8" s="13" t="n">
        <x:v>22</x:v>
      </x:c>
      <x:c r="U8" s="13" t="n">
        <x:v>3</x:v>
      </x:c>
      <x:c r="V8" s="13" t="n">
        <x:v>0</x:v>
      </x:c>
    </x:row>
    <x:row r="9">
      <x:c r="A9" s="15" t="n">
        <x:v>45505</x:v>
      </x:c>
      <x:c r="B9" s="13" t="str">
        <x:v>Crescimento sem escala</x:v>
      </x:c>
      <x:c r="C9" s="13" t="n">
        <x:v>18</x:v>
      </x:c>
      <x:c r="D9" s="13" t="n">
        <x:v>22678</x:v>
      </x:c>
      <x:c r="E9" s="17" t="n">
        <x:v>108310.7645162402</x:v>
      </x:c>
      <x:c r="F9" s="17" t="n">
        <x:v>73450.07313132945</x:v>
      </x:c>
      <x:c r="G9" s="17" t="n">
        <x:f>E9-F9</x:f>
        <x:v>34860.69138491075</x:v>
      </x:c>
      <x:c r="H9" s="19" t="n">
        <x:v>0.321858049295587</x:v>
      </x:c>
      <x:c r="I9" s="21" t="n">
        <x:v>86.91170828242106</x:v>
      </x:c>
      <x:c r="J9" s="13" t="n">
        <x:v>4.863464982856603</x:v>
      </x:c>
      <x:c r="K9" s="21" t="n">
        <x:v>94.01947729304038</x:v>
      </x:c>
      <x:c r="L9" s="21" t="n">
        <x:v>8.651873596594573</x:v>
      </x:c>
      <x:c r="M9" s="13" t="n">
        <x:v>40.77250356350779</x:v>
      </x:c>
      <x:c r="N9" s="21" t="n">
        <x:v>81.66018309490968</x:v>
      </x:c>
      <x:c r="O9" s="13" t="n">
        <x:v>1040</x:v>
      </x:c>
      <x:c r="P9" s="13" t="n">
        <x:v>8.032906942656354</x:v>
      </x:c>
      <x:c r="Q9" s="21" t="n">
        <x:v>29.6</x:v>
      </x:c>
      <x:c r="R9" s="13" t="n">
        <x:v>56.34172501112744</x:v>
      </x:c>
      <x:c r="S9" s="17" t="n">
        <x:v>3323.39511831583</x:v>
      </x:c>
      <x:c r="T9" s="13" t="n">
        <x:v>22</x:v>
      </x:c>
      <x:c r="U9" s="13" t="n">
        <x:v>0</x:v>
      </x:c>
      <x:c r="V9" s="13" t="n">
        <x:v>1</x:v>
      </x:c>
    </x:row>
    <x:row r="10">
      <x:c r="A10" s="15" t="n">
        <x:v>45536</x:v>
      </x:c>
      <x:c r="B10" s="13" t="str">
        <x:v>Crescimento sem escala</x:v>
      </x:c>
      <x:c r="C10" s="13" t="n">
        <x:v>18</x:v>
      </x:c>
      <x:c r="D10" s="13" t="n">
        <x:v>22944</x:v>
      </x:c>
      <x:c r="E10" s="17" t="n">
        <x:v>110802.84764689385</x:v>
      </x:c>
      <x:c r="F10" s="17" t="n">
        <x:v>76360.6964897279</x:v>
      </x:c>
      <x:c r="G10" s="17" t="n">
        <x:f>E10-F10</x:f>
        <x:v>34442.15115716595</x:v>
      </x:c>
      <x:c r="H10" s="19" t="n">
        <x:v>0.31084175080884274</x:v>
      </x:c>
      <x:c r="I10" s="21" t="n">
        <x:v>84.9725425091536</x:v>
      </x:c>
      <x:c r="J10" s="13" t="n">
        <x:v>4.877088677009405</x:v>
      </x:c>
      <x:c r="K10" s="21" t="n">
        <x:v>92.12315331778788</x:v>
      </x:c>
      <x:c r="L10" s="21" t="n">
        <x:v>9.544399491201963</x:v>
      </x:c>
      <x:c r="M10" s="13" t="n">
        <x:v>43.256344396856434</x:v>
      </x:c>
      <x:c r="N10" s="21" t="n">
        <x:v>78.13184335619971</x:v>
      </x:c>
      <x:c r="O10" s="13" t="n">
        <x:v>1157</x:v>
      </x:c>
      <x:c r="P10" s="13" t="n">
        <x:v>9.016069754203755</x:v>
      </x:c>
      <x:c r="Q10" s="21" t="n">
        <x:v>30.4</x:v>
      </x:c>
      <x:c r="R10" s="13" t="n">
        <x:v>52.53204058597005</x:v>
      </x:c>
      <x:c r="S10" s="17" t="n">
        <x:v>4021.0289687030745</x:v>
      </x:c>
      <x:c r="T10" s="13" t="n">
        <x:v>19</x:v>
      </x:c>
      <x:c r="U10" s="13" t="n">
        <x:v>1</x:v>
      </x:c>
      <x:c r="V10" s="13" t="n">
        <x:v>2</x:v>
      </x:c>
    </x:row>
    <x:row r="11">
      <x:c r="A11" s="15" t="n">
        <x:v>45566</x:v>
      </x:c>
      <x:c r="B11" s="13" t="str">
        <x:v>Crescimento sem escala</x:v>
      </x:c>
      <x:c r="C11" s="13" t="n">
        <x:v>18</x:v>
      </x:c>
      <x:c r="D11" s="13" t="n">
        <x:v>23915</x:v>
      </x:c>
      <x:c r="E11" s="17" t="n">
        <x:v>114060.9670909109</x:v>
      </x:c>
      <x:c r="F11" s="17" t="n">
        <x:v>80765.45566685636</x:v>
      </x:c>
      <x:c r="G11" s="17" t="n">
        <x:f>E11-F11</x:f>
        <x:v>33295.51142405454</x:v>
      </x:c>
      <x:c r="H11" s="19" t="n">
        <x:v>0.2919097766154899</x:v>
      </x:c>
      <x:c r="I11" s="21" t="n">
        <x:v>82.41626383212433</x:v>
      </x:c>
      <x:c r="J11" s="13" t="n">
        <x:v>4.9833898997739245</x:v>
      </x:c>
      <x:c r="K11" s="21" t="n">
        <x:v>91.15714254457237</x:v>
      </x:c>
      <x:c r="L11" s="21" t="n">
        <x:v>10.402599138060841</x:v>
      </x:c>
      <x:c r="M11" s="13" t="n">
        <x:v>46.5358083866578</x:v>
      </x:c>
      <x:c r="N11" s="21" t="n">
        <x:v>75.04621800506452</x:v>
      </x:c>
      <x:c r="O11" s="13" t="n">
        <x:v>1239</x:v>
      </x:c>
      <x:c r="P11" s="13" t="n">
        <x:v>10.655185076503264</x:v>
      </x:c>
      <x:c r="Q11" s="21" t="n">
        <x:v>31.2</x:v>
      </x:c>
      <x:c r="R11" s="13" t="n">
        <x:v>50.79618645470303</x:v>
      </x:c>
      <x:c r="S11" s="17" t="n">
        <x:v>3494.3238813820485</x:v>
      </x:c>
      <x:c r="T11" s="13" t="n">
        <x:v>22</x:v>
      </x:c>
      <x:c r="U11" s="13" t="n">
        <x:v>1</x:v>
      </x:c>
      <x:c r="V11" s="13" t="n">
        <x:v>1</x:v>
      </x:c>
    </x:row>
    <x:row r="12">
      <x:c r="A12" s="15" t="n">
        <x:v>45597</x:v>
      </x:c>
      <x:c r="B12" s="13" t="str">
        <x:v>Crescimento sem escala</x:v>
      </x:c>
      <x:c r="C12" s="13" t="n">
        <x:v>18</x:v>
      </x:c>
      <x:c r="D12" s="13" t="n">
        <x:v>25348</x:v>
      </x:c>
      <x:c r="E12" s="17" t="n">
        <x:v>115030.17758855723</x:v>
      </x:c>
      <x:c r="F12" s="17" t="n">
        <x:v>82919.47485686811</x:v>
      </x:c>
      <x:c r="G12" s="17" t="n">
        <x:f>E12-F12</x:f>
        <x:v>32110.702731689118</x:v>
      </x:c>
      <x:c r="H12" s="19" t="n">
        <x:v>0.2791502491332619</x:v>
      </x:c>
      <x:c r="I12" s="21" t="n">
        <x:v>80.36038213300591</x:v>
      </x:c>
      <x:c r="J12" s="13" t="n">
        <x:v>5.223970808696006</x:v>
      </x:c>
      <x:c r="K12" s="21" t="n">
        <x:v>89.45546329528513</x:v>
      </x:c>
      <x:c r="L12" s="21" t="n">
        <x:v>11.472811549287673</x:v>
      </x:c>
      <x:c r="M12" s="13" t="n">
        <x:v>50.66426946163379</x:v>
      </x:c>
      <x:c r="N12" s="21" t="n">
        <x:v>72.67543110487922</x:v>
      </x:c>
      <x:c r="O12" s="13" t="n">
        <x:v>1367</x:v>
      </x:c>
      <x:c r="P12" s="13" t="n">
        <x:v>11.844011544169057</x:v>
      </x:c>
      <x:c r="Q12" s="21" t="n">
        <x:v>32</x:v>
      </x:c>
      <x:c r="R12" s="13" t="n">
        <x:v>48.26844785039418</x:v>
      </x:c>
      <x:c r="S12" s="17" t="n">
        <x:v>5563.793880337559</x:v>
      </x:c>
      <x:c r="T12" s="13" t="n">
        <x:v>25</x:v>
      </x:c>
      <x:c r="U12" s="13" t="n">
        <x:v>1</x:v>
      </x:c>
      <x:c r="V12" s="13" t="n">
        <x:v>1</x:v>
      </x:c>
    </x:row>
    <x:row r="13">
      <x:c r="A13" s="15" t="n">
        <x:v>45627</x:v>
      </x:c>
      <x:c r="B13" s="13" t="str">
        <x:v>Crescimento sem escala</x:v>
      </x:c>
      <x:c r="C13" s="13" t="n">
        <x:v>18</x:v>
      </x:c>
      <x:c r="D13" s="13" t="n">
        <x:v>26719</x:v>
      </x:c>
      <x:c r="E13" s="17" t="n">
        <x:v>117408.95293813059</x:v>
      </x:c>
      <x:c r="F13" s="17" t="n">
        <x:v>86201.90668427054</x:v>
      </x:c>
      <x:c r="G13" s="17" t="n">
        <x:f>E13-F13</x:f>
        <x:v>31207.046253860055</x:v>
      </x:c>
      <x:c r="H13" s="19" t="n">
        <x:v>0.26579784141593366</x:v>
      </x:c>
      <x:c r="I13" s="21" t="n">
        <x:v>78.48360861331662</x:v>
      </x:c>
      <x:c r="J13" s="13" t="n">
        <x:v>5.422626104065033</x:v>
      </x:c>
      <x:c r="K13" s="21" t="n">
        <x:v>87.65524305974432</x:v>
      </x:c>
      <x:c r="L13" s="21" t="n">
        <x:v>12.56576792760674</x:v>
      </x:c>
      <x:c r="M13" s="13" t="n">
        <x:v>52.647115711015424</x:v>
      </x:c>
      <x:c r="N13" s="21" t="n">
        <x:v>69.51911924574608</x:v>
      </x:c>
      <x:c r="O13" s="13" t="n">
        <x:v>1473</x:v>
      </x:c>
      <x:c r="P13" s="13" t="n">
        <x:v>12.568183588425201</x:v>
      </x:c>
      <x:c r="Q13" s="21" t="n">
        <x:v>32.8</x:v>
      </x:c>
      <x:c r="R13" s="13" t="n">
        <x:v>45.265435863387886</x:v>
      </x:c>
      <x:c r="S13" s="17" t="n">
        <x:v>6013.7929840084025</x:v>
      </x:c>
      <x:c r="T13" s="13" t="n">
        <x:v>23</x:v>
      </x:c>
      <x:c r="U13" s="13" t="n">
        <x:v>4</x:v>
      </x:c>
      <x:c r="V13" s="13" t="n">
        <x:v>0</x:v>
      </x:c>
    </x:row>
    <x:row r="14">
      <x:c r="A14" s="15" t="n">
        <x:v>45658</x:v>
      </x:c>
      <x:c r="B14" s="13" t="str">
        <x:v>Pico do descontrole</x:v>
      </x:c>
      <x:c r="C14" s="13" t="n">
        <x:v>19</x:v>
      </x:c>
      <x:c r="D14" s="13" t="n">
        <x:v>28451</x:v>
      </x:c>
      <x:c r="E14" s="17" t="n">
        <x:v>124740.08246696755</x:v>
      </x:c>
      <x:c r="F14" s="17" t="n">
        <x:v>93382.28007017155</x:v>
      </x:c>
      <x:c r="G14" s="17" t="n">
        <x:f>E14-F14</x:f>
        <x:v>31357.802396796003</x:v>
      </x:c>
      <x:c r="H14" s="19" t="n">
        <x:v>0.2513851344061751</x:v>
      </x:c>
      <x:c r="I14" s="21" t="n">
        <x:v>74.47994020702583</x:v>
      </x:c>
      <x:c r="J14" s="13" t="n">
        <x:v>5.405006909544025</x:v>
      </x:c>
      <x:c r="K14" s="21" t="n">
        <x:v>84.08022369336447</x:v>
      </x:c>
      <x:c r="L14" s="21" t="n">
        <x:v>13.269903784701066</x:v>
      </x:c>
      <x:c r="M14" s="13" t="n">
        <x:v>55.30556956898206</x:v>
      </x:c>
      <x:c r="N14" s="21" t="n">
        <x:v>65.51837788310327</x:v>
      </x:c>
      <x:c r="O14" s="13" t="n">
        <x:v>1534</x:v>
      </x:c>
      <x:c r="P14" s="13" t="n">
        <x:v>12.803867279218839</x:v>
      </x:c>
      <x:c r="Q14" s="21" t="n">
        <x:v>33.6</x:v>
      </x:c>
      <x:c r="R14" s="13" t="n">
        <x:v>44.5719888841507</x:v>
      </x:c>
      <x:c r="S14" s="17" t="n">
        <x:v>5054.489497812052</x:v>
      </x:c>
      <x:c r="T14" s="13" t="n">
        <x:v>23</x:v>
      </x:c>
      <x:c r="U14" s="13" t="n">
        <x:v>3</x:v>
      </x:c>
      <x:c r="V14" s="13" t="n">
        <x:v>1</x:v>
      </x:c>
    </x:row>
    <x:row r="15">
      <x:c r="A15" s="15" t="n">
        <x:v>45689</x:v>
      </x:c>
      <x:c r="B15" s="13" t="str">
        <x:v>Pico do descontrole</x:v>
      </x:c>
      <x:c r="C15" s="13" t="n">
        <x:v>20</x:v>
      </x:c>
      <x:c r="D15" s="13" t="n">
        <x:v>29617</x:v>
      </x:c>
      <x:c r="E15" s="17" t="n">
        <x:v>132998.552369038</x:v>
      </x:c>
      <x:c r="F15" s="17" t="n">
        <x:v>99731.3176318221</x:v>
      </x:c>
      <x:c r="G15" s="17" t="n">
        <x:f>E15-F15</x:f>
        <x:v>33267.2347372159</x:v>
      </x:c>
      <x:c r="H15" s="19" t="n">
        <x:v>0.25013230704126443</x:v>
      </x:c>
      <x:c r="I15" s="21" t="n">
        <x:v>72.78849450533748</x:v>
      </x:c>
      <x:c r="J15" s="13" t="n">
        <x:v>5.667803343495202</x:v>
      </x:c>
      <x:c r="K15" s="21" t="n">
        <x:v>83.2578063227961</x:v>
      </x:c>
      <x:c r="L15" s="21" t="n">
        <x:v>14.163906756309151</x:v>
      </x:c>
      <x:c r="M15" s="13" t="n">
        <x:v>57.01740622928539</x:v>
      </x:c>
      <x:c r="N15" s="21" t="n">
        <x:v>62.879277385462146</x:v>
      </x:c>
      <x:c r="O15" s="13" t="n">
        <x:v>1620</x:v>
      </x:c>
      <x:c r="P15" s="13" t="n">
        <x:v>13.593486147321556</x:v>
      </x:c>
      <x:c r="Q15" s="21" t="n">
        <x:v>34.4</x:v>
      </x:c>
      <x:c r="R15" s="13" t="n">
        <x:v>42.889369354555306</x:v>
      </x:c>
      <x:c r="S15" s="17" t="n">
        <x:v>6613.877008007418</x:v>
      </x:c>
      <x:c r="T15" s="13" t="n">
        <x:v>31</x:v>
      </x:c>
      <x:c r="U15" s="13" t="n">
        <x:v>4</x:v>
      </x:c>
      <x:c r="V15" s="13" t="n">
        <x:v>0</x:v>
      </x:c>
    </x:row>
    <x:row r="16">
      <x:c r="A16" s="15" t="n">
        <x:v>45717</x:v>
      </x:c>
      <x:c r="B16" s="13" t="str">
        <x:v>Pico do descontrole</x:v>
      </x:c>
      <x:c r="C16" s="13" t="n">
        <x:v>20</x:v>
      </x:c>
      <x:c r="D16" s="13" t="n">
        <x:v>31292</x:v>
      </x:c>
      <x:c r="E16" s="17" t="n">
        <x:v>135116.42644659706</x:v>
      </x:c>
      <x:c r="F16" s="17" t="n">
        <x:v>103163.88445593535</x:v>
      </x:c>
      <x:c r="G16" s="17" t="n">
        <x:f>E16-F16</x:f>
        <x:v>31952.541990661717</x:v>
      </x:c>
      <x:c r="H16" s="19" t="n">
        <x:v>0.2364815502524449</x:v>
      </x:c>
      <x:c r="I16" s="21" t="n">
        <x:v>71.64589413873458</x:v>
      </x:c>
      <x:c r="J16" s="13" t="n">
        <x:v>5.971993891497102</x:v>
      </x:c>
      <x:c r="K16" s="21" t="n">
        <x:v>82.01137001025124</x:v>
      </x:c>
      <x:c r="L16" s="21" t="n">
        <x:v>14.763138232457568</x:v>
      </x:c>
      <x:c r="M16" s="13" t="n">
        <x:v>57.778513464061845</x:v>
      </x:c>
      <x:c r="N16" s="21" t="n">
        <x:v>61.70484264442431</x:v>
      </x:c>
      <x:c r="O16" s="13" t="n">
        <x:v>1660</x:v>
      </x:c>
      <x:c r="P16" s="13" t="n">
        <x:v>14.102879613459578</x:v>
      </x:c>
      <x:c r="Q16" s="21" t="n">
        <x:v>35.2</x:v>
      </x:c>
      <x:c r="R16" s="13" t="n">
        <x:v>42.5172722819578</x:v>
      </x:c>
      <x:c r="S16" s="17" t="n">
        <x:v>7331.948560078783</x:v>
      </x:c>
      <x:c r="T16" s="13" t="n">
        <x:v>30</x:v>
      </x:c>
      <x:c r="U16" s="13" t="n">
        <x:v>1</x:v>
      </x:c>
      <x:c r="V16" s="13" t="n">
        <x:v>1</x:v>
      </x:c>
    </x:row>
    <x:row r="17">
      <x:c r="A17" s="15" t="n">
        <x:v>45748</x:v>
      </x:c>
      <x:c r="B17" s="13" t="str">
        <x:v>Pico do descontrole</x:v>
      </x:c>
      <x:c r="C17" s="13" t="n">
        <x:v>21</x:v>
      </x:c>
      <x:c r="D17" s="13" t="n">
        <x:v>32793</x:v>
      </x:c>
      <x:c r="E17" s="17" t="n">
        <x:v>145027.79665305227</x:v>
      </x:c>
      <x:c r="F17" s="17" t="n">
        <x:v>111940.01349709874</x:v>
      </x:c>
      <x:c r="G17" s="17" t="n">
        <x:f>E17-F17</x:f>
        <x:v>33087.783155953526</x:v>
      </x:c>
      <x:c r="H17" s="19" t="n">
        <x:v>0.22814787178425472</x:v>
      </x:c>
      <x:c r="I17" s="21" t="n">
        <x:v>71.23315661120881</x:v>
      </x:c>
      <x:c r="J17" s="13" t="n">
        <x:v>5.6388898105938825</x:v>
      </x:c>
      <x:c r="K17" s="21" t="n">
        <x:v>80.23180691939186</x:v>
      </x:c>
      <x:c r="L17" s="21" t="n">
        <x:v>15.719432242504672</x:v>
      </x:c>
      <x:c r="M17" s="13" t="n">
        <x:v>59.77579117609022</x:v>
      </x:c>
      <x:c r="N17" s="21" t="n">
        <x:v>60.30901547409882</x:v>
      </x:c>
      <x:c r="O17" s="13" t="n">
        <x:v>1794</x:v>
      </x:c>
      <x:c r="P17" s="13" t="n">
        <x:v>14.478706258274638</x:v>
      </x:c>
      <x:c r="Q17" s="21" t="n">
        <x:v>36</x:v>
      </x:c>
      <x:c r="R17" s="13" t="n">
        <x:v>40.28430477588896</x:v>
      </x:c>
      <x:c r="S17" s="17" t="n">
        <x:v>8902.281689789575</x:v>
      </x:c>
      <x:c r="T17" s="13" t="n">
        <x:v>26</x:v>
      </x:c>
      <x:c r="U17" s="13" t="n">
        <x:v>3</x:v>
      </x:c>
      <x:c r="V17" s="13" t="n">
        <x:v>1</x:v>
      </x:c>
    </x:row>
    <x:row r="18">
      <x:c r="A18" s="15" t="n">
        <x:v>45778</x:v>
      </x:c>
      <x:c r="B18" s="13" t="str">
        <x:v>Operação Clareza</x:v>
      </x:c>
      <x:c r="C18" s="13" t="n">
        <x:v>22</x:v>
      </x:c>
      <x:c r="D18" s="13" t="n">
        <x:v>34570</x:v>
      </x:c>
      <x:c r="E18" s="17" t="n">
        <x:v>153286.29978843135</x:v>
      </x:c>
      <x:c r="F18" s="17" t="n">
        <x:v>116222.0970455291</x:v>
      </x:c>
      <x:c r="G18" s="17" t="n">
        <x:f>E18-F18</x:f>
        <x:v>37064.20274290226</x:v>
      </x:c>
      <x:c r="H18" s="19" t="n">
        <x:v>0.24179723037257067</x:v>
      </x:c>
      <x:c r="I18" s="21" t="n">
        <x:v>76.45862975108213</x:v>
      </x:c>
      <x:c r="J18" s="13" t="n">
        <x:v>5.599512389302743</x:v>
      </x:c>
      <x:c r="K18" s="21" t="n">
        <x:v>86.81802926767584</x:v>
      </x:c>
      <x:c r="L18" s="21" t="n">
        <x:v>14.326049413680204</x:v>
      </x:c>
      <x:c r="M18" s="13" t="n">
        <x:v>57.72396891635548</x:v>
      </x:c>
      <x:c r="N18" s="21" t="n">
        <x:v>65.7759491324271</x:v>
      </x:c>
      <x:c r="O18" s="13" t="n">
        <x:v>1622</x:v>
      </x:c>
      <x:c r="P18" s="13" t="n">
        <x:v>14.127130207866795</x:v>
      </x:c>
      <x:c r="Q18" s="21" t="n">
        <x:v>37</x:v>
      </x:c>
      <x:c r="R18" s="13" t="n">
        <x:v>43.30996661540049</x:v>
      </x:c>
      <x:c r="S18" s="17" t="n">
        <x:v>6745.397891761154</x:v>
      </x:c>
      <x:c r="T18" s="13" t="n">
        <x:v>30</x:v>
      </x:c>
      <x:c r="U18" s="13" t="n">
        <x:v>2</x:v>
      </x:c>
      <x:c r="V18" s="13" t="n">
        <x:v>0</x:v>
      </x:c>
    </x:row>
    <x:row r="19">
      <x:c r="A19" s="15" t="n">
        <x:v>45809</x:v>
      </x:c>
      <x:c r="B19" s="13" t="str">
        <x:v>Operação Clareza</x:v>
      </x:c>
      <x:c r="C19" s="13" t="n">
        <x:v>23</x:v>
      </x:c>
      <x:c r="D19" s="13" t="n">
        <x:v>35353</x:v>
      </x:c>
      <x:c r="E19" s="17" t="n">
        <x:v>162553.26894723816</x:v>
      </x:c>
      <x:c r="F19" s="17" t="n">
        <x:v>119970.50742675707</x:v>
      </x:c>
      <x:c r="G19" s="17" t="n">
        <x:f>E19-F19</x:f>
        <x:v>42582.761520481086</x:v>
      </x:c>
      <x:c r="H19" s="19" t="n">
        <x:v>0.2619618897624426</x:v>
      </x:c>
      <x:c r="I19" s="21" t="n">
        <x:v>78.71497648769935</x:v>
      </x:c>
      <x:c r="J19" s="13" t="n">
        <x:v>5.209120305281503</x:v>
      </x:c>
      <x:c r="K19" s="21" t="n">
        <x:v>88.45063261138195</x:v>
      </x:c>
      <x:c r="L19" s="21" t="n">
        <x:v>13.14414828580932</x:v>
      </x:c>
      <x:c r="M19" s="13" t="n">
        <x:v>54.93085037055324</x:v>
      </x:c>
      <x:c r="N19" s="21" t="n">
        <x:v>70.37157588085107</x:v>
      </x:c>
      <x:c r="O19" s="13" t="n">
        <x:v>1494</x:v>
      </x:c>
      <x:c r="P19" s="13" t="n">
        <x:v>12.460693265386185</x:v>
      </x:c>
      <x:c r="Q19" s="21" t="n">
        <x:v>42.3</x:v>
      </x:c>
      <x:c r="R19" s="13" t="n">
        <x:v>46.22145237011098</x:v>
      </x:c>
      <x:c r="S19" s="17" t="n">
        <x:v>9327.333453391671</x:v>
      </x:c>
      <x:c r="T19" s="13" t="n">
        <x:v>28</x:v>
      </x:c>
      <x:c r="U19" s="13" t="n">
        <x:v>5</x:v>
      </x:c>
      <x:c r="V19" s="13" t="n">
        <x:v>1</x:v>
      </x:c>
    </x:row>
    <x:row r="20">
      <x:c r="A20" s="15" t="n">
        <x:v>45839</x:v>
      </x:c>
      <x:c r="B20" s="13" t="str">
        <x:v>Operação Clareza</x:v>
      </x:c>
      <x:c r="C20" s="13" t="n">
        <x:v>24</x:v>
      </x:c>
      <x:c r="D20" s="13" t="n">
        <x:v>36143</x:v>
      </x:c>
      <x:c r="E20" s="17" t="n">
        <x:v>172954.91286422205</x:v>
      </x:c>
      <x:c r="F20" s="17" t="n">
        <x:v>124831.1400047952</x:v>
      </x:c>
      <x:c r="G20" s="17" t="n">
        <x:f>E20-F20</x:f>
        <x:v>48123.77285942684</x:v>
      </x:c>
      <x:c r="H20" s="19" t="n">
        <x:v>0.2782446133646769</x:v>
      </x:c>
      <x:c r="I20" s="21" t="n">
        <x:v>82.09838460973612</x:v>
      </x:c>
      <x:c r="J20" s="13" t="n">
        <x:v>4.92206422346828</x:v>
      </x:c>
      <x:c r="K20" s="21" t="n">
        <x:v>90.85591689554332</x:v>
      </x:c>
      <x:c r="L20" s="21" t="n">
        <x:v>12.13396362553381</x:v>
      </x:c>
      <x:c r="M20" s="13" t="n">
        <x:v>51.83622634062903</x:v>
      </x:c>
      <x:c r="N20" s="21" t="n">
        <x:v>74.35415201669444</x:v>
      </x:c>
      <x:c r="O20" s="13" t="n">
        <x:v>1345</x:v>
      </x:c>
      <x:c r="P20" s="13" t="n">
        <x:v>11.319900210071326</x:v>
      </x:c>
      <x:c r="Q20" s="21" t="n">
        <x:v>47.6</x:v>
      </x:c>
      <x:c r="R20" s="13" t="n">
        <x:v>51.184849275949816</x:v>
      </x:c>
      <x:c r="S20" s="17" t="n">
        <x:v>9094.4383081955</x:v>
      </x:c>
      <x:c r="T20" s="13" t="n">
        <x:v>33</x:v>
      </x:c>
      <x:c r="U20" s="13" t="n">
        <x:v>4</x:v>
      </x:c>
      <x:c r="V20" s="13" t="n">
        <x:v>0</x:v>
      </x:c>
    </x:row>
    <x:row r="21">
      <x:c r="A21" s="15" t="n">
        <x:v>45870</x:v>
      </x:c>
      <x:c r="B21" s="13" t="str">
        <x:v>Operação Clareza</x:v>
      </x:c>
      <x:c r="C21" s="13" t="n">
        <x:v>25</x:v>
      </x:c>
      <x:c r="D21" s="13" t="n">
        <x:v>37053</x:v>
      </x:c>
      <x:c r="E21" s="17" t="n">
        <x:v>181920.7248203757</x:v>
      </x:c>
      <x:c r="F21" s="17" t="n">
        <x:v>128569.83734032454</x:v>
      </x:c>
      <x:c r="G21" s="17" t="n">
        <x:f>E21-F21</x:f>
        <x:v>53350.88748005117</x:v>
      </x:c>
      <x:c r="H21" s="19" t="n">
        <x:v>0.2932644839268786</x:v>
      </x:c>
      <x:c r="I21" s="21" t="n">
        <x:v>84.39074091641551</x:v>
      </x:c>
      <x:c r="J21" s="13" t="n">
        <x:v>4.786658751454005</x:v>
      </x:c>
      <x:c r="K21" s="21" t="n">
        <x:v>92.34640209437732</x:v>
      </x:c>
      <x:c r="L21" s="21" t="n">
        <x:v>10.889114610586127</x:v>
      </x:c>
      <x:c r="M21" s="13" t="n">
        <x:v>47.70868434051517</x:v>
      </x:c>
      <x:c r="N21" s="21" t="n">
        <x:v>78.69395233138</x:v>
      </x:c>
      <x:c r="O21" s="13" t="n">
        <x:v>1216</x:v>
      </x:c>
      <x:c r="P21" s="13" t="n">
        <x:v>9.847161031845424</x:v>
      </x:c>
      <x:c r="Q21" s="21" t="n">
        <x:v>52.9</x:v>
      </x:c>
      <x:c r="R21" s="13" t="n">
        <x:v>54.61707389151832</x:v>
      </x:c>
      <x:c r="S21" s="17" t="n">
        <x:v>7650.359073955773</x:v>
      </x:c>
      <x:c r="T21" s="13" t="n">
        <x:v>37</x:v>
      </x:c>
      <x:c r="U21" s="13" t="n">
        <x:v>4</x:v>
      </x:c>
      <x:c r="V21" s="13" t="n">
        <x:v>0</x:v>
      </x:c>
    </x:row>
    <x:row r="22">
      <x:c r="A22" s="15" t="n">
        <x:v>45901</x:v>
      </x:c>
      <x:c r="B22" s="13" t="str">
        <x:v>Operação Clareza</x:v>
      </x:c>
      <x:c r="C22" s="13" t="n">
        <x:v>26</x:v>
      </x:c>
      <x:c r="D22" s="13" t="n">
        <x:v>38073</x:v>
      </x:c>
      <x:c r="E22" s="17" t="n">
        <x:v>192246.46048872132</x:v>
      </x:c>
      <x:c r="F22" s="17" t="n">
        <x:v>132110.85925746436</x:v>
      </x:c>
      <x:c r="G22" s="17" t="n">
        <x:f>E22-F22</x:f>
        <x:v>60135.601231256966</x:v>
      </x:c>
      <x:c r="H22" s="19" t="n">
        <x:v>0.3128047251345103</x:v>
      </x:c>
      <x:c r="I22" s="21" t="n">
        <x:v>87.56558392481209</x:v>
      </x:c>
      <x:c r="J22" s="13" t="n">
        <x:v>4.690614439393221</x:v>
      </x:c>
      <x:c r="K22" s="21" t="n">
        <x:v>93.9376775359122</x:v>
      </x:c>
      <x:c r="L22" s="21" t="n">
        <x:v>9.905828550751306</x:v>
      </x:c>
      <x:c r="M22" s="13" t="n">
        <x:v>44.88919801112174</x:v>
      </x:c>
      <x:c r="N22" s="21" t="n">
        <x:v>81.5375423967595</x:v>
      </x:c>
      <x:c r="O22" s="13" t="n">
        <x:v>1111</x:v>
      </x:c>
      <x:c r="P22" s="13" t="n">
        <x:v>8.108671449726598</x:v>
      </x:c>
      <x:c r="Q22" s="21" t="n">
        <x:v>58.2</x:v>
      </x:c>
      <x:c r="R22" s="13" t="n">
        <x:v>59.96732993212293</x:v>
      </x:c>
      <x:c r="S22" s="17" t="n">
        <x:v>6660.482633178037</x:v>
      </x:c>
      <x:c r="T22" s="13" t="n">
        <x:v>31</x:v>
      </x:c>
      <x:c r="U22" s="13" t="n">
        <x:v>2</x:v>
      </x:c>
      <x:c r="V22" s="13" t="n">
        <x:v>0</x:v>
      </x:c>
    </x:row>
    <x:row r="23">
      <x:c r="A23" s="15" t="n">
        <x:v>45931</x:v>
      </x:c>
      <x:c r="B23" s="13" t="str">
        <x:v>Operação Clareza</x:v>
      </x:c>
      <x:c r="C23" s="13" t="n">
        <x:v>26</x:v>
      </x:c>
      <x:c r="D23" s="13" t="n">
        <x:v>38847</x:v>
      </x:c>
      <x:c r="E23" s="17" t="n">
        <x:v>195827.04462815277</x:v>
      </x:c>
      <x:c r="F23" s="17" t="n">
        <x:v>129771.71016984845</x:v>
      </x:c>
      <x:c r="G23" s="17" t="n">
        <x:f>E23-F23</x:f>
        <x:v>66055.33445830432</x:v>
      </x:c>
      <x:c r="H23" s="19" t="n">
        <x:v>0.33731466756154055</x:v>
      </x:c>
      <x:c r="I23" s="21" t="n">
        <x:v>90.33660061406506</x:v>
      </x:c>
      <x:c r="J23" s="13" t="n">
        <x:v>4.563544765149699</x:v>
      </x:c>
      <x:c r="K23" s="21" t="n">
        <x:v>95.7375493181266</x:v>
      </x:c>
      <x:c r="L23" s="21" t="n">
        <x:v>8.941501701090733</x:v>
      </x:c>
      <x:c r="M23" s="13" t="n">
        <x:v>40.73917538694135</x:v>
      </x:c>
      <x:c r="N23" s="21" t="n">
        <x:v>85.44240681354212</x:v>
      </x:c>
      <x:c r="O23" s="13" t="n">
        <x:v>966</x:v>
      </x:c>
      <x:c r="P23" s="13" t="n">
        <x:v>6.612121198044211</x:v>
      </x:c>
      <x:c r="Q23" s="21" t="n">
        <x:v>63.5</x:v>
      </x:c>
      <x:c r="R23" s="13" t="n">
        <x:v>62.212476460445195</x:v>
      </x:c>
      <x:c r="S23" s="17" t="n">
        <x:v>5246.343918521679</x:v>
      </x:c>
      <x:c r="T23" s="13" t="n">
        <x:v>37</x:v>
      </x:c>
      <x:c r="U23" s="13" t="n">
        <x:v>3</x:v>
      </x:c>
      <x:c r="V23" s="13" t="n">
        <x:v>0</x:v>
      </x:c>
    </x:row>
    <x:row r="24">
      <x:c r="A24" s="15" t="n">
        <x:v>45962</x:v>
      </x:c>
      <x:c r="B24" s="13" t="str">
        <x:v>Operação Clareza</x:v>
      </x:c>
      <x:c r="C24" s="13" t="n">
        <x:v>26</x:v>
      </x:c>
      <x:c r="D24" s="13" t="n">
        <x:v>39726</x:v>
      </x:c>
      <x:c r="E24" s="17" t="n">
        <x:v>200750.57426877788</x:v>
      </x:c>
      <x:c r="F24" s="17" t="n">
        <x:v>129864.94095513796</x:v>
      </x:c>
      <x:c r="G24" s="17" t="n">
        <x:f>E24-F24</x:f>
        <x:v>70885.63331363992</x:v>
      </x:c>
      <x:c r="H24" s="19" t="n">
        <x:v>0.35310301637659885</x:v>
      </x:c>
      <x:c r="I24" s="21" t="n">
        <x:v>93.48542527703482</x:v>
      </x:c>
      <x:c r="J24" s="13" t="n">
        <x:v>4.111290080063264</x:v>
      </x:c>
      <x:c r="K24" s="21" t="n">
        <x:v>97.57313911919447</x:v>
      </x:c>
      <x:c r="L24" s="21" t="n">
        <x:v>8.06410777020118</x:v>
      </x:c>
      <x:c r="M24" s="13" t="n">
        <x:v>38.07074237489827</x:v>
      </x:c>
      <x:c r="N24" s="21" t="n">
        <x:v>89.54008159131293</x:v>
      </x:c>
      <x:c r="O24" s="13" t="n">
        <x:v>824</x:v>
      </x:c>
      <x:c r="P24" s="13" t="n">
        <x:v>5.374880728181041</x:v>
      </x:c>
      <x:c r="Q24" s="21" t="n">
        <x:v>68.8</x:v>
      </x:c>
      <x:c r="R24" s="13" t="n">
        <x:v>67.1616745016904</x:v>
      </x:c>
      <x:c r="S24" s="17" t="n">
        <x:v>5068.738973274117</x:v>
      </x:c>
      <x:c r="T24" s="13" t="n">
        <x:v>33</x:v>
      </x:c>
      <x:c r="U24" s="13" t="n">
        <x:v>3</x:v>
      </x:c>
      <x:c r="V24" s="13" t="n">
        <x:v>0</x:v>
      </x:c>
    </x:row>
    <x:row r="25">
      <x:c r="A25" s="15" t="n">
        <x:v>45992</x:v>
      </x:c>
      <x:c r="B25" s="13" t="str">
        <x:v>Operação Clareza</x:v>
      </x:c>
      <x:c r="C25" s="13" t="n">
        <x:v>26</x:v>
      </x:c>
      <x:c r="D25" s="13" t="n">
        <x:v>40803</x:v>
      </x:c>
      <x:c r="E25" s="17" t="n">
        <x:v>200906.14850105185</x:v>
      </x:c>
      <x:c r="F25" s="17" t="n">
        <x:v>125398.8143957924</x:v>
      </x:c>
      <x:c r="G25" s="17" t="n">
        <x:f>E25-F25</x:f>
        <x:v>75507.33410525945</x:v>
      </x:c>
      <x:c r="H25" s="19" t="n">
        <x:v>0.3758338640634691</x:v>
      </x:c>
      <x:c r="I25" s="21" t="n">
        <x:v>95.85951592540499</x:v>
      </x:c>
      <x:c r="J25" s="13" t="n">
        <x:v>4.202574795173622</x:v>
      </x:c>
      <x:c r="K25" s="21" t="n">
        <x:v>99.58787656044125</x:v>
      </x:c>
      <x:c r="L25" s="21" t="n">
        <x:v>6.913647175943753</x:v>
      </x:c>
      <x:c r="M25" s="13" t="n">
        <x:v>34.802740062366134</x:v>
      </x:c>
      <x:c r="N25" s="21" t="n">
        <x:v>94.38809766626963</x:v>
      </x:c>
      <x:c r="O25" s="13" t="n">
        <x:v>689</x:v>
      </x:c>
      <x:c r="P25" s="13" t="n">
        <x:v>3.7738926640214694</x:v>
      </x:c>
      <x:c r="Q25" s="21" t="n">
        <x:v>74.1</x:v>
      </x:c>
      <x:c r="R25" s="13" t="n">
        <x:v>70.1704884281541</x:v>
      </x:c>
      <x:c r="S25" s="17" t="n">
        <x:v>4814.256306768159</x:v>
      </x:c>
      <x:c r="T25" s="13" t="n">
        <x:v>36</x:v>
      </x:c>
      <x:c r="U25" s="13" t="n">
        <x:v>4</x:v>
      </x:c>
      <x:c r="V25" s="13" t="n">
        <x:v>0</x:v>
      </x:c>
    </x:row>
    <x:row r="26">
      <x:c r="A26" s="15" t="n">
        <x:v>46023</x:v>
      </x:c>
      <x:c r="B26" s="13" t="str">
        <x:v>Escala inteligente</x:v>
      </x:c>
      <x:c r="C26" s="13" t="n">
        <x:v>26</x:v>
      </x:c>
      <x:c r="D26" s="13" t="n">
        <x:v>42063</x:v>
      </x:c>
      <x:c r="E26" s="17" t="n">
        <x:v>206247.89090636614</x:v>
      </x:c>
      <x:c r="F26" s="17" t="n">
        <x:v>123271.08594442277</x:v>
      </x:c>
      <x:c r="G26" s="17" t="n">
        <x:f>E26-F26</x:f>
        <x:v>82976.80496194337</x:v>
      </x:c>
      <x:c r="H26" s="19" t="n">
        <x:v>0.40231589567921333</x:v>
      </x:c>
      <x:c r="I26" s="21" t="n">
        <x:v>95.75430046130604</x:v>
      </x:c>
      <x:c r="J26" s="13" t="n">
        <x:v>4.23603050022429</x:v>
      </x:c>
      <x:c r="K26" s="21" t="n">
        <x:v>98.06572887976674</x:v>
      </x:c>
      <x:c r="L26" s="21" t="n">
        <x:v>6.882854648330357</x:v>
      </x:c>
      <x:c r="M26" s="13" t="n">
        <x:v>34.44188673840533</x:v>
      </x:c>
      <x:c r="N26" s="21" t="n">
        <x:v>93.7953001160831</x:v>
      </x:c>
      <x:c r="O26" s="13" t="n">
        <x:v>713</x:v>
      </x:c>
      <x:c r="P26" s="13" t="n">
        <x:v>3.957434108109434</x:v>
      </x:c>
      <x:c r="Q26" s="21" t="n">
        <x:v>79.4</x:v>
      </x:c>
      <x:c r="R26" s="13" t="n">
        <x:v>71.94756816069851</x:v>
      </x:c>
      <x:c r="S26" s="17" t="n">
        <x:v>5554.9403215057655</x:v>
      </x:c>
      <x:c r="T26" s="13" t="n">
        <x:v>37</x:v>
      </x:c>
      <x:c r="U26" s="13" t="n">
        <x:v>3</x:v>
      </x:c>
      <x:c r="V26" s="13" t="n">
        <x:v>0</x:v>
      </x:c>
    </x:row>
    <x:row r="27">
      <x:c r="A27" s="15" t="n">
        <x:v>46054</x:v>
      </x:c>
      <x:c r="B27" s="13" t="str">
        <x:v>Escala inteligente</x:v>
      </x:c>
      <x:c r="C27" s="13" t="n">
        <x:v>27</x:v>
      </x:c>
      <x:c r="D27" s="13" t="n">
        <x:v>43881</x:v>
      </x:c>
      <x:c r="E27" s="17" t="n">
        <x:v>213518.1275121618</x:v>
      </x:c>
      <x:c r="F27" s="17" t="n">
        <x:v>126383.99861070406</x:v>
      </x:c>
      <x:c r="G27" s="17" t="n">
        <x:f>E27-F27</x:f>
        <x:v>87134.12890145773</x:v>
      </x:c>
      <x:c r="H27" s="19" t="n">
        <x:v>0.4080877343610774</x:v>
      </x:c>
      <x:c r="I27" s="21" t="n">
        <x:v>96.39496776925256</x:v>
      </x:c>
      <x:c r="J27" s="13" t="n">
        <x:v>4.0925488232425025</x:v>
      </x:c>
      <x:c r="K27" s="21" t="n">
        <x:v>98.49224452711691</x:v>
      </x:c>
      <x:c r="L27" s="21" t="n">
        <x:v>6.44056289644051</x:v>
      </x:c>
      <x:c r="M27" s="13" t="n">
        <x:v>33.604666305919366</x:v>
      </x:c>
      <x:c r="N27" s="21" t="n">
        <x:v>93.88112206802049</x:v>
      </x:c>
      <x:c r="O27" s="13" t="n">
        <x:v>709</x:v>
      </x:c>
      <x:c r="P27" s="13" t="n">
        <x:v>3.740395607508453</x:v>
      </x:c>
      <x:c r="Q27" s="21" t="n">
        <x:v>84.69999999999999</x:v>
      </x:c>
      <x:c r="R27" s="13" t="n">
        <x:v>73.02511781452935</x:v>
      </x:c>
      <x:c r="S27" s="17" t="n">
        <x:v>5703.451393347474</x:v>
      </x:c>
      <x:c r="T27" s="13" t="n">
        <x:v>46</x:v>
      </x:c>
      <x:c r="U27" s="13" t="n">
        <x:v>5</x:v>
      </x:c>
      <x:c r="V27" s="13" t="n">
        <x:v>0</x:v>
      </x:c>
    </x:row>
    <x:row r="28">
      <x:c r="A28" s="15" t="n">
        <x:v>46082</x:v>
      </x:c>
      <x:c r="B28" s="13" t="str">
        <x:v>Escala inteligente</x:v>
      </x:c>
      <x:c r="C28" s="13" t="n">
        <x:v>27</x:v>
      </x:c>
      <x:c r="D28" s="13" t="n">
        <x:v>45557</x:v>
      </x:c>
      <x:c r="E28" s="17" t="n">
        <x:v>218791.88748343877</x:v>
      </x:c>
      <x:c r="F28" s="17" t="n">
        <x:v>127596.1208944745</x:v>
      </x:c>
      <x:c r="G28" s="17" t="n">
        <x:f>E28-F28</x:f>
        <x:v>91195.76658896427</x:v>
      </x:c>
      <x:c r="H28" s="19" t="n">
        <x:v>0.4168151188689171</x:v>
      </x:c>
      <x:c r="I28" s="21" t="n">
        <x:v>96.70057922686175</x:v>
      </x:c>
      <x:c r="J28" s="13" t="n">
        <x:v>4.105923317242905</x:v>
      </x:c>
      <x:c r="K28" s="21" t="n">
        <x:v>98.62672589034733</x:v>
      </x:c>
      <x:c r="L28" s="21" t="n">
        <x:v>6.386090433759412</x:v>
      </x:c>
      <x:c r="M28" s="13" t="n">
        <x:v>33.2026134479722</x:v>
      </x:c>
      <x:c r="N28" s="21" t="n">
        <x:v>94.21797729272657</x:v>
      </x:c>
      <x:c r="O28" s="13" t="n">
        <x:v>686</x:v>
      </x:c>
      <x:c r="P28" s="13" t="n">
        <x:v>3.5443386898331193</x:v>
      </x:c>
      <x:c r="Q28" s="21" t="n">
        <x:v>90</x:v>
      </x:c>
      <x:c r="R28" s="13" t="n">
        <x:v>74.14872748047404</x:v>
      </x:c>
      <x:c r="S28" s="17" t="n">
        <x:v>5571.230524930804</x:v>
      </x:c>
      <x:c r="T28" s="13" t="n">
        <x:v>41</x:v>
      </x:c>
      <x:c r="U28" s="13" t="n">
        <x:v>4</x:v>
      </x:c>
      <x:c r="V28" s="13" t="n">
        <x:v>0</x:v>
      </x:c>
    </x:row>
    <x:row r="29">
      <x:c r="A29" s="15" t="n">
        <x:v>46113</x:v>
      </x:c>
      <x:c r="B29" s="13" t="str">
        <x:v>Escala inteligente</x:v>
      </x:c>
      <x:c r="C29" s="13" t="n">
        <x:v>27</x:v>
      </x:c>
      <x:c r="D29" s="13" t="n">
        <x:v>46768</x:v>
      </x:c>
      <x:c r="E29" s="17" t="n">
        <x:v>222109.40327540724</x:v>
      </x:c>
      <x:c r="F29" s="17" t="n">
        <x:v>128422.87762461182</x:v>
      </x:c>
      <x:c r="G29" s="17" t="n">
        <x:f>E29-F29</x:f>
        <x:v>93686.52565079542</x:v>
      </x:c>
      <x:c r="H29" s="19" t="n">
        <x:v>0.42180350885292184</x:v>
      </x:c>
      <x:c r="I29" s="21" t="n">
        <x:v>97.46620426252683</x:v>
      </x:c>
      <x:c r="J29" s="13" t="n">
        <x:v>4.063939773067807</x:v>
      </x:c>
      <x:c r="K29" s="21" t="n">
        <x:v>98.76947261602321</x:v>
      </x:c>
      <x:c r="L29" s="21" t="n">
        <x:v>5.931845386307901</x:v>
      </x:c>
      <x:c r="M29" s="13" t="n">
        <x:v>32.54872950824577</x:v>
      </x:c>
      <x:c r="N29" s="21" t="n">
        <x:v>94.52220521305748</x:v>
      </x:c>
      <x:c r="O29" s="13" t="n">
        <x:v>661</x:v>
      </x:c>
      <x:c r="P29" s="13" t="n">
        <x:v>3.28087006545118</x:v>
      </x:c>
      <x:c r="Q29" s="21" t="n">
        <x:v>92</x:v>
      </x:c>
      <x:c r="R29" s="13" t="n">
        <x:v>75.50877561127432</x:v>
      </x:c>
      <x:c r="S29" s="17" t="n">
        <x:v>4380.720547321343</x:v>
      </x:c>
      <x:c r="T29" s="13" t="n">
        <x:v>49</x:v>
      </x:c>
      <x:c r="U29" s="13" t="n">
        <x:v>5</x:v>
      </x:c>
      <x:c r="V29" s="13" t="n">
        <x:v>0</x:v>
      </x:c>
    </x:row>
    <x:row r="30">
      <x:c r="A30" s="15" t="n">
        <x:v>46143</x:v>
      </x:c>
      <x:c r="B30" s="13" t="str">
        <x:v>Escala inteligente</x:v>
      </x:c>
      <x:c r="C30" s="13" t="n">
        <x:v>28</x:v>
      </x:c>
      <x:c r="D30" s="13" t="n">
        <x:v>48583</x:v>
      </x:c>
      <x:c r="E30" s="17" t="n">
        <x:v>232960.54171078658</x:v>
      </x:c>
      <x:c r="F30" s="17" t="n">
        <x:v>132792.81151129838</x:v>
      </x:c>
      <x:c r="G30" s="17" t="n">
        <x:f>E30-F30</x:f>
        <x:v>100167.7301994882</x:v>
      </x:c>
      <x:c r="H30" s="19" t="n">
        <x:v>0.4299772376209675</x:v>
      </x:c>
      <x:c r="I30" s="21" t="n">
        <x:v>97.58843521462906</x:v>
      </x:c>
      <x:c r="J30" s="13" t="n">
        <x:v>4.033754654726522</x:v>
      </x:c>
      <x:c r="K30" s="21" t="n">
        <x:v>98.87582212114859</x:v>
      </x:c>
      <x:c r="L30" s="21" t="n">
        <x:v>5.74707319521884</x:v>
      </x:c>
      <x:c r="M30" s="13" t="n">
        <x:v>31.51557163706793</x:v>
      </x:c>
      <x:c r="N30" s="21" t="n">
        <x:v>95.08491802160434</x:v>
      </x:c>
      <x:c r="O30" s="13" t="n">
        <x:v>620</x:v>
      </x:c>
      <x:c r="P30" s="13" t="n">
        <x:v>3.235870580604514</x:v>
      </x:c>
      <x:c r="Q30" s="21" t="n">
        <x:v>92</x:v>
      </x:c>
      <x:c r="R30" s="13" t="n">
        <x:v>76.48906074159653</x:v>
      </x:c>
      <x:c r="S30" s="17" t="n">
        <x:v>3917.4503983105715</x:v>
      </x:c>
      <x:c r="T30" s="13" t="n">
        <x:v>49</x:v>
      </x:c>
      <x:c r="U30" s="13" t="n">
        <x:v>3</x:v>
      </x:c>
      <x:c r="V30" s="13" t="n">
        <x:v>0</x:v>
      </x:c>
    </x:row>
    <x:row r="31">
      <x:c r="A31" s="15" t="n">
        <x:v>46174</x:v>
      </x:c>
      <x:c r="B31" s="13" t="str">
        <x:v>Escala inteligente</x:v>
      </x:c>
      <x:c r="C31" s="13" t="n">
        <x:v>28</x:v>
      </x:c>
      <x:c r="D31" s="13" t="n">
        <x:v>49539</x:v>
      </x:c>
      <x:c r="E31" s="17" t="n">
        <x:v>236772.6840959709</x:v>
      </x:c>
      <x:c r="F31" s="17" t="n">
        <x:v>134143.99700012262</x:v>
      </x:c>
      <x:c r="G31" s="17" t="n">
        <x:f>E31-F31</x:f>
        <x:v>102628.68709584829</x:v>
      </x:c>
      <x:c r="H31" s="19" t="n">
        <x:v>0.4334481719785289</x:v>
      </x:c>
      <x:c r="I31" s="21" t="n">
        <x:v>98.41497511890474</x:v>
      </x:c>
      <x:c r="J31" s="13" t="n">
        <x:v>3.7619323773087356</x:v>
      </x:c>
      <x:c r="K31" s="21" t="n">
        <x:v>99.27410614921325</x:v>
      </x:c>
      <x:c r="L31" s="21" t="n">
        <x:v>5.2876925979130736</x:v>
      </x:c>
      <x:c r="M31" s="13" t="n">
        <x:v>31.14148222765901</x:v>
      </x:c>
      <x:c r="N31" s="21" t="n">
        <x:v>95.9521217835213</x:v>
      </x:c>
      <x:c r="O31" s="13" t="n">
        <x:v>610</x:v>
      </x:c>
      <x:c r="P31" s="13" t="n">
        <x:v>3.1272833847530404</x:v>
      </x:c>
      <x:c r="Q31" s="21" t="n">
        <x:v>92</x:v>
      </x:c>
      <x:c r="R31" s="13" t="n">
        <x:v>76.8286688694834</x:v>
      </x:c>
      <x:c r="S31" s="17" t="n">
        <x:v>4010.6792588524027</x:v>
      </x:c>
      <x:c r="T31" s="13" t="n">
        <x:v>51</x:v>
      </x:c>
      <x:c r="U31" s="13" t="n">
        <x:v>4</x:v>
      </x:c>
      <x:c r="V31" s="13" t="n">
        <x:v>0</x:v>
      </x:c>
    </x:row>
  </x:sheetData>
  <x:conditionalFormatting sqref="I2:I31">
    <x:cfRule type="colorScale" priority="1">
      <x:colorScale>
        <x:cfvo type="min"/>
        <x:cfvo type="percentile" val="50"/>
        <x:cfvo type="max"/>
        <x:color rgb="FFF8C9C9"/>
        <x:color rgb="FFFFF0B5"/>
        <x:color rgb="FFCBEBD8"/>
      </x:colorScale>
    </x:cfRule>
  </x:conditionalFormatting>
  <x:conditionalFormatting sqref="L2:L31">
    <x:cfRule type="colorScale" priority="2">
      <x:colorScale>
        <x:cfvo type="min"/>
        <x:cfvo type="percentile" val="50"/>
        <x:cfvo type="max"/>
        <x:color rgb="FFCBEBD8"/>
        <x:color rgb="FFFFF0B5"/>
        <x:color rgb="FFF8C9C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4f98a9a2cb24c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6" hidden="0" customWidth="1"/>
    <x:col min="8" max="8" width="16" hidden="0" customWidth="1"/>
    <x:col min="9" max="9" width="16" hidden="0" customWidth="1"/>
    <x:col min="13" max="13" width="16" hidden="0" customWidth="1"/>
    <x:col min="2" max="2" width="14" hidden="0" customWidth="1"/>
    <x:col min="3" max="3" width="14" hidden="0" customWidth="1"/>
    <x:col min="4" max="4" width="14" hidden="0" customWidth="1"/>
    <x:col min="6" max="6" width="22" hidden="0" customWidth="1"/>
    <x:col min="7" max="7" width="22" hidden="0" customWidth="1"/>
    <x:col min="14" max="14" width="22" hidden="0" customWidth="1"/>
    <x:col min="15" max="15" width="22" hidden="0" customWidth="1"/>
    <x:col min="19" max="19" width="22" hidden="0" customWidth="1"/>
    <x:col min="10" max="10" width="16" hidden="0" customWidth="1"/>
    <x:col min="11" max="11" width="16" hidden="0" customWidth="1"/>
    <x:col min="12" max="12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6" t="str">
        <x:v>ID_Título</x:v>
      </x:c>
      <x:c r="B1" s="6" t="str">
        <x:v>Data_Emissão</x:v>
      </x:c>
      <x:c r="C1" s="6" t="str">
        <x:v>Data_Vencimento</x:v>
      </x:c>
      <x:c r="D1" s="6" t="str">
        <x:v>Data_Pagamento</x:v>
      </x:c>
      <x:c r="E1" s="6" t="str">
        <x:v>ID_Cliente</x:v>
      </x:c>
      <x:c r="F1" s="6" t="str">
        <x:v>Cliente</x:v>
      </x:c>
      <x:c r="G1" s="6" t="str">
        <x:v>Segmento</x:v>
      </x:c>
      <x:c r="H1" s="6" t="str">
        <x:v>Risco</x:v>
      </x:c>
      <x:c r="I1" s="6" t="str">
        <x:v>Plano</x:v>
      </x:c>
      <x:c r="J1" s="6" t="str">
        <x:v>Valor_Bruto</x:v>
      </x:c>
      <x:c r="K1" s="6" t="str">
        <x:v>Desconto</x:v>
      </x:c>
      <x:c r="L1" s="6" t="str">
        <x:v>Juros</x:v>
      </x:c>
      <x:c r="M1" s="6" t="str">
        <x:v>Status</x:v>
      </x:c>
      <x:c r="N1" s="6" t="str">
        <x:v>Canal_Cobrança</x:v>
      </x:c>
      <x:c r="O1" s="6" t="str">
        <x:v>Fase</x:v>
      </x:c>
      <x:c r="P1" s="6" t="str">
        <x:v>Valor_Recebido</x:v>
      </x:c>
      <x:c r="Q1" s="6" t="str">
        <x:v>Saldo</x:v>
      </x:c>
      <x:c r="R1" s="6" t="str">
        <x:v>Dias_Atraso</x:v>
      </x:c>
      <x:c r="S1" s="6" t="str">
        <x:v>Faixa_Atraso</x:v>
      </x:c>
    </x:row>
    <x:row r="2">
      <x:c r="A2" s="13" t="str">
        <x:v>REC-000001</x:v>
      </x:c>
      <x:c r="B2" s="23" t="n">
        <x:v>45297</x:v>
      </x:c>
      <x:c r="C2" s="23" t="n">
        <x:v>45325</x:v>
      </x:c>
      <x:c r="D2" s="23" t="n">
        <x:v>45323</x:v>
      </x:c>
      <x:c r="E2" s="13" t="str">
        <x:v>VAL-007</x:v>
      </x:c>
      <x:c r="F2" s="13" t="str">
        <x:v>Loja Prisma Online</x:v>
      </x:c>
      <x:c r="G2" s="13" t="str">
        <x:v>E-commerce</x:v>
      </x:c>
      <x:c r="H2" s="13" t="str">
        <x:v>Médio</x:v>
      </x:c>
      <x:c r="I2" s="13" t="str">
        <x:v>Performance</x:v>
      </x:c>
      <x:c r="J2" s="17" t="n">
        <x:v>23150.93</x:v>
      </x:c>
      <x:c r="K2" s="17" t="n">
        <x:v>0</x:v>
      </x:c>
      <x:c r="L2" s="17" t="n">
        <x:v>0</x:v>
      </x:c>
      <x:c r="M2" s="13" t="str">
        <x:v>Pago</x:v>
      </x:c>
      <x:c r="N2" s="13" t="str">
        <x:v>Sem cobrança</x:v>
      </x:c>
      <x:c r="O2" s="13" t="str">
        <x:v>Base controlada</x:v>
      </x:c>
      <x:c r="P2" s="17" t="n">
        <x:f>IF(D2="",0,J2-K2+L2)</x:f>
        <x:v>23150.93</x:v>
      </x:c>
      <x:c r="Q2" s="17" t="n">
        <x:f>MAX(J2-P2-K2,0)</x:f>
        <x:v>0</x:v>
      </x:c>
      <x:c r="R2" s="13" t="n">
        <x:f>IF(D2="",MAX(TODAY()-C2,0),MAX(D2-C2,0))</x:f>
        <x:v>0</x:v>
      </x:c>
      <x:c r="S2" s="13" t="str">
        <x:f>IF(R2=0,"Em dia",IF(R2&lt;=15,"1-15 dias",IF(R2&lt;=30,"16-30 dias",IF(R2&lt;=60,"31-60 dias","Acima de 60 dias"))))</x:f>
        <x:v>Em dia</x:v>
      </x:c>
    </x:row>
    <x:row r="3">
      <x:c r="A3" s="13" t="str">
        <x:v>REC-000002</x:v>
      </x:c>
      <x:c r="B3" s="23" t="n">
        <x:v>45309</x:v>
      </x:c>
      <x:c r="C3" s="23" t="n">
        <x:v>45330</x:v>
      </x:c>
      <x:c r="D3" s="23" t="n">
        <x:v>45328</x:v>
      </x:c>
      <x:c r="E3" s="13" t="str">
        <x:v>VAL-016</x:v>
      </x:c>
      <x:c r="F3" s="13" t="str">
        <x:v>Lumina Embalagens</x:v>
      </x:c>
      <x:c r="G3" s="13" t="str">
        <x:v>Indústria Leve</x:v>
      </x:c>
      <x:c r="H3" s="13" t="str">
        <x:v>Baixo</x:v>
      </x:c>
      <x:c r="I3" s="13" t="str">
        <x:v>Enterprise</x:v>
      </x:c>
      <x:c r="J3" s="17" t="n">
        <x:v>20118.69</x:v>
      </x:c>
      <x:c r="K3" s="17" t="n">
        <x:v>0</x:v>
      </x:c>
      <x:c r="L3" s="17" t="n">
        <x:v>0</x:v>
      </x:c>
      <x:c r="M3" s="13" t="str">
        <x:v>Pago</x:v>
      </x:c>
      <x:c r="N3" s="13" t="str">
        <x:v>Sem cobrança</x:v>
      </x:c>
      <x:c r="O3" s="13" t="str">
        <x:v>Base controlada</x:v>
      </x:c>
      <x:c r="P3" s="17" t="n">
        <x:f>IF(D3="",0,J3-K3+L3)</x:f>
        <x:v>20118.69</x:v>
      </x:c>
      <x:c r="Q3" s="17" t="n">
        <x:f>MAX(J3-P3-K3,0)</x:f>
        <x:v>0</x:v>
      </x:c>
      <x:c r="R3" s="13" t="n">
        <x:f>IF(D3="",MAX(TODAY()-C3,0),MAX(D3-C3,0))</x:f>
        <x:v>0</x:v>
      </x:c>
      <x:c r="S3" s="13" t="str">
        <x:f>IF(R3=0,"Em dia",IF(R3&lt;=15,"1-15 dias",IF(R3&lt;=30,"16-30 dias",IF(R3&lt;=60,"31-60 dias","Acima de 60 dias"))))</x:f>
        <x:v>Em dia</x:v>
      </x:c>
    </x:row>
    <x:row r="4">
      <x:c r="A4" s="13" t="str">
        <x:v>REC-000003</x:v>
      </x:c>
      <x:c r="B4" s="23" t="n">
        <x:v>45302</x:v>
      </x:c>
      <x:c r="C4" s="23" t="n">
        <x:v>45317</x:v>
      </x:c>
      <x:c r="D4" s="23" t="n">
        <x:v>45317</x:v>
      </x:c>
      <x:c r="E4" s="13" t="str">
        <x:v>VAL-018</x:v>
      </x:c>
      <x:c r="F4" s="13" t="str">
        <x:v>Ponto Legal Advocacia</x:v>
      </x:c>
      <x:c r="G4" s="13" t="str">
        <x:v>Serviços Profissionais</x:v>
      </x:c>
      <x:c r="H4" s="13" t="str">
        <x:v>Baixo</x:v>
      </x:c>
      <x:c r="I4" s="13" t="str">
        <x:v>Gestão</x:v>
      </x:c>
      <x:c r="J4" s="17" t="n">
        <x:v>22733.42</x:v>
      </x:c>
      <x:c r="K4" s="17" t="n">
        <x:v>0</x:v>
      </x:c>
      <x:c r="L4" s="17" t="n">
        <x:v>0</x:v>
      </x:c>
      <x:c r="M4" s="13" t="str">
        <x:v>Pago</x:v>
      </x:c>
      <x:c r="N4" s="13" t="str">
        <x:v>Sem cobrança</x:v>
      </x:c>
      <x:c r="O4" s="13" t="str">
        <x:v>Base controlada</x:v>
      </x:c>
      <x:c r="P4" s="17" t="n">
        <x:f>IF(D4="",0,J4-K4+L4)</x:f>
        <x:v>22733.42</x:v>
      </x:c>
      <x:c r="Q4" s="17" t="n">
        <x:f>MAX(J4-P4-K4,0)</x:f>
        <x:v>0</x:v>
      </x:c>
      <x:c r="R4" s="13" t="n">
        <x:f>IF(D4="",MAX(TODAY()-C4,0),MAX(D4-C4,0))</x:f>
        <x:v>0</x:v>
      </x:c>
      <x:c r="S4" s="13" t="str">
        <x:f>IF(R4=0,"Em dia",IF(R4&lt;=15,"1-15 dias",IF(R4&lt;=30,"16-30 dias",IF(R4&lt;=60,"31-60 dias","Acima de 60 dias"))))</x:f>
        <x:v>Em dia</x:v>
      </x:c>
    </x:row>
    <x:row r="5">
      <x:c r="A5" s="13" t="str">
        <x:v>REC-000004</x:v>
      </x:c>
      <x:c r="B5" s="23" t="n">
        <x:v>45296</x:v>
      </x:c>
      <x:c r="C5" s="23" t="n">
        <x:v>45303</x:v>
      </x:c>
      <x:c r="D5" s="23" t="n">
        <x:v>45300</x:v>
      </x:c>
      <x:c r="E5" s="13" t="str">
        <x:v>VAL-026</x:v>
      </x:c>
      <x:c r="F5" s="13" t="str">
        <x:v>Ribeiro Arquitetura</x:v>
      </x:c>
      <x:c r="G5" s="13" t="str">
        <x:v>Serviços Profissionais</x:v>
      </x:c>
      <x:c r="H5" s="13" t="str">
        <x:v>Baixo</x:v>
      </x:c>
      <x:c r="I5" s="13" t="str">
        <x:v>Gestão</x:v>
      </x:c>
      <x:c r="J5" s="17" t="n">
        <x:v>2900.51</x:v>
      </x:c>
      <x:c r="K5" s="17" t="n">
        <x:v>44.78</x:v>
      </x:c>
      <x:c r="L5" s="17" t="n">
        <x:v>0</x:v>
      </x:c>
      <x:c r="M5" s="13" t="str">
        <x:v>Pago</x:v>
      </x:c>
      <x:c r="N5" s="13" t="str">
        <x:v>Sem cobrança</x:v>
      </x:c>
      <x:c r="O5" s="13" t="str">
        <x:v>Base controlada</x:v>
      </x:c>
      <x:c r="P5" s="17" t="n">
        <x:f>IF(D5="",0,J5-K5+L5)</x:f>
        <x:v>2855.73</x:v>
      </x:c>
      <x:c r="Q5" s="17" t="n">
        <x:f>MAX(J5-P5-K5,0)</x:f>
        <x:v>1.9895196601282805e-13</x:v>
      </x:c>
      <x:c r="R5" s="13" t="n">
        <x:f>IF(D5="",MAX(TODAY()-C5,0),MAX(D5-C5,0))</x:f>
        <x:v>0</x:v>
      </x:c>
      <x:c r="S5" s="13" t="str">
        <x:f>IF(R5=0,"Em dia",IF(R5&lt;=15,"1-15 dias",IF(R5&lt;=30,"16-30 dias",IF(R5&lt;=60,"31-60 dias","Acima de 60 dias"))))</x:f>
        <x:v>Em dia</x:v>
      </x:c>
    </x:row>
    <x:row r="6">
      <x:c r="A6" s="13" t="str">
        <x:v>REC-000005</x:v>
      </x:c>
      <x:c r="B6" s="23" t="n">
        <x:v>45297</x:v>
      </x:c>
      <x:c r="C6" s="23" t="n">
        <x:v>45312</x:v>
      </x:c>
      <x:c r="D6" s="23" t="n">
        <x:v>45309</x:v>
      </x:c>
      <x:c r="E6" s="13" t="str">
        <x:v>VAL-003</x:v>
      </x:c>
      <x:c r="F6" s="13" t="str">
        <x:v>Casa Nova Varejo</x:v>
      </x:c>
      <x:c r="G6" s="13" t="str">
        <x:v>Varejo</x:v>
      </x:c>
      <x:c r="H6" s="13" t="str">
        <x:v>Baixo</x:v>
      </x:c>
      <x:c r="I6" s="13" t="str">
        <x:v>Performance</x:v>
      </x:c>
      <x:c r="J6" s="17" t="n">
        <x:v>6553.18</x:v>
      </x:c>
      <x:c r="K6" s="17" t="n">
        <x:v>0</x:v>
      </x:c>
      <x:c r="L6" s="17" t="n">
        <x:v>0</x:v>
      </x:c>
      <x:c r="M6" s="13" t="str">
        <x:v>Pago</x:v>
      </x:c>
      <x:c r="N6" s="13" t="str">
        <x:v>Sem cobrança</x:v>
      </x:c>
      <x:c r="O6" s="13" t="str">
        <x:v>Base controlada</x:v>
      </x:c>
      <x:c r="P6" s="17" t="n">
        <x:f>IF(D6="",0,J6-K6+L6)</x:f>
        <x:v>6553.18</x:v>
      </x:c>
      <x:c r="Q6" s="17" t="n">
        <x:f>MAX(J6-P6-K6,0)</x:f>
        <x:v>0</x:v>
      </x:c>
      <x:c r="R6" s="13" t="n">
        <x:f>IF(D6="",MAX(TODAY()-C6,0),MAX(D6-C6,0))</x:f>
        <x:v>0</x:v>
      </x:c>
      <x:c r="S6" s="13" t="str">
        <x:f>IF(R6=0,"Em dia",IF(R6&lt;=15,"1-15 dias",IF(R6&lt;=30,"16-30 dias",IF(R6&lt;=60,"31-60 dias","Acima de 60 dias"))))</x:f>
        <x:v>Em dia</x:v>
      </x:c>
    </x:row>
    <x:row r="7">
      <x:c r="A7" s="13" t="str">
        <x:v>REC-000006</x:v>
      </x:c>
      <x:c r="B7" s="23" t="n">
        <x:v>45303</x:v>
      </x:c>
      <x:c r="C7" s="23" t="n">
        <x:v>45318</x:v>
      </x:c>
      <x:c r="D7" s="23" t="n">
        <x:v>45315</x:v>
      </x:c>
      <x:c r="E7" s="13" t="str">
        <x:v>VAL-002</x:v>
      </x:c>
      <x:c r="F7" s="13" t="str">
        <x:v>Mendes &amp; Prado Consultoria</x:v>
      </x:c>
      <x:c r="G7" s="13" t="str">
        <x:v>Serviços Profissionais</x:v>
      </x:c>
      <x:c r="H7" s="13" t="str">
        <x:v>Baixo</x:v>
      </x:c>
      <x:c r="I7" s="13" t="str">
        <x:v>Gestão</x:v>
      </x:c>
      <x:c r="J7" s="17" t="n">
        <x:v>23225.81</x:v>
      </x:c>
      <x:c r="K7" s="17" t="n">
        <x:v>0</x:v>
      </x:c>
      <x:c r="L7" s="17" t="n">
        <x:v>0</x:v>
      </x:c>
      <x:c r="M7" s="13" t="str">
        <x:v>Pago</x:v>
      </x:c>
      <x:c r="N7" s="13" t="str">
        <x:v>Sem cobrança</x:v>
      </x:c>
      <x:c r="O7" s="13" t="str">
        <x:v>Base controlada</x:v>
      </x:c>
      <x:c r="P7" s="17" t="n">
        <x:f>IF(D7="",0,J7-K7+L7)</x:f>
        <x:v>23225.81</x:v>
      </x:c>
      <x:c r="Q7" s="17" t="n">
        <x:f>MAX(J7-P7-K7,0)</x:f>
        <x:v>0</x:v>
      </x:c>
      <x:c r="R7" s="13" t="n">
        <x:f>IF(D7="",MAX(TODAY()-C7,0),MAX(D7-C7,0))</x:f>
        <x:v>0</x:v>
      </x:c>
      <x:c r="S7" s="13" t="str">
        <x:f>IF(R7=0,"Em dia",IF(R7&lt;=15,"1-15 dias",IF(R7&lt;=30,"16-30 dias",IF(R7&lt;=60,"31-60 dias","Acima de 60 dias"))))</x:f>
        <x:v>Em dia</x:v>
      </x:c>
    </x:row>
    <x:row r="8">
      <x:c r="A8" s="13" t="str">
        <x:v>REC-000007</x:v>
      </x:c>
      <x:c r="B8" s="23" t="n">
        <x:v>45301</x:v>
      </x:c>
      <x:c r="C8" s="23" t="n">
        <x:v>45316</x:v>
      </x:c>
      <x:c r="D8" s="23" t="n">
        <x:v>45316</x:v>
      </x:c>
      <x:c r="E8" s="13" t="str">
        <x:v>VAL-020</x:v>
      </x:c>
      <x:c r="F8" s="13" t="str">
        <x:v>Corelink Digital</x:v>
      </x:c>
      <x:c r="G8" s="13" t="str">
        <x:v>Tecnologia</x:v>
      </x:c>
      <x:c r="H8" s="13" t="str">
        <x:v>Baixo</x:v>
      </x:c>
      <x:c r="I8" s="13" t="str">
        <x:v>Enterprise</x:v>
      </x:c>
      <x:c r="J8" s="17" t="n">
        <x:v>26264.32</x:v>
      </x:c>
      <x:c r="K8" s="17" t="n">
        <x:v>0</x:v>
      </x:c>
      <x:c r="L8" s="17" t="n">
        <x:v>0</x:v>
      </x:c>
      <x:c r="M8" s="13" t="str">
        <x:v>Pago</x:v>
      </x:c>
      <x:c r="N8" s="13" t="str">
        <x:v>Sem cobrança</x:v>
      </x:c>
      <x:c r="O8" s="13" t="str">
        <x:v>Base controlada</x:v>
      </x:c>
      <x:c r="P8" s="17" t="n">
        <x:f>IF(D8="",0,J8-K8+L8)</x:f>
        <x:v>26264.32</x:v>
      </x:c>
      <x:c r="Q8" s="17" t="n">
        <x:f>MAX(J8-P8-K8,0)</x:f>
        <x:v>0</x:v>
      </x:c>
      <x:c r="R8" s="13" t="n">
        <x:f>IF(D8="",MAX(TODAY()-C8,0),MAX(D8-C8,0))</x:f>
        <x:v>0</x:v>
      </x:c>
      <x:c r="S8" s="13" t="str">
        <x:f>IF(R8=0,"Em dia",IF(R8&lt;=15,"1-15 dias",IF(R8&lt;=30,"16-30 dias",IF(R8&lt;=60,"31-60 dias","Acima de 60 dias"))))</x:f>
        <x:v>Em dia</x:v>
      </x:c>
    </x:row>
    <x:row r="9">
      <x:c r="A9" s="13" t="str">
        <x:v>REC-000008</x:v>
      </x:c>
      <x:c r="B9" s="23" t="n">
        <x:v>45303</x:v>
      </x:c>
      <x:c r="C9" s="23" t="n">
        <x:v>45318</x:v>
      </x:c>
      <x:c r="D9" s="23"/>
      <x:c r="E9" s="13" t="str">
        <x:v>VAL-016</x:v>
      </x:c>
      <x:c r="F9" s="13" t="str">
        <x:v>Lumina Embalagens</x:v>
      </x:c>
      <x:c r="G9" s="13" t="str">
        <x:v>Indústria Leve</x:v>
      </x:c>
      <x:c r="H9" s="13" t="str">
        <x:v>Baixo</x:v>
      </x:c>
      <x:c r="I9" s="13" t="str">
        <x:v>Enterprise</x:v>
      </x:c>
      <x:c r="J9" s="17" t="n">
        <x:v>34370.59</x:v>
      </x:c>
      <x:c r="K9" s="17" t="n">
        <x:v>0</x:v>
      </x:c>
      <x:c r="L9" s="17" t="n">
        <x:v>0</x:v>
      </x:c>
      <x:c r="M9" s="13" t="str">
        <x:v>Em aberto</x:v>
      </x:c>
      <x:c r="N9" s="13" t="str">
        <x:v>Régua automática</x:v>
      </x:c>
      <x:c r="O9" s="13" t="str">
        <x:v>Base controlada</x:v>
      </x:c>
      <x:c r="P9" s="17" t="n">
        <x:f>IF(D9="",0,J9-K9+L9)</x:f>
        <x:v>0</x:v>
      </x:c>
      <x:c r="Q9" s="17" t="n">
        <x:f>MAX(J9-P9-K9,0)</x:f>
        <x:v>34370.59</x:v>
      </x:c>
      <x:c r="R9" s="13" t="n">
        <x:f>IF(D9="",MAX(TODAY()-C9,0),MAX(D9-C9,0))</x:f>
        <x:v>895</x:v>
      </x:c>
      <x:c r="S9" s="13" t="str">
        <x:f>IF(R9=0,"Em dia",IF(R9&lt;=15,"1-15 dias",IF(R9&lt;=30,"16-30 dias",IF(R9&lt;=60,"31-60 dias","Acima de 60 dias"))))</x:f>
        <x:v>Acima de 60 dias</x:v>
      </x:c>
    </x:row>
    <x:row r="10">
      <x:c r="A10" s="13" t="str">
        <x:v>REC-000009</x:v>
      </x:c>
      <x:c r="B10" s="23" t="n">
        <x:v>45297</x:v>
      </x:c>
      <x:c r="C10" s="23" t="n">
        <x:v>45325</x:v>
      </x:c>
      <x:c r="D10" s="23" t="n">
        <x:v>45323</x:v>
      </x:c>
      <x:c r="E10" s="13" t="str">
        <x:v>VAL-020</x:v>
      </x:c>
      <x:c r="F10" s="13" t="str">
        <x:v>Corelink Digital</x:v>
      </x:c>
      <x:c r="G10" s="13" t="str">
        <x:v>Tecnologia</x:v>
      </x:c>
      <x:c r="H10" s="13" t="str">
        <x:v>Baixo</x:v>
      </x:c>
      <x:c r="I10" s="13" t="str">
        <x:v>Enterprise</x:v>
      </x:c>
      <x:c r="J10" s="17" t="n">
        <x:v>32209.6</x:v>
      </x:c>
      <x:c r="K10" s="17" t="n">
        <x:v>0</x:v>
      </x:c>
      <x:c r="L10" s="17" t="n">
        <x:v>0</x:v>
      </x:c>
      <x:c r="M10" s="13" t="str">
        <x:v>Pago</x:v>
      </x:c>
      <x:c r="N10" s="13" t="str">
        <x:v>Sem cobrança</x:v>
      </x:c>
      <x:c r="O10" s="13" t="str">
        <x:v>Base controlada</x:v>
      </x:c>
      <x:c r="P10" s="17" t="n">
        <x:f>IF(D10="",0,J10-K10+L10)</x:f>
        <x:v>32209.6</x:v>
      </x:c>
      <x:c r="Q10" s="17" t="n">
        <x:f>MAX(J10-P10-K10,0)</x:f>
        <x:v>0</x:v>
      </x:c>
      <x:c r="R10" s="13" t="n">
        <x:f>IF(D10="",MAX(TODAY()-C10,0),MAX(D10-C10,0))</x:f>
        <x:v>0</x:v>
      </x:c>
      <x:c r="S10" s="13" t="str">
        <x:f>IF(R10=0,"Em dia",IF(R10&lt;=15,"1-15 dias",IF(R10&lt;=30,"16-30 dias",IF(R10&lt;=60,"31-60 dias","Acima de 60 dias"))))</x:f>
        <x:v>Em dia</x:v>
      </x:c>
    </x:row>
    <x:row r="11">
      <x:c r="A11" s="13" t="str">
        <x:v>REC-000010</x:v>
      </x:c>
      <x:c r="B11" s="23" t="n">
        <x:v>45302</x:v>
      </x:c>
      <x:c r="C11" s="23" t="n">
        <x:v>45330</x:v>
      </x:c>
      <x:c r="D11" s="23" t="n">
        <x:v>45326</x:v>
      </x:c>
      <x:c r="E11" s="13" t="str">
        <x:v>VAL-025</x:v>
      </x:c>
      <x:c r="F11" s="13" t="str">
        <x:v>Bem-Estar Terapias</x:v>
      </x:c>
      <x:c r="G11" s="13" t="str">
        <x:v>Clínicas e Saúde</x:v>
      </x:c>
      <x:c r="H11" s="13" t="str">
        <x:v>Baixo</x:v>
      </x:c>
      <x:c r="I11" s="13" t="str">
        <x:v>Essencial</x:v>
      </x:c>
      <x:c r="J11" s="17" t="n">
        <x:v>4984.4</x:v>
      </x:c>
      <x:c r="K11" s="17" t="n">
        <x:v>0</x:v>
      </x:c>
      <x:c r="L11" s="17" t="n">
        <x:v>0</x:v>
      </x:c>
      <x:c r="M11" s="13" t="str">
        <x:v>Pago</x:v>
      </x:c>
      <x:c r="N11" s="13" t="str">
        <x:v>Sem cobrança</x:v>
      </x:c>
      <x:c r="O11" s="13" t="str">
        <x:v>Base controlada</x:v>
      </x:c>
      <x:c r="P11" s="17" t="n">
        <x:f>IF(D11="",0,J11-K11+L11)</x:f>
        <x:v>4984.4</x:v>
      </x:c>
      <x:c r="Q11" s="17" t="n">
        <x:f>MAX(J11-P11-K11,0)</x:f>
        <x:v>0</x:v>
      </x:c>
      <x:c r="R11" s="13" t="n">
        <x:f>IF(D11="",MAX(TODAY()-C11,0),MAX(D11-C11,0))</x:f>
        <x:v>0</x:v>
      </x:c>
      <x:c r="S11" s="13" t="str">
        <x:f>IF(R11=0,"Em dia",IF(R11&lt;=15,"1-15 dias",IF(R11&lt;=30,"16-30 dias",IF(R11&lt;=60,"31-60 dias","Acima de 60 dias"))))</x:f>
        <x:v>Em dia</x:v>
      </x:c>
    </x:row>
    <x:row r="12">
      <x:c r="A12" s="13" t="str">
        <x:v>REC-000011</x:v>
      </x:c>
      <x:c r="B12" s="23" t="n">
        <x:v>45303</x:v>
      </x:c>
      <x:c r="C12" s="23" t="n">
        <x:v>45310</x:v>
      </x:c>
      <x:c r="D12" s="23" t="n">
        <x:v>45307</x:v>
      </x:c>
      <x:c r="E12" s="13" t="str">
        <x:v>VAL-011</x:v>
      </x:c>
      <x:c r="F12" s="13" t="str">
        <x:v>Rede Essencial</x:v>
      </x:c>
      <x:c r="G12" s="13" t="str">
        <x:v>Varejo</x:v>
      </x:c>
      <x:c r="H12" s="13" t="str">
        <x:v>Médio</x:v>
      </x:c>
      <x:c r="I12" s="13" t="str">
        <x:v>Performance</x:v>
      </x:c>
      <x:c r="J12" s="17" t="n">
        <x:v>14490.28</x:v>
      </x:c>
      <x:c r="K12" s="17" t="n">
        <x:v>0</x:v>
      </x:c>
      <x:c r="L12" s="17" t="n">
        <x:v>0</x:v>
      </x:c>
      <x:c r="M12" s="13" t="str">
        <x:v>Pago</x:v>
      </x:c>
      <x:c r="N12" s="13" t="str">
        <x:v>Sem cobrança</x:v>
      </x:c>
      <x:c r="O12" s="13" t="str">
        <x:v>Base controlada</x:v>
      </x:c>
      <x:c r="P12" s="17" t="n">
        <x:f>IF(D12="",0,J12-K12+L12)</x:f>
        <x:v>14490.28</x:v>
      </x:c>
      <x:c r="Q12" s="17" t="n">
        <x:f>MAX(J12-P12-K12,0)</x:f>
        <x:v>0</x:v>
      </x:c>
      <x:c r="R12" s="13" t="n">
        <x:f>IF(D12="",MAX(TODAY()-C12,0),MAX(D12-C12,0))</x:f>
        <x:v>0</x:v>
      </x:c>
      <x:c r="S12" s="13" t="str">
        <x:f>IF(R12=0,"Em dia",IF(R12&lt;=15,"1-15 dias",IF(R12&lt;=30,"16-30 dias",IF(R12&lt;=60,"31-60 dias","Acima de 60 dias"))))</x:f>
        <x:v>Em dia</x:v>
      </x:c>
    </x:row>
    <x:row r="13">
      <x:c r="A13" s="13" t="str">
        <x:v>REC-000012</x:v>
      </x:c>
      <x:c r="B13" s="23" t="n">
        <x:v>45309</x:v>
      </x:c>
      <x:c r="C13" s="23" t="n">
        <x:v>45337</x:v>
      </x:c>
      <x:c r="D13" s="23" t="n">
        <x:v>45335</x:v>
      </x:c>
      <x:c r="E13" s="13" t="str">
        <x:v>VAL-027</x:v>
      </x:c>
      <x:c r="F13" s="13" t="str">
        <x:v>Mais Lar Utilidades</x:v>
      </x:c>
      <x:c r="G13" s="13" t="str">
        <x:v>Varejo</x:v>
      </x:c>
      <x:c r="H13" s="13" t="str">
        <x:v>Baixo</x:v>
      </x:c>
      <x:c r="I13" s="13" t="str">
        <x:v>Performance</x:v>
      </x:c>
      <x:c r="J13" s="17" t="n">
        <x:v>11376.96</x:v>
      </x:c>
      <x:c r="K13" s="17" t="n">
        <x:v>90.06</x:v>
      </x:c>
      <x:c r="L13" s="17" t="n">
        <x:v>0</x:v>
      </x:c>
      <x:c r="M13" s="13" t="str">
        <x:v>Pago</x:v>
      </x:c>
      <x:c r="N13" s="13" t="str">
        <x:v>Sem cobrança</x:v>
      </x:c>
      <x:c r="O13" s="13" t="str">
        <x:v>Base controlada</x:v>
      </x:c>
      <x:c r="P13" s="17" t="n">
        <x:f>IF(D13="",0,J13-K13+L13)</x:f>
        <x:v>11286.9</x:v>
      </x:c>
      <x:c r="Q13" s="17" t="n">
        <x:f>MAX(J13-P13-K13,0)</x:f>
        <x:v>0</x:v>
      </x:c>
      <x:c r="R13" s="13" t="n">
        <x:f>IF(D13="",MAX(TODAY()-C13,0),MAX(D13-C13,0))</x:f>
        <x:v>0</x:v>
      </x:c>
      <x:c r="S13" s="13" t="str">
        <x:f>IF(R13=0,"Em dia",IF(R13&lt;=15,"1-15 dias",IF(R13&lt;=30,"16-30 dias",IF(R13&lt;=60,"31-60 dias","Acima de 60 dias"))))</x:f>
        <x:v>Em dia</x:v>
      </x:c>
    </x:row>
    <x:row r="14">
      <x:c r="A14" s="13" t="str">
        <x:v>REC-000013</x:v>
      </x:c>
      <x:c r="B14" s="23" t="n">
        <x:v>45305</x:v>
      </x:c>
      <x:c r="C14" s="23" t="n">
        <x:v>45333</x:v>
      </x:c>
      <x:c r="D14" s="23" t="n">
        <x:v>45329</x:v>
      </x:c>
      <x:c r="E14" s="13" t="str">
        <x:v>VAL-001</x:v>
      </x:c>
      <x:c r="F14" s="13" t="str">
        <x:v>Clínica Horizonte</x:v>
      </x:c>
      <x:c r="G14" s="13" t="str">
        <x:v>Clínicas e Saúde</x:v>
      </x:c>
      <x:c r="H14" s="13" t="str">
        <x:v>Baixo</x:v>
      </x:c>
      <x:c r="I14" s="13" t="str">
        <x:v>Essencial</x:v>
      </x:c>
      <x:c r="J14" s="17" t="n">
        <x:v>10883.7</x:v>
      </x:c>
      <x:c r="K14" s="17" t="n">
        <x:v>0</x:v>
      </x:c>
      <x:c r="L14" s="17" t="n">
        <x:v>0</x:v>
      </x:c>
      <x:c r="M14" s="13" t="str">
        <x:v>Pago</x:v>
      </x:c>
      <x:c r="N14" s="13" t="str">
        <x:v>Sem cobrança</x:v>
      </x:c>
      <x:c r="O14" s="13" t="str">
        <x:v>Base controlada</x:v>
      </x:c>
      <x:c r="P14" s="17" t="n">
        <x:f>IF(D14="",0,J14-K14+L14)</x:f>
        <x:v>10883.7</x:v>
      </x:c>
      <x:c r="Q14" s="17" t="n">
        <x:f>MAX(J14-P14-K14,0)</x:f>
        <x:v>0</x:v>
      </x:c>
      <x:c r="R14" s="13" t="n">
        <x:f>IF(D14="",MAX(TODAY()-C14,0),MAX(D14-C14,0))</x:f>
        <x:v>0</x:v>
      </x:c>
      <x:c r="S14" s="13" t="str">
        <x:f>IF(R14=0,"Em dia",IF(R14&lt;=15,"1-15 dias",IF(R14&lt;=30,"16-30 dias",IF(R14&lt;=60,"31-60 dias","Acima de 60 dias"))))</x:f>
        <x:v>Em dia</x:v>
      </x:c>
    </x:row>
    <x:row r="15">
      <x:c r="A15" s="13" t="str">
        <x:v>REC-000014</x:v>
      </x:c>
      <x:c r="B15" s="23" t="n">
        <x:v>45292</x:v>
      </x:c>
      <x:c r="C15" s="23" t="n">
        <x:v>45307</x:v>
      </x:c>
      <x:c r="D15" s="23" t="n">
        <x:v>45303</x:v>
      </x:c>
      <x:c r="E15" s="13" t="str">
        <x:v>VAL-012</x:v>
      </x:c>
      <x:c r="F15" s="13" t="str">
        <x:v>DataFlow Sistemas</x:v>
      </x:c>
      <x:c r="G15" s="13" t="str">
        <x:v>Tecnologia</x:v>
      </x:c>
      <x:c r="H15" s="13" t="str">
        <x:v>Médio</x:v>
      </x:c>
      <x:c r="I15" s="13" t="str">
        <x:v>Enterprise</x:v>
      </x:c>
      <x:c r="J15" s="17" t="n">
        <x:v>11429.33</x:v>
      </x:c>
      <x:c r="K15" s="17" t="n">
        <x:v>0</x:v>
      </x:c>
      <x:c r="L15" s="17" t="n">
        <x:v>0</x:v>
      </x:c>
      <x:c r="M15" s="13" t="str">
        <x:v>Pago</x:v>
      </x:c>
      <x:c r="N15" s="13" t="str">
        <x:v>Sem cobrança</x:v>
      </x:c>
      <x:c r="O15" s="13" t="str">
        <x:v>Base controlada</x:v>
      </x:c>
      <x:c r="P15" s="17" t="n">
        <x:f>IF(D15="",0,J15-K15+L15)</x:f>
        <x:v>11429.33</x:v>
      </x:c>
      <x:c r="Q15" s="17" t="n">
        <x:f>MAX(J15-P15-K15,0)</x:f>
        <x:v>0</x:v>
      </x:c>
      <x:c r="R15" s="13" t="n">
        <x:f>IF(D15="",MAX(TODAY()-C15,0),MAX(D15-C15,0))</x:f>
        <x:v>0</x:v>
      </x:c>
      <x:c r="S15" s="13" t="str">
        <x:f>IF(R15=0,"Em dia",IF(R15&lt;=15,"1-15 dias",IF(R15&lt;=30,"16-30 dias",IF(R15&lt;=60,"31-60 dias","Acima de 60 dias"))))</x:f>
        <x:v>Em dia</x:v>
      </x:c>
    </x:row>
    <x:row r="16">
      <x:c r="A16" s="13" t="str">
        <x:v>REC-000015</x:v>
      </x:c>
      <x:c r="B16" s="23" t="n">
        <x:v>45298</x:v>
      </x:c>
      <x:c r="C16" s="23" t="n">
        <x:v>45326</x:v>
      </x:c>
      <x:c r="D16" s="23" t="n">
        <x:v>45325</x:v>
      </x:c>
      <x:c r="E16" s="13" t="str">
        <x:v>VAL-012</x:v>
      </x:c>
      <x:c r="F16" s="13" t="str">
        <x:v>DataFlow Sistemas</x:v>
      </x:c>
      <x:c r="G16" s="13" t="str">
        <x:v>Tecnologia</x:v>
      </x:c>
      <x:c r="H16" s="13" t="str">
        <x:v>Médio</x:v>
      </x:c>
      <x:c r="I16" s="13" t="str">
        <x:v>Enterprise</x:v>
      </x:c>
      <x:c r="J16" s="17" t="n">
        <x:v>30782.48</x:v>
      </x:c>
      <x:c r="K16" s="17" t="n">
        <x:v>0</x:v>
      </x:c>
      <x:c r="L16" s="17" t="n">
        <x:v>0</x:v>
      </x:c>
      <x:c r="M16" s="13" t="str">
        <x:v>Pago</x:v>
      </x:c>
      <x:c r="N16" s="13" t="str">
        <x:v>Sem cobrança</x:v>
      </x:c>
      <x:c r="O16" s="13" t="str">
        <x:v>Base controlada</x:v>
      </x:c>
      <x:c r="P16" s="17" t="n">
        <x:f>IF(D16="",0,J16-K16+L16)</x:f>
        <x:v>30782.48</x:v>
      </x:c>
      <x:c r="Q16" s="17" t="n">
        <x:f>MAX(J16-P16-K16,0)</x:f>
        <x:v>0</x:v>
      </x:c>
      <x:c r="R16" s="13" t="n">
        <x:f>IF(D16="",MAX(TODAY()-C16,0),MAX(D16-C16,0))</x:f>
        <x:v>0</x:v>
      </x:c>
      <x:c r="S16" s="13" t="str">
        <x:f>IF(R16=0,"Em dia",IF(R16&lt;=15,"1-15 dias",IF(R16&lt;=30,"16-30 dias",IF(R16&lt;=60,"31-60 dias","Acima de 60 dias"))))</x:f>
        <x:v>Em dia</x:v>
      </x:c>
    </x:row>
    <x:row r="17">
      <x:c r="A17" s="13" t="str">
        <x:v>REC-000016</x:v>
      </x:c>
      <x:c r="B17" s="23" t="n">
        <x:v>45302</x:v>
      </x:c>
      <x:c r="C17" s="23" t="n">
        <x:v>45330</x:v>
      </x:c>
      <x:c r="D17" s="23" t="n">
        <x:v>45326</x:v>
      </x:c>
      <x:c r="E17" s="13" t="str">
        <x:v>VAL-003</x:v>
      </x:c>
      <x:c r="F17" s="13" t="str">
        <x:v>Casa Nova Varejo</x:v>
      </x:c>
      <x:c r="G17" s="13" t="str">
        <x:v>Varejo</x:v>
      </x:c>
      <x:c r="H17" s="13" t="str">
        <x:v>Baixo</x:v>
      </x:c>
      <x:c r="I17" s="13" t="str">
        <x:v>Performance</x:v>
      </x:c>
      <x:c r="J17" s="17" t="n">
        <x:v>3920.13</x:v>
      </x:c>
      <x:c r="K17" s="17" t="n">
        <x:v>0</x:v>
      </x:c>
      <x:c r="L17" s="17" t="n">
        <x:v>0</x:v>
      </x:c>
      <x:c r="M17" s="13" t="str">
        <x:v>Pago</x:v>
      </x:c>
      <x:c r="N17" s="13" t="str">
        <x:v>Sem cobrança</x:v>
      </x:c>
      <x:c r="O17" s="13" t="str">
        <x:v>Base controlada</x:v>
      </x:c>
      <x:c r="P17" s="17" t="n">
        <x:f>IF(D17="",0,J17-K17+L17)</x:f>
        <x:v>3920.13</x:v>
      </x:c>
      <x:c r="Q17" s="17" t="n">
        <x:f>MAX(J17-P17-K17,0)</x:f>
        <x:v>0</x:v>
      </x:c>
      <x:c r="R17" s="13" t="n">
        <x:f>IF(D17="",MAX(TODAY()-C17,0),MAX(D17-C17,0))</x:f>
        <x:v>0</x:v>
      </x:c>
      <x:c r="S17" s="13" t="str">
        <x:f>IF(R17=0,"Em dia",IF(R17&lt;=15,"1-15 dias",IF(R17&lt;=30,"16-30 dias",IF(R17&lt;=60,"31-60 dias","Acima de 60 dias"))))</x:f>
        <x:v>Em dia</x:v>
      </x:c>
    </x:row>
    <x:row r="18">
      <x:c r="A18" s="13" t="str">
        <x:v>REC-000017</x:v>
      </x:c>
      <x:c r="B18" s="23" t="n">
        <x:v>45304</x:v>
      </x:c>
      <x:c r="C18" s="23" t="n">
        <x:v>45332</x:v>
      </x:c>
      <x:c r="D18" s="23" t="n">
        <x:v>45329</x:v>
      </x:c>
      <x:c r="E18" s="13" t="str">
        <x:v>VAL-011</x:v>
      </x:c>
      <x:c r="F18" s="13" t="str">
        <x:v>Rede Essencial</x:v>
      </x:c>
      <x:c r="G18" s="13" t="str">
        <x:v>Varejo</x:v>
      </x:c>
      <x:c r="H18" s="13" t="str">
        <x:v>Médio</x:v>
      </x:c>
      <x:c r="I18" s="13" t="str">
        <x:v>Performance</x:v>
      </x:c>
      <x:c r="J18" s="17" t="n">
        <x:v>9449.44</x:v>
      </x:c>
      <x:c r="K18" s="17" t="n">
        <x:v>0</x:v>
      </x:c>
      <x:c r="L18" s="17" t="n">
        <x:v>0</x:v>
      </x:c>
      <x:c r="M18" s="13" t="str">
        <x:v>Pago</x:v>
      </x:c>
      <x:c r="N18" s="13" t="str">
        <x:v>Sem cobrança</x:v>
      </x:c>
      <x:c r="O18" s="13" t="str">
        <x:v>Base controlada</x:v>
      </x:c>
      <x:c r="P18" s="17" t="n">
        <x:f>IF(D18="",0,J18-K18+L18)</x:f>
        <x:v>9449.44</x:v>
      </x:c>
      <x:c r="Q18" s="17" t="n">
        <x:f>MAX(J18-P18-K18,0)</x:f>
        <x:v>0</x:v>
      </x:c>
      <x:c r="R18" s="13" t="n">
        <x:f>IF(D18="",MAX(TODAY()-C18,0),MAX(D18-C18,0))</x:f>
        <x:v>0</x:v>
      </x:c>
      <x:c r="S18" s="13" t="str">
        <x:f>IF(R18=0,"Em dia",IF(R18&lt;=15,"1-15 dias",IF(R18&lt;=30,"16-30 dias",IF(R18&lt;=60,"31-60 dias","Acima de 60 dias"))))</x:f>
        <x:v>Em dia</x:v>
      </x:c>
    </x:row>
    <x:row r="19">
      <x:c r="A19" s="13" t="str">
        <x:v>REC-000018</x:v>
      </x:c>
      <x:c r="B19" s="23" t="n">
        <x:v>45295</x:v>
      </x:c>
      <x:c r="C19" s="23" t="n">
        <x:v>45310</x:v>
      </x:c>
      <x:c r="D19" s="23" t="n">
        <x:v>45309</x:v>
      </x:c>
      <x:c r="E19" s="13" t="str">
        <x:v>VAL-015</x:v>
      </x:c>
      <x:c r="F19" s="13" t="str">
        <x:v>Mercado Click</x:v>
      </x:c>
      <x:c r="G19" s="13" t="str">
        <x:v>E-commerce</x:v>
      </x:c>
      <x:c r="H19" s="13" t="str">
        <x:v>Baixo</x:v>
      </x:c>
      <x:c r="I19" s="13" t="str">
        <x:v>Performance</x:v>
      </x:c>
      <x:c r="J19" s="17" t="n">
        <x:v>26717.19</x:v>
      </x:c>
      <x:c r="K19" s="17" t="n">
        <x:v>0</x:v>
      </x:c>
      <x:c r="L19" s="17" t="n">
        <x:v>0</x:v>
      </x:c>
      <x:c r="M19" s="13" t="str">
        <x:v>Pago</x:v>
      </x:c>
      <x:c r="N19" s="13" t="str">
        <x:v>Sem cobrança</x:v>
      </x:c>
      <x:c r="O19" s="13" t="str">
        <x:v>Base controlada</x:v>
      </x:c>
      <x:c r="P19" s="17" t="n">
        <x:f>IF(D19="",0,J19-K19+L19)</x:f>
        <x:v>26717.19</x:v>
      </x:c>
      <x:c r="Q19" s="17" t="n">
        <x:f>MAX(J19-P19-K19,0)</x:f>
        <x:v>0</x:v>
      </x:c>
      <x:c r="R19" s="13" t="n">
        <x:f>IF(D19="",MAX(TODAY()-C19,0),MAX(D19-C19,0))</x:f>
        <x:v>0</x:v>
      </x:c>
      <x:c r="S19" s="13" t="str">
        <x:f>IF(R19=0,"Em dia",IF(R19&lt;=15,"1-15 dias",IF(R19&lt;=30,"16-30 dias",IF(R19&lt;=60,"31-60 dias","Acima de 60 dias"))))</x:f>
        <x:v>Em dia</x:v>
      </x:c>
    </x:row>
    <x:row r="20">
      <x:c r="A20" s="13" t="str">
        <x:v>REC-000019</x:v>
      </x:c>
      <x:c r="B20" s="23" t="n">
        <x:v>45298</x:v>
      </x:c>
      <x:c r="C20" s="23" t="n">
        <x:v>45328</x:v>
      </x:c>
      <x:c r="D20" s="23" t="n">
        <x:v>45325</x:v>
      </x:c>
      <x:c r="E20" s="13" t="str">
        <x:v>VAL-005</x:v>
      </x:c>
      <x:c r="F20" s="13" t="str">
        <x:v>Construtora Alameda</x:v>
      </x:c>
      <x:c r="G20" s="13" t="str">
        <x:v>Construção</x:v>
      </x:c>
      <x:c r="H20" s="13" t="str">
        <x:v>Médio</x:v>
      </x:c>
      <x:c r="I20" s="13" t="str">
        <x:v>Essencial</x:v>
      </x:c>
      <x:c r="J20" s="17" t="n">
        <x:v>14597.47</x:v>
      </x:c>
      <x:c r="K20" s="17" t="n">
        <x:v>0</x:v>
      </x:c>
      <x:c r="L20" s="17" t="n">
        <x:v>0</x:v>
      </x:c>
      <x:c r="M20" s="13" t="str">
        <x:v>Pago</x:v>
      </x:c>
      <x:c r="N20" s="13" t="str">
        <x:v>Sem cobrança</x:v>
      </x:c>
      <x:c r="O20" s="13" t="str">
        <x:v>Base controlada</x:v>
      </x:c>
      <x:c r="P20" s="17" t="n">
        <x:f>IF(D20="",0,J20-K20+L20)</x:f>
        <x:v>14597.47</x:v>
      </x:c>
      <x:c r="Q20" s="17" t="n">
        <x:f>MAX(J20-P20-K20,0)</x:f>
        <x:v>0</x:v>
      </x:c>
      <x:c r="R20" s="13" t="n">
        <x:f>IF(D20="",MAX(TODAY()-C20,0),MAX(D20-C20,0))</x:f>
        <x:v>0</x:v>
      </x:c>
      <x:c r="S20" s="13" t="str">
        <x:f>IF(R20=0,"Em dia",IF(R20&lt;=15,"1-15 dias",IF(R20&lt;=30,"16-30 dias",IF(R20&lt;=60,"31-60 dias","Acima de 60 dias"))))</x:f>
        <x:v>Em dia</x:v>
      </x:c>
    </x:row>
    <x:row r="21">
      <x:c r="A21" s="13" t="str">
        <x:v>REC-000020</x:v>
      </x:c>
      <x:c r="B21" s="23" t="n">
        <x:v>45307</x:v>
      </x:c>
      <x:c r="C21" s="23" t="n">
        <x:v>45322</x:v>
      </x:c>
      <x:c r="D21" s="23" t="n">
        <x:v>45322</x:v>
      </x:c>
      <x:c r="E21" s="13" t="str">
        <x:v>VAL-025</x:v>
      </x:c>
      <x:c r="F21" s="13" t="str">
        <x:v>Bem-Estar Terapias</x:v>
      </x:c>
      <x:c r="G21" s="13" t="str">
        <x:v>Clínicas e Saúde</x:v>
      </x:c>
      <x:c r="H21" s="13" t="str">
        <x:v>Baixo</x:v>
      </x:c>
      <x:c r="I21" s="13" t="str">
        <x:v>Essencial</x:v>
      </x:c>
      <x:c r="J21" s="17" t="n">
        <x:v>1064.31</x:v>
      </x:c>
      <x:c r="K21" s="17" t="n">
        <x:v>0</x:v>
      </x:c>
      <x:c r="L21" s="17" t="n">
        <x:v>0</x:v>
      </x:c>
      <x:c r="M21" s="13" t="str">
        <x:v>Pago</x:v>
      </x:c>
      <x:c r="N21" s="13" t="str">
        <x:v>Sem cobrança</x:v>
      </x:c>
      <x:c r="O21" s="13" t="str">
        <x:v>Base controlada</x:v>
      </x:c>
      <x:c r="P21" s="17" t="n">
        <x:f>IF(D21="",0,J21-K21+L21)</x:f>
        <x:v>1064.31</x:v>
      </x:c>
      <x:c r="Q21" s="17" t="n">
        <x:f>MAX(J21-P21-K21,0)</x:f>
        <x:v>0</x:v>
      </x:c>
      <x:c r="R21" s="13" t="n">
        <x:f>IF(D21="",MAX(TODAY()-C21,0),MAX(D21-C21,0))</x:f>
        <x:v>0</x:v>
      </x:c>
      <x:c r="S21" s="13" t="str">
        <x:f>IF(R21=0,"Em dia",IF(R21&lt;=15,"1-15 dias",IF(R21&lt;=30,"16-30 dias",IF(R21&lt;=60,"31-60 dias","Acima de 60 dias"))))</x:f>
        <x:v>Em dia</x:v>
      </x:c>
    </x:row>
    <x:row r="22">
      <x:c r="A22" s="13" t="str">
        <x:v>REC-000021</x:v>
      </x:c>
      <x:c r="B22" s="23" t="n">
        <x:v>45311</x:v>
      </x:c>
      <x:c r="C22" s="23" t="n">
        <x:v>45332</x:v>
      </x:c>
      <x:c r="D22" s="23" t="n">
        <x:v>45332</x:v>
      </x:c>
      <x:c r="E22" s="13" t="str">
        <x:v>VAL-015</x:v>
      </x:c>
      <x:c r="F22" s="13" t="str">
        <x:v>Mercado Click</x:v>
      </x:c>
      <x:c r="G22" s="13" t="str">
        <x:v>E-commerce</x:v>
      </x:c>
      <x:c r="H22" s="13" t="str">
        <x:v>Baixo</x:v>
      </x:c>
      <x:c r="I22" s="13" t="str">
        <x:v>Performance</x:v>
      </x:c>
      <x:c r="J22" s="17" t="n">
        <x:v>1615.93</x:v>
      </x:c>
      <x:c r="K22" s="17" t="n">
        <x:v>0</x:v>
      </x:c>
      <x:c r="L22" s="17" t="n">
        <x:v>0</x:v>
      </x:c>
      <x:c r="M22" s="13" t="str">
        <x:v>Pago</x:v>
      </x:c>
      <x:c r="N22" s="13" t="str">
        <x:v>Sem cobrança</x:v>
      </x:c>
      <x:c r="O22" s="13" t="str">
        <x:v>Base controlada</x:v>
      </x:c>
      <x:c r="P22" s="17" t="n">
        <x:f>IF(D22="",0,J22-K22+L22)</x:f>
        <x:v>1615.93</x:v>
      </x:c>
      <x:c r="Q22" s="17" t="n">
        <x:f>MAX(J22-P22-K22,0)</x:f>
        <x:v>0</x:v>
      </x:c>
      <x:c r="R22" s="13" t="n">
        <x:f>IF(D22="",MAX(TODAY()-C22,0),MAX(D22-C22,0))</x:f>
        <x:v>0</x:v>
      </x:c>
      <x:c r="S22" s="13" t="str">
        <x:f>IF(R22=0,"Em dia",IF(R22&lt;=15,"1-15 dias",IF(R22&lt;=30,"16-30 dias",IF(R22&lt;=60,"31-60 dias","Acima de 60 dias"))))</x:f>
        <x:v>Em dia</x:v>
      </x:c>
    </x:row>
    <x:row r="23">
      <x:c r="A23" s="13" t="str">
        <x:v>REC-000022</x:v>
      </x:c>
      <x:c r="B23" s="23" t="n">
        <x:v>45300</x:v>
      </x:c>
      <x:c r="C23" s="23" t="n">
        <x:v>45330</x:v>
      </x:c>
      <x:c r="D23" s="23" t="n">
        <x:v>45328</x:v>
      </x:c>
      <x:c r="E23" s="13" t="str">
        <x:v>VAL-029</x:v>
      </x:c>
      <x:c r="F23" s="13" t="str">
        <x:v>Planobra Serviços</x:v>
      </x:c>
      <x:c r="G23" s="13" t="str">
        <x:v>Construção</x:v>
      </x:c>
      <x:c r="H23" s="13" t="str">
        <x:v>Baixo</x:v>
      </x:c>
      <x:c r="I23" s="13" t="str">
        <x:v>Essencial</x:v>
      </x:c>
      <x:c r="J23" s="17" t="n">
        <x:v>19933.69</x:v>
      </x:c>
      <x:c r="K23" s="17" t="n">
        <x:v>254.08</x:v>
      </x:c>
      <x:c r="L23" s="17" t="n">
        <x:v>0</x:v>
      </x:c>
      <x:c r="M23" s="13" t="str">
        <x:v>Pago</x:v>
      </x:c>
      <x:c r="N23" s="13" t="str">
        <x:v>Sem cobrança</x:v>
      </x:c>
      <x:c r="O23" s="13" t="str">
        <x:v>Base controlada</x:v>
      </x:c>
      <x:c r="P23" s="17" t="n">
        <x:f>IF(D23="",0,J23-K23+L23)</x:f>
        <x:v>19679.609999999997</x:v>
      </x:c>
      <x:c r="Q23" s="17" t="n">
        <x:f>MAX(J23-P23-K23,0)</x:f>
        <x:v>1.7337242752546445e-12</x:v>
      </x:c>
      <x:c r="R23" s="13" t="n">
        <x:f>IF(D23="",MAX(TODAY()-C23,0),MAX(D23-C23,0))</x:f>
        <x:v>0</x:v>
      </x:c>
      <x:c r="S23" s="13" t="str">
        <x:f>IF(R23=0,"Em dia",IF(R23&lt;=15,"1-15 dias",IF(R23&lt;=30,"16-30 dias",IF(R23&lt;=60,"31-60 dias","Acima de 60 dias"))))</x:f>
        <x:v>Em dia</x:v>
      </x:c>
    </x:row>
    <x:row r="24">
      <x:c r="A24" s="13" t="str">
        <x:v>REC-000023</x:v>
      </x:c>
      <x:c r="B24" s="23" t="n">
        <x:v>45292</x:v>
      </x:c>
      <x:c r="C24" s="23" t="n">
        <x:v>45313</x:v>
      </x:c>
      <x:c r="D24" s="23" t="n">
        <x:v>45311</x:v>
      </x:c>
      <x:c r="E24" s="13" t="str">
        <x:v>VAL-005</x:v>
      </x:c>
      <x:c r="F24" s="13" t="str">
        <x:v>Construtora Alameda</x:v>
      </x:c>
      <x:c r="G24" s="13" t="str">
        <x:v>Construção</x:v>
      </x:c>
      <x:c r="H24" s="13" t="str">
        <x:v>Médio</x:v>
      </x:c>
      <x:c r="I24" s="13" t="str">
        <x:v>Essencial</x:v>
      </x:c>
      <x:c r="J24" s="17" t="n">
        <x:v>6264.74</x:v>
      </x:c>
      <x:c r="K24" s="17" t="n">
        <x:v>0</x:v>
      </x:c>
      <x:c r="L24" s="17" t="n">
        <x:v>0</x:v>
      </x:c>
      <x:c r="M24" s="13" t="str">
        <x:v>Pago</x:v>
      </x:c>
      <x:c r="N24" s="13" t="str">
        <x:v>Sem cobrança</x:v>
      </x:c>
      <x:c r="O24" s="13" t="str">
        <x:v>Base controlada</x:v>
      </x:c>
      <x:c r="P24" s="17" t="n">
        <x:f>IF(D24="",0,J24-K24+L24)</x:f>
        <x:v>6264.74</x:v>
      </x:c>
      <x:c r="Q24" s="17" t="n">
        <x:f>MAX(J24-P24-K24,0)</x:f>
        <x:v>0</x:v>
      </x:c>
      <x:c r="R24" s="13" t="n">
        <x:f>IF(D24="",MAX(TODAY()-C24,0),MAX(D24-C24,0))</x:f>
        <x:v>0</x:v>
      </x:c>
      <x:c r="S24" s="13" t="str">
        <x:f>IF(R24=0,"Em dia",IF(R24&lt;=15,"1-15 dias",IF(R24&lt;=30,"16-30 dias",IF(R24&lt;=60,"31-60 dias","Acima de 60 dias"))))</x:f>
        <x:v>Em dia</x:v>
      </x:c>
    </x:row>
    <x:row r="25">
      <x:c r="A25" s="13" t="str">
        <x:v>REC-000024</x:v>
      </x:c>
      <x:c r="B25" s="23" t="n">
        <x:v>45296</x:v>
      </x:c>
      <x:c r="C25" s="23" t="n">
        <x:v>45317</x:v>
      </x:c>
      <x:c r="D25" s="23" t="n">
        <x:v>45317</x:v>
      </x:c>
      <x:c r="E25" s="13" t="str">
        <x:v>VAL-004</x:v>
      </x:c>
      <x:c r="F25" s="13" t="str">
        <x:v>NuvemBase Tecnologia</x:v>
      </x:c>
      <x:c r="G25" s="13" t="str">
        <x:v>Tecnologia</x:v>
      </x:c>
      <x:c r="H25" s="13" t="str">
        <x:v>Baixo</x:v>
      </x:c>
      <x:c r="I25" s="13" t="str">
        <x:v>Enterprise</x:v>
      </x:c>
      <x:c r="J25" s="17" t="n">
        <x:v>20389.84</x:v>
      </x:c>
      <x:c r="K25" s="17" t="n">
        <x:v>0</x:v>
      </x:c>
      <x:c r="L25" s="17" t="n">
        <x:v>0</x:v>
      </x:c>
      <x:c r="M25" s="13" t="str">
        <x:v>Pago</x:v>
      </x:c>
      <x:c r="N25" s="13" t="str">
        <x:v>Sem cobrança</x:v>
      </x:c>
      <x:c r="O25" s="13" t="str">
        <x:v>Base controlada</x:v>
      </x:c>
      <x:c r="P25" s="17" t="n">
        <x:f>IF(D25="",0,J25-K25+L25)</x:f>
        <x:v>20389.84</x:v>
      </x:c>
      <x:c r="Q25" s="17" t="n">
        <x:f>MAX(J25-P25-K25,0)</x:f>
        <x:v>0</x:v>
      </x:c>
      <x:c r="R25" s="13" t="n">
        <x:f>IF(D25="",MAX(TODAY()-C25,0),MAX(D25-C25,0))</x:f>
        <x:v>0</x:v>
      </x:c>
      <x:c r="S25" s="13" t="str">
        <x:f>IF(R25=0,"Em dia",IF(R25&lt;=15,"1-15 dias",IF(R25&lt;=30,"16-30 dias",IF(R25&lt;=60,"31-60 dias","Acima de 60 dias"))))</x:f>
        <x:v>Em dia</x:v>
      </x:c>
    </x:row>
    <x:row r="26">
      <x:c r="A26" s="13" t="str">
        <x:v>REC-000025</x:v>
      </x:c>
      <x:c r="B26" s="23" t="n">
        <x:v>45306</x:v>
      </x:c>
      <x:c r="C26" s="23" t="n">
        <x:v>45321</x:v>
      </x:c>
      <x:c r="D26" s="23" t="n">
        <x:v>45318</x:v>
      </x:c>
      <x:c r="E26" s="13" t="str">
        <x:v>VAL-010</x:v>
      </x:c>
      <x:c r="F26" s="13" t="str">
        <x:v>Atlas Contabilidade</x:v>
      </x:c>
      <x:c r="G26" s="13" t="str">
        <x:v>Serviços Profissionais</x:v>
      </x:c>
      <x:c r="H26" s="13" t="str">
        <x:v>Baixo</x:v>
      </x:c>
      <x:c r="I26" s="13" t="str">
        <x:v>Gestão</x:v>
      </x:c>
      <x:c r="J26" s="17" t="n">
        <x:v>5965.84</x:v>
      </x:c>
      <x:c r="K26" s="17" t="n">
        <x:v>0</x:v>
      </x:c>
      <x:c r="L26" s="17" t="n">
        <x:v>0</x:v>
      </x:c>
      <x:c r="M26" s="13" t="str">
        <x:v>Pago</x:v>
      </x:c>
      <x:c r="N26" s="13" t="str">
        <x:v>Sem cobrança</x:v>
      </x:c>
      <x:c r="O26" s="13" t="str">
        <x:v>Base controlada</x:v>
      </x:c>
      <x:c r="P26" s="17" t="n">
        <x:f>IF(D26="",0,J26-K26+L26)</x:f>
        <x:v>5965.84</x:v>
      </x:c>
      <x:c r="Q26" s="17" t="n">
        <x:f>MAX(J26-P26-K26,0)</x:f>
        <x:v>0</x:v>
      </x:c>
      <x:c r="R26" s="13" t="n">
        <x:f>IF(D26="",MAX(TODAY()-C26,0),MAX(D26-C26,0))</x:f>
        <x:v>0</x:v>
      </x:c>
      <x:c r="S26" s="13" t="str">
        <x:f>IF(R26=0,"Em dia",IF(R26&lt;=15,"1-15 dias",IF(R26&lt;=30,"16-30 dias",IF(R26&lt;=60,"31-60 dias","Acima de 60 dias"))))</x:f>
        <x:v>Em dia</x:v>
      </x:c>
    </x:row>
    <x:row r="27">
      <x:c r="A27" s="13" t="str">
        <x:v>REC-000026</x:v>
      </x:c>
      <x:c r="B27" s="23" t="n">
        <x:v>45299</x:v>
      </x:c>
      <x:c r="C27" s="23" t="n">
        <x:v>45320</x:v>
      </x:c>
      <x:c r="D27" s="23" t="n">
        <x:v>45316</x:v>
      </x:c>
      <x:c r="E27" s="13" t="str">
        <x:v>VAL-011</x:v>
      </x:c>
      <x:c r="F27" s="13" t="str">
        <x:v>Rede Essencial</x:v>
      </x:c>
      <x:c r="G27" s="13" t="str">
        <x:v>Varejo</x:v>
      </x:c>
      <x:c r="H27" s="13" t="str">
        <x:v>Médio</x:v>
      </x:c>
      <x:c r="I27" s="13" t="str">
        <x:v>Performance</x:v>
      </x:c>
      <x:c r="J27" s="17" t="n">
        <x:v>22238.58</x:v>
      </x:c>
      <x:c r="K27" s="17" t="n">
        <x:v>0</x:v>
      </x:c>
      <x:c r="L27" s="17" t="n">
        <x:v>0</x:v>
      </x:c>
      <x:c r="M27" s="13" t="str">
        <x:v>Pago</x:v>
      </x:c>
      <x:c r="N27" s="13" t="str">
        <x:v>Sem cobrança</x:v>
      </x:c>
      <x:c r="O27" s="13" t="str">
        <x:v>Base controlada</x:v>
      </x:c>
      <x:c r="P27" s="17" t="n">
        <x:f>IF(D27="",0,J27-K27+L27)</x:f>
        <x:v>22238.58</x:v>
      </x:c>
      <x:c r="Q27" s="17" t="n">
        <x:f>MAX(J27-P27-K27,0)</x:f>
        <x:v>0</x:v>
      </x:c>
      <x:c r="R27" s="13" t="n">
        <x:f>IF(D27="",MAX(TODAY()-C27,0),MAX(D27-C27,0))</x:f>
        <x:v>0</x:v>
      </x:c>
      <x:c r="S27" s="13" t="str">
        <x:f>IF(R27=0,"Em dia",IF(R27&lt;=15,"1-15 dias",IF(R27&lt;=30,"16-30 dias",IF(R27&lt;=60,"31-60 dias","Acima de 60 dias"))))</x:f>
        <x:v>Em dia</x:v>
      </x:c>
    </x:row>
    <x:row r="28">
      <x:c r="A28" s="13" t="str">
        <x:v>REC-000027</x:v>
      </x:c>
      <x:c r="B28" s="23" t="n">
        <x:v>45295</x:v>
      </x:c>
      <x:c r="C28" s="23" t="n">
        <x:v>45325</x:v>
      </x:c>
      <x:c r="D28" s="23" t="n">
        <x:v>45325</x:v>
      </x:c>
      <x:c r="E28" s="13" t="str">
        <x:v>VAL-025</x:v>
      </x:c>
      <x:c r="F28" s="13" t="str">
        <x:v>Bem-Estar Terapias</x:v>
      </x:c>
      <x:c r="G28" s="13" t="str">
        <x:v>Clínicas e Saúde</x:v>
      </x:c>
      <x:c r="H28" s="13" t="str">
        <x:v>Baixo</x:v>
      </x:c>
      <x:c r="I28" s="13" t="str">
        <x:v>Essencial</x:v>
      </x:c>
      <x:c r="J28" s="17" t="n">
        <x:v>4920.13</x:v>
      </x:c>
      <x:c r="K28" s="17" t="n">
        <x:v>0</x:v>
      </x:c>
      <x:c r="L28" s="17" t="n">
        <x:v>0</x:v>
      </x:c>
      <x:c r="M28" s="13" t="str">
        <x:v>Pago</x:v>
      </x:c>
      <x:c r="N28" s="13" t="str">
        <x:v>Sem cobrança</x:v>
      </x:c>
      <x:c r="O28" s="13" t="str">
        <x:v>Base controlada</x:v>
      </x:c>
      <x:c r="P28" s="17" t="n">
        <x:f>IF(D28="",0,J28-K28+L28)</x:f>
        <x:v>4920.13</x:v>
      </x:c>
      <x:c r="Q28" s="17" t="n">
        <x:f>MAX(J28-P28-K28,0)</x:f>
        <x:v>0</x:v>
      </x:c>
      <x:c r="R28" s="13" t="n">
        <x:f>IF(D28="",MAX(TODAY()-C28,0),MAX(D28-C28,0))</x:f>
        <x:v>0</x:v>
      </x:c>
      <x:c r="S28" s="13" t="str">
        <x:f>IF(R28=0,"Em dia",IF(R28&lt;=15,"1-15 dias",IF(R28&lt;=30,"16-30 dias",IF(R28&lt;=60,"31-60 dias","Acima de 60 dias"))))</x:f>
        <x:v>Em dia</x:v>
      </x:c>
    </x:row>
    <x:row r="29">
      <x:c r="A29" s="13" t="str">
        <x:v>REC-000028</x:v>
      </x:c>
      <x:c r="B29" s="23" t="n">
        <x:v>45301</x:v>
      </x:c>
      <x:c r="C29" s="23" t="n">
        <x:v>45322</x:v>
      </x:c>
      <x:c r="D29" s="23" t="n">
        <x:v>45322</x:v>
      </x:c>
      <x:c r="E29" s="13" t="str">
        <x:v>VAL-018</x:v>
      </x:c>
      <x:c r="F29" s="13" t="str">
        <x:v>Ponto Legal Advocacia</x:v>
      </x:c>
      <x:c r="G29" s="13" t="str">
        <x:v>Serviços Profissionais</x:v>
      </x:c>
      <x:c r="H29" s="13" t="str">
        <x:v>Baixo</x:v>
      </x:c>
      <x:c r="I29" s="13" t="str">
        <x:v>Gestão</x:v>
      </x:c>
      <x:c r="J29" s="17" t="n">
        <x:v>20534.16</x:v>
      </x:c>
      <x:c r="K29" s="17" t="n">
        <x:v>183.81</x:v>
      </x:c>
      <x:c r="L29" s="17" t="n">
        <x:v>0</x:v>
      </x:c>
      <x:c r="M29" s="13" t="str">
        <x:v>Pago</x:v>
      </x:c>
      <x:c r="N29" s="13" t="str">
        <x:v>Sem cobrança</x:v>
      </x:c>
      <x:c r="O29" s="13" t="str">
        <x:v>Base controlada</x:v>
      </x:c>
      <x:c r="P29" s="17" t="n">
        <x:f>IF(D29="",0,J29-K29+L29)</x:f>
        <x:v>20350.35</x:v>
      </x:c>
      <x:c r="Q29" s="17" t="n">
        <x:f>MAX(J29-P29-K29,0)</x:f>
        <x:v>1.3073986337985843e-12</x:v>
      </x:c>
      <x:c r="R29" s="13" t="n">
        <x:f>IF(D29="",MAX(TODAY()-C29,0),MAX(D29-C29,0))</x:f>
        <x:v>0</x:v>
      </x:c>
      <x:c r="S29" s="13" t="str">
        <x:f>IF(R29=0,"Em dia",IF(R29&lt;=15,"1-15 dias",IF(R29&lt;=30,"16-30 dias",IF(R29&lt;=60,"31-60 dias","Acima de 60 dias"))))</x:f>
        <x:v>Em dia</x:v>
      </x:c>
    </x:row>
    <x:row r="30">
      <x:c r="A30" s="13" t="str">
        <x:v>REC-000029</x:v>
      </x:c>
      <x:c r="B30" s="23" t="n">
        <x:v>45305</x:v>
      </x:c>
      <x:c r="C30" s="23" t="n">
        <x:v>45326</x:v>
      </x:c>
      <x:c r="D30" s="23" t="n">
        <x:v>45323</x:v>
      </x:c>
      <x:c r="E30" s="13" t="str">
        <x:v>VAL-010</x:v>
      </x:c>
      <x:c r="F30" s="13" t="str">
        <x:v>Atlas Contabilidade</x:v>
      </x:c>
      <x:c r="G30" s="13" t="str">
        <x:v>Serviços Profissionais</x:v>
      </x:c>
      <x:c r="H30" s="13" t="str">
        <x:v>Baixo</x:v>
      </x:c>
      <x:c r="I30" s="13" t="str">
        <x:v>Gestão</x:v>
      </x:c>
      <x:c r="J30" s="17" t="n">
        <x:v>17421.95</x:v>
      </x:c>
      <x:c r="K30" s="17" t="n">
        <x:v>0</x:v>
      </x:c>
      <x:c r="L30" s="17" t="n">
        <x:v>0</x:v>
      </x:c>
      <x:c r="M30" s="13" t="str">
        <x:v>Pago</x:v>
      </x:c>
      <x:c r="N30" s="13" t="str">
        <x:v>Sem cobrança</x:v>
      </x:c>
      <x:c r="O30" s="13" t="str">
        <x:v>Base controlada</x:v>
      </x:c>
      <x:c r="P30" s="17" t="n">
        <x:f>IF(D30="",0,J30-K30+L30)</x:f>
        <x:v>17421.95</x:v>
      </x:c>
      <x:c r="Q30" s="17" t="n">
        <x:f>MAX(J30-P30-K30,0)</x:f>
        <x:v>0</x:v>
      </x:c>
      <x:c r="R30" s="13" t="n">
        <x:f>IF(D30="",MAX(TODAY()-C30,0),MAX(D30-C30,0))</x:f>
        <x:v>0</x:v>
      </x:c>
      <x:c r="S30" s="13" t="str">
        <x:f>IF(R30=0,"Em dia",IF(R30&lt;=15,"1-15 dias",IF(R30&lt;=30,"16-30 dias",IF(R30&lt;=60,"31-60 dias","Acima de 60 dias"))))</x:f>
        <x:v>Em dia</x:v>
      </x:c>
    </x:row>
    <x:row r="31">
      <x:c r="A31" s="13" t="str">
        <x:v>REC-000030</x:v>
      </x:c>
      <x:c r="B31" s="23" t="n">
        <x:v>45304</x:v>
      </x:c>
      <x:c r="C31" s="23" t="n">
        <x:v>45311</x:v>
      </x:c>
      <x:c r="D31" s="23" t="n">
        <x:v>45311</x:v>
      </x:c>
      <x:c r="E31" s="13" t="str">
        <x:v>VAL-026</x:v>
      </x:c>
      <x:c r="F31" s="13" t="str">
        <x:v>Ribeiro Arquitetura</x:v>
      </x:c>
      <x:c r="G31" s="13" t="str">
        <x:v>Serviços Profissionais</x:v>
      </x:c>
      <x:c r="H31" s="13" t="str">
        <x:v>Baixo</x:v>
      </x:c>
      <x:c r="I31" s="13" t="str">
        <x:v>Gestão</x:v>
      </x:c>
      <x:c r="J31" s="17" t="n">
        <x:v>14422.2</x:v>
      </x:c>
      <x:c r="K31" s="17" t="n">
        <x:v>0</x:v>
      </x:c>
      <x:c r="L31" s="17" t="n">
        <x:v>0</x:v>
      </x:c>
      <x:c r="M31" s="13" t="str">
        <x:v>Pago</x:v>
      </x:c>
      <x:c r="N31" s="13" t="str">
        <x:v>Sem cobrança</x:v>
      </x:c>
      <x:c r="O31" s="13" t="str">
        <x:v>Base controlada</x:v>
      </x:c>
      <x:c r="P31" s="17" t="n">
        <x:f>IF(D31="",0,J31-K31+L31)</x:f>
        <x:v>14422.2</x:v>
      </x:c>
      <x:c r="Q31" s="17" t="n">
        <x:f>MAX(J31-P31-K31,0)</x:f>
        <x:v>0</x:v>
      </x:c>
      <x:c r="R31" s="13" t="n">
        <x:f>IF(D31="",MAX(TODAY()-C31,0),MAX(D31-C31,0))</x:f>
        <x:v>0</x:v>
      </x:c>
      <x:c r="S31" s="13" t="str">
        <x:f>IF(R31=0,"Em dia",IF(R31&lt;=15,"1-15 dias",IF(R31&lt;=30,"16-30 dias",IF(R31&lt;=60,"31-60 dias","Acima de 60 dias"))))</x:f>
        <x:v>Em dia</x:v>
      </x:c>
    </x:row>
    <x:row r="32">
      <x:c r="A32" s="13" t="str">
        <x:v>REC-000031</x:v>
      </x:c>
      <x:c r="B32" s="23" t="n">
        <x:v>45293</x:v>
      </x:c>
      <x:c r="C32" s="23" t="n">
        <x:v>45321</x:v>
      </x:c>
      <x:c r="D32" s="23" t="n">
        <x:v>45321</x:v>
      </x:c>
      <x:c r="E32" s="13" t="str">
        <x:v>VAL-021</x:v>
      </x:c>
      <x:c r="F32" s="13" t="str">
        <x:v>Base Forte Obras</x:v>
      </x:c>
      <x:c r="G32" s="13" t="str">
        <x:v>Construção</x:v>
      </x:c>
      <x:c r="H32" s="13" t="str">
        <x:v>Médio</x:v>
      </x:c>
      <x:c r="I32" s="13" t="str">
        <x:v>Essencial</x:v>
      </x:c>
      <x:c r="J32" s="17" t="n">
        <x:v>22950.97</x:v>
      </x:c>
      <x:c r="K32" s="17" t="n">
        <x:v>0</x:v>
      </x:c>
      <x:c r="L32" s="17" t="n">
        <x:v>0</x:v>
      </x:c>
      <x:c r="M32" s="13" t="str">
        <x:v>Pago</x:v>
      </x:c>
      <x:c r="N32" s="13" t="str">
        <x:v>Sem cobrança</x:v>
      </x:c>
      <x:c r="O32" s="13" t="str">
        <x:v>Base controlada</x:v>
      </x:c>
      <x:c r="P32" s="17" t="n">
        <x:f>IF(D32="",0,J32-K32+L32)</x:f>
        <x:v>22950.97</x:v>
      </x:c>
      <x:c r="Q32" s="17" t="n">
        <x:f>MAX(J32-P32-K32,0)</x:f>
        <x:v>0</x:v>
      </x:c>
      <x:c r="R32" s="13" t="n">
        <x:f>IF(D32="",MAX(TODAY()-C32,0),MAX(D32-C32,0))</x:f>
        <x:v>0</x:v>
      </x:c>
      <x:c r="S32" s="13" t="str">
        <x:f>IF(R32=0,"Em dia",IF(R32&lt;=15,"1-15 dias",IF(R32&lt;=30,"16-30 dias",IF(R32&lt;=60,"31-60 dias","Acima de 60 dias"))))</x:f>
        <x:v>Em dia</x:v>
      </x:c>
    </x:row>
    <x:row r="33">
      <x:c r="A33" s="13" t="str">
        <x:v>REC-000032</x:v>
      </x:c>
      <x:c r="B33" s="23" t="n">
        <x:v>45304</x:v>
      </x:c>
      <x:c r="C33" s="23" t="n">
        <x:v>45311</x:v>
      </x:c>
      <x:c r="D33" s="23" t="n">
        <x:v>45311</x:v>
      </x:c>
      <x:c r="E33" s="13" t="str">
        <x:v>VAL-006</x:v>
      </x:c>
      <x:c r="F33" s="13" t="str">
        <x:v>Instituto Saber Mais</x:v>
      </x:c>
      <x:c r="G33" s="13" t="str">
        <x:v>Educação</x:v>
      </x:c>
      <x:c r="H33" s="13" t="str">
        <x:v>Médio</x:v>
      </x:c>
      <x:c r="I33" s="13" t="str">
        <x:v>Gestão</x:v>
      </x:c>
      <x:c r="J33" s="17" t="n">
        <x:v>18206.79</x:v>
      </x:c>
      <x:c r="K33" s="17" t="n">
        <x:v>0</x:v>
      </x:c>
      <x:c r="L33" s="17" t="n">
        <x:v>0</x:v>
      </x:c>
      <x:c r="M33" s="13" t="str">
        <x:v>Pago</x:v>
      </x:c>
      <x:c r="N33" s="13" t="str">
        <x:v>Sem cobrança</x:v>
      </x:c>
      <x:c r="O33" s="13" t="str">
        <x:v>Base controlada</x:v>
      </x:c>
      <x:c r="P33" s="17" t="n">
        <x:f>IF(D33="",0,J33-K33+L33)</x:f>
        <x:v>18206.79</x:v>
      </x:c>
      <x:c r="Q33" s="17" t="n">
        <x:f>MAX(J33-P33-K33,0)</x:f>
        <x:v>0</x:v>
      </x:c>
      <x:c r="R33" s="13" t="n">
        <x:f>IF(D33="",MAX(TODAY()-C33,0),MAX(D33-C33,0))</x:f>
        <x:v>0</x:v>
      </x:c>
      <x:c r="S33" s="13" t="str">
        <x:f>IF(R33=0,"Em dia",IF(R33&lt;=15,"1-15 dias",IF(R33&lt;=30,"16-30 dias",IF(R33&lt;=60,"31-60 dias","Acima de 60 dias"))))</x:f>
        <x:v>Em dia</x:v>
      </x:c>
    </x:row>
    <x:row r="34">
      <x:c r="A34" s="13" t="str">
        <x:v>REC-000033</x:v>
      </x:c>
      <x:c r="B34" s="23" t="n">
        <x:v>45308</x:v>
      </x:c>
      <x:c r="C34" s="23" t="n">
        <x:v>45329</x:v>
      </x:c>
      <x:c r="D34" s="23" t="n">
        <x:v>45328</x:v>
      </x:c>
      <x:c r="E34" s="13" t="str">
        <x:v>VAL-001</x:v>
      </x:c>
      <x:c r="F34" s="13" t="str">
        <x:v>Clínica Horizonte</x:v>
      </x:c>
      <x:c r="G34" s="13" t="str">
        <x:v>Clínicas e Saúde</x:v>
      </x:c>
      <x:c r="H34" s="13" t="str">
        <x:v>Baixo</x:v>
      </x:c>
      <x:c r="I34" s="13" t="str">
        <x:v>Essencial</x:v>
      </x:c>
      <x:c r="J34" s="17" t="n">
        <x:v>10797.11</x:v>
      </x:c>
      <x:c r="K34" s="17" t="n">
        <x:v>0</x:v>
      </x:c>
      <x:c r="L34" s="17" t="n">
        <x:v>0</x:v>
      </x:c>
      <x:c r="M34" s="13" t="str">
        <x:v>Pago</x:v>
      </x:c>
      <x:c r="N34" s="13" t="str">
        <x:v>Sem cobrança</x:v>
      </x:c>
      <x:c r="O34" s="13" t="str">
        <x:v>Base controlada</x:v>
      </x:c>
      <x:c r="P34" s="17" t="n">
        <x:f>IF(D34="",0,J34-K34+L34)</x:f>
        <x:v>10797.11</x:v>
      </x:c>
      <x:c r="Q34" s="17" t="n">
        <x:f>MAX(J34-P34-K34,0)</x:f>
        <x:v>0</x:v>
      </x:c>
      <x:c r="R34" s="13" t="n">
        <x:f>IF(D34="",MAX(TODAY()-C34,0),MAX(D34-C34,0))</x:f>
        <x:v>0</x:v>
      </x:c>
      <x:c r="S34" s="13" t="str">
        <x:f>IF(R34=0,"Em dia",IF(R34&lt;=15,"1-15 dias",IF(R34&lt;=30,"16-30 dias",IF(R34&lt;=60,"31-60 dias","Acima de 60 dias"))))</x:f>
        <x:v>Em dia</x:v>
      </x:c>
    </x:row>
    <x:row r="35">
      <x:c r="A35" s="13" t="str">
        <x:v>REC-000034</x:v>
      </x:c>
      <x:c r="B35" s="23" t="n">
        <x:v>45302</x:v>
      </x:c>
      <x:c r="C35" s="23" t="n">
        <x:v>45309</x:v>
      </x:c>
      <x:c r="D35" s="23" t="n">
        <x:v>45306</x:v>
      </x:c>
      <x:c r="E35" s="13" t="str">
        <x:v>VAL-027</x:v>
      </x:c>
      <x:c r="F35" s="13" t="str">
        <x:v>Mais Lar Utilidades</x:v>
      </x:c>
      <x:c r="G35" s="13" t="str">
        <x:v>Varejo</x:v>
      </x:c>
      <x:c r="H35" s="13" t="str">
        <x:v>Baixo</x:v>
      </x:c>
      <x:c r="I35" s="13" t="str">
        <x:v>Performance</x:v>
      </x:c>
      <x:c r="J35" s="17" t="n">
        <x:v>8694.52</x:v>
      </x:c>
      <x:c r="K35" s="17" t="n">
        <x:v>0</x:v>
      </x:c>
      <x:c r="L35" s="17" t="n">
        <x:v>0</x:v>
      </x:c>
      <x:c r="M35" s="13" t="str">
        <x:v>Pago</x:v>
      </x:c>
      <x:c r="N35" s="13" t="str">
        <x:v>Sem cobrança</x:v>
      </x:c>
      <x:c r="O35" s="13" t="str">
        <x:v>Base controlada</x:v>
      </x:c>
      <x:c r="P35" s="17" t="n">
        <x:f>IF(D35="",0,J35-K35+L35)</x:f>
        <x:v>8694.52</x:v>
      </x:c>
      <x:c r="Q35" s="17" t="n">
        <x:f>MAX(J35-P35-K35,0)</x:f>
        <x:v>0</x:v>
      </x:c>
      <x:c r="R35" s="13" t="n">
        <x:f>IF(D35="",MAX(TODAY()-C35,0),MAX(D35-C35,0))</x:f>
        <x:v>0</x:v>
      </x:c>
      <x:c r="S35" s="13" t="str">
        <x:f>IF(R35=0,"Em dia",IF(R35&lt;=15,"1-15 dias",IF(R35&lt;=30,"16-30 dias",IF(R35&lt;=60,"31-60 dias","Acima de 60 dias"))))</x:f>
        <x:v>Em dia</x:v>
      </x:c>
    </x:row>
    <x:row r="36">
      <x:c r="A36" s="13" t="str">
        <x:v>REC-000035</x:v>
      </x:c>
      <x:c r="B36" s="23" t="n">
        <x:v>45298</x:v>
      </x:c>
      <x:c r="C36" s="23" t="n">
        <x:v>45313</x:v>
      </x:c>
      <x:c r="D36" s="23" t="n">
        <x:v>45311</x:v>
      </x:c>
      <x:c r="E36" s="13" t="str">
        <x:v>VAL-003</x:v>
      </x:c>
      <x:c r="F36" s="13" t="str">
        <x:v>Casa Nova Varejo</x:v>
      </x:c>
      <x:c r="G36" s="13" t="str">
        <x:v>Varejo</x:v>
      </x:c>
      <x:c r="H36" s="13" t="str">
        <x:v>Baixo</x:v>
      </x:c>
      <x:c r="I36" s="13" t="str">
        <x:v>Performance</x:v>
      </x:c>
      <x:c r="J36" s="17" t="n">
        <x:v>34736.06</x:v>
      </x:c>
      <x:c r="K36" s="17" t="n">
        <x:v>0</x:v>
      </x:c>
      <x:c r="L36" s="17" t="n">
        <x:v>0</x:v>
      </x:c>
      <x:c r="M36" s="13" t="str">
        <x:v>Pago</x:v>
      </x:c>
      <x:c r="N36" s="13" t="str">
        <x:v>Sem cobrança</x:v>
      </x:c>
      <x:c r="O36" s="13" t="str">
        <x:v>Base controlada</x:v>
      </x:c>
      <x:c r="P36" s="17" t="n">
        <x:f>IF(D36="",0,J36-K36+L36)</x:f>
        <x:v>34736.06</x:v>
      </x:c>
      <x:c r="Q36" s="17" t="n">
        <x:f>MAX(J36-P36-K36,0)</x:f>
        <x:v>0</x:v>
      </x:c>
      <x:c r="R36" s="13" t="n">
        <x:f>IF(D36="",MAX(TODAY()-C36,0),MAX(D36-C36,0))</x:f>
        <x:v>0</x:v>
      </x:c>
      <x:c r="S36" s="13" t="str">
        <x:f>IF(R36=0,"Em dia",IF(R36&lt;=15,"1-15 dias",IF(R36&lt;=30,"16-30 dias",IF(R36&lt;=60,"31-60 dias","Acima de 60 dias"))))</x:f>
        <x:v>Em dia</x:v>
      </x:c>
    </x:row>
    <x:row r="37">
      <x:c r="A37" s="13" t="str">
        <x:v>REC-000036</x:v>
      </x:c>
      <x:c r="B37" s="23" t="n">
        <x:v>45301</x:v>
      </x:c>
      <x:c r="C37" s="23" t="n">
        <x:v>45322</x:v>
      </x:c>
      <x:c r="D37" s="23" t="n">
        <x:v>45335</x:v>
      </x:c>
      <x:c r="E37" s="13" t="str">
        <x:v>VAL-007</x:v>
      </x:c>
      <x:c r="F37" s="13" t="str">
        <x:v>Loja Prisma Online</x:v>
      </x:c>
      <x:c r="G37" s="13" t="str">
        <x:v>E-commerce</x:v>
      </x:c>
      <x:c r="H37" s="13" t="str">
        <x:v>Médio</x:v>
      </x:c>
      <x:c r="I37" s="13" t="str">
        <x:v>Performance</x:v>
      </x:c>
      <x:c r="J37" s="17" t="n">
        <x:v>29087.36</x:v>
      </x:c>
      <x:c r="K37" s="17" t="n">
        <x:v>0</x:v>
      </x:c>
      <x:c r="L37" s="17" t="n">
        <x:v>245.79</x:v>
      </x:c>
      <x:c r="M37" s="13" t="str">
        <x:v>Pago com atraso</x:v>
      </x:c>
      <x:c r="N37" s="13" t="str">
        <x:v>WhatsApp</x:v>
      </x:c>
      <x:c r="O37" s="13" t="str">
        <x:v>Base controlada</x:v>
      </x:c>
      <x:c r="P37" s="17" t="n">
        <x:f>IF(D37="",0,J37-K37+L37)</x:f>
        <x:v>29333.15</x:v>
      </x:c>
      <x:c r="Q37" s="17" t="n">
        <x:f>MAX(J37-P37-K37,0)</x:f>
        <x:v>0</x:v>
      </x:c>
      <x:c r="R37" s="13" t="n">
        <x:f>IF(D37="",MAX(TODAY()-C37,0),MAX(D37-C37,0))</x:f>
        <x:v>13</x:v>
      </x:c>
      <x:c r="S37" s="13" t="str">
        <x:f>IF(R37=0,"Em dia",IF(R37&lt;=15,"1-15 dias",IF(R37&lt;=30,"16-30 dias",IF(R37&lt;=60,"31-60 dias","Acima de 60 dias"))))</x:f>
        <x:v>1-15 dias</x:v>
      </x:c>
    </x:row>
    <x:row r="38">
      <x:c r="A38" s="13" t="str">
        <x:v>REC-000037</x:v>
      </x:c>
      <x:c r="B38" s="23" t="n">
        <x:v>45296</x:v>
      </x:c>
      <x:c r="C38" s="23" t="n">
        <x:v>45326</x:v>
      </x:c>
      <x:c r="D38" s="23" t="n">
        <x:v>45326</x:v>
      </x:c>
      <x:c r="E38" s="13" t="str">
        <x:v>VAL-016</x:v>
      </x:c>
      <x:c r="F38" s="13" t="str">
        <x:v>Lumina Embalagens</x:v>
      </x:c>
      <x:c r="G38" s="13" t="str">
        <x:v>Indústria Leve</x:v>
      </x:c>
      <x:c r="H38" s="13" t="str">
        <x:v>Baixo</x:v>
      </x:c>
      <x:c r="I38" s="13" t="str">
        <x:v>Enterprise</x:v>
      </x:c>
      <x:c r="J38" s="17" t="n">
        <x:v>25916.85</x:v>
      </x:c>
      <x:c r="K38" s="17" t="n">
        <x:v>348.45</x:v>
      </x:c>
      <x:c r="L38" s="17" t="n">
        <x:v>0</x:v>
      </x:c>
      <x:c r="M38" s="13" t="str">
        <x:v>Pago</x:v>
      </x:c>
      <x:c r="N38" s="13" t="str">
        <x:v>Sem cobrança</x:v>
      </x:c>
      <x:c r="O38" s="13" t="str">
        <x:v>Base controlada</x:v>
      </x:c>
      <x:c r="P38" s="17" t="n">
        <x:f>IF(D38="",0,J38-K38+L38)</x:f>
        <x:v>25568.399999999998</x:v>
      </x:c>
      <x:c r="Q38" s="17" t="n">
        <x:f>MAX(J38-P38-K38,0)</x:f>
        <x:v>7.389644451905042e-13</x:v>
      </x:c>
      <x:c r="R38" s="13" t="n">
        <x:f>IF(D38="",MAX(TODAY()-C38,0),MAX(D38-C38,0))</x:f>
        <x:v>0</x:v>
      </x:c>
      <x:c r="S38" s="13" t="str">
        <x:f>IF(R38=0,"Em dia",IF(R38&lt;=15,"1-15 dias",IF(R38&lt;=30,"16-30 dias",IF(R38&lt;=60,"31-60 dias","Acima de 60 dias"))))</x:f>
        <x:v>Em dia</x:v>
      </x:c>
    </x:row>
    <x:row r="39">
      <x:c r="A39" s="13" t="str">
        <x:v>REC-000038</x:v>
      </x:c>
      <x:c r="B39" s="23" t="n">
        <x:v>45307</x:v>
      </x:c>
      <x:c r="C39" s="23" t="n">
        <x:v>45337</x:v>
      </x:c>
      <x:c r="D39" s="23" t="n">
        <x:v>45335</x:v>
      </x:c>
      <x:c r="E39" s="13" t="str">
        <x:v>VAL-025</x:v>
      </x:c>
      <x:c r="F39" s="13" t="str">
        <x:v>Bem-Estar Terapias</x:v>
      </x:c>
      <x:c r="G39" s="13" t="str">
        <x:v>Clínicas e Saúde</x:v>
      </x:c>
      <x:c r="H39" s="13" t="str">
        <x:v>Baixo</x:v>
      </x:c>
      <x:c r="I39" s="13" t="str">
        <x:v>Essencial</x:v>
      </x:c>
      <x:c r="J39" s="17" t="n">
        <x:v>22441.3</x:v>
      </x:c>
      <x:c r="K39" s="17" t="n">
        <x:v>0</x:v>
      </x:c>
      <x:c r="L39" s="17" t="n">
        <x:v>0</x:v>
      </x:c>
      <x:c r="M39" s="13" t="str">
        <x:v>Pago</x:v>
      </x:c>
      <x:c r="N39" s="13" t="str">
        <x:v>Sem cobrança</x:v>
      </x:c>
      <x:c r="O39" s="13" t="str">
        <x:v>Base controlada</x:v>
      </x:c>
      <x:c r="P39" s="17" t="n">
        <x:f>IF(D39="",0,J39-K39+L39)</x:f>
        <x:v>22441.3</x:v>
      </x:c>
      <x:c r="Q39" s="17" t="n">
        <x:f>MAX(J39-P39-K39,0)</x:f>
        <x:v>0</x:v>
      </x:c>
      <x:c r="R39" s="13" t="n">
        <x:f>IF(D39="",MAX(TODAY()-C39,0),MAX(D39-C39,0))</x:f>
        <x:v>0</x:v>
      </x:c>
      <x:c r="S39" s="13" t="str">
        <x:f>IF(R39=0,"Em dia",IF(R39&lt;=15,"1-15 dias",IF(R39&lt;=30,"16-30 dias",IF(R39&lt;=60,"31-60 dias","Acima de 60 dias"))))</x:f>
        <x:v>Em dia</x:v>
      </x:c>
    </x:row>
    <x:row r="40">
      <x:c r="A40" s="13" t="str">
        <x:v>REC-000039</x:v>
      </x:c>
      <x:c r="B40" s="23" t="n">
        <x:v>45310</x:v>
      </x:c>
      <x:c r="C40" s="23" t="n">
        <x:v>45317</x:v>
      </x:c>
      <x:c r="D40" s="23" t="n">
        <x:v>45317</x:v>
      </x:c>
      <x:c r="E40" s="13" t="str">
        <x:v>VAL-018</x:v>
      </x:c>
      <x:c r="F40" s="13" t="str">
        <x:v>Ponto Legal Advocacia</x:v>
      </x:c>
      <x:c r="G40" s="13" t="str">
        <x:v>Serviços Profissionais</x:v>
      </x:c>
      <x:c r="H40" s="13" t="str">
        <x:v>Baixo</x:v>
      </x:c>
      <x:c r="I40" s="13" t="str">
        <x:v>Gestão</x:v>
      </x:c>
      <x:c r="J40" s="17" t="n">
        <x:v>6191.21</x:v>
      </x:c>
      <x:c r="K40" s="17" t="n">
        <x:v>0</x:v>
      </x:c>
      <x:c r="L40" s="17" t="n">
        <x:v>0</x:v>
      </x:c>
      <x:c r="M40" s="13" t="str">
        <x:v>Pago</x:v>
      </x:c>
      <x:c r="N40" s="13" t="str">
        <x:v>Sem cobrança</x:v>
      </x:c>
      <x:c r="O40" s="13" t="str">
        <x:v>Base controlada</x:v>
      </x:c>
      <x:c r="P40" s="17" t="n">
        <x:f>IF(D40="",0,J40-K40+L40)</x:f>
        <x:v>6191.21</x:v>
      </x:c>
      <x:c r="Q40" s="17" t="n">
        <x:f>MAX(J40-P40-K40,0)</x:f>
        <x:v>0</x:v>
      </x:c>
      <x:c r="R40" s="13" t="n">
        <x:f>IF(D40="",MAX(TODAY()-C40,0),MAX(D40-C40,0))</x:f>
        <x:v>0</x:v>
      </x:c>
      <x:c r="S40" s="13" t="str">
        <x:f>IF(R40=0,"Em dia",IF(R40&lt;=15,"1-15 dias",IF(R40&lt;=30,"16-30 dias",IF(R40&lt;=60,"31-60 dias","Acima de 60 dias"))))</x:f>
        <x:v>Em dia</x:v>
      </x:c>
    </x:row>
    <x:row r="41">
      <x:c r="A41" s="13" t="str">
        <x:v>REC-000040</x:v>
      </x:c>
      <x:c r="B41" s="23" t="n">
        <x:v>45297</x:v>
      </x:c>
      <x:c r="C41" s="23" t="n">
        <x:v>45304</x:v>
      </x:c>
      <x:c r="D41" s="23" t="n">
        <x:v>45302</x:v>
      </x:c>
      <x:c r="E41" s="13" t="str">
        <x:v>VAL-015</x:v>
      </x:c>
      <x:c r="F41" s="13" t="str">
        <x:v>Mercado Click</x:v>
      </x:c>
      <x:c r="G41" s="13" t="str">
        <x:v>E-commerce</x:v>
      </x:c>
      <x:c r="H41" s="13" t="str">
        <x:v>Baixo</x:v>
      </x:c>
      <x:c r="I41" s="13" t="str">
        <x:v>Performance</x:v>
      </x:c>
      <x:c r="J41" s="17" t="n">
        <x:v>27122.29</x:v>
      </x:c>
      <x:c r="K41" s="17" t="n">
        <x:v>0</x:v>
      </x:c>
      <x:c r="L41" s="17" t="n">
        <x:v>0</x:v>
      </x:c>
      <x:c r="M41" s="13" t="str">
        <x:v>Pago</x:v>
      </x:c>
      <x:c r="N41" s="13" t="str">
        <x:v>Sem cobrança</x:v>
      </x:c>
      <x:c r="O41" s="13" t="str">
        <x:v>Base controlada</x:v>
      </x:c>
      <x:c r="P41" s="17" t="n">
        <x:f>IF(D41="",0,J41-K41+L41)</x:f>
        <x:v>27122.29</x:v>
      </x:c>
      <x:c r="Q41" s="17" t="n">
        <x:f>MAX(J41-P41-K41,0)</x:f>
        <x:v>0</x:v>
      </x:c>
      <x:c r="R41" s="13" t="n">
        <x:f>IF(D41="",MAX(TODAY()-C41,0),MAX(D41-C41,0))</x:f>
        <x:v>0</x:v>
      </x:c>
      <x:c r="S41" s="13" t="str">
        <x:f>IF(R41=0,"Em dia",IF(R41&lt;=15,"1-15 dias",IF(R41&lt;=30,"16-30 dias",IF(R41&lt;=60,"31-60 dias","Acima de 60 dias"))))</x:f>
        <x:v>Em dia</x:v>
      </x:c>
    </x:row>
    <x:row r="42">
      <x:c r="A42" s="13" t="str">
        <x:v>REC-000041</x:v>
      </x:c>
      <x:c r="B42" s="23" t="n">
        <x:v>45308</x:v>
      </x:c>
      <x:c r="C42" s="23" t="n">
        <x:v>45315</x:v>
      </x:c>
      <x:c r="D42" s="23" t="n">
        <x:v>45315</x:v>
      </x:c>
      <x:c r="E42" s="13" t="str">
        <x:v>VAL-025</x:v>
      </x:c>
      <x:c r="F42" s="13" t="str">
        <x:v>Bem-Estar Terapias</x:v>
      </x:c>
      <x:c r="G42" s="13" t="str">
        <x:v>Clínicas e Saúde</x:v>
      </x:c>
      <x:c r="H42" s="13" t="str">
        <x:v>Baixo</x:v>
      </x:c>
      <x:c r="I42" s="13" t="str">
        <x:v>Essencial</x:v>
      </x:c>
      <x:c r="J42" s="17" t="n">
        <x:v>7760.67</x:v>
      </x:c>
      <x:c r="K42" s="17" t="n">
        <x:v>0</x:v>
      </x:c>
      <x:c r="L42" s="17" t="n">
        <x:v>0</x:v>
      </x:c>
      <x:c r="M42" s="13" t="str">
        <x:v>Pago</x:v>
      </x:c>
      <x:c r="N42" s="13" t="str">
        <x:v>Sem cobrança</x:v>
      </x:c>
      <x:c r="O42" s="13" t="str">
        <x:v>Base controlada</x:v>
      </x:c>
      <x:c r="P42" s="17" t="n">
        <x:f>IF(D42="",0,J42-K42+L42)</x:f>
        <x:v>7760.67</x:v>
      </x:c>
      <x:c r="Q42" s="17" t="n">
        <x:f>MAX(J42-P42-K42,0)</x:f>
        <x:v>0</x:v>
      </x:c>
      <x:c r="R42" s="13" t="n">
        <x:f>IF(D42="",MAX(TODAY()-C42,0),MAX(D42-C42,0))</x:f>
        <x:v>0</x:v>
      </x:c>
      <x:c r="S42" s="13" t="str">
        <x:f>IF(R42=0,"Em dia",IF(R42&lt;=15,"1-15 dias",IF(R42&lt;=30,"16-30 dias",IF(R42&lt;=60,"31-60 dias","Acima de 60 dias"))))</x:f>
        <x:v>Em dia</x:v>
      </x:c>
    </x:row>
    <x:row r="43">
      <x:c r="A43" s="13" t="str">
        <x:v>REC-000042</x:v>
      </x:c>
      <x:c r="B43" s="23" t="n">
        <x:v>45297</x:v>
      </x:c>
      <x:c r="C43" s="23" t="n">
        <x:v>45318</x:v>
      </x:c>
      <x:c r="D43" s="23" t="n">
        <x:v>45318</x:v>
      </x:c>
      <x:c r="E43" s="13" t="str">
        <x:v>VAL-023</x:v>
      </x:c>
      <x:c r="F43" s="13" t="str">
        <x:v>ShopMix Brasil</x:v>
      </x:c>
      <x:c r="G43" s="13" t="str">
        <x:v>E-commerce</x:v>
      </x:c>
      <x:c r="H43" s="13" t="str">
        <x:v>Baixo</x:v>
      </x:c>
      <x:c r="I43" s="13" t="str">
        <x:v>Performance</x:v>
      </x:c>
      <x:c r="J43" s="17" t="n">
        <x:v>14841.83</x:v>
      </x:c>
      <x:c r="K43" s="17" t="n">
        <x:v>0</x:v>
      </x:c>
      <x:c r="L43" s="17" t="n">
        <x:v>0</x:v>
      </x:c>
      <x:c r="M43" s="13" t="str">
        <x:v>Pago</x:v>
      </x:c>
      <x:c r="N43" s="13" t="str">
        <x:v>Sem cobrança</x:v>
      </x:c>
      <x:c r="O43" s="13" t="str">
        <x:v>Base controlada</x:v>
      </x:c>
      <x:c r="P43" s="17" t="n">
        <x:f>IF(D43="",0,J43-K43+L43)</x:f>
        <x:v>14841.83</x:v>
      </x:c>
      <x:c r="Q43" s="17" t="n">
        <x:f>MAX(J43-P43-K43,0)</x:f>
        <x:v>0</x:v>
      </x:c>
      <x:c r="R43" s="13" t="n">
        <x:f>IF(D43="",MAX(TODAY()-C43,0),MAX(D43-C43,0))</x:f>
        <x:v>0</x:v>
      </x:c>
      <x:c r="S43" s="13" t="str">
        <x:f>IF(R43=0,"Em dia",IF(R43&lt;=15,"1-15 dias",IF(R43&lt;=30,"16-30 dias",IF(R43&lt;=60,"31-60 dias","Acima de 60 dias"))))</x:f>
        <x:v>Em dia</x:v>
      </x:c>
    </x:row>
    <x:row r="44">
      <x:c r="A44" s="13" t="str">
        <x:v>REC-000043</x:v>
      </x:c>
      <x:c r="B44" s="23" t="n">
        <x:v>45295</x:v>
      </x:c>
      <x:c r="C44" s="23" t="n">
        <x:v>45323</x:v>
      </x:c>
      <x:c r="D44" s="23" t="n">
        <x:v>45321</x:v>
      </x:c>
      <x:c r="E44" s="13" t="str">
        <x:v>VAL-012</x:v>
      </x:c>
      <x:c r="F44" s="13" t="str">
        <x:v>DataFlow Sistemas</x:v>
      </x:c>
      <x:c r="G44" s="13" t="str">
        <x:v>Tecnologia</x:v>
      </x:c>
      <x:c r="H44" s="13" t="str">
        <x:v>Médio</x:v>
      </x:c>
      <x:c r="I44" s="13" t="str">
        <x:v>Enterprise</x:v>
      </x:c>
      <x:c r="J44" s="17" t="n">
        <x:v>29724.73</x:v>
      </x:c>
      <x:c r="K44" s="17" t="n">
        <x:v>0</x:v>
      </x:c>
      <x:c r="L44" s="17" t="n">
        <x:v>0</x:v>
      </x:c>
      <x:c r="M44" s="13" t="str">
        <x:v>Pago</x:v>
      </x:c>
      <x:c r="N44" s="13" t="str">
        <x:v>Sem cobrança</x:v>
      </x:c>
      <x:c r="O44" s="13" t="str">
        <x:v>Base controlada</x:v>
      </x:c>
      <x:c r="P44" s="17" t="n">
        <x:f>IF(D44="",0,J44-K44+L44)</x:f>
        <x:v>29724.73</x:v>
      </x:c>
      <x:c r="Q44" s="17" t="n">
        <x:f>MAX(J44-P44-K44,0)</x:f>
        <x:v>0</x:v>
      </x:c>
      <x:c r="R44" s="13" t="n">
        <x:f>IF(D44="",MAX(TODAY()-C44,0),MAX(D44-C44,0))</x:f>
        <x:v>0</x:v>
      </x:c>
      <x:c r="S44" s="13" t="str">
        <x:f>IF(R44=0,"Em dia",IF(R44&lt;=15,"1-15 dias",IF(R44&lt;=30,"16-30 dias",IF(R44&lt;=60,"31-60 dias","Acima de 60 dias"))))</x:f>
        <x:v>Em dia</x:v>
      </x:c>
    </x:row>
    <x:row r="45">
      <x:c r="A45" s="13" t="str">
        <x:v>REC-000044</x:v>
      </x:c>
      <x:c r="B45" s="23" t="n">
        <x:v>45303</x:v>
      </x:c>
      <x:c r="C45" s="23" t="n">
        <x:v>45333</x:v>
      </x:c>
      <x:c r="D45" s="23" t="n">
        <x:v>45331</x:v>
      </x:c>
      <x:c r="E45" s="13" t="str">
        <x:v>VAL-001</x:v>
      </x:c>
      <x:c r="F45" s="13" t="str">
        <x:v>Clínica Horizonte</x:v>
      </x:c>
      <x:c r="G45" s="13" t="str">
        <x:v>Clínicas e Saúde</x:v>
      </x:c>
      <x:c r="H45" s="13" t="str">
        <x:v>Baixo</x:v>
      </x:c>
      <x:c r="I45" s="13" t="str">
        <x:v>Essencial</x:v>
      </x:c>
      <x:c r="J45" s="17" t="n">
        <x:v>23477.91</x:v>
      </x:c>
      <x:c r="K45" s="17" t="n">
        <x:v>0</x:v>
      </x:c>
      <x:c r="L45" s="17" t="n">
        <x:v>0</x:v>
      </x:c>
      <x:c r="M45" s="13" t="str">
        <x:v>Pago</x:v>
      </x:c>
      <x:c r="N45" s="13" t="str">
        <x:v>Sem cobrança</x:v>
      </x:c>
      <x:c r="O45" s="13" t="str">
        <x:v>Base controlada</x:v>
      </x:c>
      <x:c r="P45" s="17" t="n">
        <x:f>IF(D45="",0,J45-K45+L45)</x:f>
        <x:v>23477.91</x:v>
      </x:c>
      <x:c r="Q45" s="17" t="n">
        <x:f>MAX(J45-P45-K45,0)</x:f>
        <x:v>0</x:v>
      </x:c>
      <x:c r="R45" s="13" t="n">
        <x:f>IF(D45="",MAX(TODAY()-C45,0),MAX(D45-C45,0))</x:f>
        <x:v>0</x:v>
      </x:c>
      <x:c r="S45" s="13" t="str">
        <x:f>IF(R45=0,"Em dia",IF(R45&lt;=15,"1-15 dias",IF(R45&lt;=30,"16-30 dias",IF(R45&lt;=60,"31-60 dias","Acima de 60 dias"))))</x:f>
        <x:v>Em dia</x:v>
      </x:c>
    </x:row>
    <x:row r="46">
      <x:c r="A46" s="13" t="str">
        <x:v>REC-000045</x:v>
      </x:c>
      <x:c r="B46" s="23" t="n">
        <x:v>45307</x:v>
      </x:c>
      <x:c r="C46" s="23" t="n">
        <x:v>45337</x:v>
      </x:c>
      <x:c r="D46" s="23" t="n">
        <x:v>45336</x:v>
      </x:c>
      <x:c r="E46" s="13" t="str">
        <x:v>VAL-011</x:v>
      </x:c>
      <x:c r="F46" s="13" t="str">
        <x:v>Rede Essencial</x:v>
      </x:c>
      <x:c r="G46" s="13" t="str">
        <x:v>Varejo</x:v>
      </x:c>
      <x:c r="H46" s="13" t="str">
        <x:v>Médio</x:v>
      </x:c>
      <x:c r="I46" s="13" t="str">
        <x:v>Performance</x:v>
      </x:c>
      <x:c r="J46" s="17" t="n">
        <x:v>26464.76</x:v>
      </x:c>
      <x:c r="K46" s="17" t="n">
        <x:v>0</x:v>
      </x:c>
      <x:c r="L46" s="17" t="n">
        <x:v>0</x:v>
      </x:c>
      <x:c r="M46" s="13" t="str">
        <x:v>Pago</x:v>
      </x:c>
      <x:c r="N46" s="13" t="str">
        <x:v>Sem cobrança</x:v>
      </x:c>
      <x:c r="O46" s="13" t="str">
        <x:v>Base controlada</x:v>
      </x:c>
      <x:c r="P46" s="17" t="n">
        <x:f>IF(D46="",0,J46-K46+L46)</x:f>
        <x:v>26464.76</x:v>
      </x:c>
      <x:c r="Q46" s="17" t="n">
        <x:f>MAX(J46-P46-K46,0)</x:f>
        <x:v>0</x:v>
      </x:c>
      <x:c r="R46" s="13" t="n">
        <x:f>IF(D46="",MAX(TODAY()-C46,0),MAX(D46-C46,0))</x:f>
        <x:v>0</x:v>
      </x:c>
      <x:c r="S46" s="13" t="str">
        <x:f>IF(R46=0,"Em dia",IF(R46&lt;=15,"1-15 dias",IF(R46&lt;=30,"16-30 dias",IF(R46&lt;=60,"31-60 dias","Acima de 60 dias"))))</x:f>
        <x:v>Em dia</x:v>
      </x:c>
    </x:row>
    <x:row r="47">
      <x:c r="A47" s="13" t="str">
        <x:v>REC-000046</x:v>
      </x:c>
      <x:c r="B47" s="23" t="n">
        <x:v>45301</x:v>
      </x:c>
      <x:c r="C47" s="23" t="n">
        <x:v>45331</x:v>
      </x:c>
      <x:c r="D47" s="23" t="n">
        <x:v>45328</x:v>
      </x:c>
      <x:c r="E47" s="13" t="str">
        <x:v>VAL-012</x:v>
      </x:c>
      <x:c r="F47" s="13" t="str">
        <x:v>DataFlow Sistemas</x:v>
      </x:c>
      <x:c r="G47" s="13" t="str">
        <x:v>Tecnologia</x:v>
      </x:c>
      <x:c r="H47" s="13" t="str">
        <x:v>Médio</x:v>
      </x:c>
      <x:c r="I47" s="13" t="str">
        <x:v>Enterprise</x:v>
      </x:c>
      <x:c r="J47" s="17" t="n">
        <x:v>22886.92</x:v>
      </x:c>
      <x:c r="K47" s="17" t="n">
        <x:v>0</x:v>
      </x:c>
      <x:c r="L47" s="17" t="n">
        <x:v>0</x:v>
      </x:c>
      <x:c r="M47" s="13" t="str">
        <x:v>Pago</x:v>
      </x:c>
      <x:c r="N47" s="13" t="str">
        <x:v>Sem cobrança</x:v>
      </x:c>
      <x:c r="O47" s="13" t="str">
        <x:v>Base controlada</x:v>
      </x:c>
      <x:c r="P47" s="17" t="n">
        <x:f>IF(D47="",0,J47-K47+L47)</x:f>
        <x:v>22886.92</x:v>
      </x:c>
      <x:c r="Q47" s="17" t="n">
        <x:f>MAX(J47-P47-K47,0)</x:f>
        <x:v>0</x:v>
      </x:c>
      <x:c r="R47" s="13" t="n">
        <x:f>IF(D47="",MAX(TODAY()-C47,0),MAX(D47-C47,0))</x:f>
        <x:v>0</x:v>
      </x:c>
      <x:c r="S47" s="13" t="str">
        <x:f>IF(R47=0,"Em dia",IF(R47&lt;=15,"1-15 dias",IF(R47&lt;=30,"16-30 dias",IF(R47&lt;=60,"31-60 dias","Acima de 60 dias"))))</x:f>
        <x:v>Em dia</x:v>
      </x:c>
    </x:row>
    <x:row r="48">
      <x:c r="A48" s="13" t="str">
        <x:v>REC-000047</x:v>
      </x:c>
      <x:c r="B48" s="23" t="n">
        <x:v>45292</x:v>
      </x:c>
      <x:c r="C48" s="23" t="n">
        <x:v>45313</x:v>
      </x:c>
      <x:c r="D48" s="23" t="n">
        <x:v>45311</x:v>
      </x:c>
      <x:c r="E48" s="13" t="str">
        <x:v>VAL-007</x:v>
      </x:c>
      <x:c r="F48" s="13" t="str">
        <x:v>Loja Prisma Online</x:v>
      </x:c>
      <x:c r="G48" s="13" t="str">
        <x:v>E-commerce</x:v>
      </x:c>
      <x:c r="H48" s="13" t="str">
        <x:v>Médio</x:v>
      </x:c>
      <x:c r="I48" s="13" t="str">
        <x:v>Performance</x:v>
      </x:c>
      <x:c r="J48" s="17" t="n">
        <x:v>14411.28</x:v>
      </x:c>
      <x:c r="K48" s="17" t="n">
        <x:v>0</x:v>
      </x:c>
      <x:c r="L48" s="17" t="n">
        <x:v>0</x:v>
      </x:c>
      <x:c r="M48" s="13" t="str">
        <x:v>Pago</x:v>
      </x:c>
      <x:c r="N48" s="13" t="str">
        <x:v>Sem cobrança</x:v>
      </x:c>
      <x:c r="O48" s="13" t="str">
        <x:v>Base controlada</x:v>
      </x:c>
      <x:c r="P48" s="17" t="n">
        <x:f>IF(D48="",0,J48-K48+L48)</x:f>
        <x:v>14411.28</x:v>
      </x:c>
      <x:c r="Q48" s="17" t="n">
        <x:f>MAX(J48-P48-K48,0)</x:f>
        <x:v>0</x:v>
      </x:c>
      <x:c r="R48" s="13" t="n">
        <x:f>IF(D48="",MAX(TODAY()-C48,0),MAX(D48-C48,0))</x:f>
        <x:v>0</x:v>
      </x:c>
      <x:c r="S48" s="13" t="str">
        <x:f>IF(R48=0,"Em dia",IF(R48&lt;=15,"1-15 dias",IF(R48&lt;=30,"16-30 dias",IF(R48&lt;=60,"31-60 dias","Acima de 60 dias"))))</x:f>
        <x:v>Em dia</x:v>
      </x:c>
    </x:row>
    <x:row r="49">
      <x:c r="A49" s="13" t="str">
        <x:v>REC-000048</x:v>
      </x:c>
      <x:c r="B49" s="23" t="n">
        <x:v>45300</x:v>
      </x:c>
      <x:c r="C49" s="23" t="n">
        <x:v>45321</x:v>
      </x:c>
      <x:c r="D49" s="23" t="n">
        <x:v>45321</x:v>
      </x:c>
      <x:c r="E49" s="13" t="str">
        <x:v>VAL-030</x:v>
      </x:c>
      <x:c r="F49" s="13" t="str">
        <x:v>Mundo Kids Cursos</x:v>
      </x:c>
      <x:c r="G49" s="13" t="str">
        <x:v>Educação</x:v>
      </x:c>
      <x:c r="H49" s="13" t="str">
        <x:v>Alto</x:v>
      </x:c>
      <x:c r="I49" s="13" t="str">
        <x:v>Gestão</x:v>
      </x:c>
      <x:c r="J49" s="17" t="n">
        <x:v>1443.88</x:v>
      </x:c>
      <x:c r="K49" s="17" t="n">
        <x:v>0</x:v>
      </x:c>
      <x:c r="L49" s="17" t="n">
        <x:v>0</x:v>
      </x:c>
      <x:c r="M49" s="13" t="str">
        <x:v>Pago</x:v>
      </x:c>
      <x:c r="N49" s="13" t="str">
        <x:v>Sem cobrança</x:v>
      </x:c>
      <x:c r="O49" s="13" t="str">
        <x:v>Base controlada</x:v>
      </x:c>
      <x:c r="P49" s="17" t="n">
        <x:f>IF(D49="",0,J49-K49+L49)</x:f>
        <x:v>1443.88</x:v>
      </x:c>
      <x:c r="Q49" s="17" t="n">
        <x:f>MAX(J49-P49-K49,0)</x:f>
        <x:v>0</x:v>
      </x:c>
      <x:c r="R49" s="13" t="n">
        <x:f>IF(D49="",MAX(TODAY()-C49,0),MAX(D49-C49,0))</x:f>
        <x:v>0</x:v>
      </x:c>
      <x:c r="S49" s="13" t="str">
        <x:f>IF(R49=0,"Em dia",IF(R49&lt;=15,"1-15 dias",IF(R49&lt;=30,"16-30 dias",IF(R49&lt;=60,"31-60 dias","Acima de 60 dias"))))</x:f>
        <x:v>Em dia</x:v>
      </x:c>
    </x:row>
    <x:row r="50">
      <x:c r="A50" s="13" t="str">
        <x:v>REC-000049</x:v>
      </x:c>
      <x:c r="B50" s="23" t="n">
        <x:v>45304</x:v>
      </x:c>
      <x:c r="C50" s="23" t="n">
        <x:v>45311</x:v>
      </x:c>
      <x:c r="D50" s="23" t="n">
        <x:v>45309</x:v>
      </x:c>
      <x:c r="E50" s="13" t="str">
        <x:v>VAL-030</x:v>
      </x:c>
      <x:c r="F50" s="13" t="str">
        <x:v>Mundo Kids Cursos</x:v>
      </x:c>
      <x:c r="G50" s="13" t="str">
        <x:v>Educação</x:v>
      </x:c>
      <x:c r="H50" s="13" t="str">
        <x:v>Alto</x:v>
      </x:c>
      <x:c r="I50" s="13" t="str">
        <x:v>Gestão</x:v>
      </x:c>
      <x:c r="J50" s="17" t="n">
        <x:v>26152.13</x:v>
      </x:c>
      <x:c r="K50" s="17" t="n">
        <x:v>0</x:v>
      </x:c>
      <x:c r="L50" s="17" t="n">
        <x:v>0</x:v>
      </x:c>
      <x:c r="M50" s="13" t="str">
        <x:v>Pago</x:v>
      </x:c>
      <x:c r="N50" s="13" t="str">
        <x:v>Sem cobrança</x:v>
      </x:c>
      <x:c r="O50" s="13" t="str">
        <x:v>Base controlada</x:v>
      </x:c>
      <x:c r="P50" s="17" t="n">
        <x:f>IF(D50="",0,J50-K50+L50)</x:f>
        <x:v>26152.13</x:v>
      </x:c>
      <x:c r="Q50" s="17" t="n">
        <x:f>MAX(J50-P50-K50,0)</x:f>
        <x:v>0</x:v>
      </x:c>
      <x:c r="R50" s="13" t="n">
        <x:f>IF(D50="",MAX(TODAY()-C50,0),MAX(D50-C50,0))</x:f>
        <x:v>0</x:v>
      </x:c>
      <x:c r="S50" s="13" t="str">
        <x:f>IF(R50=0,"Em dia",IF(R50&lt;=15,"1-15 dias",IF(R50&lt;=30,"16-30 dias",IF(R50&lt;=60,"31-60 dias","Acima de 60 dias"))))</x:f>
        <x:v>Em dia</x:v>
      </x:c>
    </x:row>
    <x:row r="51">
      <x:c r="A51" s="13" t="str">
        <x:v>REC-000050</x:v>
      </x:c>
      <x:c r="B51" s="23" t="n">
        <x:v>45310</x:v>
      </x:c>
      <x:c r="C51" s="23" t="n">
        <x:v>45340</x:v>
      </x:c>
      <x:c r="D51" s="23" t="n">
        <x:v>45340</x:v>
      </x:c>
      <x:c r="E51" s="13" t="str">
        <x:v>VAL-023</x:v>
      </x:c>
      <x:c r="F51" s="13" t="str">
        <x:v>ShopMix Brasil</x:v>
      </x:c>
      <x:c r="G51" s="13" t="str">
        <x:v>E-commerce</x:v>
      </x:c>
      <x:c r="H51" s="13" t="str">
        <x:v>Baixo</x:v>
      </x:c>
      <x:c r="I51" s="13" t="str">
        <x:v>Performance</x:v>
      </x:c>
      <x:c r="J51" s="17" t="n">
        <x:v>12687.1</x:v>
      </x:c>
      <x:c r="K51" s="17" t="n">
        <x:v>0</x:v>
      </x:c>
      <x:c r="L51" s="17" t="n">
        <x:v>0</x:v>
      </x:c>
      <x:c r="M51" s="13" t="str">
        <x:v>Pago</x:v>
      </x:c>
      <x:c r="N51" s="13" t="str">
        <x:v>Sem cobrança</x:v>
      </x:c>
      <x:c r="O51" s="13" t="str">
        <x:v>Base controlada</x:v>
      </x:c>
      <x:c r="P51" s="17" t="n">
        <x:f>IF(D51="",0,J51-K51+L51)</x:f>
        <x:v>12687.1</x:v>
      </x:c>
      <x:c r="Q51" s="17" t="n">
        <x:f>MAX(J51-P51-K51,0)</x:f>
        <x:v>0</x:v>
      </x:c>
      <x:c r="R51" s="13" t="n">
        <x:f>IF(D51="",MAX(TODAY()-C51,0),MAX(D51-C51,0))</x:f>
        <x:v>0</x:v>
      </x:c>
      <x:c r="S51" s="13" t="str">
        <x:f>IF(R51=0,"Em dia",IF(R51&lt;=15,"1-15 dias",IF(R51&lt;=30,"16-30 dias",IF(R51&lt;=60,"31-60 dias","Acima de 60 dias"))))</x:f>
        <x:v>Em dia</x:v>
      </x:c>
    </x:row>
    <x:row r="52">
      <x:c r="A52" s="13" t="str">
        <x:v>REC-000051</x:v>
      </x:c>
      <x:c r="B52" s="23" t="n">
        <x:v>45310</x:v>
      </x:c>
      <x:c r="C52" s="23" t="n">
        <x:v>45325</x:v>
      </x:c>
      <x:c r="D52" s="23" t="n">
        <x:v>45322</x:v>
      </x:c>
      <x:c r="E52" s="13" t="str">
        <x:v>VAL-021</x:v>
      </x:c>
      <x:c r="F52" s="13" t="str">
        <x:v>Base Forte Obras</x:v>
      </x:c>
      <x:c r="G52" s="13" t="str">
        <x:v>Construção</x:v>
      </x:c>
      <x:c r="H52" s="13" t="str">
        <x:v>Médio</x:v>
      </x:c>
      <x:c r="I52" s="13" t="str">
        <x:v>Essencial</x:v>
      </x:c>
      <x:c r="J52" s="17" t="n">
        <x:v>4554.01</x:v>
      </x:c>
      <x:c r="K52" s="17" t="n">
        <x:v>0</x:v>
      </x:c>
      <x:c r="L52" s="17" t="n">
        <x:v>0</x:v>
      </x:c>
      <x:c r="M52" s="13" t="str">
        <x:v>Pago</x:v>
      </x:c>
      <x:c r="N52" s="13" t="str">
        <x:v>Sem cobrança</x:v>
      </x:c>
      <x:c r="O52" s="13" t="str">
        <x:v>Base controlada</x:v>
      </x:c>
      <x:c r="P52" s="17" t="n">
        <x:f>IF(D52="",0,J52-K52+L52)</x:f>
        <x:v>4554.01</x:v>
      </x:c>
      <x:c r="Q52" s="17" t="n">
        <x:f>MAX(J52-P52-K52,0)</x:f>
        <x:v>0</x:v>
      </x:c>
      <x:c r="R52" s="13" t="n">
        <x:f>IF(D52="",MAX(TODAY()-C52,0),MAX(D52-C52,0))</x:f>
        <x:v>0</x:v>
      </x:c>
      <x:c r="S52" s="13" t="str">
        <x:f>IF(R52=0,"Em dia",IF(R52&lt;=15,"1-15 dias",IF(R52&lt;=30,"16-30 dias",IF(R52&lt;=60,"31-60 dias","Acima de 60 dias"))))</x:f>
        <x:v>Em dia</x:v>
      </x:c>
    </x:row>
    <x:row r="53">
      <x:c r="A53" s="13" t="str">
        <x:v>REC-000052</x:v>
      </x:c>
      <x:c r="B53" s="23" t="n">
        <x:v>45309</x:v>
      </x:c>
      <x:c r="C53" s="23" t="n">
        <x:v>45337</x:v>
      </x:c>
      <x:c r="D53" s="23" t="n">
        <x:v>45335</x:v>
      </x:c>
      <x:c r="E53" s="13" t="str">
        <x:v>VAL-002</x:v>
      </x:c>
      <x:c r="F53" s="13" t="str">
        <x:v>Mendes &amp; Prado Consultoria</x:v>
      </x:c>
      <x:c r="G53" s="13" t="str">
        <x:v>Serviços Profissionais</x:v>
      </x:c>
      <x:c r="H53" s="13" t="str">
        <x:v>Baixo</x:v>
      </x:c>
      <x:c r="I53" s="13" t="str">
        <x:v>Gestão</x:v>
      </x:c>
      <x:c r="J53" s="17" t="n">
        <x:v>5130.33</x:v>
      </x:c>
      <x:c r="K53" s="17" t="n">
        <x:v>66.27</x:v>
      </x:c>
      <x:c r="L53" s="17" t="n">
        <x:v>0</x:v>
      </x:c>
      <x:c r="M53" s="13" t="str">
        <x:v>Pago</x:v>
      </x:c>
      <x:c r="N53" s="13" t="str">
        <x:v>Sem cobrança</x:v>
      </x:c>
      <x:c r="O53" s="13" t="str">
        <x:v>Base controlada</x:v>
      </x:c>
      <x:c r="P53" s="17" t="n">
        <x:f>IF(D53="",0,J53-K53+L53)</x:f>
        <x:v>5064.0599999999995</x:v>
      </x:c>
      <x:c r="Q53" s="17" t="n">
        <x:f>MAX(J53-P53-K53,0)</x:f>
        <x:v>4.405364961712621e-13</x:v>
      </x:c>
      <x:c r="R53" s="13" t="n">
        <x:f>IF(D53="",MAX(TODAY()-C53,0),MAX(D53-C53,0))</x:f>
        <x:v>0</x:v>
      </x:c>
      <x:c r="S53" s="13" t="str">
        <x:f>IF(R53=0,"Em dia",IF(R53&lt;=15,"1-15 dias",IF(R53&lt;=30,"16-30 dias",IF(R53&lt;=60,"31-60 dias","Acima de 60 dias"))))</x:f>
        <x:v>Em dia</x:v>
      </x:c>
    </x:row>
    <x:row r="54">
      <x:c r="A54" s="13" t="str">
        <x:v>REC-000053</x:v>
      </x:c>
      <x:c r="B54" s="23" t="n">
        <x:v>45306</x:v>
      </x:c>
      <x:c r="C54" s="23" t="n">
        <x:v>45334</x:v>
      </x:c>
      <x:c r="D54" s="23" t="n">
        <x:v>45334</x:v>
      </x:c>
      <x:c r="E54" s="13" t="str">
        <x:v>VAL-022</x:v>
      </x:c>
      <x:c r="F54" s="13" t="str">
        <x:v>Academia Evoluir</x:v>
      </x:c>
      <x:c r="G54" s="13" t="str">
        <x:v>Educação</x:v>
      </x:c>
      <x:c r="H54" s="13" t="str">
        <x:v>Alto</x:v>
      </x:c>
      <x:c r="I54" s="13" t="str">
        <x:v>Gestão</x:v>
      </x:c>
      <x:c r="J54" s="17" t="n">
        <x:v>19283.38</x:v>
      </x:c>
      <x:c r="K54" s="17" t="n">
        <x:v>286.85</x:v>
      </x:c>
      <x:c r="L54" s="17" t="n">
        <x:v>0</x:v>
      </x:c>
      <x:c r="M54" s="13" t="str">
        <x:v>Pago</x:v>
      </x:c>
      <x:c r="N54" s="13" t="str">
        <x:v>Sem cobrança</x:v>
      </x:c>
      <x:c r="O54" s="13" t="str">
        <x:v>Base controlada</x:v>
      </x:c>
      <x:c r="P54" s="17" t="n">
        <x:f>IF(D54="",0,J54-K54+L54)</x:f>
        <x:v>18996.530000000002</x:v>
      </x:c>
      <x:c r="Q54" s="17" t="n">
        <x:f>MAX(J54-P54-K54,0)</x:f>
        <x:v>0</x:v>
      </x:c>
      <x:c r="R54" s="13" t="n">
        <x:f>IF(D54="",MAX(TODAY()-C54,0),MAX(D54-C54,0))</x:f>
        <x:v>0</x:v>
      </x:c>
      <x:c r="S54" s="13" t="str">
        <x:f>IF(R54=0,"Em dia",IF(R54&lt;=15,"1-15 dias",IF(R54&lt;=30,"16-30 dias",IF(R54&lt;=60,"31-60 dias","Acima de 60 dias"))))</x:f>
        <x:v>Em dia</x:v>
      </x:c>
    </x:row>
    <x:row r="55">
      <x:c r="A55" s="13" t="str">
        <x:v>REC-000054</x:v>
      </x:c>
      <x:c r="B55" s="23" t="n">
        <x:v>45308</x:v>
      </x:c>
      <x:c r="C55" s="23" t="n">
        <x:v>45329</x:v>
      </x:c>
      <x:c r="D55" s="23" t="n">
        <x:v>45327</x:v>
      </x:c>
      <x:c r="E55" s="13" t="str">
        <x:v>VAL-023</x:v>
      </x:c>
      <x:c r="F55" s="13" t="str">
        <x:v>ShopMix Brasil</x:v>
      </x:c>
      <x:c r="G55" s="13" t="str">
        <x:v>E-commerce</x:v>
      </x:c>
      <x:c r="H55" s="13" t="str">
        <x:v>Baixo</x:v>
      </x:c>
      <x:c r="I55" s="13" t="str">
        <x:v>Performance</x:v>
      </x:c>
      <x:c r="J55" s="17" t="n">
        <x:v>19067.14</x:v>
      </x:c>
      <x:c r="K55" s="17" t="n">
        <x:v>0</x:v>
      </x:c>
      <x:c r="L55" s="17" t="n">
        <x:v>0</x:v>
      </x:c>
      <x:c r="M55" s="13" t="str">
        <x:v>Pago</x:v>
      </x:c>
      <x:c r="N55" s="13" t="str">
        <x:v>Sem cobrança</x:v>
      </x:c>
      <x:c r="O55" s="13" t="str">
        <x:v>Base controlada</x:v>
      </x:c>
      <x:c r="P55" s="17" t="n">
        <x:f>IF(D55="",0,J55-K55+L55)</x:f>
        <x:v>19067.14</x:v>
      </x:c>
      <x:c r="Q55" s="17" t="n">
        <x:f>MAX(J55-P55-K55,0)</x:f>
        <x:v>0</x:v>
      </x:c>
      <x:c r="R55" s="13" t="n">
        <x:f>IF(D55="",MAX(TODAY()-C55,0),MAX(D55-C55,0))</x:f>
        <x:v>0</x:v>
      </x:c>
      <x:c r="S55" s="13" t="str">
        <x:f>IF(R55=0,"Em dia",IF(R55&lt;=15,"1-15 dias",IF(R55&lt;=30,"16-30 dias",IF(R55&lt;=60,"31-60 dias","Acima de 60 dias"))))</x:f>
        <x:v>Em dia</x:v>
      </x:c>
    </x:row>
    <x:row r="56">
      <x:c r="A56" s="13" t="str">
        <x:v>REC-000055</x:v>
      </x:c>
      <x:c r="B56" s="23" t="n">
        <x:v>45300</x:v>
      </x:c>
      <x:c r="C56" s="23" t="n">
        <x:v>45328</x:v>
      </x:c>
      <x:c r="D56" s="23" t="n">
        <x:v>45325</x:v>
      </x:c>
      <x:c r="E56" s="13" t="str">
        <x:v>VAL-030</x:v>
      </x:c>
      <x:c r="F56" s="13" t="str">
        <x:v>Mundo Kids Cursos</x:v>
      </x:c>
      <x:c r="G56" s="13" t="str">
        <x:v>Educação</x:v>
      </x:c>
      <x:c r="H56" s="13" t="str">
        <x:v>Alto</x:v>
      </x:c>
      <x:c r="I56" s="13" t="str">
        <x:v>Gestão</x:v>
      </x:c>
      <x:c r="J56" s="17" t="n">
        <x:v>20085.42</x:v>
      </x:c>
      <x:c r="K56" s="17" t="n">
        <x:v>0</x:v>
      </x:c>
      <x:c r="L56" s="17" t="n">
        <x:v>0</x:v>
      </x:c>
      <x:c r="M56" s="13" t="str">
        <x:v>Pago</x:v>
      </x:c>
      <x:c r="N56" s="13" t="str">
        <x:v>Sem cobrança</x:v>
      </x:c>
      <x:c r="O56" s="13" t="str">
        <x:v>Base controlada</x:v>
      </x:c>
      <x:c r="P56" s="17" t="n">
        <x:f>IF(D56="",0,J56-K56+L56)</x:f>
        <x:v>20085.42</x:v>
      </x:c>
      <x:c r="Q56" s="17" t="n">
        <x:f>MAX(J56-P56-K56,0)</x:f>
        <x:v>0</x:v>
      </x:c>
      <x:c r="R56" s="13" t="n">
        <x:f>IF(D56="",MAX(TODAY()-C56,0),MAX(D56-C56,0))</x:f>
        <x:v>0</x:v>
      </x:c>
      <x:c r="S56" s="13" t="str">
        <x:f>IF(R56=0,"Em dia",IF(R56&lt;=15,"1-15 dias",IF(R56&lt;=30,"16-30 dias",IF(R56&lt;=60,"31-60 dias","Acima de 60 dias"))))</x:f>
        <x:v>Em dia</x:v>
      </x:c>
    </x:row>
    <x:row r="57">
      <x:c r="A57" s="13" t="str">
        <x:v>REC-000056</x:v>
      </x:c>
      <x:c r="B57" s="23" t="n">
        <x:v>45292</x:v>
      </x:c>
      <x:c r="C57" s="23" t="n">
        <x:v>45313</x:v>
      </x:c>
      <x:c r="D57" s="23" t="n">
        <x:v>45311</x:v>
      </x:c>
      <x:c r="E57" s="13" t="str">
        <x:v>VAL-009</x:v>
      </x:c>
      <x:c r="F57" s="13" t="str">
        <x:v>Odonto Prime</x:v>
      </x:c>
      <x:c r="G57" s="13" t="str">
        <x:v>Clínicas e Saúde</x:v>
      </x:c>
      <x:c r="H57" s="13" t="str">
        <x:v>Médio</x:v>
      </x:c>
      <x:c r="I57" s="13" t="str">
        <x:v>Essencial</x:v>
      </x:c>
      <x:c r="J57" s="17" t="n">
        <x:v>5660.02</x:v>
      </x:c>
      <x:c r="K57" s="17" t="n">
        <x:v>0</x:v>
      </x:c>
      <x:c r="L57" s="17" t="n">
        <x:v>0</x:v>
      </x:c>
      <x:c r="M57" s="13" t="str">
        <x:v>Pago</x:v>
      </x:c>
      <x:c r="N57" s="13" t="str">
        <x:v>Sem cobrança</x:v>
      </x:c>
      <x:c r="O57" s="13" t="str">
        <x:v>Base controlada</x:v>
      </x:c>
      <x:c r="P57" s="17" t="n">
        <x:f>IF(D57="",0,J57-K57+L57)</x:f>
        <x:v>5660.02</x:v>
      </x:c>
      <x:c r="Q57" s="17" t="n">
        <x:f>MAX(J57-P57-K57,0)</x:f>
        <x:v>0</x:v>
      </x:c>
      <x:c r="R57" s="13" t="n">
        <x:f>IF(D57="",MAX(TODAY()-C57,0),MAX(D57-C57,0))</x:f>
        <x:v>0</x:v>
      </x:c>
      <x:c r="S57" s="13" t="str">
        <x:f>IF(R57=0,"Em dia",IF(R57&lt;=15,"1-15 dias",IF(R57&lt;=30,"16-30 dias",IF(R57&lt;=60,"31-60 dias","Acima de 60 dias"))))</x:f>
        <x:v>Em dia</x:v>
      </x:c>
    </x:row>
    <x:row r="58">
      <x:c r="A58" s="13" t="str">
        <x:v>REC-000057</x:v>
      </x:c>
      <x:c r="B58" s="23" t="n">
        <x:v>45297</x:v>
      </x:c>
      <x:c r="C58" s="23" t="n">
        <x:v>45318</x:v>
      </x:c>
      <x:c r="D58" s="23" t="n">
        <x:v>45314</x:v>
      </x:c>
      <x:c r="E58" s="13" t="str">
        <x:v>VAL-022</x:v>
      </x:c>
      <x:c r="F58" s="13" t="str">
        <x:v>Academia Evoluir</x:v>
      </x:c>
      <x:c r="G58" s="13" t="str">
        <x:v>Educação</x:v>
      </x:c>
      <x:c r="H58" s="13" t="str">
        <x:v>Alto</x:v>
      </x:c>
      <x:c r="I58" s="13" t="str">
        <x:v>Gestão</x:v>
      </x:c>
      <x:c r="J58" s="17" t="n">
        <x:v>24596.28</x:v>
      </x:c>
      <x:c r="K58" s="17" t="n">
        <x:v>0</x:v>
      </x:c>
      <x:c r="L58" s="17" t="n">
        <x:v>0</x:v>
      </x:c>
      <x:c r="M58" s="13" t="str">
        <x:v>Pago</x:v>
      </x:c>
      <x:c r="N58" s="13" t="str">
        <x:v>Sem cobrança</x:v>
      </x:c>
      <x:c r="O58" s="13" t="str">
        <x:v>Base controlada</x:v>
      </x:c>
      <x:c r="P58" s="17" t="n">
        <x:f>IF(D58="",0,J58-K58+L58)</x:f>
        <x:v>24596.28</x:v>
      </x:c>
      <x:c r="Q58" s="17" t="n">
        <x:f>MAX(J58-P58-K58,0)</x:f>
        <x:v>0</x:v>
      </x:c>
      <x:c r="R58" s="13" t="n">
        <x:f>IF(D58="",MAX(TODAY()-C58,0),MAX(D58-C58,0))</x:f>
        <x:v>0</x:v>
      </x:c>
      <x:c r="S58" s="13" t="str">
        <x:f>IF(R58=0,"Em dia",IF(R58&lt;=15,"1-15 dias",IF(R58&lt;=30,"16-30 dias",IF(R58&lt;=60,"31-60 dias","Acima de 60 dias"))))</x:f>
        <x:v>Em dia</x:v>
      </x:c>
    </x:row>
    <x:row r="59">
      <x:c r="A59" s="13" t="str">
        <x:v>REC-000058</x:v>
      </x:c>
      <x:c r="B59" s="23" t="n">
        <x:v>45305</x:v>
      </x:c>
      <x:c r="C59" s="23" t="n">
        <x:v>45335</x:v>
      </x:c>
      <x:c r="D59" s="23" t="n">
        <x:v>45332</x:v>
      </x:c>
      <x:c r="E59" s="13" t="str">
        <x:v>VAL-016</x:v>
      </x:c>
      <x:c r="F59" s="13" t="str">
        <x:v>Lumina Embalagens</x:v>
      </x:c>
      <x:c r="G59" s="13" t="str">
        <x:v>Indústria Leve</x:v>
      </x:c>
      <x:c r="H59" s="13" t="str">
        <x:v>Baixo</x:v>
      </x:c>
      <x:c r="I59" s="13" t="str">
        <x:v>Enterprise</x:v>
      </x:c>
      <x:c r="J59" s="17" t="n">
        <x:v>3025.3</x:v>
      </x:c>
      <x:c r="K59" s="17" t="n">
        <x:v>0</x:v>
      </x:c>
      <x:c r="L59" s="17" t="n">
        <x:v>0</x:v>
      </x:c>
      <x:c r="M59" s="13" t="str">
        <x:v>Pago</x:v>
      </x:c>
      <x:c r="N59" s="13" t="str">
        <x:v>Sem cobrança</x:v>
      </x:c>
      <x:c r="O59" s="13" t="str">
        <x:v>Base controlada</x:v>
      </x:c>
      <x:c r="P59" s="17" t="n">
        <x:f>IF(D59="",0,J59-K59+L59)</x:f>
        <x:v>3025.3</x:v>
      </x:c>
      <x:c r="Q59" s="17" t="n">
        <x:f>MAX(J59-P59-K59,0)</x:f>
        <x:v>0</x:v>
      </x:c>
      <x:c r="R59" s="13" t="n">
        <x:f>IF(D59="",MAX(TODAY()-C59,0),MAX(D59-C59,0))</x:f>
        <x:v>0</x:v>
      </x:c>
      <x:c r="S59" s="13" t="str">
        <x:f>IF(R59=0,"Em dia",IF(R59&lt;=15,"1-15 dias",IF(R59&lt;=30,"16-30 dias",IF(R59&lt;=60,"31-60 dias","Acima de 60 dias"))))</x:f>
        <x:v>Em dia</x:v>
      </x:c>
    </x:row>
    <x:row r="60">
      <x:c r="A60" s="13" t="str">
        <x:v>REC-000059</x:v>
      </x:c>
      <x:c r="B60" s="23" t="n">
        <x:v>45292</x:v>
      </x:c>
      <x:c r="C60" s="23" t="n">
        <x:v>45322</x:v>
      </x:c>
      <x:c r="D60" s="23" t="n">
        <x:v>45321</x:v>
      </x:c>
      <x:c r="E60" s="13" t="str">
        <x:v>VAL-030</x:v>
      </x:c>
      <x:c r="F60" s="13" t="str">
        <x:v>Mundo Kids Cursos</x:v>
      </x:c>
      <x:c r="G60" s="13" t="str">
        <x:v>Educação</x:v>
      </x:c>
      <x:c r="H60" s="13" t="str">
        <x:v>Alto</x:v>
      </x:c>
      <x:c r="I60" s="13" t="str">
        <x:v>Gestão</x:v>
      </x:c>
      <x:c r="J60" s="17" t="n">
        <x:v>17835.65</x:v>
      </x:c>
      <x:c r="K60" s="17" t="n">
        <x:v>0</x:v>
      </x:c>
      <x:c r="L60" s="17" t="n">
        <x:v>0</x:v>
      </x:c>
      <x:c r="M60" s="13" t="str">
        <x:v>Pago</x:v>
      </x:c>
      <x:c r="N60" s="13" t="str">
        <x:v>Sem cobrança</x:v>
      </x:c>
      <x:c r="O60" s="13" t="str">
        <x:v>Base controlada</x:v>
      </x:c>
      <x:c r="P60" s="17" t="n">
        <x:f>IF(D60="",0,J60-K60+L60)</x:f>
        <x:v>17835.65</x:v>
      </x:c>
      <x:c r="Q60" s="17" t="n">
        <x:f>MAX(J60-P60-K60,0)</x:f>
        <x:v>0</x:v>
      </x:c>
      <x:c r="R60" s="13" t="n">
        <x:f>IF(D60="",MAX(TODAY()-C60,0),MAX(D60-C60,0))</x:f>
        <x:v>0</x:v>
      </x:c>
      <x:c r="S60" s="13" t="str">
        <x:f>IF(R60=0,"Em dia",IF(R60&lt;=15,"1-15 dias",IF(R60&lt;=30,"16-30 dias",IF(R60&lt;=60,"31-60 dias","Acima de 60 dias"))))</x:f>
        <x:v>Em dia</x:v>
      </x:c>
    </x:row>
    <x:row r="61">
      <x:c r="A61" s="13" t="str">
        <x:v>REC-000060</x:v>
      </x:c>
      <x:c r="B61" s="23" t="n">
        <x:v>45296</x:v>
      </x:c>
      <x:c r="C61" s="23" t="n">
        <x:v>45303</x:v>
      </x:c>
      <x:c r="D61" s="23" t="n">
        <x:v>45303</x:v>
      </x:c>
      <x:c r="E61" s="13" t="str">
        <x:v>VAL-017</x:v>
      </x:c>
      <x:c r="F61" s="13" t="str">
        <x:v>Centro Médico Vida</x:v>
      </x:c>
      <x:c r="G61" s="13" t="str">
        <x:v>Clínicas e Saúde</x:v>
      </x:c>
      <x:c r="H61" s="13" t="str">
        <x:v>Baixo</x:v>
      </x:c>
      <x:c r="I61" s="13" t="str">
        <x:v>Essencial</x:v>
      </x:c>
      <x:c r="J61" s="17" t="n">
        <x:v>1457.19</x:v>
      </x:c>
      <x:c r="K61" s="17" t="n">
        <x:v>0</x:v>
      </x:c>
      <x:c r="L61" s="17" t="n">
        <x:v>0</x:v>
      </x:c>
      <x:c r="M61" s="13" t="str">
        <x:v>Pago</x:v>
      </x:c>
      <x:c r="N61" s="13" t="str">
        <x:v>Sem cobrança</x:v>
      </x:c>
      <x:c r="O61" s="13" t="str">
        <x:v>Base controlada</x:v>
      </x:c>
      <x:c r="P61" s="17" t="n">
        <x:f>IF(D61="",0,J61-K61+L61)</x:f>
        <x:v>1457.19</x:v>
      </x:c>
      <x:c r="Q61" s="17" t="n">
        <x:f>MAX(J61-P61-K61,0)</x:f>
        <x:v>0</x:v>
      </x:c>
      <x:c r="R61" s="13" t="n">
        <x:f>IF(D61="",MAX(TODAY()-C61,0),MAX(D61-C61,0))</x:f>
        <x:v>0</x:v>
      </x:c>
      <x:c r="S61" s="13" t="str">
        <x:f>IF(R61=0,"Em dia",IF(R61&lt;=15,"1-15 dias",IF(R61&lt;=30,"16-30 dias",IF(R61&lt;=60,"31-60 dias","Acima de 60 dias"))))</x:f>
        <x:v>Em dia</x:v>
      </x:c>
    </x:row>
    <x:row r="62">
      <x:c r="A62" s="13" t="str">
        <x:v>REC-000061</x:v>
      </x:c>
      <x:c r="B62" s="23" t="n">
        <x:v>45323</x:v>
      </x:c>
      <x:c r="C62" s="23" t="n">
        <x:v>45330</x:v>
      </x:c>
      <x:c r="D62" s="23" t="n">
        <x:v>45330</x:v>
      </x:c>
      <x:c r="E62" s="13" t="str">
        <x:v>VAL-001</x:v>
      </x:c>
      <x:c r="F62" s="13" t="str">
        <x:v>Clínica Horizonte</x:v>
      </x:c>
      <x:c r="G62" s="13" t="str">
        <x:v>Clínicas e Saúde</x:v>
      </x:c>
      <x:c r="H62" s="13" t="str">
        <x:v>Baixo</x:v>
      </x:c>
      <x:c r="I62" s="13" t="str">
        <x:v>Essencial</x:v>
      </x:c>
      <x:c r="J62" s="17" t="n">
        <x:v>10958.21</x:v>
      </x:c>
      <x:c r="K62" s="17" t="n">
        <x:v>0</x:v>
      </x:c>
      <x:c r="L62" s="17" t="n">
        <x:v>0</x:v>
      </x:c>
      <x:c r="M62" s="13" t="str">
        <x:v>Pago</x:v>
      </x:c>
      <x:c r="N62" s="13" t="str">
        <x:v>Sem cobrança</x:v>
      </x:c>
      <x:c r="O62" s="13" t="str">
        <x:v>Base controlada</x:v>
      </x:c>
      <x:c r="P62" s="17" t="n">
        <x:f>IF(D62="",0,J62-K62+L62)</x:f>
        <x:v>10958.21</x:v>
      </x:c>
      <x:c r="Q62" s="17" t="n">
        <x:f>MAX(J62-P62-K62,0)</x:f>
        <x:v>0</x:v>
      </x:c>
      <x:c r="R62" s="13" t="n">
        <x:f>IF(D62="",MAX(TODAY()-C62,0),MAX(D62-C62,0))</x:f>
        <x:v>0</x:v>
      </x:c>
      <x:c r="S62" s="13" t="str">
        <x:f>IF(R62=0,"Em dia",IF(R62&lt;=15,"1-15 dias",IF(R62&lt;=30,"16-30 dias",IF(R62&lt;=60,"31-60 dias","Acima de 60 dias"))))</x:f>
        <x:v>Em dia</x:v>
      </x:c>
    </x:row>
    <x:row r="63">
      <x:c r="A63" s="13" t="str">
        <x:v>REC-000062</x:v>
      </x:c>
      <x:c r="B63" s="23" t="n">
        <x:v>45341</x:v>
      </x:c>
      <x:c r="C63" s="23" t="n">
        <x:v>45371</x:v>
      </x:c>
      <x:c r="D63" s="23" t="n">
        <x:v>45369</x:v>
      </x:c>
      <x:c r="E63" s="13" t="str">
        <x:v>VAL-022</x:v>
      </x:c>
      <x:c r="F63" s="13" t="str">
        <x:v>Academia Evoluir</x:v>
      </x:c>
      <x:c r="G63" s="13" t="str">
        <x:v>Educação</x:v>
      </x:c>
      <x:c r="H63" s="13" t="str">
        <x:v>Alto</x:v>
      </x:c>
      <x:c r="I63" s="13" t="str">
        <x:v>Gestão</x:v>
      </x:c>
      <x:c r="J63" s="17" t="n">
        <x:v>2275.8</x:v>
      </x:c>
      <x:c r="K63" s="17" t="n">
        <x:v>0</x:v>
      </x:c>
      <x:c r="L63" s="17" t="n">
        <x:v>0</x:v>
      </x:c>
      <x:c r="M63" s="13" t="str">
        <x:v>Pago</x:v>
      </x:c>
      <x:c r="N63" s="13" t="str">
        <x:v>Sem cobrança</x:v>
      </x:c>
      <x:c r="O63" s="13" t="str">
        <x:v>Base controlada</x:v>
      </x:c>
      <x:c r="P63" s="17" t="n">
        <x:f>IF(D63="",0,J63-K63+L63)</x:f>
        <x:v>2275.8</x:v>
      </x:c>
      <x:c r="Q63" s="17" t="n">
        <x:f>MAX(J63-P63-K63,0)</x:f>
        <x:v>0</x:v>
      </x:c>
      <x:c r="R63" s="13" t="n">
        <x:f>IF(D63="",MAX(TODAY()-C63,0),MAX(D63-C63,0))</x:f>
        <x:v>0</x:v>
      </x:c>
      <x:c r="S63" s="13" t="str">
        <x:f>IF(R63=0,"Em dia",IF(R63&lt;=15,"1-15 dias",IF(R63&lt;=30,"16-30 dias",IF(R63&lt;=60,"31-60 dias","Acima de 60 dias"))))</x:f>
        <x:v>Em dia</x:v>
      </x:c>
    </x:row>
    <x:row r="64">
      <x:c r="A64" s="13" t="str">
        <x:v>REC-000063</x:v>
      </x:c>
      <x:c r="B64" s="23" t="n">
        <x:v>45337</x:v>
      </x:c>
      <x:c r="C64" s="23" t="n">
        <x:v>45367</x:v>
      </x:c>
      <x:c r="D64" s="23" t="n">
        <x:v>45364</x:v>
      </x:c>
      <x:c r="E64" s="13" t="str">
        <x:v>VAL-020</x:v>
      </x:c>
      <x:c r="F64" s="13" t="str">
        <x:v>Corelink Digital</x:v>
      </x:c>
      <x:c r="G64" s="13" t="str">
        <x:v>Tecnologia</x:v>
      </x:c>
      <x:c r="H64" s="13" t="str">
        <x:v>Baixo</x:v>
      </x:c>
      <x:c r="I64" s="13" t="str">
        <x:v>Enterprise</x:v>
      </x:c>
      <x:c r="J64" s="17" t="n">
        <x:v>34506.18</x:v>
      </x:c>
      <x:c r="K64" s="17" t="n">
        <x:v>0</x:v>
      </x:c>
      <x:c r="L64" s="17" t="n">
        <x:v>0</x:v>
      </x:c>
      <x:c r="M64" s="13" t="str">
        <x:v>Pago</x:v>
      </x:c>
      <x:c r="N64" s="13" t="str">
        <x:v>Sem cobrança</x:v>
      </x:c>
      <x:c r="O64" s="13" t="str">
        <x:v>Base controlada</x:v>
      </x:c>
      <x:c r="P64" s="17" t="n">
        <x:f>IF(D64="",0,J64-K64+L64)</x:f>
        <x:v>34506.18</x:v>
      </x:c>
      <x:c r="Q64" s="17" t="n">
        <x:f>MAX(J64-P64-K64,0)</x:f>
        <x:v>0</x:v>
      </x:c>
      <x:c r="R64" s="13" t="n">
        <x:f>IF(D64="",MAX(TODAY()-C64,0),MAX(D64-C64,0))</x:f>
        <x:v>0</x:v>
      </x:c>
      <x:c r="S64" s="13" t="str">
        <x:f>IF(R64=0,"Em dia",IF(R64&lt;=15,"1-15 dias",IF(R64&lt;=30,"16-30 dias",IF(R64&lt;=60,"31-60 dias","Acima de 60 dias"))))</x:f>
        <x:v>Em dia</x:v>
      </x:c>
    </x:row>
    <x:row r="65">
      <x:c r="A65" s="13" t="str">
        <x:v>REC-000064</x:v>
      </x:c>
      <x:c r="B65" s="23" t="n">
        <x:v>45330</x:v>
      </x:c>
      <x:c r="C65" s="23" t="n">
        <x:v>45360</x:v>
      </x:c>
      <x:c r="D65" s="23" t="n">
        <x:v>45359</x:v>
      </x:c>
      <x:c r="E65" s="13" t="str">
        <x:v>VAL-030</x:v>
      </x:c>
      <x:c r="F65" s="13" t="str">
        <x:v>Mundo Kids Cursos</x:v>
      </x:c>
      <x:c r="G65" s="13" t="str">
        <x:v>Educação</x:v>
      </x:c>
      <x:c r="H65" s="13" t="str">
        <x:v>Alto</x:v>
      </x:c>
      <x:c r="I65" s="13" t="str">
        <x:v>Gestão</x:v>
      </x:c>
      <x:c r="J65" s="17" t="n">
        <x:v>12050.7</x:v>
      </x:c>
      <x:c r="K65" s="17" t="n">
        <x:v>0</x:v>
      </x:c>
      <x:c r="L65" s="17" t="n">
        <x:v>0</x:v>
      </x:c>
      <x:c r="M65" s="13" t="str">
        <x:v>Pago</x:v>
      </x:c>
      <x:c r="N65" s="13" t="str">
        <x:v>Sem cobrança</x:v>
      </x:c>
      <x:c r="O65" s="13" t="str">
        <x:v>Base controlada</x:v>
      </x:c>
      <x:c r="P65" s="17" t="n">
        <x:f>IF(D65="",0,J65-K65+L65)</x:f>
        <x:v>12050.7</x:v>
      </x:c>
      <x:c r="Q65" s="17" t="n">
        <x:f>MAX(J65-P65-K65,0)</x:f>
        <x:v>0</x:v>
      </x:c>
      <x:c r="R65" s="13" t="n">
        <x:f>IF(D65="",MAX(TODAY()-C65,0),MAX(D65-C65,0))</x:f>
        <x:v>0</x:v>
      </x:c>
      <x:c r="S65" s="13" t="str">
        <x:f>IF(R65=0,"Em dia",IF(R65&lt;=15,"1-15 dias",IF(R65&lt;=30,"16-30 dias",IF(R65&lt;=60,"31-60 dias","Acima de 60 dias"))))</x:f>
        <x:v>Em dia</x:v>
      </x:c>
    </x:row>
    <x:row r="66">
      <x:c r="A66" s="13" t="str">
        <x:v>REC-000065</x:v>
      </x:c>
      <x:c r="B66" s="23" t="n">
        <x:v>45339</x:v>
      </x:c>
      <x:c r="C66" s="23" t="n">
        <x:v>45354</x:v>
      </x:c>
      <x:c r="D66" s="23"/>
      <x:c r="E66" s="13" t="str">
        <x:v>VAL-028</x:v>
      </x:c>
      <x:c r="F66" s="13" t="str">
        <x:v>Pixel Norte</x:v>
      </x:c>
      <x:c r="G66" s="13" t="str">
        <x:v>Tecnologia</x:v>
      </x:c>
      <x:c r="H66" s="13" t="str">
        <x:v>Alto</x:v>
      </x:c>
      <x:c r="I66" s="13" t="str">
        <x:v>Enterprise</x:v>
      </x:c>
      <x:c r="J66" s="17" t="n">
        <x:v>1076.7</x:v>
      </x:c>
      <x:c r="K66" s="17" t="n">
        <x:v>0</x:v>
      </x:c>
      <x:c r="L66" s="17" t="n">
        <x:v>0</x:v>
      </x:c>
      <x:c r="M66" s="13" t="str">
        <x:v>Em aberto</x:v>
      </x:c>
      <x:c r="N66" s="13" t="str">
        <x:v>Régua automática</x:v>
      </x:c>
      <x:c r="O66" s="13" t="str">
        <x:v>Base controlada</x:v>
      </x:c>
      <x:c r="P66" s="17" t="n">
        <x:f>IF(D66="",0,J66-K66+L66)</x:f>
        <x:v>0</x:v>
      </x:c>
      <x:c r="Q66" s="17" t="n">
        <x:f>MAX(J66-P66-K66,0)</x:f>
        <x:v>1076.7</x:v>
      </x:c>
      <x:c r="R66" s="13" t="n">
        <x:f>IF(D66="",MAX(TODAY()-C66,0),MAX(D66-C66,0))</x:f>
        <x:v>859</x:v>
      </x:c>
      <x:c r="S66" s="13" t="str">
        <x:f>IF(R66=0,"Em dia",IF(R66&lt;=15,"1-15 dias",IF(R66&lt;=30,"16-30 dias",IF(R66&lt;=60,"31-60 dias","Acima de 60 dias"))))</x:f>
        <x:v>Acima de 60 dias</x:v>
      </x:c>
    </x:row>
    <x:row r="67">
      <x:c r="A67" s="13" t="str">
        <x:v>REC-000066</x:v>
      </x:c>
      <x:c r="B67" s="23" t="n">
        <x:v>45326</x:v>
      </x:c>
      <x:c r="C67" s="23" t="n">
        <x:v>45333</x:v>
      </x:c>
      <x:c r="D67" s="23" t="n">
        <x:v>45331</x:v>
      </x:c>
      <x:c r="E67" s="13" t="str">
        <x:v>VAL-023</x:v>
      </x:c>
      <x:c r="F67" s="13" t="str">
        <x:v>ShopMix Brasil</x:v>
      </x:c>
      <x:c r="G67" s="13" t="str">
        <x:v>E-commerce</x:v>
      </x:c>
      <x:c r="H67" s="13" t="str">
        <x:v>Baixo</x:v>
      </x:c>
      <x:c r="I67" s="13" t="str">
        <x:v>Performance</x:v>
      </x:c>
      <x:c r="J67" s="17" t="n">
        <x:v>28374.95</x:v>
      </x:c>
      <x:c r="K67" s="17" t="n">
        <x:v>0</x:v>
      </x:c>
      <x:c r="L67" s="17" t="n">
        <x:v>0</x:v>
      </x:c>
      <x:c r="M67" s="13" t="str">
        <x:v>Pago</x:v>
      </x:c>
      <x:c r="N67" s="13" t="str">
        <x:v>Sem cobrança</x:v>
      </x:c>
      <x:c r="O67" s="13" t="str">
        <x:v>Base controlada</x:v>
      </x:c>
      <x:c r="P67" s="17" t="n">
        <x:f>IF(D67="",0,J67-K67+L67)</x:f>
        <x:v>28374.95</x:v>
      </x:c>
      <x:c r="Q67" s="17" t="n">
        <x:f>MAX(J67-P67-K67,0)</x:f>
        <x:v>0</x:v>
      </x:c>
      <x:c r="R67" s="13" t="n">
        <x:f>IF(D67="",MAX(TODAY()-C67,0),MAX(D67-C67,0))</x:f>
        <x:v>0</x:v>
      </x:c>
      <x:c r="S67" s="13" t="str">
        <x:f>IF(R67=0,"Em dia",IF(R67&lt;=15,"1-15 dias",IF(R67&lt;=30,"16-30 dias",IF(R67&lt;=60,"31-60 dias","Acima de 60 dias"))))</x:f>
        <x:v>Em dia</x:v>
      </x:c>
    </x:row>
    <x:row r="68">
      <x:c r="A68" s="13" t="str">
        <x:v>REC-000067</x:v>
      </x:c>
      <x:c r="B68" s="23" t="n">
        <x:v>45334</x:v>
      </x:c>
      <x:c r="C68" s="23" t="n">
        <x:v>45355</x:v>
      </x:c>
      <x:c r="D68" s="23" t="n">
        <x:v>45351</x:v>
      </x:c>
      <x:c r="E68" s="13" t="str">
        <x:v>VAL-029</x:v>
      </x:c>
      <x:c r="F68" s="13" t="str">
        <x:v>Planobra Serviços</x:v>
      </x:c>
      <x:c r="G68" s="13" t="str">
        <x:v>Construção</x:v>
      </x:c>
      <x:c r="H68" s="13" t="str">
        <x:v>Baixo</x:v>
      </x:c>
      <x:c r="I68" s="13" t="str">
        <x:v>Essencial</x:v>
      </x:c>
      <x:c r="J68" s="17" t="n">
        <x:v>1639.48</x:v>
      </x:c>
      <x:c r="K68" s="17" t="n">
        <x:v>0</x:v>
      </x:c>
      <x:c r="L68" s="17" t="n">
        <x:v>0</x:v>
      </x:c>
      <x:c r="M68" s="13" t="str">
        <x:v>Pago</x:v>
      </x:c>
      <x:c r="N68" s="13" t="str">
        <x:v>Sem cobrança</x:v>
      </x:c>
      <x:c r="O68" s="13" t="str">
        <x:v>Base controlada</x:v>
      </x:c>
      <x:c r="P68" s="17" t="n">
        <x:f>IF(D68="",0,J68-K68+L68)</x:f>
        <x:v>1639.48</x:v>
      </x:c>
      <x:c r="Q68" s="17" t="n">
        <x:f>MAX(J68-P68-K68,0)</x:f>
        <x:v>0</x:v>
      </x:c>
      <x:c r="R68" s="13" t="n">
        <x:f>IF(D68="",MAX(TODAY()-C68,0),MAX(D68-C68,0))</x:f>
        <x:v>0</x:v>
      </x:c>
      <x:c r="S68" s="13" t="str">
        <x:f>IF(R68=0,"Em dia",IF(R68&lt;=15,"1-15 dias",IF(R68&lt;=30,"16-30 dias",IF(R68&lt;=60,"31-60 dias","Acima de 60 dias"))))</x:f>
        <x:v>Em dia</x:v>
      </x:c>
    </x:row>
    <x:row r="69">
      <x:c r="A69" s="13" t="str">
        <x:v>REC-000068</x:v>
      </x:c>
      <x:c r="B69" s="23" t="n">
        <x:v>45338</x:v>
      </x:c>
      <x:c r="C69" s="23" t="n">
        <x:v>45366</x:v>
      </x:c>
      <x:c r="D69" s="23" t="n">
        <x:v>45365</x:v>
      </x:c>
      <x:c r="E69" s="13" t="str">
        <x:v>VAL-015</x:v>
      </x:c>
      <x:c r="F69" s="13" t="str">
        <x:v>Mercado Click</x:v>
      </x:c>
      <x:c r="G69" s="13" t="str">
        <x:v>E-commerce</x:v>
      </x:c>
      <x:c r="H69" s="13" t="str">
        <x:v>Baixo</x:v>
      </x:c>
      <x:c r="I69" s="13" t="str">
        <x:v>Performance</x:v>
      </x:c>
      <x:c r="J69" s="17" t="n">
        <x:v>15423.37</x:v>
      </x:c>
      <x:c r="K69" s="17" t="n">
        <x:v>0</x:v>
      </x:c>
      <x:c r="L69" s="17" t="n">
        <x:v>0</x:v>
      </x:c>
      <x:c r="M69" s="13" t="str">
        <x:v>Pago</x:v>
      </x:c>
      <x:c r="N69" s="13" t="str">
        <x:v>Sem cobrança</x:v>
      </x:c>
      <x:c r="O69" s="13" t="str">
        <x:v>Base controlada</x:v>
      </x:c>
      <x:c r="P69" s="17" t="n">
        <x:f>IF(D69="",0,J69-K69+L69)</x:f>
        <x:v>15423.37</x:v>
      </x:c>
      <x:c r="Q69" s="17" t="n">
        <x:f>MAX(J69-P69-K69,0)</x:f>
        <x:v>0</x:v>
      </x:c>
      <x:c r="R69" s="13" t="n">
        <x:f>IF(D69="",MAX(TODAY()-C69,0),MAX(D69-C69,0))</x:f>
        <x:v>0</x:v>
      </x:c>
      <x:c r="S69" s="13" t="str">
        <x:f>IF(R69=0,"Em dia",IF(R69&lt;=15,"1-15 dias",IF(R69&lt;=30,"16-30 dias",IF(R69&lt;=60,"31-60 dias","Acima de 60 dias"))))</x:f>
        <x:v>Em dia</x:v>
      </x:c>
    </x:row>
    <x:row r="70">
      <x:c r="A70" s="13" t="str">
        <x:v>REC-000069</x:v>
      </x:c>
      <x:c r="B70" s="23" t="n">
        <x:v>45336</x:v>
      </x:c>
      <x:c r="C70" s="23" t="n">
        <x:v>45351</x:v>
      </x:c>
      <x:c r="D70" s="23" t="n">
        <x:v>45349</x:v>
      </x:c>
      <x:c r="E70" s="13" t="str">
        <x:v>VAL-004</x:v>
      </x:c>
      <x:c r="F70" s="13" t="str">
        <x:v>NuvemBase Tecnologia</x:v>
      </x:c>
      <x:c r="G70" s="13" t="str">
        <x:v>Tecnologia</x:v>
      </x:c>
      <x:c r="H70" s="13" t="str">
        <x:v>Baixo</x:v>
      </x:c>
      <x:c r="I70" s="13" t="str">
        <x:v>Enterprise</x:v>
      </x:c>
      <x:c r="J70" s="17" t="n">
        <x:v>11669.28</x:v>
      </x:c>
      <x:c r="K70" s="17" t="n">
        <x:v>0</x:v>
      </x:c>
      <x:c r="L70" s="17" t="n">
        <x:v>0</x:v>
      </x:c>
      <x:c r="M70" s="13" t="str">
        <x:v>Pago</x:v>
      </x:c>
      <x:c r="N70" s="13" t="str">
        <x:v>Sem cobrança</x:v>
      </x:c>
      <x:c r="O70" s="13" t="str">
        <x:v>Base controlada</x:v>
      </x:c>
      <x:c r="P70" s="17" t="n">
        <x:f>IF(D70="",0,J70-K70+L70)</x:f>
        <x:v>11669.28</x:v>
      </x:c>
      <x:c r="Q70" s="17" t="n">
        <x:f>MAX(J70-P70-K70,0)</x:f>
        <x:v>0</x:v>
      </x:c>
      <x:c r="R70" s="13" t="n">
        <x:f>IF(D70="",MAX(TODAY()-C70,0),MAX(D70-C70,0))</x:f>
        <x:v>0</x:v>
      </x:c>
      <x:c r="S70" s="13" t="str">
        <x:f>IF(R70=0,"Em dia",IF(R70&lt;=15,"1-15 dias",IF(R70&lt;=30,"16-30 dias",IF(R70&lt;=60,"31-60 dias","Acima de 60 dias"))))</x:f>
        <x:v>Em dia</x:v>
      </x:c>
    </x:row>
    <x:row r="71">
      <x:c r="A71" s="13" t="str">
        <x:v>REC-000070</x:v>
      </x:c>
      <x:c r="B71" s="23" t="n">
        <x:v>45333</x:v>
      </x:c>
      <x:c r="C71" s="23" t="n">
        <x:v>45354</x:v>
      </x:c>
      <x:c r="D71" s="23" t="n">
        <x:v>45352</x:v>
      </x:c>
      <x:c r="E71" s="13" t="str">
        <x:v>VAL-012</x:v>
      </x:c>
      <x:c r="F71" s="13" t="str">
        <x:v>DataFlow Sistemas</x:v>
      </x:c>
      <x:c r="G71" s="13" t="str">
        <x:v>Tecnologia</x:v>
      </x:c>
      <x:c r="H71" s="13" t="str">
        <x:v>Médio</x:v>
      </x:c>
      <x:c r="I71" s="13" t="str">
        <x:v>Enterprise</x:v>
      </x:c>
      <x:c r="J71" s="17" t="n">
        <x:v>3912.59</x:v>
      </x:c>
      <x:c r="K71" s="17" t="n">
        <x:v>0</x:v>
      </x:c>
      <x:c r="L71" s="17" t="n">
        <x:v>0</x:v>
      </x:c>
      <x:c r="M71" s="13" t="str">
        <x:v>Pago</x:v>
      </x:c>
      <x:c r="N71" s="13" t="str">
        <x:v>Sem cobrança</x:v>
      </x:c>
      <x:c r="O71" s="13" t="str">
        <x:v>Base controlada</x:v>
      </x:c>
      <x:c r="P71" s="17" t="n">
        <x:f>IF(D71="",0,J71-K71+L71)</x:f>
        <x:v>3912.59</x:v>
      </x:c>
      <x:c r="Q71" s="17" t="n">
        <x:f>MAX(J71-P71-K71,0)</x:f>
        <x:v>0</x:v>
      </x:c>
      <x:c r="R71" s="13" t="n">
        <x:f>IF(D71="",MAX(TODAY()-C71,0),MAX(D71-C71,0))</x:f>
        <x:v>0</x:v>
      </x:c>
      <x:c r="S71" s="13" t="str">
        <x:f>IF(R71=0,"Em dia",IF(R71&lt;=15,"1-15 dias",IF(R71&lt;=30,"16-30 dias",IF(R71&lt;=60,"31-60 dias","Acima de 60 dias"))))</x:f>
        <x:v>Em dia</x:v>
      </x:c>
    </x:row>
    <x:row r="72">
      <x:c r="A72" s="13" t="str">
        <x:v>REC-000071</x:v>
      </x:c>
      <x:c r="B72" s="23" t="n">
        <x:v>45341</x:v>
      </x:c>
      <x:c r="C72" s="23" t="n">
        <x:v>45371</x:v>
      </x:c>
      <x:c r="D72" s="23" t="n">
        <x:v>45370</x:v>
      </x:c>
      <x:c r="E72" s="13" t="str">
        <x:v>VAL-004</x:v>
      </x:c>
      <x:c r="F72" s="13" t="str">
        <x:v>NuvemBase Tecnologia</x:v>
      </x:c>
      <x:c r="G72" s="13" t="str">
        <x:v>Tecnologia</x:v>
      </x:c>
      <x:c r="H72" s="13" t="str">
        <x:v>Baixo</x:v>
      </x:c>
      <x:c r="I72" s="13" t="str">
        <x:v>Enterprise</x:v>
      </x:c>
      <x:c r="J72" s="17" t="n">
        <x:v>23385.8</x:v>
      </x:c>
      <x:c r="K72" s="17" t="n">
        <x:v>0</x:v>
      </x:c>
      <x:c r="L72" s="17" t="n">
        <x:v>0</x:v>
      </x:c>
      <x:c r="M72" s="13" t="str">
        <x:v>Pago</x:v>
      </x:c>
      <x:c r="N72" s="13" t="str">
        <x:v>Sem cobrança</x:v>
      </x:c>
      <x:c r="O72" s="13" t="str">
        <x:v>Base controlada</x:v>
      </x:c>
      <x:c r="P72" s="17" t="n">
        <x:f>IF(D72="",0,J72-K72+L72)</x:f>
        <x:v>23385.8</x:v>
      </x:c>
      <x:c r="Q72" s="17" t="n">
        <x:f>MAX(J72-P72-K72,0)</x:f>
        <x:v>0</x:v>
      </x:c>
      <x:c r="R72" s="13" t="n">
        <x:f>IF(D72="",MAX(TODAY()-C72,0),MAX(D72-C72,0))</x:f>
        <x:v>0</x:v>
      </x:c>
      <x:c r="S72" s="13" t="str">
        <x:f>IF(R72=0,"Em dia",IF(R72&lt;=15,"1-15 dias",IF(R72&lt;=30,"16-30 dias",IF(R72&lt;=60,"31-60 dias","Acima de 60 dias"))))</x:f>
        <x:v>Em dia</x:v>
      </x:c>
    </x:row>
    <x:row r="73">
      <x:c r="A73" s="13" t="str">
        <x:v>REC-000072</x:v>
      </x:c>
      <x:c r="B73" s="23" t="n">
        <x:v>45337</x:v>
      </x:c>
      <x:c r="C73" s="23" t="n">
        <x:v>45358</x:v>
      </x:c>
      <x:c r="D73" s="23" t="n">
        <x:v>45354</x:v>
      </x:c>
      <x:c r="E73" s="13" t="str">
        <x:v>VAL-005</x:v>
      </x:c>
      <x:c r="F73" s="13" t="str">
        <x:v>Construtora Alameda</x:v>
      </x:c>
      <x:c r="G73" s="13" t="str">
        <x:v>Construção</x:v>
      </x:c>
      <x:c r="H73" s="13" t="str">
        <x:v>Médio</x:v>
      </x:c>
      <x:c r="I73" s="13" t="str">
        <x:v>Essencial</x:v>
      </x:c>
      <x:c r="J73" s="17" t="n">
        <x:v>1264.73</x:v>
      </x:c>
      <x:c r="K73" s="17" t="n">
        <x:v>0</x:v>
      </x:c>
      <x:c r="L73" s="17" t="n">
        <x:v>0</x:v>
      </x:c>
      <x:c r="M73" s="13" t="str">
        <x:v>Pago</x:v>
      </x:c>
      <x:c r="N73" s="13" t="str">
        <x:v>Sem cobrança</x:v>
      </x:c>
      <x:c r="O73" s="13" t="str">
        <x:v>Base controlada</x:v>
      </x:c>
      <x:c r="P73" s="17" t="n">
        <x:f>IF(D73="",0,J73-K73+L73)</x:f>
        <x:v>1264.73</x:v>
      </x:c>
      <x:c r="Q73" s="17" t="n">
        <x:f>MAX(J73-P73-K73,0)</x:f>
        <x:v>0</x:v>
      </x:c>
      <x:c r="R73" s="13" t="n">
        <x:f>IF(D73="",MAX(TODAY()-C73,0),MAX(D73-C73,0))</x:f>
        <x:v>0</x:v>
      </x:c>
      <x:c r="S73" s="13" t="str">
        <x:f>IF(R73=0,"Em dia",IF(R73&lt;=15,"1-15 dias",IF(R73&lt;=30,"16-30 dias",IF(R73&lt;=60,"31-60 dias","Acima de 60 dias"))))</x:f>
        <x:v>Em dia</x:v>
      </x:c>
    </x:row>
    <x:row r="74">
      <x:c r="A74" s="13" t="str">
        <x:v>REC-000073</x:v>
      </x:c>
      <x:c r="B74" s="23" t="n">
        <x:v>45340</x:v>
      </x:c>
      <x:c r="C74" s="23" t="n">
        <x:v>45347</x:v>
      </x:c>
      <x:c r="D74" s="23" t="n">
        <x:v>45345</x:v>
      </x:c>
      <x:c r="E74" s="13" t="str">
        <x:v>VAL-013</x:v>
      </x:c>
      <x:c r="F74" s="13" t="str">
        <x:v>Engenharia Vértice</x:v>
      </x:c>
      <x:c r="G74" s="13" t="str">
        <x:v>Construção</x:v>
      </x:c>
      <x:c r="H74" s="13" t="str">
        <x:v>Baixo</x:v>
      </x:c>
      <x:c r="I74" s="13" t="str">
        <x:v>Essencial</x:v>
      </x:c>
      <x:c r="J74" s="17" t="n">
        <x:v>8545.79</x:v>
      </x:c>
      <x:c r="K74" s="17" t="n">
        <x:v>0</x:v>
      </x:c>
      <x:c r="L74" s="17" t="n">
        <x:v>0</x:v>
      </x:c>
      <x:c r="M74" s="13" t="str">
        <x:v>Pago</x:v>
      </x:c>
      <x:c r="N74" s="13" t="str">
        <x:v>Sem cobrança</x:v>
      </x:c>
      <x:c r="O74" s="13" t="str">
        <x:v>Base controlada</x:v>
      </x:c>
      <x:c r="P74" s="17" t="n">
        <x:f>IF(D74="",0,J74-K74+L74)</x:f>
        <x:v>8545.79</x:v>
      </x:c>
      <x:c r="Q74" s="17" t="n">
        <x:f>MAX(J74-P74-K74,0)</x:f>
        <x:v>0</x:v>
      </x:c>
      <x:c r="R74" s="13" t="n">
        <x:f>IF(D74="",MAX(TODAY()-C74,0),MAX(D74-C74,0))</x:f>
        <x:v>0</x:v>
      </x:c>
      <x:c r="S74" s="13" t="str">
        <x:f>IF(R74=0,"Em dia",IF(R74&lt;=15,"1-15 dias",IF(R74&lt;=30,"16-30 dias",IF(R74&lt;=60,"31-60 dias","Acima de 60 dias"))))</x:f>
        <x:v>Em dia</x:v>
      </x:c>
    </x:row>
    <x:row r="75">
      <x:c r="A75" s="13" t="str">
        <x:v>REC-000074</x:v>
      </x:c>
      <x:c r="B75" s="23" t="n">
        <x:v>45336</x:v>
      </x:c>
      <x:c r="C75" s="23" t="n">
        <x:v>45366</x:v>
      </x:c>
      <x:c r="D75" s="23" t="n">
        <x:v>45364</x:v>
      </x:c>
      <x:c r="E75" s="13" t="str">
        <x:v>VAL-016</x:v>
      </x:c>
      <x:c r="F75" s="13" t="str">
        <x:v>Lumina Embalagens</x:v>
      </x:c>
      <x:c r="G75" s="13" t="str">
        <x:v>Indústria Leve</x:v>
      </x:c>
      <x:c r="H75" s="13" t="str">
        <x:v>Baixo</x:v>
      </x:c>
      <x:c r="I75" s="13" t="str">
        <x:v>Enterprise</x:v>
      </x:c>
      <x:c r="J75" s="17" t="n">
        <x:v>4641.98</x:v>
      </x:c>
      <x:c r="K75" s="17" t="n">
        <x:v>0</x:v>
      </x:c>
      <x:c r="L75" s="17" t="n">
        <x:v>0</x:v>
      </x:c>
      <x:c r="M75" s="13" t="str">
        <x:v>Pago</x:v>
      </x:c>
      <x:c r="N75" s="13" t="str">
        <x:v>Sem cobrança</x:v>
      </x:c>
      <x:c r="O75" s="13" t="str">
        <x:v>Base controlada</x:v>
      </x:c>
      <x:c r="P75" s="17" t="n">
        <x:f>IF(D75="",0,J75-K75+L75)</x:f>
        <x:v>4641.98</x:v>
      </x:c>
      <x:c r="Q75" s="17" t="n">
        <x:f>MAX(J75-P75-K75,0)</x:f>
        <x:v>0</x:v>
      </x:c>
      <x:c r="R75" s="13" t="n">
        <x:f>IF(D75="",MAX(TODAY()-C75,0),MAX(D75-C75,0))</x:f>
        <x:v>0</x:v>
      </x:c>
      <x:c r="S75" s="13" t="str">
        <x:f>IF(R75=0,"Em dia",IF(R75&lt;=15,"1-15 dias",IF(R75&lt;=30,"16-30 dias",IF(R75&lt;=60,"31-60 dias","Acima de 60 dias"))))</x:f>
        <x:v>Em dia</x:v>
      </x:c>
    </x:row>
    <x:row r="76">
      <x:c r="A76" s="13" t="str">
        <x:v>REC-000075</x:v>
      </x:c>
      <x:c r="B76" s="23" t="n">
        <x:v>45337</x:v>
      </x:c>
      <x:c r="C76" s="23" t="n">
        <x:v>45344</x:v>
      </x:c>
      <x:c r="D76" s="23" t="n">
        <x:v>45341</x:v>
      </x:c>
      <x:c r="E76" s="13" t="str">
        <x:v>VAL-024</x:v>
      </x:c>
      <x:c r="F76" s="13" t="str">
        <x:v>NovaForma Móveis</x:v>
      </x:c>
      <x:c r="G76" s="13" t="str">
        <x:v>Indústria Leve</x:v>
      </x:c>
      <x:c r="H76" s="13" t="str">
        <x:v>Baixo</x:v>
      </x:c>
      <x:c r="I76" s="13" t="str">
        <x:v>Enterprise</x:v>
      </x:c>
      <x:c r="J76" s="17" t="n">
        <x:v>10768.39</x:v>
      </x:c>
      <x:c r="K76" s="17" t="n">
        <x:v>0</x:v>
      </x:c>
      <x:c r="L76" s="17" t="n">
        <x:v>0</x:v>
      </x:c>
      <x:c r="M76" s="13" t="str">
        <x:v>Pago</x:v>
      </x:c>
      <x:c r="N76" s="13" t="str">
        <x:v>Sem cobrança</x:v>
      </x:c>
      <x:c r="O76" s="13" t="str">
        <x:v>Base controlada</x:v>
      </x:c>
      <x:c r="P76" s="17" t="n">
        <x:f>IF(D76="",0,J76-K76+L76)</x:f>
        <x:v>10768.39</x:v>
      </x:c>
      <x:c r="Q76" s="17" t="n">
        <x:f>MAX(J76-P76-K76,0)</x:f>
        <x:v>0</x:v>
      </x:c>
      <x:c r="R76" s="13" t="n">
        <x:f>IF(D76="",MAX(TODAY()-C76,0),MAX(D76-C76,0))</x:f>
        <x:v>0</x:v>
      </x:c>
      <x:c r="S76" s="13" t="str">
        <x:f>IF(R76=0,"Em dia",IF(R76&lt;=15,"1-15 dias",IF(R76&lt;=30,"16-30 dias",IF(R76&lt;=60,"31-60 dias","Acima de 60 dias"))))</x:f>
        <x:v>Em dia</x:v>
      </x:c>
    </x:row>
    <x:row r="77">
      <x:c r="A77" s="13" t="str">
        <x:v>REC-000076</x:v>
      </x:c>
      <x:c r="B77" s="23" t="n">
        <x:v>45339</x:v>
      </x:c>
      <x:c r="C77" s="23" t="n">
        <x:v>45354</x:v>
      </x:c>
      <x:c r="D77" s="23" t="n">
        <x:v>45352</x:v>
      </x:c>
      <x:c r="E77" s="13" t="str">
        <x:v>VAL-002</x:v>
      </x:c>
      <x:c r="F77" s="13" t="str">
        <x:v>Mendes &amp; Prado Consultoria</x:v>
      </x:c>
      <x:c r="G77" s="13" t="str">
        <x:v>Serviços Profissionais</x:v>
      </x:c>
      <x:c r="H77" s="13" t="str">
        <x:v>Baixo</x:v>
      </x:c>
      <x:c r="I77" s="13" t="str">
        <x:v>Gestão</x:v>
      </x:c>
      <x:c r="J77" s="17" t="n">
        <x:v>15565.92</x:v>
      </x:c>
      <x:c r="K77" s="17" t="n">
        <x:v>0</x:v>
      </x:c>
      <x:c r="L77" s="17" t="n">
        <x:v>0</x:v>
      </x:c>
      <x:c r="M77" s="13" t="str">
        <x:v>Pago</x:v>
      </x:c>
      <x:c r="N77" s="13" t="str">
        <x:v>Sem cobrança</x:v>
      </x:c>
      <x:c r="O77" s="13" t="str">
        <x:v>Base controlada</x:v>
      </x:c>
      <x:c r="P77" s="17" t="n">
        <x:f>IF(D77="",0,J77-K77+L77)</x:f>
        <x:v>15565.92</x:v>
      </x:c>
      <x:c r="Q77" s="17" t="n">
        <x:f>MAX(J77-P77-K77,0)</x:f>
        <x:v>0</x:v>
      </x:c>
      <x:c r="R77" s="13" t="n">
        <x:f>IF(D77="",MAX(TODAY()-C77,0),MAX(D77-C77,0))</x:f>
        <x:v>0</x:v>
      </x:c>
      <x:c r="S77" s="13" t="str">
        <x:f>IF(R77=0,"Em dia",IF(R77&lt;=15,"1-15 dias",IF(R77&lt;=30,"16-30 dias",IF(R77&lt;=60,"31-60 dias","Acima de 60 dias"))))</x:f>
        <x:v>Em dia</x:v>
      </x:c>
    </x:row>
    <x:row r="78">
      <x:c r="A78" s="13" t="str">
        <x:v>REC-000077</x:v>
      </x:c>
      <x:c r="B78" s="23" t="n">
        <x:v>45330</x:v>
      </x:c>
      <x:c r="C78" s="23" t="n">
        <x:v>45360</x:v>
      </x:c>
      <x:c r="D78" s="23" t="n">
        <x:v>45359</x:v>
      </x:c>
      <x:c r="E78" s="13" t="str">
        <x:v>VAL-004</x:v>
      </x:c>
      <x:c r="F78" s="13" t="str">
        <x:v>NuvemBase Tecnologia</x:v>
      </x:c>
      <x:c r="G78" s="13" t="str">
        <x:v>Tecnologia</x:v>
      </x:c>
      <x:c r="H78" s="13" t="str">
        <x:v>Baixo</x:v>
      </x:c>
      <x:c r="I78" s="13" t="str">
        <x:v>Enterprise</x:v>
      </x:c>
      <x:c r="J78" s="17" t="n">
        <x:v>4537.11</x:v>
      </x:c>
      <x:c r="K78" s="17" t="n">
        <x:v>0</x:v>
      </x:c>
      <x:c r="L78" s="17" t="n">
        <x:v>0</x:v>
      </x:c>
      <x:c r="M78" s="13" t="str">
        <x:v>Pago</x:v>
      </x:c>
      <x:c r="N78" s="13" t="str">
        <x:v>Sem cobrança</x:v>
      </x:c>
      <x:c r="O78" s="13" t="str">
        <x:v>Base controlada</x:v>
      </x:c>
      <x:c r="P78" s="17" t="n">
        <x:f>IF(D78="",0,J78-K78+L78)</x:f>
        <x:v>4537.11</x:v>
      </x:c>
      <x:c r="Q78" s="17" t="n">
        <x:f>MAX(J78-P78-K78,0)</x:f>
        <x:v>0</x:v>
      </x:c>
      <x:c r="R78" s="13" t="n">
        <x:f>IF(D78="",MAX(TODAY()-C78,0),MAX(D78-C78,0))</x:f>
        <x:v>0</x:v>
      </x:c>
      <x:c r="S78" s="13" t="str">
        <x:f>IF(R78=0,"Em dia",IF(R78&lt;=15,"1-15 dias",IF(R78&lt;=30,"16-30 dias",IF(R78&lt;=60,"31-60 dias","Acima de 60 dias"))))</x:f>
        <x:v>Em dia</x:v>
      </x:c>
    </x:row>
    <x:row r="79">
      <x:c r="A79" s="13" t="str">
        <x:v>REC-000078</x:v>
      </x:c>
      <x:c r="B79" s="23" t="n">
        <x:v>45341</x:v>
      </x:c>
      <x:c r="C79" s="23" t="n">
        <x:v>45369</x:v>
      </x:c>
      <x:c r="D79" s="23" t="n">
        <x:v>45369</x:v>
      </x:c>
      <x:c r="E79" s="13" t="str">
        <x:v>VAL-015</x:v>
      </x:c>
      <x:c r="F79" s="13" t="str">
        <x:v>Mercado Click</x:v>
      </x:c>
      <x:c r="G79" s="13" t="str">
        <x:v>E-commerce</x:v>
      </x:c>
      <x:c r="H79" s="13" t="str">
        <x:v>Baixo</x:v>
      </x:c>
      <x:c r="I79" s="13" t="str">
        <x:v>Performance</x:v>
      </x:c>
      <x:c r="J79" s="17" t="n">
        <x:v>8317.74</x:v>
      </x:c>
      <x:c r="K79" s="17" t="n">
        <x:v>0</x:v>
      </x:c>
      <x:c r="L79" s="17" t="n">
        <x:v>0</x:v>
      </x:c>
      <x:c r="M79" s="13" t="str">
        <x:v>Pago</x:v>
      </x:c>
      <x:c r="N79" s="13" t="str">
        <x:v>Sem cobrança</x:v>
      </x:c>
      <x:c r="O79" s="13" t="str">
        <x:v>Base controlada</x:v>
      </x:c>
      <x:c r="P79" s="17" t="n">
        <x:f>IF(D79="",0,J79-K79+L79)</x:f>
        <x:v>8317.74</x:v>
      </x:c>
      <x:c r="Q79" s="17" t="n">
        <x:f>MAX(J79-P79-K79,0)</x:f>
        <x:v>0</x:v>
      </x:c>
      <x:c r="R79" s="13" t="n">
        <x:f>IF(D79="",MAX(TODAY()-C79,0),MAX(D79-C79,0))</x:f>
        <x:v>0</x:v>
      </x:c>
      <x:c r="S79" s="13" t="str">
        <x:f>IF(R79=0,"Em dia",IF(R79&lt;=15,"1-15 dias",IF(R79&lt;=30,"16-30 dias",IF(R79&lt;=60,"31-60 dias","Acima de 60 dias"))))</x:f>
        <x:v>Em dia</x:v>
      </x:c>
    </x:row>
    <x:row r="80">
      <x:c r="A80" s="13" t="str">
        <x:v>REC-000079</x:v>
      </x:c>
      <x:c r="B80" s="23" t="n">
        <x:v>45336</x:v>
      </x:c>
      <x:c r="C80" s="23" t="n">
        <x:v>45366</x:v>
      </x:c>
      <x:c r="D80" s="23" t="n">
        <x:v>45365</x:v>
      </x:c>
      <x:c r="E80" s="13" t="str">
        <x:v>VAL-005</x:v>
      </x:c>
      <x:c r="F80" s="13" t="str">
        <x:v>Construtora Alameda</x:v>
      </x:c>
      <x:c r="G80" s="13" t="str">
        <x:v>Construção</x:v>
      </x:c>
      <x:c r="H80" s="13" t="str">
        <x:v>Médio</x:v>
      </x:c>
      <x:c r="I80" s="13" t="str">
        <x:v>Essencial</x:v>
      </x:c>
      <x:c r="J80" s="17" t="n">
        <x:v>17014.33</x:v>
      </x:c>
      <x:c r="K80" s="17" t="n">
        <x:v>0</x:v>
      </x:c>
      <x:c r="L80" s="17" t="n">
        <x:v>0</x:v>
      </x:c>
      <x:c r="M80" s="13" t="str">
        <x:v>Pago</x:v>
      </x:c>
      <x:c r="N80" s="13" t="str">
        <x:v>Sem cobrança</x:v>
      </x:c>
      <x:c r="O80" s="13" t="str">
        <x:v>Base controlada</x:v>
      </x:c>
      <x:c r="P80" s="17" t="n">
        <x:f>IF(D80="",0,J80-K80+L80)</x:f>
        <x:v>17014.33</x:v>
      </x:c>
      <x:c r="Q80" s="17" t="n">
        <x:f>MAX(J80-P80-K80,0)</x:f>
        <x:v>0</x:v>
      </x:c>
      <x:c r="R80" s="13" t="n">
        <x:f>IF(D80="",MAX(TODAY()-C80,0),MAX(D80-C80,0))</x:f>
        <x:v>0</x:v>
      </x:c>
      <x:c r="S80" s="13" t="str">
        <x:f>IF(R80=0,"Em dia",IF(R80&lt;=15,"1-15 dias",IF(R80&lt;=30,"16-30 dias",IF(R80&lt;=60,"31-60 dias","Acima de 60 dias"))))</x:f>
        <x:v>Em dia</x:v>
      </x:c>
    </x:row>
    <x:row r="81">
      <x:c r="A81" s="13" t="str">
        <x:v>REC-000080</x:v>
      </x:c>
      <x:c r="B81" s="23" t="n">
        <x:v>45323</x:v>
      </x:c>
      <x:c r="C81" s="23" t="n">
        <x:v>45351</x:v>
      </x:c>
      <x:c r="D81" s="23" t="n">
        <x:v>45350</x:v>
      </x:c>
      <x:c r="E81" s="13" t="str">
        <x:v>VAL-003</x:v>
      </x:c>
      <x:c r="F81" s="13" t="str">
        <x:v>Casa Nova Varejo</x:v>
      </x:c>
      <x:c r="G81" s="13" t="str">
        <x:v>Varejo</x:v>
      </x:c>
      <x:c r="H81" s="13" t="str">
        <x:v>Baixo</x:v>
      </x:c>
      <x:c r="I81" s="13" t="str">
        <x:v>Performance</x:v>
      </x:c>
      <x:c r="J81" s="17" t="n">
        <x:v>21571.55</x:v>
      </x:c>
      <x:c r="K81" s="17" t="n">
        <x:v>0</x:v>
      </x:c>
      <x:c r="L81" s="17" t="n">
        <x:v>0</x:v>
      </x:c>
      <x:c r="M81" s="13" t="str">
        <x:v>Pago</x:v>
      </x:c>
      <x:c r="N81" s="13" t="str">
        <x:v>Sem cobrança</x:v>
      </x:c>
      <x:c r="O81" s="13" t="str">
        <x:v>Base controlada</x:v>
      </x:c>
      <x:c r="P81" s="17" t="n">
        <x:f>IF(D81="",0,J81-K81+L81)</x:f>
        <x:v>21571.55</x:v>
      </x:c>
      <x:c r="Q81" s="17" t="n">
        <x:f>MAX(J81-P81-K81,0)</x:f>
        <x:v>0</x:v>
      </x:c>
      <x:c r="R81" s="13" t="n">
        <x:f>IF(D81="",MAX(TODAY()-C81,0),MAX(D81-C81,0))</x:f>
        <x:v>0</x:v>
      </x:c>
      <x:c r="S81" s="13" t="str">
        <x:f>IF(R81=0,"Em dia",IF(R81&lt;=15,"1-15 dias",IF(R81&lt;=30,"16-30 dias",IF(R81&lt;=60,"31-60 dias","Acima de 60 dias"))))</x:f>
        <x:v>Em dia</x:v>
      </x:c>
    </x:row>
    <x:row r="82">
      <x:c r="A82" s="13" t="str">
        <x:v>REC-000081</x:v>
      </x:c>
      <x:c r="B82" s="23" t="n">
        <x:v>45331</x:v>
      </x:c>
      <x:c r="C82" s="23" t="n">
        <x:v>45352</x:v>
      </x:c>
      <x:c r="D82" s="23" t="n">
        <x:v>45349</x:v>
      </x:c>
      <x:c r="E82" s="13" t="str">
        <x:v>VAL-001</x:v>
      </x:c>
      <x:c r="F82" s="13" t="str">
        <x:v>Clínica Horizonte</x:v>
      </x:c>
      <x:c r="G82" s="13" t="str">
        <x:v>Clínicas e Saúde</x:v>
      </x:c>
      <x:c r="H82" s="13" t="str">
        <x:v>Baixo</x:v>
      </x:c>
      <x:c r="I82" s="13" t="str">
        <x:v>Essencial</x:v>
      </x:c>
      <x:c r="J82" s="17" t="n">
        <x:v>20286.77</x:v>
      </x:c>
      <x:c r="K82" s="17" t="n">
        <x:v>0</x:v>
      </x:c>
      <x:c r="L82" s="17" t="n">
        <x:v>0</x:v>
      </x:c>
      <x:c r="M82" s="13" t="str">
        <x:v>Pago</x:v>
      </x:c>
      <x:c r="N82" s="13" t="str">
        <x:v>Sem cobrança</x:v>
      </x:c>
      <x:c r="O82" s="13" t="str">
        <x:v>Base controlada</x:v>
      </x:c>
      <x:c r="P82" s="17" t="n">
        <x:f>IF(D82="",0,J82-K82+L82)</x:f>
        <x:v>20286.77</x:v>
      </x:c>
      <x:c r="Q82" s="17" t="n">
        <x:f>MAX(J82-P82-K82,0)</x:f>
        <x:v>0</x:v>
      </x:c>
      <x:c r="R82" s="13" t="n">
        <x:f>IF(D82="",MAX(TODAY()-C82,0),MAX(D82-C82,0))</x:f>
        <x:v>0</x:v>
      </x:c>
      <x:c r="S82" s="13" t="str">
        <x:f>IF(R82=0,"Em dia",IF(R82&lt;=15,"1-15 dias",IF(R82&lt;=30,"16-30 dias",IF(R82&lt;=60,"31-60 dias","Acima de 60 dias"))))</x:f>
        <x:v>Em dia</x:v>
      </x:c>
    </x:row>
    <x:row r="83">
      <x:c r="A83" s="13" t="str">
        <x:v>REC-000082</x:v>
      </x:c>
      <x:c r="B83" s="23" t="n">
        <x:v>45336</x:v>
      </x:c>
      <x:c r="C83" s="23" t="n">
        <x:v>45351</x:v>
      </x:c>
      <x:c r="D83" s="23" t="n">
        <x:v>45347</x:v>
      </x:c>
      <x:c r="E83" s="13" t="str">
        <x:v>VAL-012</x:v>
      </x:c>
      <x:c r="F83" s="13" t="str">
        <x:v>DataFlow Sistemas</x:v>
      </x:c>
      <x:c r="G83" s="13" t="str">
        <x:v>Tecnologia</x:v>
      </x:c>
      <x:c r="H83" s="13" t="str">
        <x:v>Médio</x:v>
      </x:c>
      <x:c r="I83" s="13" t="str">
        <x:v>Enterprise</x:v>
      </x:c>
      <x:c r="J83" s="17" t="n">
        <x:v>24205.63</x:v>
      </x:c>
      <x:c r="K83" s="17" t="n">
        <x:v>0</x:v>
      </x:c>
      <x:c r="L83" s="17" t="n">
        <x:v>0</x:v>
      </x:c>
      <x:c r="M83" s="13" t="str">
        <x:v>Pago</x:v>
      </x:c>
      <x:c r="N83" s="13" t="str">
        <x:v>Sem cobrança</x:v>
      </x:c>
      <x:c r="O83" s="13" t="str">
        <x:v>Base controlada</x:v>
      </x:c>
      <x:c r="P83" s="17" t="n">
        <x:f>IF(D83="",0,J83-K83+L83)</x:f>
        <x:v>24205.63</x:v>
      </x:c>
      <x:c r="Q83" s="17" t="n">
        <x:f>MAX(J83-P83-K83,0)</x:f>
        <x:v>0</x:v>
      </x:c>
      <x:c r="R83" s="13" t="n">
        <x:f>IF(D83="",MAX(TODAY()-C83,0),MAX(D83-C83,0))</x:f>
        <x:v>0</x:v>
      </x:c>
      <x:c r="S83" s="13" t="str">
        <x:f>IF(R83=0,"Em dia",IF(R83&lt;=15,"1-15 dias",IF(R83&lt;=30,"16-30 dias",IF(R83&lt;=60,"31-60 dias","Acima de 60 dias"))))</x:f>
        <x:v>Em dia</x:v>
      </x:c>
    </x:row>
    <x:row r="84">
      <x:c r="A84" s="13" t="str">
        <x:v>REC-000083</x:v>
      </x:c>
      <x:c r="B84" s="23" t="n">
        <x:v>45335</x:v>
      </x:c>
      <x:c r="C84" s="23" t="n">
        <x:v>45350</x:v>
      </x:c>
      <x:c r="D84" s="23" t="n">
        <x:v>45348</x:v>
      </x:c>
      <x:c r="E84" s="13" t="str">
        <x:v>VAL-007</x:v>
      </x:c>
      <x:c r="F84" s="13" t="str">
        <x:v>Loja Prisma Online</x:v>
      </x:c>
      <x:c r="G84" s="13" t="str">
        <x:v>E-commerce</x:v>
      </x:c>
      <x:c r="H84" s="13" t="str">
        <x:v>Médio</x:v>
      </x:c>
      <x:c r="I84" s="13" t="str">
        <x:v>Performance</x:v>
      </x:c>
      <x:c r="J84" s="17" t="n">
        <x:v>27362.61</x:v>
      </x:c>
      <x:c r="K84" s="17" t="n">
        <x:v>0</x:v>
      </x:c>
      <x:c r="L84" s="17" t="n">
        <x:v>0</x:v>
      </x:c>
      <x:c r="M84" s="13" t="str">
        <x:v>Pago</x:v>
      </x:c>
      <x:c r="N84" s="13" t="str">
        <x:v>Sem cobrança</x:v>
      </x:c>
      <x:c r="O84" s="13" t="str">
        <x:v>Base controlada</x:v>
      </x:c>
      <x:c r="P84" s="17" t="n">
        <x:f>IF(D84="",0,J84-K84+L84)</x:f>
        <x:v>27362.61</x:v>
      </x:c>
      <x:c r="Q84" s="17" t="n">
        <x:f>MAX(J84-P84-K84,0)</x:f>
        <x:v>0</x:v>
      </x:c>
      <x:c r="R84" s="13" t="n">
        <x:f>IF(D84="",MAX(TODAY()-C84,0),MAX(D84-C84,0))</x:f>
        <x:v>0</x:v>
      </x:c>
      <x:c r="S84" s="13" t="str">
        <x:f>IF(R84=0,"Em dia",IF(R84&lt;=15,"1-15 dias",IF(R84&lt;=30,"16-30 dias",IF(R84&lt;=60,"31-60 dias","Acima de 60 dias"))))</x:f>
        <x:v>Em dia</x:v>
      </x:c>
    </x:row>
    <x:row r="85">
      <x:c r="A85" s="13" t="str">
        <x:v>REC-000084</x:v>
      </x:c>
      <x:c r="B85" s="23" t="n">
        <x:v>45337</x:v>
      </x:c>
      <x:c r="C85" s="23" t="n">
        <x:v>45344</x:v>
      </x:c>
      <x:c r="D85" s="23" t="n">
        <x:v>45342</x:v>
      </x:c>
      <x:c r="E85" s="13" t="str">
        <x:v>VAL-028</x:v>
      </x:c>
      <x:c r="F85" s="13" t="str">
        <x:v>Pixel Norte</x:v>
      </x:c>
      <x:c r="G85" s="13" t="str">
        <x:v>Tecnologia</x:v>
      </x:c>
      <x:c r="H85" s="13" t="str">
        <x:v>Alto</x:v>
      </x:c>
      <x:c r="I85" s="13" t="str">
        <x:v>Enterprise</x:v>
      </x:c>
      <x:c r="J85" s="17" t="n">
        <x:v>2995</x:v>
      </x:c>
      <x:c r="K85" s="17" t="n">
        <x:v>0</x:v>
      </x:c>
      <x:c r="L85" s="17" t="n">
        <x:v>0</x:v>
      </x:c>
      <x:c r="M85" s="13" t="str">
        <x:v>Pago</x:v>
      </x:c>
      <x:c r="N85" s="13" t="str">
        <x:v>Sem cobrança</x:v>
      </x:c>
      <x:c r="O85" s="13" t="str">
        <x:v>Base controlada</x:v>
      </x:c>
      <x:c r="P85" s="17" t="n">
        <x:f>IF(D85="",0,J85-K85+L85)</x:f>
        <x:v>2995</x:v>
      </x:c>
      <x:c r="Q85" s="17" t="n">
        <x:f>MAX(J85-P85-K85,0)</x:f>
        <x:v>0</x:v>
      </x:c>
      <x:c r="R85" s="13" t="n">
        <x:f>IF(D85="",MAX(TODAY()-C85,0),MAX(D85-C85,0))</x:f>
        <x:v>0</x:v>
      </x:c>
      <x:c r="S85" s="13" t="str">
        <x:f>IF(R85=0,"Em dia",IF(R85&lt;=15,"1-15 dias",IF(R85&lt;=30,"16-30 dias",IF(R85&lt;=60,"31-60 dias","Acima de 60 dias"))))</x:f>
        <x:v>Em dia</x:v>
      </x:c>
    </x:row>
    <x:row r="86">
      <x:c r="A86" s="13" t="str">
        <x:v>REC-000085</x:v>
      </x:c>
      <x:c r="B86" s="23" t="n">
        <x:v>45342</x:v>
      </x:c>
      <x:c r="C86" s="23" t="n">
        <x:v>45357</x:v>
      </x:c>
      <x:c r="D86" s="23" t="n">
        <x:v>45353</x:v>
      </x:c>
      <x:c r="E86" s="13" t="str">
        <x:v>VAL-020</x:v>
      </x:c>
      <x:c r="F86" s="13" t="str">
        <x:v>Corelink Digital</x:v>
      </x:c>
      <x:c r="G86" s="13" t="str">
        <x:v>Tecnologia</x:v>
      </x:c>
      <x:c r="H86" s="13" t="str">
        <x:v>Baixo</x:v>
      </x:c>
      <x:c r="I86" s="13" t="str">
        <x:v>Enterprise</x:v>
      </x:c>
      <x:c r="J86" s="17" t="n">
        <x:v>2161.25</x:v>
      </x:c>
      <x:c r="K86" s="17" t="n">
        <x:v>0</x:v>
      </x:c>
      <x:c r="L86" s="17" t="n">
        <x:v>0</x:v>
      </x:c>
      <x:c r="M86" s="13" t="str">
        <x:v>Pago</x:v>
      </x:c>
      <x:c r="N86" s="13" t="str">
        <x:v>Sem cobrança</x:v>
      </x:c>
      <x:c r="O86" s="13" t="str">
        <x:v>Base controlada</x:v>
      </x:c>
      <x:c r="P86" s="17" t="n">
        <x:f>IF(D86="",0,J86-K86+L86)</x:f>
        <x:v>2161.25</x:v>
      </x:c>
      <x:c r="Q86" s="17" t="n">
        <x:f>MAX(J86-P86-K86,0)</x:f>
        <x:v>0</x:v>
      </x:c>
      <x:c r="R86" s="13" t="n">
        <x:f>IF(D86="",MAX(TODAY()-C86,0),MAX(D86-C86,0))</x:f>
        <x:v>0</x:v>
      </x:c>
      <x:c r="S86" s="13" t="str">
        <x:f>IF(R86=0,"Em dia",IF(R86&lt;=15,"1-15 dias",IF(R86&lt;=30,"16-30 dias",IF(R86&lt;=60,"31-60 dias","Acima de 60 dias"))))</x:f>
        <x:v>Em dia</x:v>
      </x:c>
    </x:row>
    <x:row r="87">
      <x:c r="A87" s="13" t="str">
        <x:v>REC-000086</x:v>
      </x:c>
      <x:c r="B87" s="23" t="n">
        <x:v>45338</x:v>
      </x:c>
      <x:c r="C87" s="23" t="n">
        <x:v>45368</x:v>
      </x:c>
      <x:c r="D87" s="23" t="n">
        <x:v>45367</x:v>
      </x:c>
      <x:c r="E87" s="13" t="str">
        <x:v>VAL-023</x:v>
      </x:c>
      <x:c r="F87" s="13" t="str">
        <x:v>ShopMix Brasil</x:v>
      </x:c>
      <x:c r="G87" s="13" t="str">
        <x:v>E-commerce</x:v>
      </x:c>
      <x:c r="H87" s="13" t="str">
        <x:v>Baixo</x:v>
      </x:c>
      <x:c r="I87" s="13" t="str">
        <x:v>Performance</x:v>
      </x:c>
      <x:c r="J87" s="17" t="n">
        <x:v>20147.34</x:v>
      </x:c>
      <x:c r="K87" s="17" t="n">
        <x:v>325.56</x:v>
      </x:c>
      <x:c r="L87" s="17" t="n">
        <x:v>0</x:v>
      </x:c>
      <x:c r="M87" s="13" t="str">
        <x:v>Pago</x:v>
      </x:c>
      <x:c r="N87" s="13" t="str">
        <x:v>Sem cobrança</x:v>
      </x:c>
      <x:c r="O87" s="13" t="str">
        <x:v>Base controlada</x:v>
      </x:c>
      <x:c r="P87" s="17" t="n">
        <x:f>IF(D87="",0,J87-K87+L87)</x:f>
        <x:v>19821.78</x:v>
      </x:c>
      <x:c r="Q87" s="17" t="n">
        <x:f>MAX(J87-P87-K87,0)</x:f>
        <x:v>1.3073986337985843e-12</x:v>
      </x:c>
      <x:c r="R87" s="13" t="n">
        <x:f>IF(D87="",MAX(TODAY()-C87,0),MAX(D87-C87,0))</x:f>
        <x:v>0</x:v>
      </x:c>
      <x:c r="S87" s="13" t="str">
        <x:f>IF(R87=0,"Em dia",IF(R87&lt;=15,"1-15 dias",IF(R87&lt;=30,"16-30 dias",IF(R87&lt;=60,"31-60 dias","Acima de 60 dias"))))</x:f>
        <x:v>Em dia</x:v>
      </x:c>
    </x:row>
    <x:row r="88">
      <x:c r="A88" s="13" t="str">
        <x:v>REC-000087</x:v>
      </x:c>
      <x:c r="B88" s="23" t="n">
        <x:v>45336</x:v>
      </x:c>
      <x:c r="C88" s="23" t="n">
        <x:v>45364</x:v>
      </x:c>
      <x:c r="D88" s="23" t="n">
        <x:v>45361</x:v>
      </x:c>
      <x:c r="E88" s="13" t="str">
        <x:v>VAL-009</x:v>
      </x:c>
      <x:c r="F88" s="13" t="str">
        <x:v>Odonto Prime</x:v>
      </x:c>
      <x:c r="G88" s="13" t="str">
        <x:v>Clínicas e Saúde</x:v>
      </x:c>
      <x:c r="H88" s="13" t="str">
        <x:v>Médio</x:v>
      </x:c>
      <x:c r="I88" s="13" t="str">
        <x:v>Essencial</x:v>
      </x:c>
      <x:c r="J88" s="17" t="n">
        <x:v>27634.67</x:v>
      </x:c>
      <x:c r="K88" s="17" t="n">
        <x:v>215.72</x:v>
      </x:c>
      <x:c r="L88" s="17" t="n">
        <x:v>0</x:v>
      </x:c>
      <x:c r="M88" s="13" t="str">
        <x:v>Pago</x:v>
      </x:c>
      <x:c r="N88" s="13" t="str">
        <x:v>Sem cobrança</x:v>
      </x:c>
      <x:c r="O88" s="13" t="str">
        <x:v>Base controlada</x:v>
      </x:c>
      <x:c r="P88" s="17" t="n">
        <x:f>IF(D88="",0,J88-K88+L88)</x:f>
        <x:v>27418.949999999997</x:v>
      </x:c>
      <x:c r="Q88" s="17" t="n">
        <x:f>MAX(J88-P88-K88,0)</x:f>
        <x:v>1.1652900866465643e-12</x:v>
      </x:c>
      <x:c r="R88" s="13" t="n">
        <x:f>IF(D88="",MAX(TODAY()-C88,0),MAX(D88-C88,0))</x:f>
        <x:v>0</x:v>
      </x:c>
      <x:c r="S88" s="13" t="str">
        <x:f>IF(R88=0,"Em dia",IF(R88&lt;=15,"1-15 dias",IF(R88&lt;=30,"16-30 dias",IF(R88&lt;=60,"31-60 dias","Acima de 60 dias"))))</x:f>
        <x:v>Em dia</x:v>
      </x:c>
    </x:row>
    <x:row r="89">
      <x:c r="A89" s="13" t="str">
        <x:v>REC-000088</x:v>
      </x:c>
      <x:c r="B89" s="23" t="n">
        <x:v>45333</x:v>
      </x:c>
      <x:c r="C89" s="23" t="n">
        <x:v>45340</x:v>
      </x:c>
      <x:c r="D89" s="23" t="n">
        <x:v>45353</x:v>
      </x:c>
      <x:c r="E89" s="13" t="str">
        <x:v>VAL-023</x:v>
      </x:c>
      <x:c r="F89" s="13" t="str">
        <x:v>ShopMix Brasil</x:v>
      </x:c>
      <x:c r="G89" s="13" t="str">
        <x:v>E-commerce</x:v>
      </x:c>
      <x:c r="H89" s="13" t="str">
        <x:v>Baixo</x:v>
      </x:c>
      <x:c r="I89" s="13" t="str">
        <x:v>Performance</x:v>
      </x:c>
      <x:c r="J89" s="17" t="n">
        <x:v>5350.4</x:v>
      </x:c>
      <x:c r="K89" s="17" t="n">
        <x:v>0</x:v>
      </x:c>
      <x:c r="L89" s="17" t="n">
        <x:v>45.21</x:v>
      </x:c>
      <x:c r="M89" s="13" t="str">
        <x:v>Pago com atraso</x:v>
      </x:c>
      <x:c r="N89" s="13" t="str">
        <x:v>E-mail</x:v>
      </x:c>
      <x:c r="O89" s="13" t="str">
        <x:v>Base controlada</x:v>
      </x:c>
      <x:c r="P89" s="17" t="n">
        <x:f>IF(D89="",0,J89-K89+L89)</x:f>
        <x:v>5395.61</x:v>
      </x:c>
      <x:c r="Q89" s="17" t="n">
        <x:f>MAX(J89-P89-K89,0)</x:f>
        <x:v>0</x:v>
      </x:c>
      <x:c r="R89" s="13" t="n">
        <x:f>IF(D89="",MAX(TODAY()-C89,0),MAX(D89-C89,0))</x:f>
        <x:v>13</x:v>
      </x:c>
      <x:c r="S89" s="13" t="str">
        <x:f>IF(R89=0,"Em dia",IF(R89&lt;=15,"1-15 dias",IF(R89&lt;=30,"16-30 dias",IF(R89&lt;=60,"31-60 dias","Acima de 60 dias"))))</x:f>
        <x:v>1-15 dias</x:v>
      </x:c>
    </x:row>
    <x:row r="90">
      <x:c r="A90" s="13" t="str">
        <x:v>REC-000089</x:v>
      </x:c>
      <x:c r="B90" s="23" t="n">
        <x:v>45340</x:v>
      </x:c>
      <x:c r="C90" s="23" t="n">
        <x:v>45355</x:v>
      </x:c>
      <x:c r="D90" s="23" t="n">
        <x:v>45353</x:v>
      </x:c>
      <x:c r="E90" s="13" t="str">
        <x:v>VAL-005</x:v>
      </x:c>
      <x:c r="F90" s="13" t="str">
        <x:v>Construtora Alameda</x:v>
      </x:c>
      <x:c r="G90" s="13" t="str">
        <x:v>Construção</x:v>
      </x:c>
      <x:c r="H90" s="13" t="str">
        <x:v>Médio</x:v>
      </x:c>
      <x:c r="I90" s="13" t="str">
        <x:v>Essencial</x:v>
      </x:c>
      <x:c r="J90" s="17" t="n">
        <x:v>10420.96</x:v>
      </x:c>
      <x:c r="K90" s="17" t="n">
        <x:v>0</x:v>
      </x:c>
      <x:c r="L90" s="17" t="n">
        <x:v>0</x:v>
      </x:c>
      <x:c r="M90" s="13" t="str">
        <x:v>Pago</x:v>
      </x:c>
      <x:c r="N90" s="13" t="str">
        <x:v>Sem cobrança</x:v>
      </x:c>
      <x:c r="O90" s="13" t="str">
        <x:v>Base controlada</x:v>
      </x:c>
      <x:c r="P90" s="17" t="n">
        <x:f>IF(D90="",0,J90-K90+L90)</x:f>
        <x:v>10420.96</x:v>
      </x:c>
      <x:c r="Q90" s="17" t="n">
        <x:f>MAX(J90-P90-K90,0)</x:f>
        <x:v>0</x:v>
      </x:c>
      <x:c r="R90" s="13" t="n">
        <x:f>IF(D90="",MAX(TODAY()-C90,0),MAX(D90-C90,0))</x:f>
        <x:v>0</x:v>
      </x:c>
      <x:c r="S90" s="13" t="str">
        <x:f>IF(R90=0,"Em dia",IF(R90&lt;=15,"1-15 dias",IF(R90&lt;=30,"16-30 dias",IF(R90&lt;=60,"31-60 dias","Acima de 60 dias"))))</x:f>
        <x:v>Em dia</x:v>
      </x:c>
    </x:row>
    <x:row r="91">
      <x:c r="A91" s="13" t="str">
        <x:v>REC-000090</x:v>
      </x:c>
      <x:c r="B91" s="23" t="n">
        <x:v>45323</x:v>
      </x:c>
      <x:c r="C91" s="23" t="n">
        <x:v>45344</x:v>
      </x:c>
      <x:c r="D91" s="23" t="n">
        <x:v>45341</x:v>
      </x:c>
      <x:c r="E91" s="13" t="str">
        <x:v>VAL-001</x:v>
      </x:c>
      <x:c r="F91" s="13" t="str">
        <x:v>Clínica Horizonte</x:v>
      </x:c>
      <x:c r="G91" s="13" t="str">
        <x:v>Clínicas e Saúde</x:v>
      </x:c>
      <x:c r="H91" s="13" t="str">
        <x:v>Baixo</x:v>
      </x:c>
      <x:c r="I91" s="13" t="str">
        <x:v>Essencial</x:v>
      </x:c>
      <x:c r="J91" s="17" t="n">
        <x:v>5464.99</x:v>
      </x:c>
      <x:c r="K91" s="17" t="n">
        <x:v>0</x:v>
      </x:c>
      <x:c r="L91" s="17" t="n">
        <x:v>0</x:v>
      </x:c>
      <x:c r="M91" s="13" t="str">
        <x:v>Pago</x:v>
      </x:c>
      <x:c r="N91" s="13" t="str">
        <x:v>Sem cobrança</x:v>
      </x:c>
      <x:c r="O91" s="13" t="str">
        <x:v>Base controlada</x:v>
      </x:c>
      <x:c r="P91" s="17" t="n">
        <x:f>IF(D91="",0,J91-K91+L91)</x:f>
        <x:v>5464.99</x:v>
      </x:c>
      <x:c r="Q91" s="17" t="n">
        <x:f>MAX(J91-P91-K91,0)</x:f>
        <x:v>0</x:v>
      </x:c>
      <x:c r="R91" s="13" t="n">
        <x:f>IF(D91="",MAX(TODAY()-C91,0),MAX(D91-C91,0))</x:f>
        <x:v>0</x:v>
      </x:c>
      <x:c r="S91" s="13" t="str">
        <x:f>IF(R91=0,"Em dia",IF(R91&lt;=15,"1-15 dias",IF(R91&lt;=30,"16-30 dias",IF(R91&lt;=60,"31-60 dias","Acima de 60 dias"))))</x:f>
        <x:v>Em dia</x:v>
      </x:c>
    </x:row>
    <x:row r="92">
      <x:c r="A92" s="13" t="str">
        <x:v>REC-000091</x:v>
      </x:c>
      <x:c r="B92" s="23" t="n">
        <x:v>45329</x:v>
      </x:c>
      <x:c r="C92" s="23" t="n">
        <x:v>45350</x:v>
      </x:c>
      <x:c r="D92" s="23" t="n">
        <x:v>45357</x:v>
      </x:c>
      <x:c r="E92" s="13" t="str">
        <x:v>VAL-001</x:v>
      </x:c>
      <x:c r="F92" s="13" t="str">
        <x:v>Clínica Horizonte</x:v>
      </x:c>
      <x:c r="G92" s="13" t="str">
        <x:v>Clínicas e Saúde</x:v>
      </x:c>
      <x:c r="H92" s="13" t="str">
        <x:v>Baixo</x:v>
      </x:c>
      <x:c r="I92" s="13" t="str">
        <x:v>Essencial</x:v>
      </x:c>
      <x:c r="J92" s="17" t="n">
        <x:v>3593.26</x:v>
      </x:c>
      <x:c r="K92" s="17" t="n">
        <x:v>0</x:v>
      </x:c>
      <x:c r="L92" s="17" t="n">
        <x:v>16.35</x:v>
      </x:c>
      <x:c r="M92" s="13" t="str">
        <x:v>Pago com atraso</x:v>
      </x:c>
      <x:c r="N92" s="13" t="str">
        <x:v>E-mail</x:v>
      </x:c>
      <x:c r="O92" s="13" t="str">
        <x:v>Base controlada</x:v>
      </x:c>
      <x:c r="P92" s="17" t="n">
        <x:f>IF(D92="",0,J92-K92+L92)</x:f>
        <x:v>3609.61</x:v>
      </x:c>
      <x:c r="Q92" s="17" t="n">
        <x:f>MAX(J92-P92-K92,0)</x:f>
        <x:v>0</x:v>
      </x:c>
      <x:c r="R92" s="13" t="n">
        <x:f>IF(D92="",MAX(TODAY()-C92,0),MAX(D92-C92,0))</x:f>
        <x:v>7</x:v>
      </x:c>
      <x:c r="S92" s="13" t="str">
        <x:f>IF(R92=0,"Em dia",IF(R92&lt;=15,"1-15 dias",IF(R92&lt;=30,"16-30 dias",IF(R92&lt;=60,"31-60 dias","Acima de 60 dias"))))</x:f>
        <x:v>1-15 dias</x:v>
      </x:c>
    </x:row>
    <x:row r="93">
      <x:c r="A93" s="13" t="str">
        <x:v>REC-000092</x:v>
      </x:c>
      <x:c r="B93" s="23" t="n">
        <x:v>45327</x:v>
      </x:c>
      <x:c r="C93" s="23" t="n">
        <x:v>45334</x:v>
      </x:c>
      <x:c r="D93" s="23" t="n">
        <x:v>45331</x:v>
      </x:c>
      <x:c r="E93" s="13" t="str">
        <x:v>VAL-010</x:v>
      </x:c>
      <x:c r="F93" s="13" t="str">
        <x:v>Atlas Contabilidade</x:v>
      </x:c>
      <x:c r="G93" s="13" t="str">
        <x:v>Serviços Profissionais</x:v>
      </x:c>
      <x:c r="H93" s="13" t="str">
        <x:v>Baixo</x:v>
      </x:c>
      <x:c r="I93" s="13" t="str">
        <x:v>Gestão</x:v>
      </x:c>
      <x:c r="J93" s="17" t="n">
        <x:v>19681.88</x:v>
      </x:c>
      <x:c r="K93" s="17" t="n">
        <x:v>0</x:v>
      </x:c>
      <x:c r="L93" s="17" t="n">
        <x:v>0</x:v>
      </x:c>
      <x:c r="M93" s="13" t="str">
        <x:v>Pago</x:v>
      </x:c>
      <x:c r="N93" s="13" t="str">
        <x:v>Sem cobrança</x:v>
      </x:c>
      <x:c r="O93" s="13" t="str">
        <x:v>Base controlada</x:v>
      </x:c>
      <x:c r="P93" s="17" t="n">
        <x:f>IF(D93="",0,J93-K93+L93)</x:f>
        <x:v>19681.88</x:v>
      </x:c>
      <x:c r="Q93" s="17" t="n">
        <x:f>MAX(J93-P93-K93,0)</x:f>
        <x:v>0</x:v>
      </x:c>
      <x:c r="R93" s="13" t="n">
        <x:f>IF(D93="",MAX(TODAY()-C93,0),MAX(D93-C93,0))</x:f>
        <x:v>0</x:v>
      </x:c>
      <x:c r="S93" s="13" t="str">
        <x:f>IF(R93=0,"Em dia",IF(R93&lt;=15,"1-15 dias",IF(R93&lt;=30,"16-30 dias",IF(R93&lt;=60,"31-60 dias","Acima de 60 dias"))))</x:f>
        <x:v>Em dia</x:v>
      </x:c>
    </x:row>
    <x:row r="94">
      <x:c r="A94" s="13" t="str">
        <x:v>REC-000093</x:v>
      </x:c>
      <x:c r="B94" s="23" t="n">
        <x:v>45342</x:v>
      </x:c>
      <x:c r="C94" s="23" t="n">
        <x:v>45349</x:v>
      </x:c>
      <x:c r="D94" s="23" t="n">
        <x:v>45347</x:v>
      </x:c>
      <x:c r="E94" s="13" t="str">
        <x:v>VAL-014</x:v>
      </x:c>
      <x:c r="F94" s="13" t="str">
        <x:v>Colégio Caminhos</x:v>
      </x:c>
      <x:c r="G94" s="13" t="str">
        <x:v>Educação</x:v>
      </x:c>
      <x:c r="H94" s="13" t="str">
        <x:v>Médio</x:v>
      </x:c>
      <x:c r="I94" s="13" t="str">
        <x:v>Gestão</x:v>
      </x:c>
      <x:c r="J94" s="17" t="n">
        <x:v>17462.68</x:v>
      </x:c>
      <x:c r="K94" s="17" t="n">
        <x:v>0</x:v>
      </x:c>
      <x:c r="L94" s="17" t="n">
        <x:v>0</x:v>
      </x:c>
      <x:c r="M94" s="13" t="str">
        <x:v>Pago</x:v>
      </x:c>
      <x:c r="N94" s="13" t="str">
        <x:v>Sem cobrança</x:v>
      </x:c>
      <x:c r="O94" s="13" t="str">
        <x:v>Base controlada</x:v>
      </x:c>
      <x:c r="P94" s="17" t="n">
        <x:f>IF(D94="",0,J94-K94+L94)</x:f>
        <x:v>17462.68</x:v>
      </x:c>
      <x:c r="Q94" s="17" t="n">
        <x:f>MAX(J94-P94-K94,0)</x:f>
        <x:v>0</x:v>
      </x:c>
      <x:c r="R94" s="13" t="n">
        <x:f>IF(D94="",MAX(TODAY()-C94,0),MAX(D94-C94,0))</x:f>
        <x:v>0</x:v>
      </x:c>
      <x:c r="S94" s="13" t="str">
        <x:f>IF(R94=0,"Em dia",IF(R94&lt;=15,"1-15 dias",IF(R94&lt;=30,"16-30 dias",IF(R94&lt;=60,"31-60 dias","Acima de 60 dias"))))</x:f>
        <x:v>Em dia</x:v>
      </x:c>
    </x:row>
    <x:row r="95">
      <x:c r="A95" s="13" t="str">
        <x:v>REC-000094</x:v>
      </x:c>
      <x:c r="B95" s="23" t="n">
        <x:v>45333</x:v>
      </x:c>
      <x:c r="C95" s="23" t="n">
        <x:v>45363</x:v>
      </x:c>
      <x:c r="D95" s="23" t="n">
        <x:v>45362</x:v>
      </x:c>
      <x:c r="E95" s="13" t="str">
        <x:v>VAL-007</x:v>
      </x:c>
      <x:c r="F95" s="13" t="str">
        <x:v>Loja Prisma Online</x:v>
      </x:c>
      <x:c r="G95" s="13" t="str">
        <x:v>E-commerce</x:v>
      </x:c>
      <x:c r="H95" s="13" t="str">
        <x:v>Médio</x:v>
      </x:c>
      <x:c r="I95" s="13" t="str">
        <x:v>Performance</x:v>
      </x:c>
      <x:c r="J95" s="17" t="n">
        <x:v>28548.05</x:v>
      </x:c>
      <x:c r="K95" s="17" t="n">
        <x:v>0</x:v>
      </x:c>
      <x:c r="L95" s="17" t="n">
        <x:v>0</x:v>
      </x:c>
      <x:c r="M95" s="13" t="str">
        <x:v>Pago</x:v>
      </x:c>
      <x:c r="N95" s="13" t="str">
        <x:v>Sem cobrança</x:v>
      </x:c>
      <x:c r="O95" s="13" t="str">
        <x:v>Base controlada</x:v>
      </x:c>
      <x:c r="P95" s="17" t="n">
        <x:f>IF(D95="",0,J95-K95+L95)</x:f>
        <x:v>28548.05</x:v>
      </x:c>
      <x:c r="Q95" s="17" t="n">
        <x:f>MAX(J95-P95-K95,0)</x:f>
        <x:v>0</x:v>
      </x:c>
      <x:c r="R95" s="13" t="n">
        <x:f>IF(D95="",MAX(TODAY()-C95,0),MAX(D95-C95,0))</x:f>
        <x:v>0</x:v>
      </x:c>
      <x:c r="S95" s="13" t="str">
        <x:f>IF(R95=0,"Em dia",IF(R95&lt;=15,"1-15 dias",IF(R95&lt;=30,"16-30 dias",IF(R95&lt;=60,"31-60 dias","Acima de 60 dias"))))</x:f>
        <x:v>Em dia</x:v>
      </x:c>
    </x:row>
    <x:row r="96">
      <x:c r="A96" s="13" t="str">
        <x:v>REC-000095</x:v>
      </x:c>
      <x:c r="B96" s="23" t="n">
        <x:v>45327</x:v>
      </x:c>
      <x:c r="C96" s="23" t="n">
        <x:v>45357</x:v>
      </x:c>
      <x:c r="D96" s="23" t="n">
        <x:v>45356</x:v>
      </x:c>
      <x:c r="E96" s="13" t="str">
        <x:v>VAL-016</x:v>
      </x:c>
      <x:c r="F96" s="13" t="str">
        <x:v>Lumina Embalagens</x:v>
      </x:c>
      <x:c r="G96" s="13" t="str">
        <x:v>Indústria Leve</x:v>
      </x:c>
      <x:c r="H96" s="13" t="str">
        <x:v>Baixo</x:v>
      </x:c>
      <x:c r="I96" s="13" t="str">
        <x:v>Enterprise</x:v>
      </x:c>
      <x:c r="J96" s="17" t="n">
        <x:v>3702.63</x:v>
      </x:c>
      <x:c r="K96" s="17" t="n">
        <x:v>0</x:v>
      </x:c>
      <x:c r="L96" s="17" t="n">
        <x:v>0</x:v>
      </x:c>
      <x:c r="M96" s="13" t="str">
        <x:v>Pago</x:v>
      </x:c>
      <x:c r="N96" s="13" t="str">
        <x:v>Sem cobrança</x:v>
      </x:c>
      <x:c r="O96" s="13" t="str">
        <x:v>Base controlada</x:v>
      </x:c>
      <x:c r="P96" s="17" t="n">
        <x:f>IF(D96="",0,J96-K96+L96)</x:f>
        <x:v>3702.63</x:v>
      </x:c>
      <x:c r="Q96" s="17" t="n">
        <x:f>MAX(J96-P96-K96,0)</x:f>
        <x:v>0</x:v>
      </x:c>
      <x:c r="R96" s="13" t="n">
        <x:f>IF(D96="",MAX(TODAY()-C96,0),MAX(D96-C96,0))</x:f>
        <x:v>0</x:v>
      </x:c>
      <x:c r="S96" s="13" t="str">
        <x:f>IF(R96=0,"Em dia",IF(R96&lt;=15,"1-15 dias",IF(R96&lt;=30,"16-30 dias",IF(R96&lt;=60,"31-60 dias","Acima de 60 dias"))))</x:f>
        <x:v>Em dia</x:v>
      </x:c>
    </x:row>
    <x:row r="97">
      <x:c r="A97" s="13" t="str">
        <x:v>REC-000096</x:v>
      </x:c>
      <x:c r="B97" s="23" t="n">
        <x:v>45333</x:v>
      </x:c>
      <x:c r="C97" s="23" t="n">
        <x:v>45354</x:v>
      </x:c>
      <x:c r="D97" s="23" t="n">
        <x:v>45354</x:v>
      </x:c>
      <x:c r="E97" s="13" t="str">
        <x:v>VAL-022</x:v>
      </x:c>
      <x:c r="F97" s="13" t="str">
        <x:v>Academia Evoluir</x:v>
      </x:c>
      <x:c r="G97" s="13" t="str">
        <x:v>Educação</x:v>
      </x:c>
      <x:c r="H97" s="13" t="str">
        <x:v>Alto</x:v>
      </x:c>
      <x:c r="I97" s="13" t="str">
        <x:v>Gestão</x:v>
      </x:c>
      <x:c r="J97" s="17" t="n">
        <x:v>18635.42</x:v>
      </x:c>
      <x:c r="K97" s="17" t="n">
        <x:v>0</x:v>
      </x:c>
      <x:c r="L97" s="17" t="n">
        <x:v>0</x:v>
      </x:c>
      <x:c r="M97" s="13" t="str">
        <x:v>Pago</x:v>
      </x:c>
      <x:c r="N97" s="13" t="str">
        <x:v>Sem cobrança</x:v>
      </x:c>
      <x:c r="O97" s="13" t="str">
        <x:v>Base controlada</x:v>
      </x:c>
      <x:c r="P97" s="17" t="n">
        <x:f>IF(D97="",0,J97-K97+L97)</x:f>
        <x:v>18635.42</x:v>
      </x:c>
      <x:c r="Q97" s="17" t="n">
        <x:f>MAX(J97-P97-K97,0)</x:f>
        <x:v>0</x:v>
      </x:c>
      <x:c r="R97" s="13" t="n">
        <x:f>IF(D97="",MAX(TODAY()-C97,0),MAX(D97-C97,0))</x:f>
        <x:v>0</x:v>
      </x:c>
      <x:c r="S97" s="13" t="str">
        <x:f>IF(R97=0,"Em dia",IF(R97&lt;=15,"1-15 dias",IF(R97&lt;=30,"16-30 dias",IF(R97&lt;=60,"31-60 dias","Acima de 60 dias"))))</x:f>
        <x:v>Em dia</x:v>
      </x:c>
    </x:row>
    <x:row r="98">
      <x:c r="A98" s="13" t="str">
        <x:v>REC-000097</x:v>
      </x:c>
      <x:c r="B98" s="23" t="n">
        <x:v>45341</x:v>
      </x:c>
      <x:c r="C98" s="23" t="n">
        <x:v>45356</x:v>
      </x:c>
      <x:c r="D98" s="23" t="n">
        <x:v>45355</x:v>
      </x:c>
      <x:c r="E98" s="13" t="str">
        <x:v>VAL-007</x:v>
      </x:c>
      <x:c r="F98" s="13" t="str">
        <x:v>Loja Prisma Online</x:v>
      </x:c>
      <x:c r="G98" s="13" t="str">
        <x:v>E-commerce</x:v>
      </x:c>
      <x:c r="H98" s="13" t="str">
        <x:v>Médio</x:v>
      </x:c>
      <x:c r="I98" s="13" t="str">
        <x:v>Performance</x:v>
      </x:c>
      <x:c r="J98" s="17" t="n">
        <x:v>33441.08</x:v>
      </x:c>
      <x:c r="K98" s="17" t="n">
        <x:v>0</x:v>
      </x:c>
      <x:c r="L98" s="17" t="n">
        <x:v>0</x:v>
      </x:c>
      <x:c r="M98" s="13" t="str">
        <x:v>Pago</x:v>
      </x:c>
      <x:c r="N98" s="13" t="str">
        <x:v>Sem cobrança</x:v>
      </x:c>
      <x:c r="O98" s="13" t="str">
        <x:v>Base controlada</x:v>
      </x:c>
      <x:c r="P98" s="17" t="n">
        <x:f>IF(D98="",0,J98-K98+L98)</x:f>
        <x:v>33441.08</x:v>
      </x:c>
      <x:c r="Q98" s="17" t="n">
        <x:f>MAX(J98-P98-K98,0)</x:f>
        <x:v>0</x:v>
      </x:c>
      <x:c r="R98" s="13" t="n">
        <x:f>IF(D98="",MAX(TODAY()-C98,0),MAX(D98-C98,0))</x:f>
        <x:v>0</x:v>
      </x:c>
      <x:c r="S98" s="13" t="str">
        <x:f>IF(R98=0,"Em dia",IF(R98&lt;=15,"1-15 dias",IF(R98&lt;=30,"16-30 dias",IF(R98&lt;=60,"31-60 dias","Acima de 60 dias"))))</x:f>
        <x:v>Em dia</x:v>
      </x:c>
    </x:row>
    <x:row r="99">
      <x:c r="A99" s="13" t="str">
        <x:v>REC-000098</x:v>
      </x:c>
      <x:c r="B99" s="23" t="n">
        <x:v>45326</x:v>
      </x:c>
      <x:c r="C99" s="23" t="n">
        <x:v>45347</x:v>
      </x:c>
      <x:c r="D99" s="23" t="n">
        <x:v>45343</x:v>
      </x:c>
      <x:c r="E99" s="13" t="str">
        <x:v>VAL-005</x:v>
      </x:c>
      <x:c r="F99" s="13" t="str">
        <x:v>Construtora Alameda</x:v>
      </x:c>
      <x:c r="G99" s="13" t="str">
        <x:v>Construção</x:v>
      </x:c>
      <x:c r="H99" s="13" t="str">
        <x:v>Médio</x:v>
      </x:c>
      <x:c r="I99" s="13" t="str">
        <x:v>Essencial</x:v>
      </x:c>
      <x:c r="J99" s="17" t="n">
        <x:v>25916.37</x:v>
      </x:c>
      <x:c r="K99" s="17" t="n">
        <x:v>0</x:v>
      </x:c>
      <x:c r="L99" s="17" t="n">
        <x:v>0</x:v>
      </x:c>
      <x:c r="M99" s="13" t="str">
        <x:v>Pago</x:v>
      </x:c>
      <x:c r="N99" s="13" t="str">
        <x:v>Sem cobrança</x:v>
      </x:c>
      <x:c r="O99" s="13" t="str">
        <x:v>Base controlada</x:v>
      </x:c>
      <x:c r="P99" s="17" t="n">
        <x:f>IF(D99="",0,J99-K99+L99)</x:f>
        <x:v>25916.37</x:v>
      </x:c>
      <x:c r="Q99" s="17" t="n">
        <x:f>MAX(J99-P99-K99,0)</x:f>
        <x:v>0</x:v>
      </x:c>
      <x:c r="R99" s="13" t="n">
        <x:f>IF(D99="",MAX(TODAY()-C99,0),MAX(D99-C99,0))</x:f>
        <x:v>0</x:v>
      </x:c>
      <x:c r="S99" s="13" t="str">
        <x:f>IF(R99=0,"Em dia",IF(R99&lt;=15,"1-15 dias",IF(R99&lt;=30,"16-30 dias",IF(R99&lt;=60,"31-60 dias","Acima de 60 dias"))))</x:f>
        <x:v>Em dia</x:v>
      </x:c>
    </x:row>
    <x:row r="100">
      <x:c r="A100" s="13" t="str">
        <x:v>REC-000099</x:v>
      </x:c>
      <x:c r="B100" s="23" t="n">
        <x:v>45339</x:v>
      </x:c>
      <x:c r="C100" s="23" t="n">
        <x:v>45346</x:v>
      </x:c>
      <x:c r="D100" s="23" t="n">
        <x:v>45345</x:v>
      </x:c>
      <x:c r="E100" s="13" t="str">
        <x:v>VAL-020</x:v>
      </x:c>
      <x:c r="F100" s="13" t="str">
        <x:v>Corelink Digital</x:v>
      </x:c>
      <x:c r="G100" s="13" t="str">
        <x:v>Tecnologia</x:v>
      </x:c>
      <x:c r="H100" s="13" t="str">
        <x:v>Baixo</x:v>
      </x:c>
      <x:c r="I100" s="13" t="str">
        <x:v>Enterprise</x:v>
      </x:c>
      <x:c r="J100" s="17" t="n">
        <x:v>14724.25</x:v>
      </x:c>
      <x:c r="K100" s="17" t="n">
        <x:v>0</x:v>
      </x:c>
      <x:c r="L100" s="17" t="n">
        <x:v>0</x:v>
      </x:c>
      <x:c r="M100" s="13" t="str">
        <x:v>Pago</x:v>
      </x:c>
      <x:c r="N100" s="13" t="str">
        <x:v>Sem cobrança</x:v>
      </x:c>
      <x:c r="O100" s="13" t="str">
        <x:v>Base controlada</x:v>
      </x:c>
      <x:c r="P100" s="17" t="n">
        <x:f>IF(D100="",0,J100-K100+L100)</x:f>
        <x:v>14724.25</x:v>
      </x:c>
      <x:c r="Q100" s="17" t="n">
        <x:f>MAX(J100-P100-K100,0)</x:f>
        <x:v>0</x:v>
      </x:c>
      <x:c r="R100" s="13" t="n">
        <x:f>IF(D100="",MAX(TODAY()-C100,0),MAX(D100-C100,0))</x:f>
        <x:v>0</x:v>
      </x:c>
      <x:c r="S100" s="13" t="str">
        <x:f>IF(R100=0,"Em dia",IF(R100&lt;=15,"1-15 dias",IF(R100&lt;=30,"16-30 dias",IF(R100&lt;=60,"31-60 dias","Acima de 60 dias"))))</x:f>
        <x:v>Em dia</x:v>
      </x:c>
    </x:row>
    <x:row r="101">
      <x:c r="A101" s="13" t="str">
        <x:v>REC-000100</x:v>
      </x:c>
      <x:c r="B101" s="23" t="n">
        <x:v>45332</x:v>
      </x:c>
      <x:c r="C101" s="23" t="n">
        <x:v>45339</x:v>
      </x:c>
      <x:c r="D101" s="23" t="n">
        <x:v>45339</x:v>
      </x:c>
      <x:c r="E101" s="13" t="str">
        <x:v>VAL-015</x:v>
      </x:c>
      <x:c r="F101" s="13" t="str">
        <x:v>Mercado Click</x:v>
      </x:c>
      <x:c r="G101" s="13" t="str">
        <x:v>E-commerce</x:v>
      </x:c>
      <x:c r="H101" s="13" t="str">
        <x:v>Baixo</x:v>
      </x:c>
      <x:c r="I101" s="13" t="str">
        <x:v>Performance</x:v>
      </x:c>
      <x:c r="J101" s="17" t="n">
        <x:v>33619.6</x:v>
      </x:c>
      <x:c r="K101" s="17" t="n">
        <x:v>0</x:v>
      </x:c>
      <x:c r="L101" s="17" t="n">
        <x:v>0</x:v>
      </x:c>
      <x:c r="M101" s="13" t="str">
        <x:v>Pago</x:v>
      </x:c>
      <x:c r="N101" s="13" t="str">
        <x:v>Sem cobrança</x:v>
      </x:c>
      <x:c r="O101" s="13" t="str">
        <x:v>Base controlada</x:v>
      </x:c>
      <x:c r="P101" s="17" t="n">
        <x:f>IF(D101="",0,J101-K101+L101)</x:f>
        <x:v>33619.6</x:v>
      </x:c>
      <x:c r="Q101" s="17" t="n">
        <x:f>MAX(J101-P101-K101,0)</x:f>
        <x:v>0</x:v>
      </x:c>
      <x:c r="R101" s="13" t="n">
        <x:f>IF(D101="",MAX(TODAY()-C101,0),MAX(D101-C101,0))</x:f>
        <x:v>0</x:v>
      </x:c>
      <x:c r="S101" s="13" t="str">
        <x:f>IF(R101=0,"Em dia",IF(R101&lt;=15,"1-15 dias",IF(R101&lt;=30,"16-30 dias",IF(R101&lt;=60,"31-60 dias","Acima de 60 dias"))))</x:f>
        <x:v>Em dia</x:v>
      </x:c>
    </x:row>
    <x:row r="102">
      <x:c r="A102" s="13" t="str">
        <x:v>REC-000101</x:v>
      </x:c>
      <x:c r="B102" s="23" t="n">
        <x:v>45329</x:v>
      </x:c>
      <x:c r="C102" s="23" t="n">
        <x:v>45344</x:v>
      </x:c>
      <x:c r="D102" s="23" t="n">
        <x:v>45341</x:v>
      </x:c>
      <x:c r="E102" s="13" t="str">
        <x:v>VAL-005</x:v>
      </x:c>
      <x:c r="F102" s="13" t="str">
        <x:v>Construtora Alameda</x:v>
      </x:c>
      <x:c r="G102" s="13" t="str">
        <x:v>Construção</x:v>
      </x:c>
      <x:c r="H102" s="13" t="str">
        <x:v>Médio</x:v>
      </x:c>
      <x:c r="I102" s="13" t="str">
        <x:v>Essencial</x:v>
      </x:c>
      <x:c r="J102" s="17" t="n">
        <x:v>21532.93</x:v>
      </x:c>
      <x:c r="K102" s="17" t="n">
        <x:v>0</x:v>
      </x:c>
      <x:c r="L102" s="17" t="n">
        <x:v>0</x:v>
      </x:c>
      <x:c r="M102" s="13" t="str">
        <x:v>Pago</x:v>
      </x:c>
      <x:c r="N102" s="13" t="str">
        <x:v>Sem cobrança</x:v>
      </x:c>
      <x:c r="O102" s="13" t="str">
        <x:v>Base controlada</x:v>
      </x:c>
      <x:c r="P102" s="17" t="n">
        <x:f>IF(D102="",0,J102-K102+L102)</x:f>
        <x:v>21532.93</x:v>
      </x:c>
      <x:c r="Q102" s="17" t="n">
        <x:f>MAX(J102-P102-K102,0)</x:f>
        <x:v>0</x:v>
      </x:c>
      <x:c r="R102" s="13" t="n">
        <x:f>IF(D102="",MAX(TODAY()-C102,0),MAX(D102-C102,0))</x:f>
        <x:v>0</x:v>
      </x:c>
      <x:c r="S102" s="13" t="str">
        <x:f>IF(R102=0,"Em dia",IF(R102&lt;=15,"1-15 dias",IF(R102&lt;=30,"16-30 dias",IF(R102&lt;=60,"31-60 dias","Acima de 60 dias"))))</x:f>
        <x:v>Em dia</x:v>
      </x:c>
    </x:row>
    <x:row r="103">
      <x:c r="A103" s="13" t="str">
        <x:v>REC-000102</x:v>
      </x:c>
      <x:c r="B103" s="23" t="n">
        <x:v>45329</x:v>
      </x:c>
      <x:c r="C103" s="23" t="n">
        <x:v>45359</x:v>
      </x:c>
      <x:c r="D103" s="23" t="n">
        <x:v>45359</x:v>
      </x:c>
      <x:c r="E103" s="13" t="str">
        <x:v>VAL-015</x:v>
      </x:c>
      <x:c r="F103" s="13" t="str">
        <x:v>Mercado Click</x:v>
      </x:c>
      <x:c r="G103" s="13" t="str">
        <x:v>E-commerce</x:v>
      </x:c>
      <x:c r="H103" s="13" t="str">
        <x:v>Baixo</x:v>
      </x:c>
      <x:c r="I103" s="13" t="str">
        <x:v>Performance</x:v>
      </x:c>
      <x:c r="J103" s="17" t="n">
        <x:v>34883.56</x:v>
      </x:c>
      <x:c r="K103" s="17" t="n">
        <x:v>493.22</x:v>
      </x:c>
      <x:c r="L103" s="17" t="n">
        <x:v>0</x:v>
      </x:c>
      <x:c r="M103" s="13" t="str">
        <x:v>Pago</x:v>
      </x:c>
      <x:c r="N103" s="13" t="str">
        <x:v>Sem cobrança</x:v>
      </x:c>
      <x:c r="O103" s="13" t="str">
        <x:v>Base controlada</x:v>
      </x:c>
      <x:c r="P103" s="17" t="n">
        <x:f>IF(D103="",0,J103-K103+L103)</x:f>
        <x:v>34390.34</x:v>
      </x:c>
      <x:c r="Q103" s="17" t="n">
        <x:f>MAX(J103-P103-K103,0)</x:f>
        <x:v>1.1368683772161603e-12</x:v>
      </x:c>
      <x:c r="R103" s="13" t="n">
        <x:f>IF(D103="",MAX(TODAY()-C103,0),MAX(D103-C103,0))</x:f>
        <x:v>0</x:v>
      </x:c>
      <x:c r="S103" s="13" t="str">
        <x:f>IF(R103=0,"Em dia",IF(R103&lt;=15,"1-15 dias",IF(R103&lt;=30,"16-30 dias",IF(R103&lt;=60,"31-60 dias","Acima de 60 dias"))))</x:f>
        <x:v>Em dia</x:v>
      </x:c>
    </x:row>
    <x:row r="104">
      <x:c r="A104" s="13" t="str">
        <x:v>REC-000103</x:v>
      </x:c>
      <x:c r="B104" s="23" t="n">
        <x:v>45335</x:v>
      </x:c>
      <x:c r="C104" s="23" t="n">
        <x:v>45365</x:v>
      </x:c>
      <x:c r="D104" s="23" t="n">
        <x:v>45362</x:v>
      </x:c>
      <x:c r="E104" s="13" t="str">
        <x:v>VAL-017</x:v>
      </x:c>
      <x:c r="F104" s="13" t="str">
        <x:v>Centro Médico Vida</x:v>
      </x:c>
      <x:c r="G104" s="13" t="str">
        <x:v>Clínicas e Saúde</x:v>
      </x:c>
      <x:c r="H104" s="13" t="str">
        <x:v>Baixo</x:v>
      </x:c>
      <x:c r="I104" s="13" t="str">
        <x:v>Essencial</x:v>
      </x:c>
      <x:c r="J104" s="17" t="n">
        <x:v>17368.55</x:v>
      </x:c>
      <x:c r="K104" s="17" t="n">
        <x:v>0</x:v>
      </x:c>
      <x:c r="L104" s="17" t="n">
        <x:v>0</x:v>
      </x:c>
      <x:c r="M104" s="13" t="str">
        <x:v>Pago</x:v>
      </x:c>
      <x:c r="N104" s="13" t="str">
        <x:v>Sem cobrança</x:v>
      </x:c>
      <x:c r="O104" s="13" t="str">
        <x:v>Base controlada</x:v>
      </x:c>
      <x:c r="P104" s="17" t="n">
        <x:f>IF(D104="",0,J104-K104+L104)</x:f>
        <x:v>17368.55</x:v>
      </x:c>
      <x:c r="Q104" s="17" t="n">
        <x:f>MAX(J104-P104-K104,0)</x:f>
        <x:v>0</x:v>
      </x:c>
      <x:c r="R104" s="13" t="n">
        <x:f>IF(D104="",MAX(TODAY()-C104,0),MAX(D104-C104,0))</x:f>
        <x:v>0</x:v>
      </x:c>
      <x:c r="S104" s="13" t="str">
        <x:f>IF(R104=0,"Em dia",IF(R104&lt;=15,"1-15 dias",IF(R104&lt;=30,"16-30 dias",IF(R104&lt;=60,"31-60 dias","Acima de 60 dias"))))</x:f>
        <x:v>Em dia</x:v>
      </x:c>
    </x:row>
    <x:row r="105">
      <x:c r="A105" s="13" t="str">
        <x:v>REC-000104</x:v>
      </x:c>
      <x:c r="B105" s="23" t="n">
        <x:v>45332</x:v>
      </x:c>
      <x:c r="C105" s="23" t="n">
        <x:v>45360</x:v>
      </x:c>
      <x:c r="D105" s="23" t="n">
        <x:v>45360</x:v>
      </x:c>
      <x:c r="E105" s="13" t="str">
        <x:v>VAL-020</x:v>
      </x:c>
      <x:c r="F105" s="13" t="str">
        <x:v>Corelink Digital</x:v>
      </x:c>
      <x:c r="G105" s="13" t="str">
        <x:v>Tecnologia</x:v>
      </x:c>
      <x:c r="H105" s="13" t="str">
        <x:v>Baixo</x:v>
      </x:c>
      <x:c r="I105" s="13" t="str">
        <x:v>Enterprise</x:v>
      </x:c>
      <x:c r="J105" s="17" t="n">
        <x:v>12896.19</x:v>
      </x:c>
      <x:c r="K105" s="17" t="n">
        <x:v>0</x:v>
      </x:c>
      <x:c r="L105" s="17" t="n">
        <x:v>0</x:v>
      </x:c>
      <x:c r="M105" s="13" t="str">
        <x:v>Pago</x:v>
      </x:c>
      <x:c r="N105" s="13" t="str">
        <x:v>Sem cobrança</x:v>
      </x:c>
      <x:c r="O105" s="13" t="str">
        <x:v>Base controlada</x:v>
      </x:c>
      <x:c r="P105" s="17" t="n">
        <x:f>IF(D105="",0,J105-K105+L105)</x:f>
        <x:v>12896.19</x:v>
      </x:c>
      <x:c r="Q105" s="17" t="n">
        <x:f>MAX(J105-P105-K105,0)</x:f>
        <x:v>0</x:v>
      </x:c>
      <x:c r="R105" s="13" t="n">
        <x:f>IF(D105="",MAX(TODAY()-C105,0),MAX(D105-C105,0))</x:f>
        <x:v>0</x:v>
      </x:c>
      <x:c r="S105" s="13" t="str">
        <x:f>IF(R105=0,"Em dia",IF(R105&lt;=15,"1-15 dias",IF(R105&lt;=30,"16-30 dias",IF(R105&lt;=60,"31-60 dias","Acima de 60 dias"))))</x:f>
        <x:v>Em dia</x:v>
      </x:c>
    </x:row>
    <x:row r="106">
      <x:c r="A106" s="13" t="str">
        <x:v>REC-000105</x:v>
      </x:c>
      <x:c r="B106" s="23" t="n">
        <x:v>45324</x:v>
      </x:c>
      <x:c r="C106" s="23" t="n">
        <x:v>45345</x:v>
      </x:c>
      <x:c r="D106" s="23" t="n">
        <x:v>45344</x:v>
      </x:c>
      <x:c r="E106" s="13" t="str">
        <x:v>VAL-017</x:v>
      </x:c>
      <x:c r="F106" s="13" t="str">
        <x:v>Centro Médico Vida</x:v>
      </x:c>
      <x:c r="G106" s="13" t="str">
        <x:v>Clínicas e Saúde</x:v>
      </x:c>
      <x:c r="H106" s="13" t="str">
        <x:v>Baixo</x:v>
      </x:c>
      <x:c r="I106" s="13" t="str">
        <x:v>Essencial</x:v>
      </x:c>
      <x:c r="J106" s="17" t="n">
        <x:v>4330.39</x:v>
      </x:c>
      <x:c r="K106" s="17" t="n">
        <x:v>57.84</x:v>
      </x:c>
      <x:c r="L106" s="17" t="n">
        <x:v>0</x:v>
      </x:c>
      <x:c r="M106" s="13" t="str">
        <x:v>Pago</x:v>
      </x:c>
      <x:c r="N106" s="13" t="str">
        <x:v>Sem cobrança</x:v>
      </x:c>
      <x:c r="O106" s="13" t="str">
        <x:v>Base controlada</x:v>
      </x:c>
      <x:c r="P106" s="17" t="n">
        <x:f>IF(D106="",0,J106-K106+L106)</x:f>
        <x:v>4272.55</x:v>
      </x:c>
      <x:c r="Q106" s="17" t="n">
        <x:f>MAX(J106-P106-K106,0)</x:f>
        <x:v>1.4210854715202004e-13</x:v>
      </x:c>
      <x:c r="R106" s="13" t="n">
        <x:f>IF(D106="",MAX(TODAY()-C106,0),MAX(D106-C106,0))</x:f>
        <x:v>0</x:v>
      </x:c>
      <x:c r="S106" s="13" t="str">
        <x:f>IF(R106=0,"Em dia",IF(R106&lt;=15,"1-15 dias",IF(R106&lt;=30,"16-30 dias",IF(R106&lt;=60,"31-60 dias","Acima de 60 dias"))))</x:f>
        <x:v>Em dia</x:v>
      </x:c>
    </x:row>
    <x:row r="107">
      <x:c r="A107" s="13" t="str">
        <x:v>REC-000106</x:v>
      </x:c>
      <x:c r="B107" s="23" t="n">
        <x:v>45326</x:v>
      </x:c>
      <x:c r="C107" s="23" t="n">
        <x:v>45333</x:v>
      </x:c>
      <x:c r="D107" s="23" t="n">
        <x:v>45332</x:v>
      </x:c>
      <x:c r="E107" s="13" t="str">
        <x:v>VAL-011</x:v>
      </x:c>
      <x:c r="F107" s="13" t="str">
        <x:v>Rede Essencial</x:v>
      </x:c>
      <x:c r="G107" s="13" t="str">
        <x:v>Varejo</x:v>
      </x:c>
      <x:c r="H107" s="13" t="str">
        <x:v>Médio</x:v>
      </x:c>
      <x:c r="I107" s="13" t="str">
        <x:v>Performance</x:v>
      </x:c>
      <x:c r="J107" s="17" t="n">
        <x:v>6495.84</x:v>
      </x:c>
      <x:c r="K107" s="17" t="n">
        <x:v>0</x:v>
      </x:c>
      <x:c r="L107" s="17" t="n">
        <x:v>0</x:v>
      </x:c>
      <x:c r="M107" s="13" t="str">
        <x:v>Pago</x:v>
      </x:c>
      <x:c r="N107" s="13" t="str">
        <x:v>Sem cobrança</x:v>
      </x:c>
      <x:c r="O107" s="13" t="str">
        <x:v>Base controlada</x:v>
      </x:c>
      <x:c r="P107" s="17" t="n">
        <x:f>IF(D107="",0,J107-K107+L107)</x:f>
        <x:v>6495.84</x:v>
      </x:c>
      <x:c r="Q107" s="17" t="n">
        <x:f>MAX(J107-P107-K107,0)</x:f>
        <x:v>0</x:v>
      </x:c>
      <x:c r="R107" s="13" t="n">
        <x:f>IF(D107="",MAX(TODAY()-C107,0),MAX(D107-C107,0))</x:f>
        <x:v>0</x:v>
      </x:c>
      <x:c r="S107" s="13" t="str">
        <x:f>IF(R107=0,"Em dia",IF(R107&lt;=15,"1-15 dias",IF(R107&lt;=30,"16-30 dias",IF(R107&lt;=60,"31-60 dias","Acima de 60 dias"))))</x:f>
        <x:v>Em dia</x:v>
      </x:c>
    </x:row>
    <x:row r="108">
      <x:c r="A108" s="13" t="str">
        <x:v>REC-000107</x:v>
      </x:c>
      <x:c r="B108" s="23" t="n">
        <x:v>45326</x:v>
      </x:c>
      <x:c r="C108" s="23" t="n">
        <x:v>45341</x:v>
      </x:c>
      <x:c r="D108" s="23" t="n">
        <x:v>45341</x:v>
      </x:c>
      <x:c r="E108" s="13" t="str">
        <x:v>VAL-002</x:v>
      </x:c>
      <x:c r="F108" s="13" t="str">
        <x:v>Mendes &amp; Prado Consultoria</x:v>
      </x:c>
      <x:c r="G108" s="13" t="str">
        <x:v>Serviços Profissionais</x:v>
      </x:c>
      <x:c r="H108" s="13" t="str">
        <x:v>Baixo</x:v>
      </x:c>
      <x:c r="I108" s="13" t="str">
        <x:v>Gestão</x:v>
      </x:c>
      <x:c r="J108" s="17" t="n">
        <x:v>26540.46</x:v>
      </x:c>
      <x:c r="K108" s="17" t="n">
        <x:v>0</x:v>
      </x:c>
      <x:c r="L108" s="17" t="n">
        <x:v>0</x:v>
      </x:c>
      <x:c r="M108" s="13" t="str">
        <x:v>Pago</x:v>
      </x:c>
      <x:c r="N108" s="13" t="str">
        <x:v>Sem cobrança</x:v>
      </x:c>
      <x:c r="O108" s="13" t="str">
        <x:v>Base controlada</x:v>
      </x:c>
      <x:c r="P108" s="17" t="n">
        <x:f>IF(D108="",0,J108-K108+L108)</x:f>
        <x:v>26540.46</x:v>
      </x:c>
      <x:c r="Q108" s="17" t="n">
        <x:f>MAX(J108-P108-K108,0)</x:f>
        <x:v>0</x:v>
      </x:c>
      <x:c r="R108" s="13" t="n">
        <x:f>IF(D108="",MAX(TODAY()-C108,0),MAX(D108-C108,0))</x:f>
        <x:v>0</x:v>
      </x:c>
      <x:c r="S108" s="13" t="str">
        <x:f>IF(R108=0,"Em dia",IF(R108&lt;=15,"1-15 dias",IF(R108&lt;=30,"16-30 dias",IF(R108&lt;=60,"31-60 dias","Acima de 60 dias"))))</x:f>
        <x:v>Em dia</x:v>
      </x:c>
    </x:row>
    <x:row r="109">
      <x:c r="A109" s="13" t="str">
        <x:v>REC-000108</x:v>
      </x:c>
      <x:c r="B109" s="23" t="n">
        <x:v>45327</x:v>
      </x:c>
      <x:c r="C109" s="23" t="n">
        <x:v>45355</x:v>
      </x:c>
      <x:c r="D109" s="23" t="n">
        <x:v>45353</x:v>
      </x:c>
      <x:c r="E109" s="13" t="str">
        <x:v>VAL-013</x:v>
      </x:c>
      <x:c r="F109" s="13" t="str">
        <x:v>Engenharia Vértice</x:v>
      </x:c>
      <x:c r="G109" s="13" t="str">
        <x:v>Construção</x:v>
      </x:c>
      <x:c r="H109" s="13" t="str">
        <x:v>Baixo</x:v>
      </x:c>
      <x:c r="I109" s="13" t="str">
        <x:v>Essencial</x:v>
      </x:c>
      <x:c r="J109" s="17" t="n">
        <x:v>24904.76</x:v>
      </x:c>
      <x:c r="K109" s="17" t="n">
        <x:v>0</x:v>
      </x:c>
      <x:c r="L109" s="17" t="n">
        <x:v>0</x:v>
      </x:c>
      <x:c r="M109" s="13" t="str">
        <x:v>Pago</x:v>
      </x:c>
      <x:c r="N109" s="13" t="str">
        <x:v>Sem cobrança</x:v>
      </x:c>
      <x:c r="O109" s="13" t="str">
        <x:v>Base controlada</x:v>
      </x:c>
      <x:c r="P109" s="17" t="n">
        <x:f>IF(D109="",0,J109-K109+L109)</x:f>
        <x:v>24904.76</x:v>
      </x:c>
      <x:c r="Q109" s="17" t="n">
        <x:f>MAX(J109-P109-K109,0)</x:f>
        <x:v>0</x:v>
      </x:c>
      <x:c r="R109" s="13" t="n">
        <x:f>IF(D109="",MAX(TODAY()-C109,0),MAX(D109-C109,0))</x:f>
        <x:v>0</x:v>
      </x:c>
      <x:c r="S109" s="13" t="str">
        <x:f>IF(R109=0,"Em dia",IF(R109&lt;=15,"1-15 dias",IF(R109&lt;=30,"16-30 dias",IF(R109&lt;=60,"31-60 dias","Acima de 60 dias"))))</x:f>
        <x:v>Em dia</x:v>
      </x:c>
    </x:row>
    <x:row r="110">
      <x:c r="A110" s="13" t="str">
        <x:v>REC-000109</x:v>
      </x:c>
      <x:c r="B110" s="23" t="n">
        <x:v>45332</x:v>
      </x:c>
      <x:c r="C110" s="23" t="n">
        <x:v>45347</x:v>
      </x:c>
      <x:c r="D110" s="23" t="n">
        <x:v>45344</x:v>
      </x:c>
      <x:c r="E110" s="13" t="str">
        <x:v>VAL-004</x:v>
      </x:c>
      <x:c r="F110" s="13" t="str">
        <x:v>NuvemBase Tecnologia</x:v>
      </x:c>
      <x:c r="G110" s="13" t="str">
        <x:v>Tecnologia</x:v>
      </x:c>
      <x:c r="H110" s="13" t="str">
        <x:v>Baixo</x:v>
      </x:c>
      <x:c r="I110" s="13" t="str">
        <x:v>Enterprise</x:v>
      </x:c>
      <x:c r="J110" s="17" t="n">
        <x:v>15040.93</x:v>
      </x:c>
      <x:c r="K110" s="17" t="n">
        <x:v>161.43</x:v>
      </x:c>
      <x:c r="L110" s="17" t="n">
        <x:v>0</x:v>
      </x:c>
      <x:c r="M110" s="13" t="str">
        <x:v>Pago</x:v>
      </x:c>
      <x:c r="N110" s="13" t="str">
        <x:v>Sem cobrança</x:v>
      </x:c>
      <x:c r="O110" s="13" t="str">
        <x:v>Base controlada</x:v>
      </x:c>
      <x:c r="P110" s="17" t="n">
        <x:f>IF(D110="",0,J110-K110+L110)</x:f>
        <x:v>14879.5</x:v>
      </x:c>
      <x:c r="Q110" s="17" t="n">
        <x:f>MAX(J110-P110-K110,0)</x:f>
        <x:v>2.8421709430404007e-13</x:v>
      </x:c>
      <x:c r="R110" s="13" t="n">
        <x:f>IF(D110="",MAX(TODAY()-C110,0),MAX(D110-C110,0))</x:f>
        <x:v>0</x:v>
      </x:c>
      <x:c r="S110" s="13" t="str">
        <x:f>IF(R110=0,"Em dia",IF(R110&lt;=15,"1-15 dias",IF(R110&lt;=30,"16-30 dias",IF(R110&lt;=60,"31-60 dias","Acima de 60 dias"))))</x:f>
        <x:v>Em dia</x:v>
      </x:c>
    </x:row>
    <x:row r="111">
      <x:c r="A111" s="13" t="str">
        <x:v>REC-000110</x:v>
      </x:c>
      <x:c r="B111" s="23" t="n">
        <x:v>45327</x:v>
      </x:c>
      <x:c r="C111" s="23" t="n">
        <x:v>45348</x:v>
      </x:c>
      <x:c r="D111" s="23" t="n">
        <x:v>45347</x:v>
      </x:c>
      <x:c r="E111" s="13" t="str">
        <x:v>VAL-006</x:v>
      </x:c>
      <x:c r="F111" s="13" t="str">
        <x:v>Instituto Saber Mais</x:v>
      </x:c>
      <x:c r="G111" s="13" t="str">
        <x:v>Educação</x:v>
      </x:c>
      <x:c r="H111" s="13" t="str">
        <x:v>Médio</x:v>
      </x:c>
      <x:c r="I111" s="13" t="str">
        <x:v>Gestão</x:v>
      </x:c>
      <x:c r="J111" s="17" t="n">
        <x:v>9213.49</x:v>
      </x:c>
      <x:c r="K111" s="17" t="n">
        <x:v>0</x:v>
      </x:c>
      <x:c r="L111" s="17" t="n">
        <x:v>0</x:v>
      </x:c>
      <x:c r="M111" s="13" t="str">
        <x:v>Pago</x:v>
      </x:c>
      <x:c r="N111" s="13" t="str">
        <x:v>Sem cobrança</x:v>
      </x:c>
      <x:c r="O111" s="13" t="str">
        <x:v>Base controlada</x:v>
      </x:c>
      <x:c r="P111" s="17" t="n">
        <x:f>IF(D111="",0,J111-K111+L111)</x:f>
        <x:v>9213.49</x:v>
      </x:c>
      <x:c r="Q111" s="17" t="n">
        <x:f>MAX(J111-P111-K111,0)</x:f>
        <x:v>0</x:v>
      </x:c>
      <x:c r="R111" s="13" t="n">
        <x:f>IF(D111="",MAX(TODAY()-C111,0),MAX(D111-C111,0))</x:f>
        <x:v>0</x:v>
      </x:c>
      <x:c r="S111" s="13" t="str">
        <x:f>IF(R111=0,"Em dia",IF(R111&lt;=15,"1-15 dias",IF(R111&lt;=30,"16-30 dias",IF(R111&lt;=60,"31-60 dias","Acima de 60 dias"))))</x:f>
        <x:v>Em dia</x:v>
      </x:c>
    </x:row>
    <x:row r="112">
      <x:c r="A112" s="13" t="str">
        <x:v>REC-000111</x:v>
      </x:c>
      <x:c r="B112" s="23" t="n">
        <x:v>45323</x:v>
      </x:c>
      <x:c r="C112" s="23" t="n">
        <x:v>45351</x:v>
      </x:c>
      <x:c r="D112" s="23" t="n">
        <x:v>45349</x:v>
      </x:c>
      <x:c r="E112" s="13" t="str">
        <x:v>VAL-004</x:v>
      </x:c>
      <x:c r="F112" s="13" t="str">
        <x:v>NuvemBase Tecnologia</x:v>
      </x:c>
      <x:c r="G112" s="13" t="str">
        <x:v>Tecnologia</x:v>
      </x:c>
      <x:c r="H112" s="13" t="str">
        <x:v>Baixo</x:v>
      </x:c>
      <x:c r="I112" s="13" t="str">
        <x:v>Enterprise</x:v>
      </x:c>
      <x:c r="J112" s="17" t="n">
        <x:v>15724.36</x:v>
      </x:c>
      <x:c r="K112" s="17" t="n">
        <x:v>0</x:v>
      </x:c>
      <x:c r="L112" s="17" t="n">
        <x:v>0</x:v>
      </x:c>
      <x:c r="M112" s="13" t="str">
        <x:v>Pago</x:v>
      </x:c>
      <x:c r="N112" s="13" t="str">
        <x:v>Sem cobrança</x:v>
      </x:c>
      <x:c r="O112" s="13" t="str">
        <x:v>Base controlada</x:v>
      </x:c>
      <x:c r="P112" s="17" t="n">
        <x:f>IF(D112="",0,J112-K112+L112)</x:f>
        <x:v>15724.36</x:v>
      </x:c>
      <x:c r="Q112" s="17" t="n">
        <x:f>MAX(J112-P112-K112,0)</x:f>
        <x:v>0</x:v>
      </x:c>
      <x:c r="R112" s="13" t="n">
        <x:f>IF(D112="",MAX(TODAY()-C112,0),MAX(D112-C112,0))</x:f>
        <x:v>0</x:v>
      </x:c>
      <x:c r="S112" s="13" t="str">
        <x:f>IF(R112=0,"Em dia",IF(R112&lt;=15,"1-15 dias",IF(R112&lt;=30,"16-30 dias",IF(R112&lt;=60,"31-60 dias","Acima de 60 dias"))))</x:f>
        <x:v>Em dia</x:v>
      </x:c>
    </x:row>
    <x:row r="113">
      <x:c r="A113" s="13" t="str">
        <x:v>REC-000112</x:v>
      </x:c>
      <x:c r="B113" s="23" t="n">
        <x:v>45331</x:v>
      </x:c>
      <x:c r="C113" s="23" t="n">
        <x:v>45346</x:v>
      </x:c>
      <x:c r="D113" s="23" t="n">
        <x:v>45369</x:v>
      </x:c>
      <x:c r="E113" s="13" t="str">
        <x:v>VAL-010</x:v>
      </x:c>
      <x:c r="F113" s="13" t="str">
        <x:v>Atlas Contabilidade</x:v>
      </x:c>
      <x:c r="G113" s="13" t="str">
        <x:v>Serviços Profissionais</x:v>
      </x:c>
      <x:c r="H113" s="13" t="str">
        <x:v>Baixo</x:v>
      </x:c>
      <x:c r="I113" s="13" t="str">
        <x:v>Gestão</x:v>
      </x:c>
      <x:c r="J113" s="17" t="n">
        <x:v>13624.69</x:v>
      </x:c>
      <x:c r="K113" s="17" t="n">
        <x:v>0</x:v>
      </x:c>
      <x:c r="L113" s="17" t="n">
        <x:v>203.69</x:v>
      </x:c>
      <x:c r="M113" s="13" t="str">
        <x:v>Pago com atraso</x:v>
      </x:c>
      <x:c r="N113" s="13" t="str">
        <x:v>Telefone</x:v>
      </x:c>
      <x:c r="O113" s="13" t="str">
        <x:v>Base controlada</x:v>
      </x:c>
      <x:c r="P113" s="17" t="n">
        <x:f>IF(D113="",0,J113-K113+L113)</x:f>
        <x:v>13828.380000000001</x:v>
      </x:c>
      <x:c r="Q113" s="17" t="n">
        <x:f>MAX(J113-P113-K113,0)</x:f>
        <x:v>0</x:v>
      </x:c>
      <x:c r="R113" s="13" t="n">
        <x:f>IF(D113="",MAX(TODAY()-C113,0),MAX(D113-C113,0))</x:f>
        <x:v>23</x:v>
      </x:c>
      <x:c r="S113" s="13" t="str">
        <x:f>IF(R113=0,"Em dia",IF(R113&lt;=15,"1-15 dias",IF(R113&lt;=30,"16-30 dias",IF(R113&lt;=60,"31-60 dias","Acima de 60 dias"))))</x:f>
        <x:v>16-30 dias</x:v>
      </x:c>
    </x:row>
    <x:row r="114">
      <x:c r="A114" s="13" t="str">
        <x:v>REC-000113</x:v>
      </x:c>
      <x:c r="B114" s="23" t="n">
        <x:v>45341</x:v>
      </x:c>
      <x:c r="C114" s="23" t="n">
        <x:v>45348</x:v>
      </x:c>
      <x:c r="D114" s="23" t="n">
        <x:v>45346</x:v>
      </x:c>
      <x:c r="E114" s="13" t="str">
        <x:v>VAL-014</x:v>
      </x:c>
      <x:c r="F114" s="13" t="str">
        <x:v>Colégio Caminhos</x:v>
      </x:c>
      <x:c r="G114" s="13" t="str">
        <x:v>Educação</x:v>
      </x:c>
      <x:c r="H114" s="13" t="str">
        <x:v>Médio</x:v>
      </x:c>
      <x:c r="I114" s="13" t="str">
        <x:v>Gestão</x:v>
      </x:c>
      <x:c r="J114" s="17" t="n">
        <x:v>26451.2</x:v>
      </x:c>
      <x:c r="K114" s="17" t="n">
        <x:v>0</x:v>
      </x:c>
      <x:c r="L114" s="17" t="n">
        <x:v>0</x:v>
      </x:c>
      <x:c r="M114" s="13" t="str">
        <x:v>Pago</x:v>
      </x:c>
      <x:c r="N114" s="13" t="str">
        <x:v>Sem cobrança</x:v>
      </x:c>
      <x:c r="O114" s="13" t="str">
        <x:v>Base controlada</x:v>
      </x:c>
      <x:c r="P114" s="17" t="n">
        <x:f>IF(D114="",0,J114-K114+L114)</x:f>
        <x:v>26451.2</x:v>
      </x:c>
      <x:c r="Q114" s="17" t="n">
        <x:f>MAX(J114-P114-K114,0)</x:f>
        <x:v>0</x:v>
      </x:c>
      <x:c r="R114" s="13" t="n">
        <x:f>IF(D114="",MAX(TODAY()-C114,0),MAX(D114-C114,0))</x:f>
        <x:v>0</x:v>
      </x:c>
      <x:c r="S114" s="13" t="str">
        <x:f>IF(R114=0,"Em dia",IF(R114&lt;=15,"1-15 dias",IF(R114&lt;=30,"16-30 dias",IF(R114&lt;=60,"31-60 dias","Acima de 60 dias"))))</x:f>
        <x:v>Em dia</x:v>
      </x:c>
    </x:row>
    <x:row r="115">
      <x:c r="A115" s="13" t="str">
        <x:v>REC-000114</x:v>
      </x:c>
      <x:c r="B115" s="23" t="n">
        <x:v>45341</x:v>
      </x:c>
      <x:c r="C115" s="23" t="n">
        <x:v>45348</x:v>
      </x:c>
      <x:c r="D115" s="23" t="n">
        <x:v>45348</x:v>
      </x:c>
      <x:c r="E115" s="13" t="str">
        <x:v>VAL-015</x:v>
      </x:c>
      <x:c r="F115" s="13" t="str">
        <x:v>Mercado Click</x:v>
      </x:c>
      <x:c r="G115" s="13" t="str">
        <x:v>E-commerce</x:v>
      </x:c>
      <x:c r="H115" s="13" t="str">
        <x:v>Baixo</x:v>
      </x:c>
      <x:c r="I115" s="13" t="str">
        <x:v>Performance</x:v>
      </x:c>
      <x:c r="J115" s="17" t="n">
        <x:v>3762.51</x:v>
      </x:c>
      <x:c r="K115" s="17" t="n">
        <x:v>0</x:v>
      </x:c>
      <x:c r="L115" s="17" t="n">
        <x:v>0</x:v>
      </x:c>
      <x:c r="M115" s="13" t="str">
        <x:v>Pago</x:v>
      </x:c>
      <x:c r="N115" s="13" t="str">
        <x:v>Sem cobrança</x:v>
      </x:c>
      <x:c r="O115" s="13" t="str">
        <x:v>Base controlada</x:v>
      </x:c>
      <x:c r="P115" s="17" t="n">
        <x:f>IF(D115="",0,J115-K115+L115)</x:f>
        <x:v>3762.51</x:v>
      </x:c>
      <x:c r="Q115" s="17" t="n">
        <x:f>MAX(J115-P115-K115,0)</x:f>
        <x:v>0</x:v>
      </x:c>
      <x:c r="R115" s="13" t="n">
        <x:f>IF(D115="",MAX(TODAY()-C115,0),MAX(D115-C115,0))</x:f>
        <x:v>0</x:v>
      </x:c>
      <x:c r="S115" s="13" t="str">
        <x:f>IF(R115=0,"Em dia",IF(R115&lt;=15,"1-15 dias",IF(R115&lt;=30,"16-30 dias",IF(R115&lt;=60,"31-60 dias","Acima de 60 dias"))))</x:f>
        <x:v>Em dia</x:v>
      </x:c>
    </x:row>
    <x:row r="116">
      <x:c r="A116" s="13" t="str">
        <x:v>REC-000115</x:v>
      </x:c>
      <x:c r="B116" s="23" t="n">
        <x:v>45324</x:v>
      </x:c>
      <x:c r="C116" s="23" t="n">
        <x:v>45339</x:v>
      </x:c>
      <x:c r="D116" s="23" t="n">
        <x:v>45336</x:v>
      </x:c>
      <x:c r="E116" s="13" t="str">
        <x:v>VAL-007</x:v>
      </x:c>
      <x:c r="F116" s="13" t="str">
        <x:v>Loja Prisma Online</x:v>
      </x:c>
      <x:c r="G116" s="13" t="str">
        <x:v>E-commerce</x:v>
      </x:c>
      <x:c r="H116" s="13" t="str">
        <x:v>Médio</x:v>
      </x:c>
      <x:c r="I116" s="13" t="str">
        <x:v>Performance</x:v>
      </x:c>
      <x:c r="J116" s="17" t="n">
        <x:v>27088.26</x:v>
      </x:c>
      <x:c r="K116" s="17" t="n">
        <x:v>0</x:v>
      </x:c>
      <x:c r="L116" s="17" t="n">
        <x:v>0</x:v>
      </x:c>
      <x:c r="M116" s="13" t="str">
        <x:v>Pago</x:v>
      </x:c>
      <x:c r="N116" s="13" t="str">
        <x:v>Sem cobrança</x:v>
      </x:c>
      <x:c r="O116" s="13" t="str">
        <x:v>Base controlada</x:v>
      </x:c>
      <x:c r="P116" s="17" t="n">
        <x:f>IF(D116="",0,J116-K116+L116)</x:f>
        <x:v>27088.26</x:v>
      </x:c>
      <x:c r="Q116" s="17" t="n">
        <x:f>MAX(J116-P116-K116,0)</x:f>
        <x:v>0</x:v>
      </x:c>
      <x:c r="R116" s="13" t="n">
        <x:f>IF(D116="",MAX(TODAY()-C116,0),MAX(D116-C116,0))</x:f>
        <x:v>0</x:v>
      </x:c>
      <x:c r="S116" s="13" t="str">
        <x:f>IF(R116=0,"Em dia",IF(R116&lt;=15,"1-15 dias",IF(R116&lt;=30,"16-30 dias",IF(R116&lt;=60,"31-60 dias","Acima de 60 dias"))))</x:f>
        <x:v>Em dia</x:v>
      </x:c>
    </x:row>
    <x:row r="117">
      <x:c r="A117" s="13" t="str">
        <x:v>REC-000116</x:v>
      </x:c>
      <x:c r="B117" s="23" t="n">
        <x:v>45329</x:v>
      </x:c>
      <x:c r="C117" s="23" t="n">
        <x:v>45350</x:v>
      </x:c>
      <x:c r="D117" s="23" t="n">
        <x:v>45346</x:v>
      </x:c>
      <x:c r="E117" s="13" t="str">
        <x:v>VAL-002</x:v>
      </x:c>
      <x:c r="F117" s="13" t="str">
        <x:v>Mendes &amp; Prado Consultoria</x:v>
      </x:c>
      <x:c r="G117" s="13" t="str">
        <x:v>Serviços Profissionais</x:v>
      </x:c>
      <x:c r="H117" s="13" t="str">
        <x:v>Baixo</x:v>
      </x:c>
      <x:c r="I117" s="13" t="str">
        <x:v>Gestão</x:v>
      </x:c>
      <x:c r="J117" s="17" t="n">
        <x:v>6276.32</x:v>
      </x:c>
      <x:c r="K117" s="17" t="n">
        <x:v>0</x:v>
      </x:c>
      <x:c r="L117" s="17" t="n">
        <x:v>0</x:v>
      </x:c>
      <x:c r="M117" s="13" t="str">
        <x:v>Pago</x:v>
      </x:c>
      <x:c r="N117" s="13" t="str">
        <x:v>Sem cobrança</x:v>
      </x:c>
      <x:c r="O117" s="13" t="str">
        <x:v>Base controlada</x:v>
      </x:c>
      <x:c r="P117" s="17" t="n">
        <x:f>IF(D117="",0,J117-K117+L117)</x:f>
        <x:v>6276.32</x:v>
      </x:c>
      <x:c r="Q117" s="17" t="n">
        <x:f>MAX(J117-P117-K117,0)</x:f>
        <x:v>0</x:v>
      </x:c>
      <x:c r="R117" s="13" t="n">
        <x:f>IF(D117="",MAX(TODAY()-C117,0),MAX(D117-C117,0))</x:f>
        <x:v>0</x:v>
      </x:c>
      <x:c r="S117" s="13" t="str">
        <x:f>IF(R117=0,"Em dia",IF(R117&lt;=15,"1-15 dias",IF(R117&lt;=30,"16-30 dias",IF(R117&lt;=60,"31-60 dias","Acima de 60 dias"))))</x:f>
        <x:v>Em dia</x:v>
      </x:c>
    </x:row>
    <x:row r="118">
      <x:c r="A118" s="13" t="str">
        <x:v>REC-000117</x:v>
      </x:c>
      <x:c r="B118" s="23" t="n">
        <x:v>45324</x:v>
      </x:c>
      <x:c r="C118" s="23" t="n">
        <x:v>45352</x:v>
      </x:c>
      <x:c r="D118" s="23" t="n">
        <x:v>45352</x:v>
      </x:c>
      <x:c r="E118" s="13" t="str">
        <x:v>VAL-015</x:v>
      </x:c>
      <x:c r="F118" s="13" t="str">
        <x:v>Mercado Click</x:v>
      </x:c>
      <x:c r="G118" s="13" t="str">
        <x:v>E-commerce</x:v>
      </x:c>
      <x:c r="H118" s="13" t="str">
        <x:v>Baixo</x:v>
      </x:c>
      <x:c r="I118" s="13" t="str">
        <x:v>Performance</x:v>
      </x:c>
      <x:c r="J118" s="17" t="n">
        <x:v>14164.75</x:v>
      </x:c>
      <x:c r="K118" s="17" t="n">
        <x:v>0</x:v>
      </x:c>
      <x:c r="L118" s="17" t="n">
        <x:v>0</x:v>
      </x:c>
      <x:c r="M118" s="13" t="str">
        <x:v>Pago</x:v>
      </x:c>
      <x:c r="N118" s="13" t="str">
        <x:v>Sem cobrança</x:v>
      </x:c>
      <x:c r="O118" s="13" t="str">
        <x:v>Base controlada</x:v>
      </x:c>
      <x:c r="P118" s="17" t="n">
        <x:f>IF(D118="",0,J118-K118+L118)</x:f>
        <x:v>14164.75</x:v>
      </x:c>
      <x:c r="Q118" s="17" t="n">
        <x:f>MAX(J118-P118-K118,0)</x:f>
        <x:v>0</x:v>
      </x:c>
      <x:c r="R118" s="13" t="n">
        <x:f>IF(D118="",MAX(TODAY()-C118,0),MAX(D118-C118,0))</x:f>
        <x:v>0</x:v>
      </x:c>
      <x:c r="S118" s="13" t="str">
        <x:f>IF(R118=0,"Em dia",IF(R118&lt;=15,"1-15 dias",IF(R118&lt;=30,"16-30 dias",IF(R118&lt;=60,"31-60 dias","Acima de 60 dias"))))</x:f>
        <x:v>Em dia</x:v>
      </x:c>
    </x:row>
    <x:row r="119">
      <x:c r="A119" s="13" t="str">
        <x:v>REC-000118</x:v>
      </x:c>
      <x:c r="B119" s="23" t="n">
        <x:v>45335</x:v>
      </x:c>
      <x:c r="C119" s="23" t="n">
        <x:v>45363</x:v>
      </x:c>
      <x:c r="D119" s="23" t="n">
        <x:v>45360</x:v>
      </x:c>
      <x:c r="E119" s="13" t="str">
        <x:v>VAL-026</x:v>
      </x:c>
      <x:c r="F119" s="13" t="str">
        <x:v>Ribeiro Arquitetura</x:v>
      </x:c>
      <x:c r="G119" s="13" t="str">
        <x:v>Serviços Profissionais</x:v>
      </x:c>
      <x:c r="H119" s="13" t="str">
        <x:v>Baixo</x:v>
      </x:c>
      <x:c r="I119" s="13" t="str">
        <x:v>Gestão</x:v>
      </x:c>
      <x:c r="J119" s="17" t="n">
        <x:v>26683.75</x:v>
      </x:c>
      <x:c r="K119" s="17" t="n">
        <x:v>0</x:v>
      </x:c>
      <x:c r="L119" s="17" t="n">
        <x:v>0</x:v>
      </x:c>
      <x:c r="M119" s="13" t="str">
        <x:v>Pago</x:v>
      </x:c>
      <x:c r="N119" s="13" t="str">
        <x:v>Sem cobrança</x:v>
      </x:c>
      <x:c r="O119" s="13" t="str">
        <x:v>Base controlada</x:v>
      </x:c>
      <x:c r="P119" s="17" t="n">
        <x:f>IF(D119="",0,J119-K119+L119)</x:f>
        <x:v>26683.75</x:v>
      </x:c>
      <x:c r="Q119" s="17" t="n">
        <x:f>MAX(J119-P119-K119,0)</x:f>
        <x:v>0</x:v>
      </x:c>
      <x:c r="R119" s="13" t="n">
        <x:f>IF(D119="",MAX(TODAY()-C119,0),MAX(D119-C119,0))</x:f>
        <x:v>0</x:v>
      </x:c>
      <x:c r="S119" s="13" t="str">
        <x:f>IF(R119=0,"Em dia",IF(R119&lt;=15,"1-15 dias",IF(R119&lt;=30,"16-30 dias",IF(R119&lt;=60,"31-60 dias","Acima de 60 dias"))))</x:f>
        <x:v>Em dia</x:v>
      </x:c>
    </x:row>
    <x:row r="120">
      <x:c r="A120" s="13" t="str">
        <x:v>REC-000119</x:v>
      </x:c>
      <x:c r="B120" s="23" t="n">
        <x:v>45329</x:v>
      </x:c>
      <x:c r="C120" s="23" t="n">
        <x:v>45350</x:v>
      </x:c>
      <x:c r="D120" s="23" t="n">
        <x:v>45348</x:v>
      </x:c>
      <x:c r="E120" s="13" t="str">
        <x:v>VAL-020</x:v>
      </x:c>
      <x:c r="F120" s="13" t="str">
        <x:v>Corelink Digital</x:v>
      </x:c>
      <x:c r="G120" s="13" t="str">
        <x:v>Tecnologia</x:v>
      </x:c>
      <x:c r="H120" s="13" t="str">
        <x:v>Baixo</x:v>
      </x:c>
      <x:c r="I120" s="13" t="str">
        <x:v>Enterprise</x:v>
      </x:c>
      <x:c r="J120" s="17" t="n">
        <x:v>32545.98</x:v>
      </x:c>
      <x:c r="K120" s="17" t="n">
        <x:v>0</x:v>
      </x:c>
      <x:c r="L120" s="17" t="n">
        <x:v>0</x:v>
      </x:c>
      <x:c r="M120" s="13" t="str">
        <x:v>Pago</x:v>
      </x:c>
      <x:c r="N120" s="13" t="str">
        <x:v>Sem cobrança</x:v>
      </x:c>
      <x:c r="O120" s="13" t="str">
        <x:v>Base controlada</x:v>
      </x:c>
      <x:c r="P120" s="17" t="n">
        <x:f>IF(D120="",0,J120-K120+L120)</x:f>
        <x:v>32545.98</x:v>
      </x:c>
      <x:c r="Q120" s="17" t="n">
        <x:f>MAX(J120-P120-K120,0)</x:f>
        <x:v>0</x:v>
      </x:c>
      <x:c r="R120" s="13" t="n">
        <x:f>IF(D120="",MAX(TODAY()-C120,0),MAX(D120-C120,0))</x:f>
        <x:v>0</x:v>
      </x:c>
      <x:c r="S120" s="13" t="str">
        <x:f>IF(R120=0,"Em dia",IF(R120&lt;=15,"1-15 dias",IF(R120&lt;=30,"16-30 dias",IF(R120&lt;=60,"31-60 dias","Acima de 60 dias"))))</x:f>
        <x:v>Em dia</x:v>
      </x:c>
    </x:row>
    <x:row r="121">
      <x:c r="A121" s="13" t="str">
        <x:v>REC-000120</x:v>
      </x:c>
      <x:c r="B121" s="23" t="n">
        <x:v>45331</x:v>
      </x:c>
      <x:c r="C121" s="23" t="n">
        <x:v>45361</x:v>
      </x:c>
      <x:c r="D121" s="23" t="n">
        <x:v>45361</x:v>
      </x:c>
      <x:c r="E121" s="13" t="str">
        <x:v>VAL-026</x:v>
      </x:c>
      <x:c r="F121" s="13" t="str">
        <x:v>Ribeiro Arquitetura</x:v>
      </x:c>
      <x:c r="G121" s="13" t="str">
        <x:v>Serviços Profissionais</x:v>
      </x:c>
      <x:c r="H121" s="13" t="str">
        <x:v>Baixo</x:v>
      </x:c>
      <x:c r="I121" s="13" t="str">
        <x:v>Gestão</x:v>
      </x:c>
      <x:c r="J121" s="17" t="n">
        <x:v>16511.15</x:v>
      </x:c>
      <x:c r="K121" s="17" t="n">
        <x:v>0</x:v>
      </x:c>
      <x:c r="L121" s="17" t="n">
        <x:v>0</x:v>
      </x:c>
      <x:c r="M121" s="13" t="str">
        <x:v>Pago</x:v>
      </x:c>
      <x:c r="N121" s="13" t="str">
        <x:v>Sem cobrança</x:v>
      </x:c>
      <x:c r="O121" s="13" t="str">
        <x:v>Base controlada</x:v>
      </x:c>
      <x:c r="P121" s="17" t="n">
        <x:f>IF(D121="",0,J121-K121+L121)</x:f>
        <x:v>16511.15</x:v>
      </x:c>
      <x:c r="Q121" s="17" t="n">
        <x:f>MAX(J121-P121-K121,0)</x:f>
        <x:v>0</x:v>
      </x:c>
      <x:c r="R121" s="13" t="n">
        <x:f>IF(D121="",MAX(TODAY()-C121,0),MAX(D121-C121,0))</x:f>
        <x:v>0</x:v>
      </x:c>
      <x:c r="S121" s="13" t="str">
        <x:f>IF(R121=0,"Em dia",IF(R121&lt;=15,"1-15 dias",IF(R121&lt;=30,"16-30 dias",IF(R121&lt;=60,"31-60 dias","Acima de 60 dias"))))</x:f>
        <x:v>Em dia</x:v>
      </x:c>
    </x:row>
    <x:row r="122">
      <x:c r="A122" s="13" t="str">
        <x:v>REC-000121</x:v>
      </x:c>
      <x:c r="B122" s="23" t="n">
        <x:v>45364</x:v>
      </x:c>
      <x:c r="C122" s="23" t="n">
        <x:v>45385</x:v>
      </x:c>
      <x:c r="D122" s="23" t="n">
        <x:v>45383</x:v>
      </x:c>
      <x:c r="E122" s="13" t="str">
        <x:v>VAL-028</x:v>
      </x:c>
      <x:c r="F122" s="13" t="str">
        <x:v>Pixel Norte</x:v>
      </x:c>
      <x:c r="G122" s="13" t="str">
        <x:v>Tecnologia</x:v>
      </x:c>
      <x:c r="H122" s="13" t="str">
        <x:v>Alto</x:v>
      </x:c>
      <x:c r="I122" s="13" t="str">
        <x:v>Enterprise</x:v>
      </x:c>
      <x:c r="J122" s="17" t="n">
        <x:v>27530.15</x:v>
      </x:c>
      <x:c r="K122" s="17" t="n">
        <x:v>0</x:v>
      </x:c>
      <x:c r="L122" s="17" t="n">
        <x:v>0</x:v>
      </x:c>
      <x:c r="M122" s="13" t="str">
        <x:v>Pago</x:v>
      </x:c>
      <x:c r="N122" s="13" t="str">
        <x:v>Sem cobrança</x:v>
      </x:c>
      <x:c r="O122" s="13" t="str">
        <x:v>Base controlada</x:v>
      </x:c>
      <x:c r="P122" s="17" t="n">
        <x:f>IF(D122="",0,J122-K122+L122)</x:f>
        <x:v>27530.15</x:v>
      </x:c>
      <x:c r="Q122" s="17" t="n">
        <x:f>MAX(J122-P122-K122,0)</x:f>
        <x:v>0</x:v>
      </x:c>
      <x:c r="R122" s="13" t="n">
        <x:f>IF(D122="",MAX(TODAY()-C122,0),MAX(D122-C122,0))</x:f>
        <x:v>0</x:v>
      </x:c>
      <x:c r="S122" s="13" t="str">
        <x:f>IF(R122=0,"Em dia",IF(R122&lt;=15,"1-15 dias",IF(R122&lt;=30,"16-30 dias",IF(R122&lt;=60,"31-60 dias","Acima de 60 dias"))))</x:f>
        <x:v>Em dia</x:v>
      </x:c>
    </x:row>
    <x:row r="123">
      <x:c r="A123" s="13" t="str">
        <x:v>REC-000122</x:v>
      </x:c>
      <x:c r="B123" s="23" t="n">
        <x:v>45355</x:v>
      </x:c>
      <x:c r="C123" s="23" t="n">
        <x:v>45376</x:v>
      </x:c>
      <x:c r="D123" s="23" t="n">
        <x:v>45376</x:v>
      </x:c>
      <x:c r="E123" s="13" t="str">
        <x:v>VAL-023</x:v>
      </x:c>
      <x:c r="F123" s="13" t="str">
        <x:v>ShopMix Brasil</x:v>
      </x:c>
      <x:c r="G123" s="13" t="str">
        <x:v>E-commerce</x:v>
      </x:c>
      <x:c r="H123" s="13" t="str">
        <x:v>Baixo</x:v>
      </x:c>
      <x:c r="I123" s="13" t="str">
        <x:v>Performance</x:v>
      </x:c>
      <x:c r="J123" s="17" t="n">
        <x:v>11755.14</x:v>
      </x:c>
      <x:c r="K123" s="17" t="n">
        <x:v>0</x:v>
      </x:c>
      <x:c r="L123" s="17" t="n">
        <x:v>0</x:v>
      </x:c>
      <x:c r="M123" s="13" t="str">
        <x:v>Pago</x:v>
      </x:c>
      <x:c r="N123" s="13" t="str">
        <x:v>Sem cobrança</x:v>
      </x:c>
      <x:c r="O123" s="13" t="str">
        <x:v>Base controlada</x:v>
      </x:c>
      <x:c r="P123" s="17" t="n">
        <x:f>IF(D123="",0,J123-K123+L123)</x:f>
        <x:v>11755.14</x:v>
      </x:c>
      <x:c r="Q123" s="17" t="n">
        <x:f>MAX(J123-P123-K123,0)</x:f>
        <x:v>0</x:v>
      </x:c>
      <x:c r="R123" s="13" t="n">
        <x:f>IF(D123="",MAX(TODAY()-C123,0),MAX(D123-C123,0))</x:f>
        <x:v>0</x:v>
      </x:c>
      <x:c r="S123" s="13" t="str">
        <x:f>IF(R123=0,"Em dia",IF(R123&lt;=15,"1-15 dias",IF(R123&lt;=30,"16-30 dias",IF(R123&lt;=60,"31-60 dias","Acima de 60 dias"))))</x:f>
        <x:v>Em dia</x:v>
      </x:c>
    </x:row>
    <x:row r="124">
      <x:c r="A124" s="13" t="str">
        <x:v>REC-000123</x:v>
      </x:c>
      <x:c r="B124" s="23" t="n">
        <x:v>45365</x:v>
      </x:c>
      <x:c r="C124" s="23" t="n">
        <x:v>45386</x:v>
      </x:c>
      <x:c r="D124" s="23"/>
      <x:c r="E124" s="13" t="str">
        <x:v>VAL-024</x:v>
      </x:c>
      <x:c r="F124" s="13" t="str">
        <x:v>NovaForma Móveis</x:v>
      </x:c>
      <x:c r="G124" s="13" t="str">
        <x:v>Indústria Leve</x:v>
      </x:c>
      <x:c r="H124" s="13" t="str">
        <x:v>Baixo</x:v>
      </x:c>
      <x:c r="I124" s="13" t="str">
        <x:v>Enterprise</x:v>
      </x:c>
      <x:c r="J124" s="17" t="n">
        <x:v>12479.46</x:v>
      </x:c>
      <x:c r="K124" s="17" t="n">
        <x:v>0</x:v>
      </x:c>
      <x:c r="L124" s="17" t="n">
        <x:v>0</x:v>
      </x:c>
      <x:c r="M124" s="13" t="str">
        <x:v>Em aberto</x:v>
      </x:c>
      <x:c r="N124" s="13" t="str">
        <x:v>Régua automática</x:v>
      </x:c>
      <x:c r="O124" s="13" t="str">
        <x:v>Base controlada</x:v>
      </x:c>
      <x:c r="P124" s="17" t="n">
        <x:f>IF(D124="",0,J124-K124+L124)</x:f>
        <x:v>0</x:v>
      </x:c>
      <x:c r="Q124" s="17" t="n">
        <x:f>MAX(J124-P124-K124,0)</x:f>
        <x:v>12479.46</x:v>
      </x:c>
      <x:c r="R124" s="13" t="n">
        <x:f>IF(D124="",MAX(TODAY()-C124,0),MAX(D124-C124,0))</x:f>
        <x:v>827</x:v>
      </x:c>
      <x:c r="S124" s="13" t="str">
        <x:f>IF(R124=0,"Em dia",IF(R124&lt;=15,"1-15 dias",IF(R124&lt;=30,"16-30 dias",IF(R124&lt;=60,"31-60 dias","Acima de 60 dias"))))</x:f>
        <x:v>Acima de 60 dias</x:v>
      </x:c>
    </x:row>
    <x:row r="125">
      <x:c r="A125" s="13" t="str">
        <x:v>REC-000124</x:v>
      </x:c>
      <x:c r="B125" s="23" t="n">
        <x:v>45362</x:v>
      </x:c>
      <x:c r="C125" s="23" t="n">
        <x:v>45392</x:v>
      </x:c>
      <x:c r="D125" s="23" t="n">
        <x:v>45389</x:v>
      </x:c>
      <x:c r="E125" s="13" t="str">
        <x:v>VAL-022</x:v>
      </x:c>
      <x:c r="F125" s="13" t="str">
        <x:v>Academia Evoluir</x:v>
      </x:c>
      <x:c r="G125" s="13" t="str">
        <x:v>Educação</x:v>
      </x:c>
      <x:c r="H125" s="13" t="str">
        <x:v>Alto</x:v>
      </x:c>
      <x:c r="I125" s="13" t="str">
        <x:v>Gestão</x:v>
      </x:c>
      <x:c r="J125" s="17" t="n">
        <x:v>9571.72</x:v>
      </x:c>
      <x:c r="K125" s="17" t="n">
        <x:v>73.26</x:v>
      </x:c>
      <x:c r="L125" s="17" t="n">
        <x:v>0</x:v>
      </x:c>
      <x:c r="M125" s="13" t="str">
        <x:v>Pago</x:v>
      </x:c>
      <x:c r="N125" s="13" t="str">
        <x:v>Sem cobrança</x:v>
      </x:c>
      <x:c r="O125" s="13" t="str">
        <x:v>Base controlada</x:v>
      </x:c>
      <x:c r="P125" s="17" t="n">
        <x:f>IF(D125="",0,J125-K125+L125)</x:f>
        <x:v>9498.46</x:v>
      </x:c>
      <x:c r="Q125" s="17" t="n">
        <x:f>MAX(J125-P125-K125,0)</x:f>
        <x:v>2.1316282072803006e-13</x:v>
      </x:c>
      <x:c r="R125" s="13" t="n">
        <x:f>IF(D125="",MAX(TODAY()-C125,0),MAX(D125-C125,0))</x:f>
        <x:v>0</x:v>
      </x:c>
      <x:c r="S125" s="13" t="str">
        <x:f>IF(R125=0,"Em dia",IF(R125&lt;=15,"1-15 dias",IF(R125&lt;=30,"16-30 dias",IF(R125&lt;=60,"31-60 dias","Acima de 60 dias"))))</x:f>
        <x:v>Em dia</x:v>
      </x:c>
    </x:row>
    <x:row r="126">
      <x:c r="A126" s="13" t="str">
        <x:v>REC-000125</x:v>
      </x:c>
      <x:c r="B126" s="23" t="n">
        <x:v>45371</x:v>
      </x:c>
      <x:c r="C126" s="23" t="n">
        <x:v>45392</x:v>
      </x:c>
      <x:c r="D126" s="23" t="n">
        <x:v>45390</x:v>
      </x:c>
      <x:c r="E126" s="13" t="str">
        <x:v>VAL-003</x:v>
      </x:c>
      <x:c r="F126" s="13" t="str">
        <x:v>Casa Nova Varejo</x:v>
      </x:c>
      <x:c r="G126" s="13" t="str">
        <x:v>Varejo</x:v>
      </x:c>
      <x:c r="H126" s="13" t="str">
        <x:v>Baixo</x:v>
      </x:c>
      <x:c r="I126" s="13" t="str">
        <x:v>Performance</x:v>
      </x:c>
      <x:c r="J126" s="17" t="n">
        <x:v>16568.68</x:v>
      </x:c>
      <x:c r="K126" s="17" t="n">
        <x:v>0</x:v>
      </x:c>
      <x:c r="L126" s="17" t="n">
        <x:v>0</x:v>
      </x:c>
      <x:c r="M126" s="13" t="str">
        <x:v>Pago</x:v>
      </x:c>
      <x:c r="N126" s="13" t="str">
        <x:v>Sem cobrança</x:v>
      </x:c>
      <x:c r="O126" s="13" t="str">
        <x:v>Base controlada</x:v>
      </x:c>
      <x:c r="P126" s="17" t="n">
        <x:f>IF(D126="",0,J126-K126+L126)</x:f>
        <x:v>16568.68</x:v>
      </x:c>
      <x:c r="Q126" s="17" t="n">
        <x:f>MAX(J126-P126-K126,0)</x:f>
        <x:v>0</x:v>
      </x:c>
      <x:c r="R126" s="13" t="n">
        <x:f>IF(D126="",MAX(TODAY()-C126,0),MAX(D126-C126,0))</x:f>
        <x:v>0</x:v>
      </x:c>
      <x:c r="S126" s="13" t="str">
        <x:f>IF(R126=0,"Em dia",IF(R126&lt;=15,"1-15 dias",IF(R126&lt;=30,"16-30 dias",IF(R126&lt;=60,"31-60 dias","Acima de 60 dias"))))</x:f>
        <x:v>Em dia</x:v>
      </x:c>
    </x:row>
    <x:row r="127">
      <x:c r="A127" s="13" t="str">
        <x:v>REC-000126</x:v>
      </x:c>
      <x:c r="B127" s="23" t="n">
        <x:v>45358</x:v>
      </x:c>
      <x:c r="C127" s="23" t="n">
        <x:v>45386</x:v>
      </x:c>
      <x:c r="D127" s="23" t="n">
        <x:v>45382</x:v>
      </x:c>
      <x:c r="E127" s="13" t="str">
        <x:v>VAL-007</x:v>
      </x:c>
      <x:c r="F127" s="13" t="str">
        <x:v>Loja Prisma Online</x:v>
      </x:c>
      <x:c r="G127" s="13" t="str">
        <x:v>E-commerce</x:v>
      </x:c>
      <x:c r="H127" s="13" t="str">
        <x:v>Médio</x:v>
      </x:c>
      <x:c r="I127" s="13" t="str">
        <x:v>Performance</x:v>
      </x:c>
      <x:c r="J127" s="17" t="n">
        <x:v>10675.13</x:v>
      </x:c>
      <x:c r="K127" s="17" t="n">
        <x:v>0</x:v>
      </x:c>
      <x:c r="L127" s="17" t="n">
        <x:v>0</x:v>
      </x:c>
      <x:c r="M127" s="13" t="str">
        <x:v>Pago</x:v>
      </x:c>
      <x:c r="N127" s="13" t="str">
        <x:v>Sem cobrança</x:v>
      </x:c>
      <x:c r="O127" s="13" t="str">
        <x:v>Base controlada</x:v>
      </x:c>
      <x:c r="P127" s="17" t="n">
        <x:f>IF(D127="",0,J127-K127+L127)</x:f>
        <x:v>10675.13</x:v>
      </x:c>
      <x:c r="Q127" s="17" t="n">
        <x:f>MAX(J127-P127-K127,0)</x:f>
        <x:v>0</x:v>
      </x:c>
      <x:c r="R127" s="13" t="n">
        <x:f>IF(D127="",MAX(TODAY()-C127,0),MAX(D127-C127,0))</x:f>
        <x:v>0</x:v>
      </x:c>
      <x:c r="S127" s="13" t="str">
        <x:f>IF(R127=0,"Em dia",IF(R127&lt;=15,"1-15 dias",IF(R127&lt;=30,"16-30 dias",IF(R127&lt;=60,"31-60 dias","Acima de 60 dias"))))</x:f>
        <x:v>Em dia</x:v>
      </x:c>
    </x:row>
    <x:row r="128">
      <x:c r="A128" s="13" t="str">
        <x:v>REC-000127</x:v>
      </x:c>
      <x:c r="B128" s="23" t="n">
        <x:v>45370</x:v>
      </x:c>
      <x:c r="C128" s="23" t="n">
        <x:v>45385</x:v>
      </x:c>
      <x:c r="D128" s="23" t="n">
        <x:v>45413</x:v>
      </x:c>
      <x:c r="E128" s="13" t="str">
        <x:v>VAL-030</x:v>
      </x:c>
      <x:c r="F128" s="13" t="str">
        <x:v>Mundo Kids Cursos</x:v>
      </x:c>
      <x:c r="G128" s="13" t="str">
        <x:v>Educação</x:v>
      </x:c>
      <x:c r="H128" s="13" t="str">
        <x:v>Alto</x:v>
      </x:c>
      <x:c r="I128" s="13" t="str">
        <x:v>Gestão</x:v>
      </x:c>
      <x:c r="J128" s="17" t="n">
        <x:v>14684.03</x:v>
      </x:c>
      <x:c r="K128" s="17" t="n">
        <x:v>0</x:v>
      </x:c>
      <x:c r="L128" s="17" t="n">
        <x:v>267.25</x:v>
      </x:c>
      <x:c r="M128" s="13" t="str">
        <x:v>Pago com atraso</x:v>
      </x:c>
      <x:c r="N128" s="13" t="str">
        <x:v>WhatsApp</x:v>
      </x:c>
      <x:c r="O128" s="13" t="str">
        <x:v>Base controlada</x:v>
      </x:c>
      <x:c r="P128" s="17" t="n">
        <x:f>IF(D128="",0,J128-K128+L128)</x:f>
        <x:v>14951.28</x:v>
      </x:c>
      <x:c r="Q128" s="17" t="n">
        <x:f>MAX(J128-P128-K128,0)</x:f>
        <x:v>0</x:v>
      </x:c>
      <x:c r="R128" s="13" t="n">
        <x:f>IF(D128="",MAX(TODAY()-C128,0),MAX(D128-C128,0))</x:f>
        <x:v>28</x:v>
      </x:c>
      <x:c r="S128" s="13" t="str">
        <x:f>IF(R128=0,"Em dia",IF(R128&lt;=15,"1-15 dias",IF(R128&lt;=30,"16-30 dias",IF(R128&lt;=60,"31-60 dias","Acima de 60 dias"))))</x:f>
        <x:v>16-30 dias</x:v>
      </x:c>
    </x:row>
    <x:row r="129">
      <x:c r="A129" s="13" t="str">
        <x:v>REC-000128</x:v>
      </x:c>
      <x:c r="B129" s="23" t="n">
        <x:v>45359</x:v>
      </x:c>
      <x:c r="C129" s="23" t="n">
        <x:v>45366</x:v>
      </x:c>
      <x:c r="D129" s="23" t="n">
        <x:v>45365</x:v>
      </x:c>
      <x:c r="E129" s="13" t="str">
        <x:v>VAL-013</x:v>
      </x:c>
      <x:c r="F129" s="13" t="str">
        <x:v>Engenharia Vértice</x:v>
      </x:c>
      <x:c r="G129" s="13" t="str">
        <x:v>Construção</x:v>
      </x:c>
      <x:c r="H129" s="13" t="str">
        <x:v>Baixo</x:v>
      </x:c>
      <x:c r="I129" s="13" t="str">
        <x:v>Essencial</x:v>
      </x:c>
      <x:c r="J129" s="17" t="n">
        <x:v>20900.4</x:v>
      </x:c>
      <x:c r="K129" s="17" t="n">
        <x:v>0</x:v>
      </x:c>
      <x:c r="L129" s="17" t="n">
        <x:v>0</x:v>
      </x:c>
      <x:c r="M129" s="13" t="str">
        <x:v>Pago</x:v>
      </x:c>
      <x:c r="N129" s="13" t="str">
        <x:v>Sem cobrança</x:v>
      </x:c>
      <x:c r="O129" s="13" t="str">
        <x:v>Base controlada</x:v>
      </x:c>
      <x:c r="P129" s="17" t="n">
        <x:f>IF(D129="",0,J129-K129+L129)</x:f>
        <x:v>20900.4</x:v>
      </x:c>
      <x:c r="Q129" s="17" t="n">
        <x:f>MAX(J129-P129-K129,0)</x:f>
        <x:v>0</x:v>
      </x:c>
      <x:c r="R129" s="13" t="n">
        <x:f>IF(D129="",MAX(TODAY()-C129,0),MAX(D129-C129,0))</x:f>
        <x:v>0</x:v>
      </x:c>
      <x:c r="S129" s="13" t="str">
        <x:f>IF(R129=0,"Em dia",IF(R129&lt;=15,"1-15 dias",IF(R129&lt;=30,"16-30 dias",IF(R129&lt;=60,"31-60 dias","Acima de 60 dias"))))</x:f>
        <x:v>Em dia</x:v>
      </x:c>
    </x:row>
    <x:row r="130">
      <x:c r="A130" s="13" t="str">
        <x:v>REC-000129</x:v>
      </x:c>
      <x:c r="B130" s="23" t="n">
        <x:v>45356</x:v>
      </x:c>
      <x:c r="C130" s="23" t="n">
        <x:v>45363</x:v>
      </x:c>
      <x:c r="D130" s="23" t="n">
        <x:v>45363</x:v>
      </x:c>
      <x:c r="E130" s="13" t="str">
        <x:v>VAL-014</x:v>
      </x:c>
      <x:c r="F130" s="13" t="str">
        <x:v>Colégio Caminhos</x:v>
      </x:c>
      <x:c r="G130" s="13" t="str">
        <x:v>Educação</x:v>
      </x:c>
      <x:c r="H130" s="13" t="str">
        <x:v>Médio</x:v>
      </x:c>
      <x:c r="I130" s="13" t="str">
        <x:v>Gestão</x:v>
      </x:c>
      <x:c r="J130" s="17" t="n">
        <x:v>2857.98</x:v>
      </x:c>
      <x:c r="K130" s="17" t="n">
        <x:v>0</x:v>
      </x:c>
      <x:c r="L130" s="17" t="n">
        <x:v>0</x:v>
      </x:c>
      <x:c r="M130" s="13" t="str">
        <x:v>Pago</x:v>
      </x:c>
      <x:c r="N130" s="13" t="str">
        <x:v>Sem cobrança</x:v>
      </x:c>
      <x:c r="O130" s="13" t="str">
        <x:v>Base controlada</x:v>
      </x:c>
      <x:c r="P130" s="17" t="n">
        <x:f>IF(D130="",0,J130-K130+L130)</x:f>
        <x:v>2857.98</x:v>
      </x:c>
      <x:c r="Q130" s="17" t="n">
        <x:f>MAX(J130-P130-K130,0)</x:f>
        <x:v>0</x:v>
      </x:c>
      <x:c r="R130" s="13" t="n">
        <x:f>IF(D130="",MAX(TODAY()-C130,0),MAX(D130-C130,0))</x:f>
        <x:v>0</x:v>
      </x:c>
      <x:c r="S130" s="13" t="str">
        <x:f>IF(R130=0,"Em dia",IF(R130&lt;=15,"1-15 dias",IF(R130&lt;=30,"16-30 dias",IF(R130&lt;=60,"31-60 dias","Acima de 60 dias"))))</x:f>
        <x:v>Em dia</x:v>
      </x:c>
    </x:row>
    <x:row r="131">
      <x:c r="A131" s="13" t="str">
        <x:v>REC-000130</x:v>
      </x:c>
      <x:c r="B131" s="23" t="n">
        <x:v>45354</x:v>
      </x:c>
      <x:c r="C131" s="23" t="n">
        <x:v>45361</x:v>
      </x:c>
      <x:c r="D131" s="23" t="n">
        <x:v>45359</x:v>
      </x:c>
      <x:c r="E131" s="13" t="str">
        <x:v>VAL-009</x:v>
      </x:c>
      <x:c r="F131" s="13" t="str">
        <x:v>Odonto Prime</x:v>
      </x:c>
      <x:c r="G131" s="13" t="str">
        <x:v>Clínicas e Saúde</x:v>
      </x:c>
      <x:c r="H131" s="13" t="str">
        <x:v>Médio</x:v>
      </x:c>
      <x:c r="I131" s="13" t="str">
        <x:v>Essencial</x:v>
      </x:c>
      <x:c r="J131" s="17" t="n">
        <x:v>16280.45</x:v>
      </x:c>
      <x:c r="K131" s="17" t="n">
        <x:v>170.85</x:v>
      </x:c>
      <x:c r="L131" s="17" t="n">
        <x:v>0</x:v>
      </x:c>
      <x:c r="M131" s="13" t="str">
        <x:v>Pago</x:v>
      </x:c>
      <x:c r="N131" s="13" t="str">
        <x:v>Sem cobrança</x:v>
      </x:c>
      <x:c r="O131" s="13" t="str">
        <x:v>Base controlada</x:v>
      </x:c>
      <x:c r="P131" s="17" t="n">
        <x:f>IF(D131="",0,J131-K131+L131)</x:f>
        <x:v>16109.6</x:v>
      </x:c>
      <x:c r="Q131" s="17" t="n">
        <x:f>MAX(J131-P131-K131,0)</x:f>
        <x:v>3.694822225952521e-13</x:v>
      </x:c>
      <x:c r="R131" s="13" t="n">
        <x:f>IF(D131="",MAX(TODAY()-C131,0),MAX(D131-C131,0))</x:f>
        <x:v>0</x:v>
      </x:c>
      <x:c r="S131" s="13" t="str">
        <x:f>IF(R131=0,"Em dia",IF(R131&lt;=15,"1-15 dias",IF(R131&lt;=30,"16-30 dias",IF(R131&lt;=60,"31-60 dias","Acima de 60 dias"))))</x:f>
        <x:v>Em dia</x:v>
      </x:c>
    </x:row>
    <x:row r="132">
      <x:c r="A132" s="13" t="str">
        <x:v>REC-000131</x:v>
      </x:c>
      <x:c r="B132" s="23" t="n">
        <x:v>45358</x:v>
      </x:c>
      <x:c r="C132" s="23" t="n">
        <x:v>45386</x:v>
      </x:c>
      <x:c r="D132" s="23" t="n">
        <x:v>45385</x:v>
      </x:c>
      <x:c r="E132" s="13" t="str">
        <x:v>VAL-012</x:v>
      </x:c>
      <x:c r="F132" s="13" t="str">
        <x:v>DataFlow Sistemas</x:v>
      </x:c>
      <x:c r="G132" s="13" t="str">
        <x:v>Tecnologia</x:v>
      </x:c>
      <x:c r="H132" s="13" t="str">
        <x:v>Médio</x:v>
      </x:c>
      <x:c r="I132" s="13" t="str">
        <x:v>Enterprise</x:v>
      </x:c>
      <x:c r="J132" s="17" t="n">
        <x:v>26753.72</x:v>
      </x:c>
      <x:c r="K132" s="17" t="n">
        <x:v>0</x:v>
      </x:c>
      <x:c r="L132" s="17" t="n">
        <x:v>0</x:v>
      </x:c>
      <x:c r="M132" s="13" t="str">
        <x:v>Pago</x:v>
      </x:c>
      <x:c r="N132" s="13" t="str">
        <x:v>Sem cobrança</x:v>
      </x:c>
      <x:c r="O132" s="13" t="str">
        <x:v>Base controlada</x:v>
      </x:c>
      <x:c r="P132" s="17" t="n">
        <x:f>IF(D132="",0,J132-K132+L132)</x:f>
        <x:v>26753.72</x:v>
      </x:c>
      <x:c r="Q132" s="17" t="n">
        <x:f>MAX(J132-P132-K132,0)</x:f>
        <x:v>0</x:v>
      </x:c>
      <x:c r="R132" s="13" t="n">
        <x:f>IF(D132="",MAX(TODAY()-C132,0),MAX(D132-C132,0))</x:f>
        <x:v>0</x:v>
      </x:c>
      <x:c r="S132" s="13" t="str">
        <x:f>IF(R132=0,"Em dia",IF(R132&lt;=15,"1-15 dias",IF(R132&lt;=30,"16-30 dias",IF(R132&lt;=60,"31-60 dias","Acima de 60 dias"))))</x:f>
        <x:v>Em dia</x:v>
      </x:c>
    </x:row>
    <x:row r="133">
      <x:c r="A133" s="13" t="str">
        <x:v>REC-000132</x:v>
      </x:c>
      <x:c r="B133" s="23" t="n">
        <x:v>45366</x:v>
      </x:c>
      <x:c r="C133" s="23" t="n">
        <x:v>45394</x:v>
      </x:c>
      <x:c r="D133" s="23" t="n">
        <x:v>45394</x:v>
      </x:c>
      <x:c r="E133" s="13" t="str">
        <x:v>VAL-012</x:v>
      </x:c>
      <x:c r="F133" s="13" t="str">
        <x:v>DataFlow Sistemas</x:v>
      </x:c>
      <x:c r="G133" s="13" t="str">
        <x:v>Tecnologia</x:v>
      </x:c>
      <x:c r="H133" s="13" t="str">
        <x:v>Médio</x:v>
      </x:c>
      <x:c r="I133" s="13" t="str">
        <x:v>Enterprise</x:v>
      </x:c>
      <x:c r="J133" s="17" t="n">
        <x:v>4635.47</x:v>
      </x:c>
      <x:c r="K133" s="17" t="n">
        <x:v>0</x:v>
      </x:c>
      <x:c r="L133" s="17" t="n">
        <x:v>0</x:v>
      </x:c>
      <x:c r="M133" s="13" t="str">
        <x:v>Pago</x:v>
      </x:c>
      <x:c r="N133" s="13" t="str">
        <x:v>Sem cobrança</x:v>
      </x:c>
      <x:c r="O133" s="13" t="str">
        <x:v>Base controlada</x:v>
      </x:c>
      <x:c r="P133" s="17" t="n">
        <x:f>IF(D133="",0,J133-K133+L133)</x:f>
        <x:v>4635.47</x:v>
      </x:c>
      <x:c r="Q133" s="17" t="n">
        <x:f>MAX(J133-P133-K133,0)</x:f>
        <x:v>0</x:v>
      </x:c>
      <x:c r="R133" s="13" t="n">
        <x:f>IF(D133="",MAX(TODAY()-C133,0),MAX(D133-C133,0))</x:f>
        <x:v>0</x:v>
      </x:c>
      <x:c r="S133" s="13" t="str">
        <x:f>IF(R133=0,"Em dia",IF(R133&lt;=15,"1-15 dias",IF(R133&lt;=30,"16-30 dias",IF(R133&lt;=60,"31-60 dias","Acima de 60 dias"))))</x:f>
        <x:v>Em dia</x:v>
      </x:c>
    </x:row>
    <x:row r="134">
      <x:c r="A134" s="13" t="str">
        <x:v>REC-000133</x:v>
      </x:c>
      <x:c r="B134" s="23" t="n">
        <x:v>45366</x:v>
      </x:c>
      <x:c r="C134" s="23" t="n">
        <x:v>45396</x:v>
      </x:c>
      <x:c r="D134" s="23" t="n">
        <x:v>45394</x:v>
      </x:c>
      <x:c r="E134" s="13" t="str">
        <x:v>VAL-013</x:v>
      </x:c>
      <x:c r="F134" s="13" t="str">
        <x:v>Engenharia Vértice</x:v>
      </x:c>
      <x:c r="G134" s="13" t="str">
        <x:v>Construção</x:v>
      </x:c>
      <x:c r="H134" s="13" t="str">
        <x:v>Baixo</x:v>
      </x:c>
      <x:c r="I134" s="13" t="str">
        <x:v>Essencial</x:v>
      </x:c>
      <x:c r="J134" s="17" t="n">
        <x:v>16525.88</x:v>
      </x:c>
      <x:c r="K134" s="17" t="n">
        <x:v>0</x:v>
      </x:c>
      <x:c r="L134" s="17" t="n">
        <x:v>0</x:v>
      </x:c>
      <x:c r="M134" s="13" t="str">
        <x:v>Pago</x:v>
      </x:c>
      <x:c r="N134" s="13" t="str">
        <x:v>Sem cobrança</x:v>
      </x:c>
      <x:c r="O134" s="13" t="str">
        <x:v>Base controlada</x:v>
      </x:c>
      <x:c r="P134" s="17" t="n">
        <x:f>IF(D134="",0,J134-K134+L134)</x:f>
        <x:v>16525.88</x:v>
      </x:c>
      <x:c r="Q134" s="17" t="n">
        <x:f>MAX(J134-P134-K134,0)</x:f>
        <x:v>0</x:v>
      </x:c>
      <x:c r="R134" s="13" t="n">
        <x:f>IF(D134="",MAX(TODAY()-C134,0),MAX(D134-C134,0))</x:f>
        <x:v>0</x:v>
      </x:c>
      <x:c r="S134" s="13" t="str">
        <x:f>IF(R134=0,"Em dia",IF(R134&lt;=15,"1-15 dias",IF(R134&lt;=30,"16-30 dias",IF(R134&lt;=60,"31-60 dias","Acima de 60 dias"))))</x:f>
        <x:v>Em dia</x:v>
      </x:c>
    </x:row>
    <x:row r="135">
      <x:c r="A135" s="13" t="str">
        <x:v>REC-000134</x:v>
      </x:c>
      <x:c r="B135" s="23" t="n">
        <x:v>45354</x:v>
      </x:c>
      <x:c r="C135" s="23" t="n">
        <x:v>45361</x:v>
      </x:c>
      <x:c r="D135" s="23" t="n">
        <x:v>45358</x:v>
      </x:c>
      <x:c r="E135" s="13" t="str">
        <x:v>VAL-003</x:v>
      </x:c>
      <x:c r="F135" s="13" t="str">
        <x:v>Casa Nova Varejo</x:v>
      </x:c>
      <x:c r="G135" s="13" t="str">
        <x:v>Varejo</x:v>
      </x:c>
      <x:c r="H135" s="13" t="str">
        <x:v>Baixo</x:v>
      </x:c>
      <x:c r="I135" s="13" t="str">
        <x:v>Performance</x:v>
      </x:c>
      <x:c r="J135" s="17" t="n">
        <x:v>27448.99</x:v>
      </x:c>
      <x:c r="K135" s="17" t="n">
        <x:v>0</x:v>
      </x:c>
      <x:c r="L135" s="17" t="n">
        <x:v>0</x:v>
      </x:c>
      <x:c r="M135" s="13" t="str">
        <x:v>Pago</x:v>
      </x:c>
      <x:c r="N135" s="13" t="str">
        <x:v>Sem cobrança</x:v>
      </x:c>
      <x:c r="O135" s="13" t="str">
        <x:v>Base controlada</x:v>
      </x:c>
      <x:c r="P135" s="17" t="n">
        <x:f>IF(D135="",0,J135-K135+L135)</x:f>
        <x:v>27448.99</x:v>
      </x:c>
      <x:c r="Q135" s="17" t="n">
        <x:f>MAX(J135-P135-K135,0)</x:f>
        <x:v>0</x:v>
      </x:c>
      <x:c r="R135" s="13" t="n">
        <x:f>IF(D135="",MAX(TODAY()-C135,0),MAX(D135-C135,0))</x:f>
        <x:v>0</x:v>
      </x:c>
      <x:c r="S135" s="13" t="str">
        <x:f>IF(R135=0,"Em dia",IF(R135&lt;=15,"1-15 dias",IF(R135&lt;=30,"16-30 dias",IF(R135&lt;=60,"31-60 dias","Acima de 60 dias"))))</x:f>
        <x:v>Em dia</x:v>
      </x:c>
    </x:row>
    <x:row r="136">
      <x:c r="A136" s="13" t="str">
        <x:v>REC-000135</x:v>
      </x:c>
      <x:c r="B136" s="23" t="n">
        <x:v>45368</x:v>
      </x:c>
      <x:c r="C136" s="23" t="n">
        <x:v>45398</x:v>
      </x:c>
      <x:c r="D136" s="23" t="n">
        <x:v>45396</x:v>
      </x:c>
      <x:c r="E136" s="13" t="str">
        <x:v>VAL-012</x:v>
      </x:c>
      <x:c r="F136" s="13" t="str">
        <x:v>DataFlow Sistemas</x:v>
      </x:c>
      <x:c r="G136" s="13" t="str">
        <x:v>Tecnologia</x:v>
      </x:c>
      <x:c r="H136" s="13" t="str">
        <x:v>Médio</x:v>
      </x:c>
      <x:c r="I136" s="13" t="str">
        <x:v>Enterprise</x:v>
      </x:c>
      <x:c r="J136" s="17" t="n">
        <x:v>22229</x:v>
      </x:c>
      <x:c r="K136" s="17" t="n">
        <x:v>0</x:v>
      </x:c>
      <x:c r="L136" s="17" t="n">
        <x:v>0</x:v>
      </x:c>
      <x:c r="M136" s="13" t="str">
        <x:v>Pago</x:v>
      </x:c>
      <x:c r="N136" s="13" t="str">
        <x:v>Sem cobrança</x:v>
      </x:c>
      <x:c r="O136" s="13" t="str">
        <x:v>Base controlada</x:v>
      </x:c>
      <x:c r="P136" s="17" t="n">
        <x:f>IF(D136="",0,J136-K136+L136)</x:f>
        <x:v>22229</x:v>
      </x:c>
      <x:c r="Q136" s="17" t="n">
        <x:f>MAX(J136-P136-K136,0)</x:f>
        <x:v>0</x:v>
      </x:c>
      <x:c r="R136" s="13" t="n">
        <x:f>IF(D136="",MAX(TODAY()-C136,0),MAX(D136-C136,0))</x:f>
        <x:v>0</x:v>
      </x:c>
      <x:c r="S136" s="13" t="str">
        <x:f>IF(R136=0,"Em dia",IF(R136&lt;=15,"1-15 dias",IF(R136&lt;=30,"16-30 dias",IF(R136&lt;=60,"31-60 dias","Acima de 60 dias"))))</x:f>
        <x:v>Em dia</x:v>
      </x:c>
    </x:row>
    <x:row r="137">
      <x:c r="A137" s="13" t="str">
        <x:v>REC-000136</x:v>
      </x:c>
      <x:c r="B137" s="23" t="n">
        <x:v>45363</x:v>
      </x:c>
      <x:c r="C137" s="23" t="n">
        <x:v>45391</x:v>
      </x:c>
      <x:c r="D137" s="23" t="n">
        <x:v>45387</x:v>
      </x:c>
      <x:c r="E137" s="13" t="str">
        <x:v>VAL-016</x:v>
      </x:c>
      <x:c r="F137" s="13" t="str">
        <x:v>Lumina Embalagens</x:v>
      </x:c>
      <x:c r="G137" s="13" t="str">
        <x:v>Indústria Leve</x:v>
      </x:c>
      <x:c r="H137" s="13" t="str">
        <x:v>Baixo</x:v>
      </x:c>
      <x:c r="I137" s="13" t="str">
        <x:v>Enterprise</x:v>
      </x:c>
      <x:c r="J137" s="17" t="n">
        <x:v>20858.95</x:v>
      </x:c>
      <x:c r="K137" s="17" t="n">
        <x:v>0</x:v>
      </x:c>
      <x:c r="L137" s="17" t="n">
        <x:v>0</x:v>
      </x:c>
      <x:c r="M137" s="13" t="str">
        <x:v>Pago</x:v>
      </x:c>
      <x:c r="N137" s="13" t="str">
        <x:v>Sem cobrança</x:v>
      </x:c>
      <x:c r="O137" s="13" t="str">
        <x:v>Base controlada</x:v>
      </x:c>
      <x:c r="P137" s="17" t="n">
        <x:f>IF(D137="",0,J137-K137+L137)</x:f>
        <x:v>20858.95</x:v>
      </x:c>
      <x:c r="Q137" s="17" t="n">
        <x:f>MAX(J137-P137-K137,0)</x:f>
        <x:v>0</x:v>
      </x:c>
      <x:c r="R137" s="13" t="n">
        <x:f>IF(D137="",MAX(TODAY()-C137,0),MAX(D137-C137,0))</x:f>
        <x:v>0</x:v>
      </x:c>
      <x:c r="S137" s="13" t="str">
        <x:f>IF(R137=0,"Em dia",IF(R137&lt;=15,"1-15 dias",IF(R137&lt;=30,"16-30 dias",IF(R137&lt;=60,"31-60 dias","Acima de 60 dias"))))</x:f>
        <x:v>Em dia</x:v>
      </x:c>
    </x:row>
    <x:row r="138">
      <x:c r="A138" s="13" t="str">
        <x:v>REC-000137</x:v>
      </x:c>
      <x:c r="B138" s="23" t="n">
        <x:v>45352</x:v>
      </x:c>
      <x:c r="C138" s="23" t="n">
        <x:v>45359</x:v>
      </x:c>
      <x:c r="D138" s="23" t="n">
        <x:v>45357</x:v>
      </x:c>
      <x:c r="E138" s="13" t="str">
        <x:v>VAL-028</x:v>
      </x:c>
      <x:c r="F138" s="13" t="str">
        <x:v>Pixel Norte</x:v>
      </x:c>
      <x:c r="G138" s="13" t="str">
        <x:v>Tecnologia</x:v>
      </x:c>
      <x:c r="H138" s="13" t="str">
        <x:v>Alto</x:v>
      </x:c>
      <x:c r="I138" s="13" t="str">
        <x:v>Enterprise</x:v>
      </x:c>
      <x:c r="J138" s="17" t="n">
        <x:v>27431.53</x:v>
      </x:c>
      <x:c r="K138" s="17" t="n">
        <x:v>0</x:v>
      </x:c>
      <x:c r="L138" s="17" t="n">
        <x:v>0</x:v>
      </x:c>
      <x:c r="M138" s="13" t="str">
        <x:v>Pago</x:v>
      </x:c>
      <x:c r="N138" s="13" t="str">
        <x:v>Sem cobrança</x:v>
      </x:c>
      <x:c r="O138" s="13" t="str">
        <x:v>Base controlada</x:v>
      </x:c>
      <x:c r="P138" s="17" t="n">
        <x:f>IF(D138="",0,J138-K138+L138)</x:f>
        <x:v>27431.53</x:v>
      </x:c>
      <x:c r="Q138" s="17" t="n">
        <x:f>MAX(J138-P138-K138,0)</x:f>
        <x:v>0</x:v>
      </x:c>
      <x:c r="R138" s="13" t="n">
        <x:f>IF(D138="",MAX(TODAY()-C138,0),MAX(D138-C138,0))</x:f>
        <x:v>0</x:v>
      </x:c>
      <x:c r="S138" s="13" t="str">
        <x:f>IF(R138=0,"Em dia",IF(R138&lt;=15,"1-15 dias",IF(R138&lt;=30,"16-30 dias",IF(R138&lt;=60,"31-60 dias","Acima de 60 dias"))))</x:f>
        <x:v>Em dia</x:v>
      </x:c>
    </x:row>
    <x:row r="139">
      <x:c r="A139" s="13" t="str">
        <x:v>REC-000138</x:v>
      </x:c>
      <x:c r="B139" s="23" t="n">
        <x:v>45370</x:v>
      </x:c>
      <x:c r="C139" s="23" t="n">
        <x:v>45385</x:v>
      </x:c>
      <x:c r="D139" s="23" t="n">
        <x:v>45384</x:v>
      </x:c>
      <x:c r="E139" s="13" t="str">
        <x:v>VAL-014</x:v>
      </x:c>
      <x:c r="F139" s="13" t="str">
        <x:v>Colégio Caminhos</x:v>
      </x:c>
      <x:c r="G139" s="13" t="str">
        <x:v>Educação</x:v>
      </x:c>
      <x:c r="H139" s="13" t="str">
        <x:v>Médio</x:v>
      </x:c>
      <x:c r="I139" s="13" t="str">
        <x:v>Gestão</x:v>
      </x:c>
      <x:c r="J139" s="17" t="n">
        <x:v>4260.12</x:v>
      </x:c>
      <x:c r="K139" s="17" t="n">
        <x:v>0</x:v>
      </x:c>
      <x:c r="L139" s="17" t="n">
        <x:v>0</x:v>
      </x:c>
      <x:c r="M139" s="13" t="str">
        <x:v>Pago</x:v>
      </x:c>
      <x:c r="N139" s="13" t="str">
        <x:v>Sem cobrança</x:v>
      </x:c>
      <x:c r="O139" s="13" t="str">
        <x:v>Base controlada</x:v>
      </x:c>
      <x:c r="P139" s="17" t="n">
        <x:f>IF(D139="",0,J139-K139+L139)</x:f>
        <x:v>4260.12</x:v>
      </x:c>
      <x:c r="Q139" s="17" t="n">
        <x:f>MAX(J139-P139-K139,0)</x:f>
        <x:v>0</x:v>
      </x:c>
      <x:c r="R139" s="13" t="n">
        <x:f>IF(D139="",MAX(TODAY()-C139,0),MAX(D139-C139,0))</x:f>
        <x:v>0</x:v>
      </x:c>
      <x:c r="S139" s="13" t="str">
        <x:f>IF(R139=0,"Em dia",IF(R139&lt;=15,"1-15 dias",IF(R139&lt;=30,"16-30 dias",IF(R139&lt;=60,"31-60 dias","Acima de 60 dias"))))</x:f>
        <x:v>Em dia</x:v>
      </x:c>
    </x:row>
    <x:row r="140">
      <x:c r="A140" s="13" t="str">
        <x:v>REC-000139</x:v>
      </x:c>
      <x:c r="B140" s="23" t="n">
        <x:v>45362</x:v>
      </x:c>
      <x:c r="C140" s="23" t="n">
        <x:v>45392</x:v>
      </x:c>
      <x:c r="D140" s="23" t="n">
        <x:v>45391</x:v>
      </x:c>
      <x:c r="E140" s="13" t="str">
        <x:v>VAL-004</x:v>
      </x:c>
      <x:c r="F140" s="13" t="str">
        <x:v>NuvemBase Tecnologia</x:v>
      </x:c>
      <x:c r="G140" s="13" t="str">
        <x:v>Tecnologia</x:v>
      </x:c>
      <x:c r="H140" s="13" t="str">
        <x:v>Baixo</x:v>
      </x:c>
      <x:c r="I140" s="13" t="str">
        <x:v>Enterprise</x:v>
      </x:c>
      <x:c r="J140" s="17" t="n">
        <x:v>18329.85</x:v>
      </x:c>
      <x:c r="K140" s="17" t="n">
        <x:v>182.43</x:v>
      </x:c>
      <x:c r="L140" s="17" t="n">
        <x:v>0</x:v>
      </x:c>
      <x:c r="M140" s="13" t="str">
        <x:v>Pago</x:v>
      </x:c>
      <x:c r="N140" s="13" t="str">
        <x:v>Sem cobrança</x:v>
      </x:c>
      <x:c r="O140" s="13" t="str">
        <x:v>Base controlada</x:v>
      </x:c>
      <x:c r="P140" s="17" t="n">
        <x:f>IF(D140="",0,J140-K140+L140)</x:f>
        <x:v>18147.42</x:v>
      </x:c>
      <x:c r="Q140" s="17" t="n">
        <x:f>MAX(J140-P140-K140,0)</x:f>
        <x:v>2.8421709430404007e-13</x:v>
      </x:c>
      <x:c r="R140" s="13" t="n">
        <x:f>IF(D140="",MAX(TODAY()-C140,0),MAX(D140-C140,0))</x:f>
        <x:v>0</x:v>
      </x:c>
      <x:c r="S140" s="13" t="str">
        <x:f>IF(R140=0,"Em dia",IF(R140&lt;=15,"1-15 dias",IF(R140&lt;=30,"16-30 dias",IF(R140&lt;=60,"31-60 dias","Acima de 60 dias"))))</x:f>
        <x:v>Em dia</x:v>
      </x:c>
    </x:row>
    <x:row r="141">
      <x:c r="A141" s="13" t="str">
        <x:v>REC-000140</x:v>
      </x:c>
      <x:c r="B141" s="23" t="n">
        <x:v>45359</x:v>
      </x:c>
      <x:c r="C141" s="23" t="n">
        <x:v>45387</x:v>
      </x:c>
      <x:c r="D141" s="23" t="n">
        <x:v>45384</x:v>
      </x:c>
      <x:c r="E141" s="13" t="str">
        <x:v>VAL-029</x:v>
      </x:c>
      <x:c r="F141" s="13" t="str">
        <x:v>Planobra Serviços</x:v>
      </x:c>
      <x:c r="G141" s="13" t="str">
        <x:v>Construção</x:v>
      </x:c>
      <x:c r="H141" s="13" t="str">
        <x:v>Baixo</x:v>
      </x:c>
      <x:c r="I141" s="13" t="str">
        <x:v>Essencial</x:v>
      </x:c>
      <x:c r="J141" s="17" t="n">
        <x:v>20552.73</x:v>
      </x:c>
      <x:c r="K141" s="17" t="n">
        <x:v>0</x:v>
      </x:c>
      <x:c r="L141" s="17" t="n">
        <x:v>0</x:v>
      </x:c>
      <x:c r="M141" s="13" t="str">
        <x:v>Pago</x:v>
      </x:c>
      <x:c r="N141" s="13" t="str">
        <x:v>Sem cobrança</x:v>
      </x:c>
      <x:c r="O141" s="13" t="str">
        <x:v>Base controlada</x:v>
      </x:c>
      <x:c r="P141" s="17" t="n">
        <x:f>IF(D141="",0,J141-K141+L141)</x:f>
        <x:v>20552.73</x:v>
      </x:c>
      <x:c r="Q141" s="17" t="n">
        <x:f>MAX(J141-P141-K141,0)</x:f>
        <x:v>0</x:v>
      </x:c>
      <x:c r="R141" s="13" t="n">
        <x:f>IF(D141="",MAX(TODAY()-C141,0),MAX(D141-C141,0))</x:f>
        <x:v>0</x:v>
      </x:c>
      <x:c r="S141" s="13" t="str">
        <x:f>IF(R141=0,"Em dia",IF(R141&lt;=15,"1-15 dias",IF(R141&lt;=30,"16-30 dias",IF(R141&lt;=60,"31-60 dias","Acima de 60 dias"))))</x:f>
        <x:v>Em dia</x:v>
      </x:c>
    </x:row>
    <x:row r="142">
      <x:c r="A142" s="13" t="str">
        <x:v>REC-000141</x:v>
      </x:c>
      <x:c r="B142" s="23" t="n">
        <x:v>45366</x:v>
      </x:c>
      <x:c r="C142" s="23" t="n">
        <x:v>45373</x:v>
      </x:c>
      <x:c r="D142" s="23" t="n">
        <x:v>45369</x:v>
      </x:c>
      <x:c r="E142" s="13" t="str">
        <x:v>VAL-005</x:v>
      </x:c>
      <x:c r="F142" s="13" t="str">
        <x:v>Construtora Alameda</x:v>
      </x:c>
      <x:c r="G142" s="13" t="str">
        <x:v>Construção</x:v>
      </x:c>
      <x:c r="H142" s="13" t="str">
        <x:v>Médio</x:v>
      </x:c>
      <x:c r="I142" s="13" t="str">
        <x:v>Essencial</x:v>
      </x:c>
      <x:c r="J142" s="17" t="n">
        <x:v>10073.5</x:v>
      </x:c>
      <x:c r="K142" s="17" t="n">
        <x:v>0</x:v>
      </x:c>
      <x:c r="L142" s="17" t="n">
        <x:v>0</x:v>
      </x:c>
      <x:c r="M142" s="13" t="str">
        <x:v>Pago</x:v>
      </x:c>
      <x:c r="N142" s="13" t="str">
        <x:v>Sem cobrança</x:v>
      </x:c>
      <x:c r="O142" s="13" t="str">
        <x:v>Base controlada</x:v>
      </x:c>
      <x:c r="P142" s="17" t="n">
        <x:f>IF(D142="",0,J142-K142+L142)</x:f>
        <x:v>10073.5</x:v>
      </x:c>
      <x:c r="Q142" s="17" t="n">
        <x:f>MAX(J142-P142-K142,0)</x:f>
        <x:v>0</x:v>
      </x:c>
      <x:c r="R142" s="13" t="n">
        <x:f>IF(D142="",MAX(TODAY()-C142,0),MAX(D142-C142,0))</x:f>
        <x:v>0</x:v>
      </x:c>
      <x:c r="S142" s="13" t="str">
        <x:f>IF(R142=0,"Em dia",IF(R142&lt;=15,"1-15 dias",IF(R142&lt;=30,"16-30 dias",IF(R142&lt;=60,"31-60 dias","Acima de 60 dias"))))</x:f>
        <x:v>Em dia</x:v>
      </x:c>
    </x:row>
    <x:row r="143">
      <x:c r="A143" s="13" t="str">
        <x:v>REC-000142</x:v>
      </x:c>
      <x:c r="B143" s="23" t="n">
        <x:v>45352</x:v>
      </x:c>
      <x:c r="C143" s="23" t="n">
        <x:v>45382</x:v>
      </x:c>
      <x:c r="D143" s="23" t="n">
        <x:v>45380</x:v>
      </x:c>
      <x:c r="E143" s="13" t="str">
        <x:v>VAL-009</x:v>
      </x:c>
      <x:c r="F143" s="13" t="str">
        <x:v>Odonto Prime</x:v>
      </x:c>
      <x:c r="G143" s="13" t="str">
        <x:v>Clínicas e Saúde</x:v>
      </x:c>
      <x:c r="H143" s="13" t="str">
        <x:v>Médio</x:v>
      </x:c>
      <x:c r="I143" s="13" t="str">
        <x:v>Essencial</x:v>
      </x:c>
      <x:c r="J143" s="17" t="n">
        <x:v>26198.76</x:v>
      </x:c>
      <x:c r="K143" s="17" t="n">
        <x:v>0</x:v>
      </x:c>
      <x:c r="L143" s="17" t="n">
        <x:v>0</x:v>
      </x:c>
      <x:c r="M143" s="13" t="str">
        <x:v>Pago</x:v>
      </x:c>
      <x:c r="N143" s="13" t="str">
        <x:v>Sem cobrança</x:v>
      </x:c>
      <x:c r="O143" s="13" t="str">
        <x:v>Base controlada</x:v>
      </x:c>
      <x:c r="P143" s="17" t="n">
        <x:f>IF(D143="",0,J143-K143+L143)</x:f>
        <x:v>26198.76</x:v>
      </x:c>
      <x:c r="Q143" s="17" t="n">
        <x:f>MAX(J143-P143-K143,0)</x:f>
        <x:v>0</x:v>
      </x:c>
      <x:c r="R143" s="13" t="n">
        <x:f>IF(D143="",MAX(TODAY()-C143,0),MAX(D143-C143,0))</x:f>
        <x:v>0</x:v>
      </x:c>
      <x:c r="S143" s="13" t="str">
        <x:f>IF(R143=0,"Em dia",IF(R143&lt;=15,"1-15 dias",IF(R143&lt;=30,"16-30 dias",IF(R143&lt;=60,"31-60 dias","Acima de 60 dias"))))</x:f>
        <x:v>Em dia</x:v>
      </x:c>
    </x:row>
    <x:row r="144">
      <x:c r="A144" s="13" t="str">
        <x:v>REC-000143</x:v>
      </x:c>
      <x:c r="B144" s="23" t="n">
        <x:v>45368</x:v>
      </x:c>
      <x:c r="C144" s="23" t="n">
        <x:v>45389</x:v>
      </x:c>
      <x:c r="D144" s="23" t="n">
        <x:v>45387</x:v>
      </x:c>
      <x:c r="E144" s="13" t="str">
        <x:v>VAL-020</x:v>
      </x:c>
      <x:c r="F144" s="13" t="str">
        <x:v>Corelink Digital</x:v>
      </x:c>
      <x:c r="G144" s="13" t="str">
        <x:v>Tecnologia</x:v>
      </x:c>
      <x:c r="H144" s="13" t="str">
        <x:v>Baixo</x:v>
      </x:c>
      <x:c r="I144" s="13" t="str">
        <x:v>Enterprise</x:v>
      </x:c>
      <x:c r="J144" s="17" t="n">
        <x:v>34879.78</x:v>
      </x:c>
      <x:c r="K144" s="17" t="n">
        <x:v>0</x:v>
      </x:c>
      <x:c r="L144" s="17" t="n">
        <x:v>0</x:v>
      </x:c>
      <x:c r="M144" s="13" t="str">
        <x:v>Pago</x:v>
      </x:c>
      <x:c r="N144" s="13" t="str">
        <x:v>Sem cobrança</x:v>
      </x:c>
      <x:c r="O144" s="13" t="str">
        <x:v>Base controlada</x:v>
      </x:c>
      <x:c r="P144" s="17" t="n">
        <x:f>IF(D144="",0,J144-K144+L144)</x:f>
        <x:v>34879.78</x:v>
      </x:c>
      <x:c r="Q144" s="17" t="n">
        <x:f>MAX(J144-P144-K144,0)</x:f>
        <x:v>0</x:v>
      </x:c>
      <x:c r="R144" s="13" t="n">
        <x:f>IF(D144="",MAX(TODAY()-C144,0),MAX(D144-C144,0))</x:f>
        <x:v>0</x:v>
      </x:c>
      <x:c r="S144" s="13" t="str">
        <x:f>IF(R144=0,"Em dia",IF(R144&lt;=15,"1-15 dias",IF(R144&lt;=30,"16-30 dias",IF(R144&lt;=60,"31-60 dias","Acima de 60 dias"))))</x:f>
        <x:v>Em dia</x:v>
      </x:c>
    </x:row>
    <x:row r="145">
      <x:c r="A145" s="13" t="str">
        <x:v>REC-000144</x:v>
      </x:c>
      <x:c r="B145" s="23" t="n">
        <x:v>45366</x:v>
      </x:c>
      <x:c r="C145" s="23" t="n">
        <x:v>45373</x:v>
      </x:c>
      <x:c r="D145" s="23" t="n">
        <x:v>45370</x:v>
      </x:c>
      <x:c r="E145" s="13" t="str">
        <x:v>VAL-024</x:v>
      </x:c>
      <x:c r="F145" s="13" t="str">
        <x:v>NovaForma Móveis</x:v>
      </x:c>
      <x:c r="G145" s="13" t="str">
        <x:v>Indústria Leve</x:v>
      </x:c>
      <x:c r="H145" s="13" t="str">
        <x:v>Baixo</x:v>
      </x:c>
      <x:c r="I145" s="13" t="str">
        <x:v>Enterprise</x:v>
      </x:c>
      <x:c r="J145" s="17" t="n">
        <x:v>7483.43</x:v>
      </x:c>
      <x:c r="K145" s="17" t="n">
        <x:v>55.48</x:v>
      </x:c>
      <x:c r="L145" s="17" t="n">
        <x:v>0</x:v>
      </x:c>
      <x:c r="M145" s="13" t="str">
        <x:v>Pago</x:v>
      </x:c>
      <x:c r="N145" s="13" t="str">
        <x:v>Sem cobrança</x:v>
      </x:c>
      <x:c r="O145" s="13" t="str">
        <x:v>Base controlada</x:v>
      </x:c>
      <x:c r="P145" s="17" t="n">
        <x:f>IF(D145="",0,J145-K145+L145)</x:f>
        <x:v>7427.950000000001</x:v>
      </x:c>
      <x:c r="Q145" s="17" t="n">
        <x:f>MAX(J145-P145-K145,0)</x:f>
        <x:v>0</x:v>
      </x:c>
      <x:c r="R145" s="13" t="n">
        <x:f>IF(D145="",MAX(TODAY()-C145,0),MAX(D145-C145,0))</x:f>
        <x:v>0</x:v>
      </x:c>
      <x:c r="S145" s="13" t="str">
        <x:f>IF(R145=0,"Em dia",IF(R145&lt;=15,"1-15 dias",IF(R145&lt;=30,"16-30 dias",IF(R145&lt;=60,"31-60 dias","Acima de 60 dias"))))</x:f>
        <x:v>Em dia</x:v>
      </x:c>
    </x:row>
    <x:row r="146">
      <x:c r="A146" s="13" t="str">
        <x:v>REC-000145</x:v>
      </x:c>
      <x:c r="B146" s="23" t="n">
        <x:v>45371</x:v>
      </x:c>
      <x:c r="C146" s="23" t="n">
        <x:v>45378</x:v>
      </x:c>
      <x:c r="D146" s="23" t="n">
        <x:v>45375</x:v>
      </x:c>
      <x:c r="E146" s="13" t="str">
        <x:v>VAL-002</x:v>
      </x:c>
      <x:c r="F146" s="13" t="str">
        <x:v>Mendes &amp; Prado Consultoria</x:v>
      </x:c>
      <x:c r="G146" s="13" t="str">
        <x:v>Serviços Profissionais</x:v>
      </x:c>
      <x:c r="H146" s="13" t="str">
        <x:v>Baixo</x:v>
      </x:c>
      <x:c r="I146" s="13" t="str">
        <x:v>Gestão</x:v>
      </x:c>
      <x:c r="J146" s="17" t="n">
        <x:v>21362.1</x:v>
      </x:c>
      <x:c r="K146" s="17" t="n">
        <x:v>0</x:v>
      </x:c>
      <x:c r="L146" s="17" t="n">
        <x:v>0</x:v>
      </x:c>
      <x:c r="M146" s="13" t="str">
        <x:v>Pago</x:v>
      </x:c>
      <x:c r="N146" s="13" t="str">
        <x:v>Sem cobrança</x:v>
      </x:c>
      <x:c r="O146" s="13" t="str">
        <x:v>Base controlada</x:v>
      </x:c>
      <x:c r="P146" s="17" t="n">
        <x:f>IF(D146="",0,J146-K146+L146)</x:f>
        <x:v>21362.1</x:v>
      </x:c>
      <x:c r="Q146" s="17" t="n">
        <x:f>MAX(J146-P146-K146,0)</x:f>
        <x:v>0</x:v>
      </x:c>
      <x:c r="R146" s="13" t="n">
        <x:f>IF(D146="",MAX(TODAY()-C146,0),MAX(D146-C146,0))</x:f>
        <x:v>0</x:v>
      </x:c>
      <x:c r="S146" s="13" t="str">
        <x:f>IF(R146=0,"Em dia",IF(R146&lt;=15,"1-15 dias",IF(R146&lt;=30,"16-30 dias",IF(R146&lt;=60,"31-60 dias","Acima de 60 dias"))))</x:f>
        <x:v>Em dia</x:v>
      </x:c>
    </x:row>
    <x:row r="147">
      <x:c r="A147" s="13" t="str">
        <x:v>REC-000146</x:v>
      </x:c>
      <x:c r="B147" s="23" t="n">
        <x:v>45367</x:v>
      </x:c>
      <x:c r="C147" s="23" t="n">
        <x:v>45397</x:v>
      </x:c>
      <x:c r="D147" s="23" t="n">
        <x:v>45396</x:v>
      </x:c>
      <x:c r="E147" s="13" t="str">
        <x:v>VAL-028</x:v>
      </x:c>
      <x:c r="F147" s="13" t="str">
        <x:v>Pixel Norte</x:v>
      </x:c>
      <x:c r="G147" s="13" t="str">
        <x:v>Tecnologia</x:v>
      </x:c>
      <x:c r="H147" s="13" t="str">
        <x:v>Alto</x:v>
      </x:c>
      <x:c r="I147" s="13" t="str">
        <x:v>Enterprise</x:v>
      </x:c>
      <x:c r="J147" s="17" t="n">
        <x:v>3571.73</x:v>
      </x:c>
      <x:c r="K147" s="17" t="n">
        <x:v>0</x:v>
      </x:c>
      <x:c r="L147" s="17" t="n">
        <x:v>0</x:v>
      </x:c>
      <x:c r="M147" s="13" t="str">
        <x:v>Pago</x:v>
      </x:c>
      <x:c r="N147" s="13" t="str">
        <x:v>Sem cobrança</x:v>
      </x:c>
      <x:c r="O147" s="13" t="str">
        <x:v>Base controlada</x:v>
      </x:c>
      <x:c r="P147" s="17" t="n">
        <x:f>IF(D147="",0,J147-K147+L147)</x:f>
        <x:v>3571.73</x:v>
      </x:c>
      <x:c r="Q147" s="17" t="n">
        <x:f>MAX(J147-P147-K147,0)</x:f>
        <x:v>0</x:v>
      </x:c>
      <x:c r="R147" s="13" t="n">
        <x:f>IF(D147="",MAX(TODAY()-C147,0),MAX(D147-C147,0))</x:f>
        <x:v>0</x:v>
      </x:c>
      <x:c r="S147" s="13" t="str">
        <x:f>IF(R147=0,"Em dia",IF(R147&lt;=15,"1-15 dias",IF(R147&lt;=30,"16-30 dias",IF(R147&lt;=60,"31-60 dias","Acima de 60 dias"))))</x:f>
        <x:v>Em dia</x:v>
      </x:c>
    </x:row>
    <x:row r="148">
      <x:c r="A148" s="13" t="str">
        <x:v>REC-000147</x:v>
      </x:c>
      <x:c r="B148" s="23" t="n">
        <x:v>45354</x:v>
      </x:c>
      <x:c r="C148" s="23" t="n">
        <x:v>45369</x:v>
      </x:c>
      <x:c r="D148" s="23" t="n">
        <x:v>45368</x:v>
      </x:c>
      <x:c r="E148" s="13" t="str">
        <x:v>VAL-026</x:v>
      </x:c>
      <x:c r="F148" s="13" t="str">
        <x:v>Ribeiro Arquitetura</x:v>
      </x:c>
      <x:c r="G148" s="13" t="str">
        <x:v>Serviços Profissionais</x:v>
      </x:c>
      <x:c r="H148" s="13" t="str">
        <x:v>Baixo</x:v>
      </x:c>
      <x:c r="I148" s="13" t="str">
        <x:v>Gestão</x:v>
      </x:c>
      <x:c r="J148" s="17" t="n">
        <x:v>12270.17</x:v>
      </x:c>
      <x:c r="K148" s="17" t="n">
        <x:v>0</x:v>
      </x:c>
      <x:c r="L148" s="17" t="n">
        <x:v>0</x:v>
      </x:c>
      <x:c r="M148" s="13" t="str">
        <x:v>Pago</x:v>
      </x:c>
      <x:c r="N148" s="13" t="str">
        <x:v>Sem cobrança</x:v>
      </x:c>
      <x:c r="O148" s="13" t="str">
        <x:v>Base controlada</x:v>
      </x:c>
      <x:c r="P148" s="17" t="n">
        <x:f>IF(D148="",0,J148-K148+L148)</x:f>
        <x:v>12270.17</x:v>
      </x:c>
      <x:c r="Q148" s="17" t="n">
        <x:f>MAX(J148-P148-K148,0)</x:f>
        <x:v>0</x:v>
      </x:c>
      <x:c r="R148" s="13" t="n">
        <x:f>IF(D148="",MAX(TODAY()-C148,0),MAX(D148-C148,0))</x:f>
        <x:v>0</x:v>
      </x:c>
      <x:c r="S148" s="13" t="str">
        <x:f>IF(R148=0,"Em dia",IF(R148&lt;=15,"1-15 dias",IF(R148&lt;=30,"16-30 dias",IF(R148&lt;=60,"31-60 dias","Acima de 60 dias"))))</x:f>
        <x:v>Em dia</x:v>
      </x:c>
    </x:row>
    <x:row r="149">
      <x:c r="A149" s="13" t="str">
        <x:v>REC-000148</x:v>
      </x:c>
      <x:c r="B149" s="23" t="n">
        <x:v>45368</x:v>
      </x:c>
      <x:c r="C149" s="23" t="n">
        <x:v>45389</x:v>
      </x:c>
      <x:c r="D149" s="23" t="n">
        <x:v>45386</x:v>
      </x:c>
      <x:c r="E149" s="13" t="str">
        <x:v>VAL-011</x:v>
      </x:c>
      <x:c r="F149" s="13" t="str">
        <x:v>Rede Essencial</x:v>
      </x:c>
      <x:c r="G149" s="13" t="str">
        <x:v>Varejo</x:v>
      </x:c>
      <x:c r="H149" s="13" t="str">
        <x:v>Médio</x:v>
      </x:c>
      <x:c r="I149" s="13" t="str">
        <x:v>Performance</x:v>
      </x:c>
      <x:c r="J149" s="17" t="n">
        <x:v>29665.48</x:v>
      </x:c>
      <x:c r="K149" s="17" t="n">
        <x:v>0</x:v>
      </x:c>
      <x:c r="L149" s="17" t="n">
        <x:v>0</x:v>
      </x:c>
      <x:c r="M149" s="13" t="str">
        <x:v>Pago</x:v>
      </x:c>
      <x:c r="N149" s="13" t="str">
        <x:v>Sem cobrança</x:v>
      </x:c>
      <x:c r="O149" s="13" t="str">
        <x:v>Base controlada</x:v>
      </x:c>
      <x:c r="P149" s="17" t="n">
        <x:f>IF(D149="",0,J149-K149+L149)</x:f>
        <x:v>29665.48</x:v>
      </x:c>
      <x:c r="Q149" s="17" t="n">
        <x:f>MAX(J149-P149-K149,0)</x:f>
        <x:v>0</x:v>
      </x:c>
      <x:c r="R149" s="13" t="n">
        <x:f>IF(D149="",MAX(TODAY()-C149,0),MAX(D149-C149,0))</x:f>
        <x:v>0</x:v>
      </x:c>
      <x:c r="S149" s="13" t="str">
        <x:f>IF(R149=0,"Em dia",IF(R149&lt;=15,"1-15 dias",IF(R149&lt;=30,"16-30 dias",IF(R149&lt;=60,"31-60 dias","Acima de 60 dias"))))</x:f>
        <x:v>Em dia</x:v>
      </x:c>
    </x:row>
    <x:row r="150">
      <x:c r="A150" s="13" t="str">
        <x:v>REC-000149</x:v>
      </x:c>
      <x:c r="B150" s="23" t="n">
        <x:v>45371</x:v>
      </x:c>
      <x:c r="C150" s="23" t="n">
        <x:v>45399</x:v>
      </x:c>
      <x:c r="D150" s="23" t="n">
        <x:v>45395</x:v>
      </x:c>
      <x:c r="E150" s="13" t="str">
        <x:v>VAL-014</x:v>
      </x:c>
      <x:c r="F150" s="13" t="str">
        <x:v>Colégio Caminhos</x:v>
      </x:c>
      <x:c r="G150" s="13" t="str">
        <x:v>Educação</x:v>
      </x:c>
      <x:c r="H150" s="13" t="str">
        <x:v>Médio</x:v>
      </x:c>
      <x:c r="I150" s="13" t="str">
        <x:v>Gestão</x:v>
      </x:c>
      <x:c r="J150" s="17" t="n">
        <x:v>26206.08</x:v>
      </x:c>
      <x:c r="K150" s="17" t="n">
        <x:v>303.55</x:v>
      </x:c>
      <x:c r="L150" s="17" t="n">
        <x:v>0</x:v>
      </x:c>
      <x:c r="M150" s="13" t="str">
        <x:v>Pago</x:v>
      </x:c>
      <x:c r="N150" s="13" t="str">
        <x:v>Sem cobrança</x:v>
      </x:c>
      <x:c r="O150" s="13" t="str">
        <x:v>Base controlada</x:v>
      </x:c>
      <x:c r="P150" s="17" t="n">
        <x:f>IF(D150="",0,J150-K150+L150)</x:f>
        <x:v>25902.530000000002</x:v>
      </x:c>
      <x:c r="Q150" s="17" t="n">
        <x:f>MAX(J150-P150-K150,0)</x:f>
        <x:v>0</x:v>
      </x:c>
      <x:c r="R150" s="13" t="n">
        <x:f>IF(D150="",MAX(TODAY()-C150,0),MAX(D150-C150,0))</x:f>
        <x:v>0</x:v>
      </x:c>
      <x:c r="S150" s="13" t="str">
        <x:f>IF(R150=0,"Em dia",IF(R150&lt;=15,"1-15 dias",IF(R150&lt;=30,"16-30 dias",IF(R150&lt;=60,"31-60 dias","Acima de 60 dias"))))</x:f>
        <x:v>Em dia</x:v>
      </x:c>
    </x:row>
    <x:row r="151">
      <x:c r="A151" s="13" t="str">
        <x:v>REC-000150</x:v>
      </x:c>
      <x:c r="B151" s="23" t="n">
        <x:v>45354</x:v>
      </x:c>
      <x:c r="C151" s="23" t="n">
        <x:v>45384</x:v>
      </x:c>
      <x:c r="D151" s="23" t="n">
        <x:v>45382</x:v>
      </x:c>
      <x:c r="E151" s="13" t="str">
        <x:v>VAL-025</x:v>
      </x:c>
      <x:c r="F151" s="13" t="str">
        <x:v>Bem-Estar Terapias</x:v>
      </x:c>
      <x:c r="G151" s="13" t="str">
        <x:v>Clínicas e Saúde</x:v>
      </x:c>
      <x:c r="H151" s="13" t="str">
        <x:v>Baixo</x:v>
      </x:c>
      <x:c r="I151" s="13" t="str">
        <x:v>Essencial</x:v>
      </x:c>
      <x:c r="J151" s="17" t="n">
        <x:v>18402.15</x:v>
      </x:c>
      <x:c r="K151" s="17" t="n">
        <x:v>0</x:v>
      </x:c>
      <x:c r="L151" s="17" t="n">
        <x:v>0</x:v>
      </x:c>
      <x:c r="M151" s="13" t="str">
        <x:v>Pago</x:v>
      </x:c>
      <x:c r="N151" s="13" t="str">
        <x:v>Sem cobrança</x:v>
      </x:c>
      <x:c r="O151" s="13" t="str">
        <x:v>Base controlada</x:v>
      </x:c>
      <x:c r="P151" s="17" t="n">
        <x:f>IF(D151="",0,J151-K151+L151)</x:f>
        <x:v>18402.15</x:v>
      </x:c>
      <x:c r="Q151" s="17" t="n">
        <x:f>MAX(J151-P151-K151,0)</x:f>
        <x:v>0</x:v>
      </x:c>
      <x:c r="R151" s="13" t="n">
        <x:f>IF(D151="",MAX(TODAY()-C151,0),MAX(D151-C151,0))</x:f>
        <x:v>0</x:v>
      </x:c>
      <x:c r="S151" s="13" t="str">
        <x:f>IF(R151=0,"Em dia",IF(R151&lt;=15,"1-15 dias",IF(R151&lt;=30,"16-30 dias",IF(R151&lt;=60,"31-60 dias","Acima de 60 dias"))))</x:f>
        <x:v>Em dia</x:v>
      </x:c>
    </x:row>
    <x:row r="152">
      <x:c r="A152" s="13" t="str">
        <x:v>REC-000151</x:v>
      </x:c>
      <x:c r="B152" s="23" t="n">
        <x:v>45370</x:v>
      </x:c>
      <x:c r="C152" s="23" t="n">
        <x:v>45385</x:v>
      </x:c>
      <x:c r="D152" s="23" t="n">
        <x:v>45382</x:v>
      </x:c>
      <x:c r="E152" s="13" t="str">
        <x:v>VAL-009</x:v>
      </x:c>
      <x:c r="F152" s="13" t="str">
        <x:v>Odonto Prime</x:v>
      </x:c>
      <x:c r="G152" s="13" t="str">
        <x:v>Clínicas e Saúde</x:v>
      </x:c>
      <x:c r="H152" s="13" t="str">
        <x:v>Médio</x:v>
      </x:c>
      <x:c r="I152" s="13" t="str">
        <x:v>Essencial</x:v>
      </x:c>
      <x:c r="J152" s="17" t="n">
        <x:v>1024.7</x:v>
      </x:c>
      <x:c r="K152" s="17" t="n">
        <x:v>0</x:v>
      </x:c>
      <x:c r="L152" s="17" t="n">
        <x:v>0</x:v>
      </x:c>
      <x:c r="M152" s="13" t="str">
        <x:v>Pago</x:v>
      </x:c>
      <x:c r="N152" s="13" t="str">
        <x:v>Sem cobrança</x:v>
      </x:c>
      <x:c r="O152" s="13" t="str">
        <x:v>Base controlada</x:v>
      </x:c>
      <x:c r="P152" s="17" t="n">
        <x:f>IF(D152="",0,J152-K152+L152)</x:f>
        <x:v>1024.7</x:v>
      </x:c>
      <x:c r="Q152" s="17" t="n">
        <x:f>MAX(J152-P152-K152,0)</x:f>
        <x:v>0</x:v>
      </x:c>
      <x:c r="R152" s="13" t="n">
        <x:f>IF(D152="",MAX(TODAY()-C152,0),MAX(D152-C152,0))</x:f>
        <x:v>0</x:v>
      </x:c>
      <x:c r="S152" s="13" t="str">
        <x:f>IF(R152=0,"Em dia",IF(R152&lt;=15,"1-15 dias",IF(R152&lt;=30,"16-30 dias",IF(R152&lt;=60,"31-60 dias","Acima de 60 dias"))))</x:f>
        <x:v>Em dia</x:v>
      </x:c>
    </x:row>
    <x:row r="153">
      <x:c r="A153" s="13" t="str">
        <x:v>REC-000152</x:v>
      </x:c>
      <x:c r="B153" s="23" t="n">
        <x:v>45354</x:v>
      </x:c>
      <x:c r="C153" s="23" t="n">
        <x:v>45384</x:v>
      </x:c>
      <x:c r="D153" s="23" t="n">
        <x:v>45383</x:v>
      </x:c>
      <x:c r="E153" s="13" t="str">
        <x:v>VAL-014</x:v>
      </x:c>
      <x:c r="F153" s="13" t="str">
        <x:v>Colégio Caminhos</x:v>
      </x:c>
      <x:c r="G153" s="13" t="str">
        <x:v>Educação</x:v>
      </x:c>
      <x:c r="H153" s="13" t="str">
        <x:v>Médio</x:v>
      </x:c>
      <x:c r="I153" s="13" t="str">
        <x:v>Gestão</x:v>
      </x:c>
      <x:c r="J153" s="17" t="n">
        <x:v>17255.47</x:v>
      </x:c>
      <x:c r="K153" s="17" t="n">
        <x:v>173.45</x:v>
      </x:c>
      <x:c r="L153" s="17" t="n">
        <x:v>0</x:v>
      </x:c>
      <x:c r="M153" s="13" t="str">
        <x:v>Pago</x:v>
      </x:c>
      <x:c r="N153" s="13" t="str">
        <x:v>Sem cobrança</x:v>
      </x:c>
      <x:c r="O153" s="13" t="str">
        <x:v>Base controlada</x:v>
      </x:c>
      <x:c r="P153" s="17" t="n">
        <x:f>IF(D153="",0,J153-K153+L153)</x:f>
        <x:v>17082.02</x:v>
      </x:c>
      <x:c r="Q153" s="17" t="n">
        <x:f>MAX(J153-P153-K153,0)</x:f>
        <x:v>7.389644451905042e-13</x:v>
      </x:c>
      <x:c r="R153" s="13" t="n">
        <x:f>IF(D153="",MAX(TODAY()-C153,0),MAX(D153-C153,0))</x:f>
        <x:v>0</x:v>
      </x:c>
      <x:c r="S153" s="13" t="str">
        <x:f>IF(R153=0,"Em dia",IF(R153&lt;=15,"1-15 dias",IF(R153&lt;=30,"16-30 dias",IF(R153&lt;=60,"31-60 dias","Acima de 60 dias"))))</x:f>
        <x:v>Em dia</x:v>
      </x:c>
    </x:row>
    <x:row r="154">
      <x:c r="A154" s="13" t="str">
        <x:v>REC-000153</x:v>
      </x:c>
      <x:c r="B154" s="23" t="n">
        <x:v>45355</x:v>
      </x:c>
      <x:c r="C154" s="23" t="n">
        <x:v>45376</x:v>
      </x:c>
      <x:c r="D154" s="23" t="n">
        <x:v>45373</x:v>
      </x:c>
      <x:c r="E154" s="13" t="str">
        <x:v>VAL-016</x:v>
      </x:c>
      <x:c r="F154" s="13" t="str">
        <x:v>Lumina Embalagens</x:v>
      </x:c>
      <x:c r="G154" s="13" t="str">
        <x:v>Indústria Leve</x:v>
      </x:c>
      <x:c r="H154" s="13" t="str">
        <x:v>Baixo</x:v>
      </x:c>
      <x:c r="I154" s="13" t="str">
        <x:v>Enterprise</x:v>
      </x:c>
      <x:c r="J154" s="17" t="n">
        <x:v>32280.68</x:v>
      </x:c>
      <x:c r="K154" s="17" t="n">
        <x:v>0</x:v>
      </x:c>
      <x:c r="L154" s="17" t="n">
        <x:v>0</x:v>
      </x:c>
      <x:c r="M154" s="13" t="str">
        <x:v>Pago</x:v>
      </x:c>
      <x:c r="N154" s="13" t="str">
        <x:v>Sem cobrança</x:v>
      </x:c>
      <x:c r="O154" s="13" t="str">
        <x:v>Base controlada</x:v>
      </x:c>
      <x:c r="P154" s="17" t="n">
        <x:f>IF(D154="",0,J154-K154+L154)</x:f>
        <x:v>32280.68</x:v>
      </x:c>
      <x:c r="Q154" s="17" t="n">
        <x:f>MAX(J154-P154-K154,0)</x:f>
        <x:v>0</x:v>
      </x:c>
      <x:c r="R154" s="13" t="n">
        <x:f>IF(D154="",MAX(TODAY()-C154,0),MAX(D154-C154,0))</x:f>
        <x:v>0</x:v>
      </x:c>
      <x:c r="S154" s="13" t="str">
        <x:f>IF(R154=0,"Em dia",IF(R154&lt;=15,"1-15 dias",IF(R154&lt;=30,"16-30 dias",IF(R154&lt;=60,"31-60 dias","Acima de 60 dias"))))</x:f>
        <x:v>Em dia</x:v>
      </x:c>
    </x:row>
    <x:row r="155">
      <x:c r="A155" s="13" t="str">
        <x:v>REC-000154</x:v>
      </x:c>
      <x:c r="B155" s="23" t="n">
        <x:v>45367</x:v>
      </x:c>
      <x:c r="C155" s="23" t="n">
        <x:v>45388</x:v>
      </x:c>
      <x:c r="D155" s="23" t="n">
        <x:v>45387</x:v>
      </x:c>
      <x:c r="E155" s="13" t="str">
        <x:v>VAL-021</x:v>
      </x:c>
      <x:c r="F155" s="13" t="str">
        <x:v>Base Forte Obras</x:v>
      </x:c>
      <x:c r="G155" s="13" t="str">
        <x:v>Construção</x:v>
      </x:c>
      <x:c r="H155" s="13" t="str">
        <x:v>Médio</x:v>
      </x:c>
      <x:c r="I155" s="13" t="str">
        <x:v>Essencial</x:v>
      </x:c>
      <x:c r="J155" s="17" t="n">
        <x:v>8284.81</x:v>
      </x:c>
      <x:c r="K155" s="17" t="n">
        <x:v>147.01</x:v>
      </x:c>
      <x:c r="L155" s="17" t="n">
        <x:v>0</x:v>
      </x:c>
      <x:c r="M155" s="13" t="str">
        <x:v>Pago</x:v>
      </x:c>
      <x:c r="N155" s="13" t="str">
        <x:v>Sem cobrança</x:v>
      </x:c>
      <x:c r="O155" s="13" t="str">
        <x:v>Base controlada</x:v>
      </x:c>
      <x:c r="P155" s="17" t="n">
        <x:f>IF(D155="",0,J155-K155+L155)</x:f>
        <x:v>8137.799999999999</x:v>
      </x:c>
      <x:c r="Q155" s="17" t="n">
        <x:f>MAX(J155-P155-K155,0)</x:f>
        <x:v>2.2737367544323206e-13</x:v>
      </x:c>
      <x:c r="R155" s="13" t="n">
        <x:f>IF(D155="",MAX(TODAY()-C155,0),MAX(D155-C155,0))</x:f>
        <x:v>0</x:v>
      </x:c>
      <x:c r="S155" s="13" t="str">
        <x:f>IF(R155=0,"Em dia",IF(R155&lt;=15,"1-15 dias",IF(R155&lt;=30,"16-30 dias",IF(R155&lt;=60,"31-60 dias","Acima de 60 dias"))))</x:f>
        <x:v>Em dia</x:v>
      </x:c>
    </x:row>
    <x:row r="156">
      <x:c r="A156" s="13" t="str">
        <x:v>REC-000155</x:v>
      </x:c>
      <x:c r="B156" s="23" t="n">
        <x:v>45357</x:v>
      </x:c>
      <x:c r="C156" s="23" t="n">
        <x:v>45378</x:v>
      </x:c>
      <x:c r="D156" s="23" t="n">
        <x:v>45375</x:v>
      </x:c>
      <x:c r="E156" s="13" t="str">
        <x:v>VAL-022</x:v>
      </x:c>
      <x:c r="F156" s="13" t="str">
        <x:v>Academia Evoluir</x:v>
      </x:c>
      <x:c r="G156" s="13" t="str">
        <x:v>Educação</x:v>
      </x:c>
      <x:c r="H156" s="13" t="str">
        <x:v>Alto</x:v>
      </x:c>
      <x:c r="I156" s="13" t="str">
        <x:v>Gestão</x:v>
      </x:c>
      <x:c r="J156" s="17" t="n">
        <x:v>15396.98</x:v>
      </x:c>
      <x:c r="K156" s="17" t="n">
        <x:v>236.44</x:v>
      </x:c>
      <x:c r="L156" s="17" t="n">
        <x:v>0</x:v>
      </x:c>
      <x:c r="M156" s="13" t="str">
        <x:v>Pago</x:v>
      </x:c>
      <x:c r="N156" s="13" t="str">
        <x:v>Sem cobrança</x:v>
      </x:c>
      <x:c r="O156" s="13" t="str">
        <x:v>Base controlada</x:v>
      </x:c>
      <x:c r="P156" s="17" t="n">
        <x:f>IF(D156="",0,J156-K156+L156)</x:f>
        <x:v>15160.539999999999</x:v>
      </x:c>
      <x:c r="Q156" s="17" t="n">
        <x:f>MAX(J156-P156-K156,0)</x:f>
        <x:v>5.115907697472721e-13</x:v>
      </x:c>
      <x:c r="R156" s="13" t="n">
        <x:f>IF(D156="",MAX(TODAY()-C156,0),MAX(D156-C156,0))</x:f>
        <x:v>0</x:v>
      </x:c>
      <x:c r="S156" s="13" t="str">
        <x:f>IF(R156=0,"Em dia",IF(R156&lt;=15,"1-15 dias",IF(R156&lt;=30,"16-30 dias",IF(R156&lt;=60,"31-60 dias","Acima de 60 dias"))))</x:f>
        <x:v>Em dia</x:v>
      </x:c>
    </x:row>
    <x:row r="157">
      <x:c r="A157" s="13" t="str">
        <x:v>REC-000156</x:v>
      </x:c>
      <x:c r="B157" s="23" t="n">
        <x:v>45364</x:v>
      </x:c>
      <x:c r="C157" s="23" t="n">
        <x:v>45379</x:v>
      </x:c>
      <x:c r="D157" s="23" t="n">
        <x:v>45375</x:v>
      </x:c>
      <x:c r="E157" s="13" t="str">
        <x:v>VAL-013</x:v>
      </x:c>
      <x:c r="F157" s="13" t="str">
        <x:v>Engenharia Vértice</x:v>
      </x:c>
      <x:c r="G157" s="13" t="str">
        <x:v>Construção</x:v>
      </x:c>
      <x:c r="H157" s="13" t="str">
        <x:v>Baixo</x:v>
      </x:c>
      <x:c r="I157" s="13" t="str">
        <x:v>Essencial</x:v>
      </x:c>
      <x:c r="J157" s="17" t="n">
        <x:v>14676.54</x:v>
      </x:c>
      <x:c r="K157" s="17" t="n">
        <x:v>0</x:v>
      </x:c>
      <x:c r="L157" s="17" t="n">
        <x:v>0</x:v>
      </x:c>
      <x:c r="M157" s="13" t="str">
        <x:v>Pago</x:v>
      </x:c>
      <x:c r="N157" s="13" t="str">
        <x:v>Sem cobrança</x:v>
      </x:c>
      <x:c r="O157" s="13" t="str">
        <x:v>Base controlada</x:v>
      </x:c>
      <x:c r="P157" s="17" t="n">
        <x:f>IF(D157="",0,J157-K157+L157)</x:f>
        <x:v>14676.54</x:v>
      </x:c>
      <x:c r="Q157" s="17" t="n">
        <x:f>MAX(J157-P157-K157,0)</x:f>
        <x:v>0</x:v>
      </x:c>
      <x:c r="R157" s="13" t="n">
        <x:f>IF(D157="",MAX(TODAY()-C157,0),MAX(D157-C157,0))</x:f>
        <x:v>0</x:v>
      </x:c>
      <x:c r="S157" s="13" t="str">
        <x:f>IF(R157=0,"Em dia",IF(R157&lt;=15,"1-15 dias",IF(R157&lt;=30,"16-30 dias",IF(R157&lt;=60,"31-60 dias","Acima de 60 dias"))))</x:f>
        <x:v>Em dia</x:v>
      </x:c>
    </x:row>
    <x:row r="158">
      <x:c r="A158" s="13" t="str">
        <x:v>REC-000157</x:v>
      </x:c>
      <x:c r="B158" s="23" t="n">
        <x:v>45360</x:v>
      </x:c>
      <x:c r="C158" s="23" t="n">
        <x:v>45390</x:v>
      </x:c>
      <x:c r="D158" s="23" t="n">
        <x:v>45388</x:v>
      </x:c>
      <x:c r="E158" s="13" t="str">
        <x:v>VAL-007</x:v>
      </x:c>
      <x:c r="F158" s="13" t="str">
        <x:v>Loja Prisma Online</x:v>
      </x:c>
      <x:c r="G158" s="13" t="str">
        <x:v>E-commerce</x:v>
      </x:c>
      <x:c r="H158" s="13" t="str">
        <x:v>Médio</x:v>
      </x:c>
      <x:c r="I158" s="13" t="str">
        <x:v>Performance</x:v>
      </x:c>
      <x:c r="J158" s="17" t="n">
        <x:v>14835.32</x:v>
      </x:c>
      <x:c r="K158" s="17" t="n">
        <x:v>0</x:v>
      </x:c>
      <x:c r="L158" s="17" t="n">
        <x:v>0</x:v>
      </x:c>
      <x:c r="M158" s="13" t="str">
        <x:v>Pago</x:v>
      </x:c>
      <x:c r="N158" s="13" t="str">
        <x:v>Sem cobrança</x:v>
      </x:c>
      <x:c r="O158" s="13" t="str">
        <x:v>Base controlada</x:v>
      </x:c>
      <x:c r="P158" s="17" t="n">
        <x:f>IF(D158="",0,J158-K158+L158)</x:f>
        <x:v>14835.32</x:v>
      </x:c>
      <x:c r="Q158" s="17" t="n">
        <x:f>MAX(J158-P158-K158,0)</x:f>
        <x:v>0</x:v>
      </x:c>
      <x:c r="R158" s="13" t="n">
        <x:f>IF(D158="",MAX(TODAY()-C158,0),MAX(D158-C158,0))</x:f>
        <x:v>0</x:v>
      </x:c>
      <x:c r="S158" s="13" t="str">
        <x:f>IF(R158=0,"Em dia",IF(R158&lt;=15,"1-15 dias",IF(R158&lt;=30,"16-30 dias",IF(R158&lt;=60,"31-60 dias","Acima de 60 dias"))))</x:f>
        <x:v>Em dia</x:v>
      </x:c>
    </x:row>
    <x:row r="159">
      <x:c r="A159" s="13" t="str">
        <x:v>REC-000158</x:v>
      </x:c>
      <x:c r="B159" s="23" t="n">
        <x:v>45353</x:v>
      </x:c>
      <x:c r="C159" s="23" t="n">
        <x:v>45368</x:v>
      </x:c>
      <x:c r="D159" s="23" t="n">
        <x:v>45364</x:v>
      </x:c>
      <x:c r="E159" s="13" t="str">
        <x:v>VAL-016</x:v>
      </x:c>
      <x:c r="F159" s="13" t="str">
        <x:v>Lumina Embalagens</x:v>
      </x:c>
      <x:c r="G159" s="13" t="str">
        <x:v>Indústria Leve</x:v>
      </x:c>
      <x:c r="H159" s="13" t="str">
        <x:v>Baixo</x:v>
      </x:c>
      <x:c r="I159" s="13" t="str">
        <x:v>Enterprise</x:v>
      </x:c>
      <x:c r="J159" s="17" t="n">
        <x:v>2403.92</x:v>
      </x:c>
      <x:c r="K159" s="17" t="n">
        <x:v>0</x:v>
      </x:c>
      <x:c r="L159" s="17" t="n">
        <x:v>0</x:v>
      </x:c>
      <x:c r="M159" s="13" t="str">
        <x:v>Pago</x:v>
      </x:c>
      <x:c r="N159" s="13" t="str">
        <x:v>Sem cobrança</x:v>
      </x:c>
      <x:c r="O159" s="13" t="str">
        <x:v>Base controlada</x:v>
      </x:c>
      <x:c r="P159" s="17" t="n">
        <x:f>IF(D159="",0,J159-K159+L159)</x:f>
        <x:v>2403.92</x:v>
      </x:c>
      <x:c r="Q159" s="17" t="n">
        <x:f>MAX(J159-P159-K159,0)</x:f>
        <x:v>0</x:v>
      </x:c>
      <x:c r="R159" s="13" t="n">
        <x:f>IF(D159="",MAX(TODAY()-C159,0),MAX(D159-C159,0))</x:f>
        <x:v>0</x:v>
      </x:c>
      <x:c r="S159" s="13" t="str">
        <x:f>IF(R159=0,"Em dia",IF(R159&lt;=15,"1-15 dias",IF(R159&lt;=30,"16-30 dias",IF(R159&lt;=60,"31-60 dias","Acima de 60 dias"))))</x:f>
        <x:v>Em dia</x:v>
      </x:c>
    </x:row>
    <x:row r="160">
      <x:c r="A160" s="13" t="str">
        <x:v>REC-000159</x:v>
      </x:c>
      <x:c r="B160" s="23" t="n">
        <x:v>45366</x:v>
      </x:c>
      <x:c r="C160" s="23" t="n">
        <x:v>45387</x:v>
      </x:c>
      <x:c r="D160" s="23" t="n">
        <x:v>45385</x:v>
      </x:c>
      <x:c r="E160" s="13" t="str">
        <x:v>VAL-009</x:v>
      </x:c>
      <x:c r="F160" s="13" t="str">
        <x:v>Odonto Prime</x:v>
      </x:c>
      <x:c r="G160" s="13" t="str">
        <x:v>Clínicas e Saúde</x:v>
      </x:c>
      <x:c r="H160" s="13" t="str">
        <x:v>Médio</x:v>
      </x:c>
      <x:c r="I160" s="13" t="str">
        <x:v>Essencial</x:v>
      </x:c>
      <x:c r="J160" s="17" t="n">
        <x:v>27432.63</x:v>
      </x:c>
      <x:c r="K160" s="17" t="n">
        <x:v>448.03</x:v>
      </x:c>
      <x:c r="L160" s="17" t="n">
        <x:v>0</x:v>
      </x:c>
      <x:c r="M160" s="13" t="str">
        <x:v>Pago</x:v>
      </x:c>
      <x:c r="N160" s="13" t="str">
        <x:v>Sem cobrança</x:v>
      </x:c>
      <x:c r="O160" s="13" t="str">
        <x:v>Base controlada</x:v>
      </x:c>
      <x:c r="P160" s="17" t="n">
        <x:f>IF(D160="",0,J160-K160+L160)</x:f>
        <x:v>26984.600000000002</x:v>
      </x:c>
      <x:c r="Q160" s="17" t="n">
        <x:f>MAX(J160-P160-K160,0)</x:f>
        <x:v>0</x:v>
      </x:c>
      <x:c r="R160" s="13" t="n">
        <x:f>IF(D160="",MAX(TODAY()-C160,0),MAX(D160-C160,0))</x:f>
        <x:v>0</x:v>
      </x:c>
      <x:c r="S160" s="13" t="str">
        <x:f>IF(R160=0,"Em dia",IF(R160&lt;=15,"1-15 dias",IF(R160&lt;=30,"16-30 dias",IF(R160&lt;=60,"31-60 dias","Acima de 60 dias"))))</x:f>
        <x:v>Em dia</x:v>
      </x:c>
    </x:row>
    <x:row r="161">
      <x:c r="A161" s="13" t="str">
        <x:v>REC-000160</x:v>
      </x:c>
      <x:c r="B161" s="23" t="n">
        <x:v>45365</x:v>
      </x:c>
      <x:c r="C161" s="23" t="n">
        <x:v>45372</x:v>
      </x:c>
      <x:c r="D161" s="23" t="n">
        <x:v>45368</x:v>
      </x:c>
      <x:c r="E161" s="13" t="str">
        <x:v>VAL-005</x:v>
      </x:c>
      <x:c r="F161" s="13" t="str">
        <x:v>Construtora Alameda</x:v>
      </x:c>
      <x:c r="G161" s="13" t="str">
        <x:v>Construção</x:v>
      </x:c>
      <x:c r="H161" s="13" t="str">
        <x:v>Médio</x:v>
      </x:c>
      <x:c r="I161" s="13" t="str">
        <x:v>Essencial</x:v>
      </x:c>
      <x:c r="J161" s="17" t="n">
        <x:v>21961.39</x:v>
      </x:c>
      <x:c r="K161" s="17" t="n">
        <x:v>0</x:v>
      </x:c>
      <x:c r="L161" s="17" t="n">
        <x:v>0</x:v>
      </x:c>
      <x:c r="M161" s="13" t="str">
        <x:v>Pago</x:v>
      </x:c>
      <x:c r="N161" s="13" t="str">
        <x:v>Sem cobrança</x:v>
      </x:c>
      <x:c r="O161" s="13" t="str">
        <x:v>Base controlada</x:v>
      </x:c>
      <x:c r="P161" s="17" t="n">
        <x:f>IF(D161="",0,J161-K161+L161)</x:f>
        <x:v>21961.39</x:v>
      </x:c>
      <x:c r="Q161" s="17" t="n">
        <x:f>MAX(J161-P161-K161,0)</x:f>
        <x:v>0</x:v>
      </x:c>
      <x:c r="R161" s="13" t="n">
        <x:f>IF(D161="",MAX(TODAY()-C161,0),MAX(D161-C161,0))</x:f>
        <x:v>0</x:v>
      </x:c>
      <x:c r="S161" s="13" t="str">
        <x:f>IF(R161=0,"Em dia",IF(R161&lt;=15,"1-15 dias",IF(R161&lt;=30,"16-30 dias",IF(R161&lt;=60,"31-60 dias","Acima de 60 dias"))))</x:f>
        <x:v>Em dia</x:v>
      </x:c>
    </x:row>
    <x:row r="162">
      <x:c r="A162" s="13" t="str">
        <x:v>REC-000161</x:v>
      </x:c>
      <x:c r="B162" s="23" t="n">
        <x:v>45366</x:v>
      </x:c>
      <x:c r="C162" s="23" t="n">
        <x:v>45396</x:v>
      </x:c>
      <x:c r="D162" s="23" t="n">
        <x:v>45392</x:v>
      </x:c>
      <x:c r="E162" s="13" t="str">
        <x:v>VAL-023</x:v>
      </x:c>
      <x:c r="F162" s="13" t="str">
        <x:v>ShopMix Brasil</x:v>
      </x:c>
      <x:c r="G162" s="13" t="str">
        <x:v>E-commerce</x:v>
      </x:c>
      <x:c r="H162" s="13" t="str">
        <x:v>Baixo</x:v>
      </x:c>
      <x:c r="I162" s="13" t="str">
        <x:v>Performance</x:v>
      </x:c>
      <x:c r="J162" s="17" t="n">
        <x:v>1115.34</x:v>
      </x:c>
      <x:c r="K162" s="17" t="n">
        <x:v>0</x:v>
      </x:c>
      <x:c r="L162" s="17" t="n">
        <x:v>0</x:v>
      </x:c>
      <x:c r="M162" s="13" t="str">
        <x:v>Pago</x:v>
      </x:c>
      <x:c r="N162" s="13" t="str">
        <x:v>Sem cobrança</x:v>
      </x:c>
      <x:c r="O162" s="13" t="str">
        <x:v>Base controlada</x:v>
      </x:c>
      <x:c r="P162" s="17" t="n">
        <x:f>IF(D162="",0,J162-K162+L162)</x:f>
        <x:v>1115.34</x:v>
      </x:c>
      <x:c r="Q162" s="17" t="n">
        <x:f>MAX(J162-P162-K162,0)</x:f>
        <x:v>0</x:v>
      </x:c>
      <x:c r="R162" s="13" t="n">
        <x:f>IF(D162="",MAX(TODAY()-C162,0),MAX(D162-C162,0))</x:f>
        <x:v>0</x:v>
      </x:c>
      <x:c r="S162" s="13" t="str">
        <x:f>IF(R162=0,"Em dia",IF(R162&lt;=15,"1-15 dias",IF(R162&lt;=30,"16-30 dias",IF(R162&lt;=60,"31-60 dias","Acima de 60 dias"))))</x:f>
        <x:v>Em dia</x:v>
      </x:c>
    </x:row>
    <x:row r="163">
      <x:c r="A163" s="13" t="str">
        <x:v>REC-000162</x:v>
      </x:c>
      <x:c r="B163" s="23" t="n">
        <x:v>45361</x:v>
      </x:c>
      <x:c r="C163" s="23" t="n">
        <x:v>45376</x:v>
      </x:c>
      <x:c r="D163" s="23" t="n">
        <x:v>45374</x:v>
      </x:c>
      <x:c r="E163" s="13" t="str">
        <x:v>VAL-007</x:v>
      </x:c>
      <x:c r="F163" s="13" t="str">
        <x:v>Loja Prisma Online</x:v>
      </x:c>
      <x:c r="G163" s="13" t="str">
        <x:v>E-commerce</x:v>
      </x:c>
      <x:c r="H163" s="13" t="str">
        <x:v>Médio</x:v>
      </x:c>
      <x:c r="I163" s="13" t="str">
        <x:v>Performance</x:v>
      </x:c>
      <x:c r="J163" s="17" t="n">
        <x:v>21302.82</x:v>
      </x:c>
      <x:c r="K163" s="17" t="n">
        <x:v>0</x:v>
      </x:c>
      <x:c r="L163" s="17" t="n">
        <x:v>0</x:v>
      </x:c>
      <x:c r="M163" s="13" t="str">
        <x:v>Pago</x:v>
      </x:c>
      <x:c r="N163" s="13" t="str">
        <x:v>Sem cobrança</x:v>
      </x:c>
      <x:c r="O163" s="13" t="str">
        <x:v>Base controlada</x:v>
      </x:c>
      <x:c r="P163" s="17" t="n">
        <x:f>IF(D163="",0,J163-K163+L163)</x:f>
        <x:v>21302.82</x:v>
      </x:c>
      <x:c r="Q163" s="17" t="n">
        <x:f>MAX(J163-P163-K163,0)</x:f>
        <x:v>0</x:v>
      </x:c>
      <x:c r="R163" s="13" t="n">
        <x:f>IF(D163="",MAX(TODAY()-C163,0),MAX(D163-C163,0))</x:f>
        <x:v>0</x:v>
      </x:c>
      <x:c r="S163" s="13" t="str">
        <x:f>IF(R163=0,"Em dia",IF(R163&lt;=15,"1-15 dias",IF(R163&lt;=30,"16-30 dias",IF(R163&lt;=60,"31-60 dias","Acima de 60 dias"))))</x:f>
        <x:v>Em dia</x:v>
      </x:c>
    </x:row>
    <x:row r="164">
      <x:c r="A164" s="13" t="str">
        <x:v>REC-000163</x:v>
      </x:c>
      <x:c r="B164" s="23" t="n">
        <x:v>45359</x:v>
      </x:c>
      <x:c r="C164" s="23" t="n">
        <x:v>45380</x:v>
      </x:c>
      <x:c r="D164" s="23" t="n">
        <x:v>45400</x:v>
      </x:c>
      <x:c r="E164" s="13" t="str">
        <x:v>VAL-011</x:v>
      </x:c>
      <x:c r="F164" s="13" t="str">
        <x:v>Rede Essencial</x:v>
      </x:c>
      <x:c r="G164" s="13" t="str">
        <x:v>Varejo</x:v>
      </x:c>
      <x:c r="H164" s="13" t="str">
        <x:v>Médio</x:v>
      </x:c>
      <x:c r="I164" s="13" t="str">
        <x:v>Performance</x:v>
      </x:c>
      <x:c r="J164" s="17" t="n">
        <x:v>8502.49</x:v>
      </x:c>
      <x:c r="K164" s="17" t="n">
        <x:v>0</x:v>
      </x:c>
      <x:c r="L164" s="17" t="n">
        <x:v>110.53</x:v>
      </x:c>
      <x:c r="M164" s="13" t="str">
        <x:v>Pago com atraso</x:v>
      </x:c>
      <x:c r="N164" s="13" t="str">
        <x:v>E-mail</x:v>
      </x:c>
      <x:c r="O164" s="13" t="str">
        <x:v>Base controlada</x:v>
      </x:c>
      <x:c r="P164" s="17" t="n">
        <x:f>IF(D164="",0,J164-K164+L164)</x:f>
        <x:v>8613.02</x:v>
      </x:c>
      <x:c r="Q164" s="17" t="n">
        <x:f>MAX(J164-P164-K164,0)</x:f>
        <x:v>0</x:v>
      </x:c>
      <x:c r="R164" s="13" t="n">
        <x:f>IF(D164="",MAX(TODAY()-C164,0),MAX(D164-C164,0))</x:f>
        <x:v>20</x:v>
      </x:c>
      <x:c r="S164" s="13" t="str">
        <x:f>IF(R164=0,"Em dia",IF(R164&lt;=15,"1-15 dias",IF(R164&lt;=30,"16-30 dias",IF(R164&lt;=60,"31-60 dias","Acima de 60 dias"))))</x:f>
        <x:v>16-30 dias</x:v>
      </x:c>
    </x:row>
    <x:row r="165">
      <x:c r="A165" s="13" t="str">
        <x:v>REC-000164</x:v>
      </x:c>
      <x:c r="B165" s="23" t="n">
        <x:v>45354</x:v>
      </x:c>
      <x:c r="C165" s="23" t="n">
        <x:v>45369</x:v>
      </x:c>
      <x:c r="D165" s="23" t="n">
        <x:v>45368</x:v>
      </x:c>
      <x:c r="E165" s="13" t="str">
        <x:v>VAL-022</x:v>
      </x:c>
      <x:c r="F165" s="13" t="str">
        <x:v>Academia Evoluir</x:v>
      </x:c>
      <x:c r="G165" s="13" t="str">
        <x:v>Educação</x:v>
      </x:c>
      <x:c r="H165" s="13" t="str">
        <x:v>Alto</x:v>
      </x:c>
      <x:c r="I165" s="13" t="str">
        <x:v>Gestão</x:v>
      </x:c>
      <x:c r="J165" s="17" t="n">
        <x:v>23871.89</x:v>
      </x:c>
      <x:c r="K165" s="17" t="n">
        <x:v>0</x:v>
      </x:c>
      <x:c r="L165" s="17" t="n">
        <x:v>0</x:v>
      </x:c>
      <x:c r="M165" s="13" t="str">
        <x:v>Pago</x:v>
      </x:c>
      <x:c r="N165" s="13" t="str">
        <x:v>Sem cobrança</x:v>
      </x:c>
      <x:c r="O165" s="13" t="str">
        <x:v>Base controlada</x:v>
      </x:c>
      <x:c r="P165" s="17" t="n">
        <x:f>IF(D165="",0,J165-K165+L165)</x:f>
        <x:v>23871.89</x:v>
      </x:c>
      <x:c r="Q165" s="17" t="n">
        <x:f>MAX(J165-P165-K165,0)</x:f>
        <x:v>0</x:v>
      </x:c>
      <x:c r="R165" s="13" t="n">
        <x:f>IF(D165="",MAX(TODAY()-C165,0),MAX(D165-C165,0))</x:f>
        <x:v>0</x:v>
      </x:c>
      <x:c r="S165" s="13" t="str">
        <x:f>IF(R165=0,"Em dia",IF(R165&lt;=15,"1-15 dias",IF(R165&lt;=30,"16-30 dias",IF(R165&lt;=60,"31-60 dias","Acima de 60 dias"))))</x:f>
        <x:v>Em dia</x:v>
      </x:c>
    </x:row>
    <x:row r="166">
      <x:c r="A166" s="13" t="str">
        <x:v>REC-000165</x:v>
      </x:c>
      <x:c r="B166" s="23" t="n">
        <x:v>45369</x:v>
      </x:c>
      <x:c r="C166" s="23" t="n">
        <x:v>45384</x:v>
      </x:c>
      <x:c r="D166" s="23" t="n">
        <x:v>45384</x:v>
      </x:c>
      <x:c r="E166" s="13" t="str">
        <x:v>VAL-006</x:v>
      </x:c>
      <x:c r="F166" s="13" t="str">
        <x:v>Instituto Saber Mais</x:v>
      </x:c>
      <x:c r="G166" s="13" t="str">
        <x:v>Educação</x:v>
      </x:c>
      <x:c r="H166" s="13" t="str">
        <x:v>Médio</x:v>
      </x:c>
      <x:c r="I166" s="13" t="str">
        <x:v>Gestão</x:v>
      </x:c>
      <x:c r="J166" s="17" t="n">
        <x:v>5007.17</x:v>
      </x:c>
      <x:c r="K166" s="17" t="n">
        <x:v>0</x:v>
      </x:c>
      <x:c r="L166" s="17" t="n">
        <x:v>0</x:v>
      </x:c>
      <x:c r="M166" s="13" t="str">
        <x:v>Pago</x:v>
      </x:c>
      <x:c r="N166" s="13" t="str">
        <x:v>Sem cobrança</x:v>
      </x:c>
      <x:c r="O166" s="13" t="str">
        <x:v>Base controlada</x:v>
      </x:c>
      <x:c r="P166" s="17" t="n">
        <x:f>IF(D166="",0,J166-K166+L166)</x:f>
        <x:v>5007.17</x:v>
      </x:c>
      <x:c r="Q166" s="17" t="n">
        <x:f>MAX(J166-P166-K166,0)</x:f>
        <x:v>0</x:v>
      </x:c>
      <x:c r="R166" s="13" t="n">
        <x:f>IF(D166="",MAX(TODAY()-C166,0),MAX(D166-C166,0))</x:f>
        <x:v>0</x:v>
      </x:c>
      <x:c r="S166" s="13" t="str">
        <x:f>IF(R166=0,"Em dia",IF(R166&lt;=15,"1-15 dias",IF(R166&lt;=30,"16-30 dias",IF(R166&lt;=60,"31-60 dias","Acima de 60 dias"))))</x:f>
        <x:v>Em dia</x:v>
      </x:c>
    </x:row>
    <x:row r="167">
      <x:c r="A167" s="13" t="str">
        <x:v>REC-000166</x:v>
      </x:c>
      <x:c r="B167" s="23" t="n">
        <x:v>45359</x:v>
      </x:c>
      <x:c r="C167" s="23" t="n">
        <x:v>45387</x:v>
      </x:c>
      <x:c r="D167" s="23" t="n">
        <x:v>45387</x:v>
      </x:c>
      <x:c r="E167" s="13" t="str">
        <x:v>VAL-024</x:v>
      </x:c>
      <x:c r="F167" s="13" t="str">
        <x:v>NovaForma Móveis</x:v>
      </x:c>
      <x:c r="G167" s="13" t="str">
        <x:v>Indústria Leve</x:v>
      </x:c>
      <x:c r="H167" s="13" t="str">
        <x:v>Baixo</x:v>
      </x:c>
      <x:c r="I167" s="13" t="str">
        <x:v>Enterprise</x:v>
      </x:c>
      <x:c r="J167" s="17" t="n">
        <x:v>32212.66</x:v>
      </x:c>
      <x:c r="K167" s="17" t="n">
        <x:v>0</x:v>
      </x:c>
      <x:c r="L167" s="17" t="n">
        <x:v>0</x:v>
      </x:c>
      <x:c r="M167" s="13" t="str">
        <x:v>Pago</x:v>
      </x:c>
      <x:c r="N167" s="13" t="str">
        <x:v>Sem cobrança</x:v>
      </x:c>
      <x:c r="O167" s="13" t="str">
        <x:v>Base controlada</x:v>
      </x:c>
      <x:c r="P167" s="17" t="n">
        <x:f>IF(D167="",0,J167-K167+L167)</x:f>
        <x:v>32212.66</x:v>
      </x:c>
      <x:c r="Q167" s="17" t="n">
        <x:f>MAX(J167-P167-K167,0)</x:f>
        <x:v>0</x:v>
      </x:c>
      <x:c r="R167" s="13" t="n">
        <x:f>IF(D167="",MAX(TODAY()-C167,0),MAX(D167-C167,0))</x:f>
        <x:v>0</x:v>
      </x:c>
      <x:c r="S167" s="13" t="str">
        <x:f>IF(R167=0,"Em dia",IF(R167&lt;=15,"1-15 dias",IF(R167&lt;=30,"16-30 dias",IF(R167&lt;=60,"31-60 dias","Acima de 60 dias"))))</x:f>
        <x:v>Em dia</x:v>
      </x:c>
    </x:row>
    <x:row r="168">
      <x:c r="A168" s="13" t="str">
        <x:v>REC-000167</x:v>
      </x:c>
      <x:c r="B168" s="23" t="n">
        <x:v>45354</x:v>
      </x:c>
      <x:c r="C168" s="23" t="n">
        <x:v>45369</x:v>
      </x:c>
      <x:c r="D168" s="23" t="n">
        <x:v>45368</x:v>
      </x:c>
      <x:c r="E168" s="13" t="str">
        <x:v>VAL-010</x:v>
      </x:c>
      <x:c r="F168" s="13" t="str">
        <x:v>Atlas Contabilidade</x:v>
      </x:c>
      <x:c r="G168" s="13" t="str">
        <x:v>Serviços Profissionais</x:v>
      </x:c>
      <x:c r="H168" s="13" t="str">
        <x:v>Baixo</x:v>
      </x:c>
      <x:c r="I168" s="13" t="str">
        <x:v>Gestão</x:v>
      </x:c>
      <x:c r="J168" s="17" t="n">
        <x:v>17971.95</x:v>
      </x:c>
      <x:c r="K168" s="17" t="n">
        <x:v>0</x:v>
      </x:c>
      <x:c r="L168" s="17" t="n">
        <x:v>0</x:v>
      </x:c>
      <x:c r="M168" s="13" t="str">
        <x:v>Pago</x:v>
      </x:c>
      <x:c r="N168" s="13" t="str">
        <x:v>Sem cobrança</x:v>
      </x:c>
      <x:c r="O168" s="13" t="str">
        <x:v>Base controlada</x:v>
      </x:c>
      <x:c r="P168" s="17" t="n">
        <x:f>IF(D168="",0,J168-K168+L168)</x:f>
        <x:v>17971.95</x:v>
      </x:c>
      <x:c r="Q168" s="17" t="n">
        <x:f>MAX(J168-P168-K168,0)</x:f>
        <x:v>0</x:v>
      </x:c>
      <x:c r="R168" s="13" t="n">
        <x:f>IF(D168="",MAX(TODAY()-C168,0),MAX(D168-C168,0))</x:f>
        <x:v>0</x:v>
      </x:c>
      <x:c r="S168" s="13" t="str">
        <x:f>IF(R168=0,"Em dia",IF(R168&lt;=15,"1-15 dias",IF(R168&lt;=30,"16-30 dias",IF(R168&lt;=60,"31-60 dias","Acima de 60 dias"))))</x:f>
        <x:v>Em dia</x:v>
      </x:c>
    </x:row>
    <x:row r="169">
      <x:c r="A169" s="13" t="str">
        <x:v>REC-000168</x:v>
      </x:c>
      <x:c r="B169" s="23" t="n">
        <x:v>45368</x:v>
      </x:c>
      <x:c r="C169" s="23" t="n">
        <x:v>45375</x:v>
      </x:c>
      <x:c r="D169" s="23" t="n">
        <x:v>45373</x:v>
      </x:c>
      <x:c r="E169" s="13" t="str">
        <x:v>VAL-007</x:v>
      </x:c>
      <x:c r="F169" s="13" t="str">
        <x:v>Loja Prisma Online</x:v>
      </x:c>
      <x:c r="G169" s="13" t="str">
        <x:v>E-commerce</x:v>
      </x:c>
      <x:c r="H169" s="13" t="str">
        <x:v>Médio</x:v>
      </x:c>
      <x:c r="I169" s="13" t="str">
        <x:v>Performance</x:v>
      </x:c>
      <x:c r="J169" s="17" t="n">
        <x:v>22111.1</x:v>
      </x:c>
      <x:c r="K169" s="17" t="n">
        <x:v>0</x:v>
      </x:c>
      <x:c r="L169" s="17" t="n">
        <x:v>0</x:v>
      </x:c>
      <x:c r="M169" s="13" t="str">
        <x:v>Pago</x:v>
      </x:c>
      <x:c r="N169" s="13" t="str">
        <x:v>Sem cobrança</x:v>
      </x:c>
      <x:c r="O169" s="13" t="str">
        <x:v>Base controlada</x:v>
      </x:c>
      <x:c r="P169" s="17" t="n">
        <x:f>IF(D169="",0,J169-K169+L169)</x:f>
        <x:v>22111.1</x:v>
      </x:c>
      <x:c r="Q169" s="17" t="n">
        <x:f>MAX(J169-P169-K169,0)</x:f>
        <x:v>0</x:v>
      </x:c>
      <x:c r="R169" s="13" t="n">
        <x:f>IF(D169="",MAX(TODAY()-C169,0),MAX(D169-C169,0))</x:f>
        <x:v>0</x:v>
      </x:c>
      <x:c r="S169" s="13" t="str">
        <x:f>IF(R169=0,"Em dia",IF(R169&lt;=15,"1-15 dias",IF(R169&lt;=30,"16-30 dias",IF(R169&lt;=60,"31-60 dias","Acima de 60 dias"))))</x:f>
        <x:v>Em dia</x:v>
      </x:c>
    </x:row>
    <x:row r="170">
      <x:c r="A170" s="13" t="str">
        <x:v>REC-000169</x:v>
      </x:c>
      <x:c r="B170" s="23" t="n">
        <x:v>45369</x:v>
      </x:c>
      <x:c r="C170" s="23" t="n">
        <x:v>45399</x:v>
      </x:c>
      <x:c r="D170" s="23"/>
      <x:c r="E170" s="13" t="str">
        <x:v>VAL-011</x:v>
      </x:c>
      <x:c r="F170" s="13" t="str">
        <x:v>Rede Essencial</x:v>
      </x:c>
      <x:c r="G170" s="13" t="str">
        <x:v>Varejo</x:v>
      </x:c>
      <x:c r="H170" s="13" t="str">
        <x:v>Médio</x:v>
      </x:c>
      <x:c r="I170" s="13" t="str">
        <x:v>Performance</x:v>
      </x:c>
      <x:c r="J170" s="17" t="n">
        <x:v>6120.26</x:v>
      </x:c>
      <x:c r="K170" s="17" t="n">
        <x:v>0</x:v>
      </x:c>
      <x:c r="L170" s="17" t="n">
        <x:v>0</x:v>
      </x:c>
      <x:c r="M170" s="13" t="str">
        <x:v>Em aberto</x:v>
      </x:c>
      <x:c r="N170" s="13" t="str">
        <x:v>Telefone</x:v>
      </x:c>
      <x:c r="O170" s="13" t="str">
        <x:v>Base controlada</x:v>
      </x:c>
      <x:c r="P170" s="17" t="n">
        <x:f>IF(D170="",0,J170-K170+L170)</x:f>
        <x:v>0</x:v>
      </x:c>
      <x:c r="Q170" s="17" t="n">
        <x:f>MAX(J170-P170-K170,0)</x:f>
        <x:v>6120.26</x:v>
      </x:c>
      <x:c r="R170" s="13" t="n">
        <x:f>IF(D170="",MAX(TODAY()-C170,0),MAX(D170-C170,0))</x:f>
        <x:v>814</x:v>
      </x:c>
      <x:c r="S170" s="13" t="str">
        <x:f>IF(R170=0,"Em dia",IF(R170&lt;=15,"1-15 dias",IF(R170&lt;=30,"16-30 dias",IF(R170&lt;=60,"31-60 dias","Acima de 60 dias"))))</x:f>
        <x:v>Acima de 60 dias</x:v>
      </x:c>
    </x:row>
    <x:row r="171">
      <x:c r="A171" s="13" t="str">
        <x:v>REC-000170</x:v>
      </x:c>
      <x:c r="B171" s="23" t="n">
        <x:v>45354</x:v>
      </x:c>
      <x:c r="C171" s="23" t="n">
        <x:v>45361</x:v>
      </x:c>
      <x:c r="D171" s="23" t="n">
        <x:v>45358</x:v>
      </x:c>
      <x:c r="E171" s="13" t="str">
        <x:v>VAL-018</x:v>
      </x:c>
      <x:c r="F171" s="13" t="str">
        <x:v>Ponto Legal Advocacia</x:v>
      </x:c>
      <x:c r="G171" s="13" t="str">
        <x:v>Serviços Profissionais</x:v>
      </x:c>
      <x:c r="H171" s="13" t="str">
        <x:v>Baixo</x:v>
      </x:c>
      <x:c r="I171" s="13" t="str">
        <x:v>Gestão</x:v>
      </x:c>
      <x:c r="J171" s="17" t="n">
        <x:v>25645.68</x:v>
      </x:c>
      <x:c r="K171" s="17" t="n">
        <x:v>0</x:v>
      </x:c>
      <x:c r="L171" s="17" t="n">
        <x:v>0</x:v>
      </x:c>
      <x:c r="M171" s="13" t="str">
        <x:v>Pago</x:v>
      </x:c>
      <x:c r="N171" s="13" t="str">
        <x:v>Sem cobrança</x:v>
      </x:c>
      <x:c r="O171" s="13" t="str">
        <x:v>Base controlada</x:v>
      </x:c>
      <x:c r="P171" s="17" t="n">
        <x:f>IF(D171="",0,J171-K171+L171)</x:f>
        <x:v>25645.68</x:v>
      </x:c>
      <x:c r="Q171" s="17" t="n">
        <x:f>MAX(J171-P171-K171,0)</x:f>
        <x:v>0</x:v>
      </x:c>
      <x:c r="R171" s="13" t="n">
        <x:f>IF(D171="",MAX(TODAY()-C171,0),MAX(D171-C171,0))</x:f>
        <x:v>0</x:v>
      </x:c>
      <x:c r="S171" s="13" t="str">
        <x:f>IF(R171=0,"Em dia",IF(R171&lt;=15,"1-15 dias",IF(R171&lt;=30,"16-30 dias",IF(R171&lt;=60,"31-60 dias","Acima de 60 dias"))))</x:f>
        <x:v>Em dia</x:v>
      </x:c>
    </x:row>
    <x:row r="172">
      <x:c r="A172" s="13" t="str">
        <x:v>REC-000171</x:v>
      </x:c>
      <x:c r="B172" s="23" t="n">
        <x:v>45355</x:v>
      </x:c>
      <x:c r="C172" s="23" t="n">
        <x:v>45370</x:v>
      </x:c>
      <x:c r="D172" s="23" t="n">
        <x:v>45369</x:v>
      </x:c>
      <x:c r="E172" s="13" t="str">
        <x:v>VAL-011</x:v>
      </x:c>
      <x:c r="F172" s="13" t="str">
        <x:v>Rede Essencial</x:v>
      </x:c>
      <x:c r="G172" s="13" t="str">
        <x:v>Varejo</x:v>
      </x:c>
      <x:c r="H172" s="13" t="str">
        <x:v>Médio</x:v>
      </x:c>
      <x:c r="I172" s="13" t="str">
        <x:v>Performance</x:v>
      </x:c>
      <x:c r="J172" s="17" t="n">
        <x:v>16214.83</x:v>
      </x:c>
      <x:c r="K172" s="17" t="n">
        <x:v>0</x:v>
      </x:c>
      <x:c r="L172" s="17" t="n">
        <x:v>0</x:v>
      </x:c>
      <x:c r="M172" s="13" t="str">
        <x:v>Pago</x:v>
      </x:c>
      <x:c r="N172" s="13" t="str">
        <x:v>Sem cobrança</x:v>
      </x:c>
      <x:c r="O172" s="13" t="str">
        <x:v>Base controlada</x:v>
      </x:c>
      <x:c r="P172" s="17" t="n">
        <x:f>IF(D172="",0,J172-K172+L172)</x:f>
        <x:v>16214.83</x:v>
      </x:c>
      <x:c r="Q172" s="17" t="n">
        <x:f>MAX(J172-P172-K172,0)</x:f>
        <x:v>0</x:v>
      </x:c>
      <x:c r="R172" s="13" t="n">
        <x:f>IF(D172="",MAX(TODAY()-C172,0),MAX(D172-C172,0))</x:f>
        <x:v>0</x:v>
      </x:c>
      <x:c r="S172" s="13" t="str">
        <x:f>IF(R172=0,"Em dia",IF(R172&lt;=15,"1-15 dias",IF(R172&lt;=30,"16-30 dias",IF(R172&lt;=60,"31-60 dias","Acima de 60 dias"))))</x:f>
        <x:v>Em dia</x:v>
      </x:c>
    </x:row>
    <x:row r="173">
      <x:c r="A173" s="13" t="str">
        <x:v>REC-000172</x:v>
      </x:c>
      <x:c r="B173" s="23" t="n">
        <x:v>45357</x:v>
      </x:c>
      <x:c r="C173" s="23" t="n">
        <x:v>45372</x:v>
      </x:c>
      <x:c r="D173" s="23" t="n">
        <x:v>45371</x:v>
      </x:c>
      <x:c r="E173" s="13" t="str">
        <x:v>VAL-001</x:v>
      </x:c>
      <x:c r="F173" s="13" t="str">
        <x:v>Clínica Horizonte</x:v>
      </x:c>
      <x:c r="G173" s="13" t="str">
        <x:v>Clínicas e Saúde</x:v>
      </x:c>
      <x:c r="H173" s="13" t="str">
        <x:v>Baixo</x:v>
      </x:c>
      <x:c r="I173" s="13" t="str">
        <x:v>Essencial</x:v>
      </x:c>
      <x:c r="J173" s="17" t="n">
        <x:v>899.96</x:v>
      </x:c>
      <x:c r="K173" s="17" t="n">
        <x:v>0</x:v>
      </x:c>
      <x:c r="L173" s="17" t="n">
        <x:v>0</x:v>
      </x:c>
      <x:c r="M173" s="13" t="str">
        <x:v>Pago</x:v>
      </x:c>
      <x:c r="N173" s="13" t="str">
        <x:v>Sem cobrança</x:v>
      </x:c>
      <x:c r="O173" s="13" t="str">
        <x:v>Base controlada</x:v>
      </x:c>
      <x:c r="P173" s="17" t="n">
        <x:f>IF(D173="",0,J173-K173+L173)</x:f>
        <x:v>899.96</x:v>
      </x:c>
      <x:c r="Q173" s="17" t="n">
        <x:f>MAX(J173-P173-K173,0)</x:f>
        <x:v>0</x:v>
      </x:c>
      <x:c r="R173" s="13" t="n">
        <x:f>IF(D173="",MAX(TODAY()-C173,0),MAX(D173-C173,0))</x:f>
        <x:v>0</x:v>
      </x:c>
      <x:c r="S173" s="13" t="str">
        <x:f>IF(R173=0,"Em dia",IF(R173&lt;=15,"1-15 dias",IF(R173&lt;=30,"16-30 dias",IF(R173&lt;=60,"31-60 dias","Acima de 60 dias"))))</x:f>
        <x:v>Em dia</x:v>
      </x:c>
    </x:row>
    <x:row r="174">
      <x:c r="A174" s="13" t="str">
        <x:v>REC-000173</x:v>
      </x:c>
      <x:c r="B174" s="23" t="n">
        <x:v>45358</x:v>
      </x:c>
      <x:c r="C174" s="23" t="n">
        <x:v>45379</x:v>
      </x:c>
      <x:c r="D174" s="23" t="n">
        <x:v>45376</x:v>
      </x:c>
      <x:c r="E174" s="13" t="str">
        <x:v>VAL-020</x:v>
      </x:c>
      <x:c r="F174" s="13" t="str">
        <x:v>Corelink Digital</x:v>
      </x:c>
      <x:c r="G174" s="13" t="str">
        <x:v>Tecnologia</x:v>
      </x:c>
      <x:c r="H174" s="13" t="str">
        <x:v>Baixo</x:v>
      </x:c>
      <x:c r="I174" s="13" t="str">
        <x:v>Enterprise</x:v>
      </x:c>
      <x:c r="J174" s="17" t="n">
        <x:v>16197.91</x:v>
      </x:c>
      <x:c r="K174" s="17" t="n">
        <x:v>0</x:v>
      </x:c>
      <x:c r="L174" s="17" t="n">
        <x:v>0</x:v>
      </x:c>
      <x:c r="M174" s="13" t="str">
        <x:v>Pago</x:v>
      </x:c>
      <x:c r="N174" s="13" t="str">
        <x:v>Sem cobrança</x:v>
      </x:c>
      <x:c r="O174" s="13" t="str">
        <x:v>Base controlada</x:v>
      </x:c>
      <x:c r="P174" s="17" t="n">
        <x:f>IF(D174="",0,J174-K174+L174)</x:f>
        <x:v>16197.91</x:v>
      </x:c>
      <x:c r="Q174" s="17" t="n">
        <x:f>MAX(J174-P174-K174,0)</x:f>
        <x:v>0</x:v>
      </x:c>
      <x:c r="R174" s="13" t="n">
        <x:f>IF(D174="",MAX(TODAY()-C174,0),MAX(D174-C174,0))</x:f>
        <x:v>0</x:v>
      </x:c>
      <x:c r="S174" s="13" t="str">
        <x:f>IF(R174=0,"Em dia",IF(R174&lt;=15,"1-15 dias",IF(R174&lt;=30,"16-30 dias",IF(R174&lt;=60,"31-60 dias","Acima de 60 dias"))))</x:f>
        <x:v>Em dia</x:v>
      </x:c>
    </x:row>
    <x:row r="175">
      <x:c r="A175" s="13" t="str">
        <x:v>REC-000174</x:v>
      </x:c>
      <x:c r="B175" s="23" t="n">
        <x:v>45370</x:v>
      </x:c>
      <x:c r="C175" s="23" t="n">
        <x:v>45385</x:v>
      </x:c>
      <x:c r="D175" s="23" t="n">
        <x:v>45383</x:v>
      </x:c>
      <x:c r="E175" s="13" t="str">
        <x:v>VAL-011</x:v>
      </x:c>
      <x:c r="F175" s="13" t="str">
        <x:v>Rede Essencial</x:v>
      </x:c>
      <x:c r="G175" s="13" t="str">
        <x:v>Varejo</x:v>
      </x:c>
      <x:c r="H175" s="13" t="str">
        <x:v>Médio</x:v>
      </x:c>
      <x:c r="I175" s="13" t="str">
        <x:v>Performance</x:v>
      </x:c>
      <x:c r="J175" s="17" t="n">
        <x:v>11664.03</x:v>
      </x:c>
      <x:c r="K175" s="17" t="n">
        <x:v>0</x:v>
      </x:c>
      <x:c r="L175" s="17" t="n">
        <x:v>0</x:v>
      </x:c>
      <x:c r="M175" s="13" t="str">
        <x:v>Pago</x:v>
      </x:c>
      <x:c r="N175" s="13" t="str">
        <x:v>Sem cobrança</x:v>
      </x:c>
      <x:c r="O175" s="13" t="str">
        <x:v>Base controlada</x:v>
      </x:c>
      <x:c r="P175" s="17" t="n">
        <x:f>IF(D175="",0,J175-K175+L175)</x:f>
        <x:v>11664.03</x:v>
      </x:c>
      <x:c r="Q175" s="17" t="n">
        <x:f>MAX(J175-P175-K175,0)</x:f>
        <x:v>0</x:v>
      </x:c>
      <x:c r="R175" s="13" t="n">
        <x:f>IF(D175="",MAX(TODAY()-C175,0),MAX(D175-C175,0))</x:f>
        <x:v>0</x:v>
      </x:c>
      <x:c r="S175" s="13" t="str">
        <x:f>IF(R175=0,"Em dia",IF(R175&lt;=15,"1-15 dias",IF(R175&lt;=30,"16-30 dias",IF(R175&lt;=60,"31-60 dias","Acima de 60 dias"))))</x:f>
        <x:v>Em dia</x:v>
      </x:c>
    </x:row>
    <x:row r="176">
      <x:c r="A176" s="13" t="str">
        <x:v>REC-000175</x:v>
      </x:c>
      <x:c r="B176" s="23" t="n">
        <x:v>45361</x:v>
      </x:c>
      <x:c r="C176" s="23" t="n">
        <x:v>45389</x:v>
      </x:c>
      <x:c r="D176" s="23" t="n">
        <x:v>45389</x:v>
      </x:c>
      <x:c r="E176" s="13" t="str">
        <x:v>VAL-024</x:v>
      </x:c>
      <x:c r="F176" s="13" t="str">
        <x:v>NovaForma Móveis</x:v>
      </x:c>
      <x:c r="G176" s="13" t="str">
        <x:v>Indústria Leve</x:v>
      </x:c>
      <x:c r="H176" s="13" t="str">
        <x:v>Baixo</x:v>
      </x:c>
      <x:c r="I176" s="13" t="str">
        <x:v>Enterprise</x:v>
      </x:c>
      <x:c r="J176" s="17" t="n">
        <x:v>20387.54</x:v>
      </x:c>
      <x:c r="K176" s="17" t="n">
        <x:v>0</x:v>
      </x:c>
      <x:c r="L176" s="17" t="n">
        <x:v>0</x:v>
      </x:c>
      <x:c r="M176" s="13" t="str">
        <x:v>Pago</x:v>
      </x:c>
      <x:c r="N176" s="13" t="str">
        <x:v>Sem cobrança</x:v>
      </x:c>
      <x:c r="O176" s="13" t="str">
        <x:v>Base controlada</x:v>
      </x:c>
      <x:c r="P176" s="17" t="n">
        <x:f>IF(D176="",0,J176-K176+L176)</x:f>
        <x:v>20387.54</x:v>
      </x:c>
      <x:c r="Q176" s="17" t="n">
        <x:f>MAX(J176-P176-K176,0)</x:f>
        <x:v>0</x:v>
      </x:c>
      <x:c r="R176" s="13" t="n">
        <x:f>IF(D176="",MAX(TODAY()-C176,0),MAX(D176-C176,0))</x:f>
        <x:v>0</x:v>
      </x:c>
      <x:c r="S176" s="13" t="str">
        <x:f>IF(R176=0,"Em dia",IF(R176&lt;=15,"1-15 dias",IF(R176&lt;=30,"16-30 dias",IF(R176&lt;=60,"31-60 dias","Acima de 60 dias"))))</x:f>
        <x:v>Em dia</x:v>
      </x:c>
    </x:row>
    <x:row r="177">
      <x:c r="A177" s="13" t="str">
        <x:v>REC-000176</x:v>
      </x:c>
      <x:c r="B177" s="23" t="n">
        <x:v>45367</x:v>
      </x:c>
      <x:c r="C177" s="23" t="n">
        <x:v>45395</x:v>
      </x:c>
      <x:c r="D177" s="23" t="n">
        <x:v>45393</x:v>
      </x:c>
      <x:c r="E177" s="13" t="str">
        <x:v>VAL-003</x:v>
      </x:c>
      <x:c r="F177" s="13" t="str">
        <x:v>Casa Nova Varejo</x:v>
      </x:c>
      <x:c r="G177" s="13" t="str">
        <x:v>Varejo</x:v>
      </x:c>
      <x:c r="H177" s="13" t="str">
        <x:v>Baixo</x:v>
      </x:c>
      <x:c r="I177" s="13" t="str">
        <x:v>Performance</x:v>
      </x:c>
      <x:c r="J177" s="17" t="n">
        <x:v>3154.8</x:v>
      </x:c>
      <x:c r="K177" s="17" t="n">
        <x:v>0</x:v>
      </x:c>
      <x:c r="L177" s="17" t="n">
        <x:v>0</x:v>
      </x:c>
      <x:c r="M177" s="13" t="str">
        <x:v>Pago</x:v>
      </x:c>
      <x:c r="N177" s="13" t="str">
        <x:v>Sem cobrança</x:v>
      </x:c>
      <x:c r="O177" s="13" t="str">
        <x:v>Base controlada</x:v>
      </x:c>
      <x:c r="P177" s="17" t="n">
        <x:f>IF(D177="",0,J177-K177+L177)</x:f>
        <x:v>3154.8</x:v>
      </x:c>
      <x:c r="Q177" s="17" t="n">
        <x:f>MAX(J177-P177-K177,0)</x:f>
        <x:v>0</x:v>
      </x:c>
      <x:c r="R177" s="13" t="n">
        <x:f>IF(D177="",MAX(TODAY()-C177,0),MAX(D177-C177,0))</x:f>
        <x:v>0</x:v>
      </x:c>
      <x:c r="S177" s="13" t="str">
        <x:f>IF(R177=0,"Em dia",IF(R177&lt;=15,"1-15 dias",IF(R177&lt;=30,"16-30 dias",IF(R177&lt;=60,"31-60 dias","Acima de 60 dias"))))</x:f>
        <x:v>Em dia</x:v>
      </x:c>
    </x:row>
    <x:row r="178">
      <x:c r="A178" s="13" t="str">
        <x:v>REC-000177</x:v>
      </x:c>
      <x:c r="B178" s="23" t="n">
        <x:v>45371</x:v>
      </x:c>
      <x:c r="C178" s="23" t="n">
        <x:v>45386</x:v>
      </x:c>
      <x:c r="D178" s="23" t="n">
        <x:v>45383</x:v>
      </x:c>
      <x:c r="E178" s="13" t="str">
        <x:v>VAL-002</x:v>
      </x:c>
      <x:c r="F178" s="13" t="str">
        <x:v>Mendes &amp; Prado Consultoria</x:v>
      </x:c>
      <x:c r="G178" s="13" t="str">
        <x:v>Serviços Profissionais</x:v>
      </x:c>
      <x:c r="H178" s="13" t="str">
        <x:v>Baixo</x:v>
      </x:c>
      <x:c r="I178" s="13" t="str">
        <x:v>Gestão</x:v>
      </x:c>
      <x:c r="J178" s="17" t="n">
        <x:v>23582.53</x:v>
      </x:c>
      <x:c r="K178" s="17" t="n">
        <x:v>0</x:v>
      </x:c>
      <x:c r="L178" s="17" t="n">
        <x:v>0</x:v>
      </x:c>
      <x:c r="M178" s="13" t="str">
        <x:v>Pago</x:v>
      </x:c>
      <x:c r="N178" s="13" t="str">
        <x:v>Sem cobrança</x:v>
      </x:c>
      <x:c r="O178" s="13" t="str">
        <x:v>Base controlada</x:v>
      </x:c>
      <x:c r="P178" s="17" t="n">
        <x:f>IF(D178="",0,J178-K178+L178)</x:f>
        <x:v>23582.53</x:v>
      </x:c>
      <x:c r="Q178" s="17" t="n">
        <x:f>MAX(J178-P178-K178,0)</x:f>
        <x:v>0</x:v>
      </x:c>
      <x:c r="R178" s="13" t="n">
        <x:f>IF(D178="",MAX(TODAY()-C178,0),MAX(D178-C178,0))</x:f>
        <x:v>0</x:v>
      </x:c>
      <x:c r="S178" s="13" t="str">
        <x:f>IF(R178=0,"Em dia",IF(R178&lt;=15,"1-15 dias",IF(R178&lt;=30,"16-30 dias",IF(R178&lt;=60,"31-60 dias","Acima de 60 dias"))))</x:f>
        <x:v>Em dia</x:v>
      </x:c>
    </x:row>
    <x:row r="179">
      <x:c r="A179" s="13" t="str">
        <x:v>REC-000178</x:v>
      </x:c>
      <x:c r="B179" s="23" t="n">
        <x:v>45356</x:v>
      </x:c>
      <x:c r="C179" s="23" t="n">
        <x:v>45384</x:v>
      </x:c>
      <x:c r="D179" s="23" t="n">
        <x:v>45382</x:v>
      </x:c>
      <x:c r="E179" s="13" t="str">
        <x:v>VAL-006</x:v>
      </x:c>
      <x:c r="F179" s="13" t="str">
        <x:v>Instituto Saber Mais</x:v>
      </x:c>
      <x:c r="G179" s="13" t="str">
        <x:v>Educação</x:v>
      </x:c>
      <x:c r="H179" s="13" t="str">
        <x:v>Médio</x:v>
      </x:c>
      <x:c r="I179" s="13" t="str">
        <x:v>Gestão</x:v>
      </x:c>
      <x:c r="J179" s="17" t="n">
        <x:v>2614.73</x:v>
      </x:c>
      <x:c r="K179" s="17" t="n">
        <x:v>0</x:v>
      </x:c>
      <x:c r="L179" s="17" t="n">
        <x:v>0</x:v>
      </x:c>
      <x:c r="M179" s="13" t="str">
        <x:v>Pago</x:v>
      </x:c>
      <x:c r="N179" s="13" t="str">
        <x:v>Sem cobrança</x:v>
      </x:c>
      <x:c r="O179" s="13" t="str">
        <x:v>Base controlada</x:v>
      </x:c>
      <x:c r="P179" s="17" t="n">
        <x:f>IF(D179="",0,J179-K179+L179)</x:f>
        <x:v>2614.73</x:v>
      </x:c>
      <x:c r="Q179" s="17" t="n">
        <x:f>MAX(J179-P179-K179,0)</x:f>
        <x:v>0</x:v>
      </x:c>
      <x:c r="R179" s="13" t="n">
        <x:f>IF(D179="",MAX(TODAY()-C179,0),MAX(D179-C179,0))</x:f>
        <x:v>0</x:v>
      </x:c>
      <x:c r="S179" s="13" t="str">
        <x:f>IF(R179=0,"Em dia",IF(R179&lt;=15,"1-15 dias",IF(R179&lt;=30,"16-30 dias",IF(R179&lt;=60,"31-60 dias","Acima de 60 dias"))))</x:f>
        <x:v>Em dia</x:v>
      </x:c>
    </x:row>
    <x:row r="180">
      <x:c r="A180" s="13" t="str">
        <x:v>REC-000179</x:v>
      </x:c>
      <x:c r="B180" s="23" t="n">
        <x:v>45359</x:v>
      </x:c>
      <x:c r="C180" s="23" t="n">
        <x:v>45374</x:v>
      </x:c>
      <x:c r="D180" s="23" t="n">
        <x:v>45371</x:v>
      </x:c>
      <x:c r="E180" s="13" t="str">
        <x:v>VAL-005</x:v>
      </x:c>
      <x:c r="F180" s="13" t="str">
        <x:v>Construtora Alameda</x:v>
      </x:c>
      <x:c r="G180" s="13" t="str">
        <x:v>Construção</x:v>
      </x:c>
      <x:c r="H180" s="13" t="str">
        <x:v>Médio</x:v>
      </x:c>
      <x:c r="I180" s="13" t="str">
        <x:v>Essencial</x:v>
      </x:c>
      <x:c r="J180" s="17" t="n">
        <x:v>18651.81</x:v>
      </x:c>
      <x:c r="K180" s="17" t="n">
        <x:v>0</x:v>
      </x:c>
      <x:c r="L180" s="17" t="n">
        <x:v>0</x:v>
      </x:c>
      <x:c r="M180" s="13" t="str">
        <x:v>Pago</x:v>
      </x:c>
      <x:c r="N180" s="13" t="str">
        <x:v>Sem cobrança</x:v>
      </x:c>
      <x:c r="O180" s="13" t="str">
        <x:v>Base controlada</x:v>
      </x:c>
      <x:c r="P180" s="17" t="n">
        <x:f>IF(D180="",0,J180-K180+L180)</x:f>
        <x:v>18651.81</x:v>
      </x:c>
      <x:c r="Q180" s="17" t="n">
        <x:f>MAX(J180-P180-K180,0)</x:f>
        <x:v>0</x:v>
      </x:c>
      <x:c r="R180" s="13" t="n">
        <x:f>IF(D180="",MAX(TODAY()-C180,0),MAX(D180-C180,0))</x:f>
        <x:v>0</x:v>
      </x:c>
      <x:c r="S180" s="13" t="str">
        <x:f>IF(R180=0,"Em dia",IF(R180&lt;=15,"1-15 dias",IF(R180&lt;=30,"16-30 dias",IF(R180&lt;=60,"31-60 dias","Acima de 60 dias"))))</x:f>
        <x:v>Em dia</x:v>
      </x:c>
    </x:row>
    <x:row r="181">
      <x:c r="A181" s="13" t="str">
        <x:v>REC-000180</x:v>
      </x:c>
      <x:c r="B181" s="23" t="n">
        <x:v>45369</x:v>
      </x:c>
      <x:c r="C181" s="23" t="n">
        <x:v>45399</x:v>
      </x:c>
      <x:c r="D181" s="23" t="n">
        <x:v>45397</x:v>
      </x:c>
      <x:c r="E181" s="13" t="str">
        <x:v>VAL-022</x:v>
      </x:c>
      <x:c r="F181" s="13" t="str">
        <x:v>Academia Evoluir</x:v>
      </x:c>
      <x:c r="G181" s="13" t="str">
        <x:v>Educação</x:v>
      </x:c>
      <x:c r="H181" s="13" t="str">
        <x:v>Alto</x:v>
      </x:c>
      <x:c r="I181" s="13" t="str">
        <x:v>Gestão</x:v>
      </x:c>
      <x:c r="J181" s="17" t="n">
        <x:v>8986.15</x:v>
      </x:c>
      <x:c r="K181" s="17" t="n">
        <x:v>0</x:v>
      </x:c>
      <x:c r="L181" s="17" t="n">
        <x:v>0</x:v>
      </x:c>
      <x:c r="M181" s="13" t="str">
        <x:v>Pago</x:v>
      </x:c>
      <x:c r="N181" s="13" t="str">
        <x:v>Sem cobrança</x:v>
      </x:c>
      <x:c r="O181" s="13" t="str">
        <x:v>Base controlada</x:v>
      </x:c>
      <x:c r="P181" s="17" t="n">
        <x:f>IF(D181="",0,J181-K181+L181)</x:f>
        <x:v>8986.15</x:v>
      </x:c>
      <x:c r="Q181" s="17" t="n">
        <x:f>MAX(J181-P181-K181,0)</x:f>
        <x:v>0</x:v>
      </x:c>
      <x:c r="R181" s="13" t="n">
        <x:f>IF(D181="",MAX(TODAY()-C181,0),MAX(D181-C181,0))</x:f>
        <x:v>0</x:v>
      </x:c>
      <x:c r="S181" s="13" t="str">
        <x:f>IF(R181=0,"Em dia",IF(R181&lt;=15,"1-15 dias",IF(R181&lt;=30,"16-30 dias",IF(R181&lt;=60,"31-60 dias","Acima de 60 dias"))))</x:f>
        <x:v>Em dia</x:v>
      </x:c>
    </x:row>
    <x:row r="182">
      <x:c r="A182" s="13" t="str">
        <x:v>REC-000181</x:v>
      </x:c>
      <x:c r="B182" s="23" t="n">
        <x:v>45387</x:v>
      </x:c>
      <x:c r="C182" s="23" t="n">
        <x:v>45417</x:v>
      </x:c>
      <x:c r="D182" s="23" t="n">
        <x:v>45414</x:v>
      </x:c>
      <x:c r="E182" s="13" t="str">
        <x:v>VAL-013</x:v>
      </x:c>
      <x:c r="F182" s="13" t="str">
        <x:v>Engenharia Vértice</x:v>
      </x:c>
      <x:c r="G182" s="13" t="str">
        <x:v>Construção</x:v>
      </x:c>
      <x:c r="H182" s="13" t="str">
        <x:v>Baixo</x:v>
      </x:c>
      <x:c r="I182" s="13" t="str">
        <x:v>Essencial</x:v>
      </x:c>
      <x:c r="J182" s="17" t="n">
        <x:v>3601.43</x:v>
      </x:c>
      <x:c r="K182" s="17" t="n">
        <x:v>0</x:v>
      </x:c>
      <x:c r="L182" s="17" t="n">
        <x:v>0</x:v>
      </x:c>
      <x:c r="M182" s="13" t="str">
        <x:v>Pago</x:v>
      </x:c>
      <x:c r="N182" s="13" t="str">
        <x:v>Sem cobrança</x:v>
      </x:c>
      <x:c r="O182" s="13" t="str">
        <x:v>Base controlada</x:v>
      </x:c>
      <x:c r="P182" s="17" t="n">
        <x:f>IF(D182="",0,J182-K182+L182)</x:f>
        <x:v>3601.43</x:v>
      </x:c>
      <x:c r="Q182" s="17" t="n">
        <x:f>MAX(J182-P182-K182,0)</x:f>
        <x:v>0</x:v>
      </x:c>
      <x:c r="R182" s="13" t="n">
        <x:f>IF(D182="",MAX(TODAY()-C182,0),MAX(D182-C182,0))</x:f>
        <x:v>0</x:v>
      </x:c>
      <x:c r="S182" s="13" t="str">
        <x:f>IF(R182=0,"Em dia",IF(R182&lt;=15,"1-15 dias",IF(R182&lt;=30,"16-30 dias",IF(R182&lt;=60,"31-60 dias","Acima de 60 dias"))))</x:f>
        <x:v>Em dia</x:v>
      </x:c>
    </x:row>
    <x:row r="183">
      <x:c r="A183" s="13" t="str">
        <x:v>REC-000182</x:v>
      </x:c>
      <x:c r="B183" s="23" t="n">
        <x:v>45384</x:v>
      </x:c>
      <x:c r="C183" s="23" t="n">
        <x:v>45412</x:v>
      </x:c>
      <x:c r="D183" s="23" t="n">
        <x:v>45409</x:v>
      </x:c>
      <x:c r="E183" s="13" t="str">
        <x:v>VAL-014</x:v>
      </x:c>
      <x:c r="F183" s="13" t="str">
        <x:v>Colégio Caminhos</x:v>
      </x:c>
      <x:c r="G183" s="13" t="str">
        <x:v>Educação</x:v>
      </x:c>
      <x:c r="H183" s="13" t="str">
        <x:v>Médio</x:v>
      </x:c>
      <x:c r="I183" s="13" t="str">
        <x:v>Gestão</x:v>
      </x:c>
      <x:c r="J183" s="17" t="n">
        <x:v>16581.05</x:v>
      </x:c>
      <x:c r="K183" s="17" t="n">
        <x:v>0</x:v>
      </x:c>
      <x:c r="L183" s="17" t="n">
        <x:v>0</x:v>
      </x:c>
      <x:c r="M183" s="13" t="str">
        <x:v>Pago</x:v>
      </x:c>
      <x:c r="N183" s="13" t="str">
        <x:v>Sem cobrança</x:v>
      </x:c>
      <x:c r="O183" s="13" t="str">
        <x:v>Base controlada</x:v>
      </x:c>
      <x:c r="P183" s="17" t="n">
        <x:f>IF(D183="",0,J183-K183+L183)</x:f>
        <x:v>16581.05</x:v>
      </x:c>
      <x:c r="Q183" s="17" t="n">
        <x:f>MAX(J183-P183-K183,0)</x:f>
        <x:v>0</x:v>
      </x:c>
      <x:c r="R183" s="13" t="n">
        <x:f>IF(D183="",MAX(TODAY()-C183,0),MAX(D183-C183,0))</x:f>
        <x:v>0</x:v>
      </x:c>
      <x:c r="S183" s="13" t="str">
        <x:f>IF(R183=0,"Em dia",IF(R183&lt;=15,"1-15 dias",IF(R183&lt;=30,"16-30 dias",IF(R183&lt;=60,"31-60 dias","Acima de 60 dias"))))</x:f>
        <x:v>Em dia</x:v>
      </x:c>
    </x:row>
    <x:row r="184">
      <x:c r="A184" s="13" t="str">
        <x:v>REC-000183</x:v>
      </x:c>
      <x:c r="B184" s="23" t="n">
        <x:v>45398</x:v>
      </x:c>
      <x:c r="C184" s="23" t="n">
        <x:v>45405</x:v>
      </x:c>
      <x:c r="D184" s="23" t="n">
        <x:v>45402</x:v>
      </x:c>
      <x:c r="E184" s="13" t="str">
        <x:v>VAL-024</x:v>
      </x:c>
      <x:c r="F184" s="13" t="str">
        <x:v>NovaForma Móveis</x:v>
      </x:c>
      <x:c r="G184" s="13" t="str">
        <x:v>Indústria Leve</x:v>
      </x:c>
      <x:c r="H184" s="13" t="str">
        <x:v>Baixo</x:v>
      </x:c>
      <x:c r="I184" s="13" t="str">
        <x:v>Enterprise</x:v>
      </x:c>
      <x:c r="J184" s="17" t="n">
        <x:v>30828.66</x:v>
      </x:c>
      <x:c r="K184" s="17" t="n">
        <x:v>0</x:v>
      </x:c>
      <x:c r="L184" s="17" t="n">
        <x:v>0</x:v>
      </x:c>
      <x:c r="M184" s="13" t="str">
        <x:v>Pago</x:v>
      </x:c>
      <x:c r="N184" s="13" t="str">
        <x:v>Sem cobrança</x:v>
      </x:c>
      <x:c r="O184" s="13" t="str">
        <x:v>Base controlada</x:v>
      </x:c>
      <x:c r="P184" s="17" t="n">
        <x:f>IF(D184="",0,J184-K184+L184)</x:f>
        <x:v>30828.66</x:v>
      </x:c>
      <x:c r="Q184" s="17" t="n">
        <x:f>MAX(J184-P184-K184,0)</x:f>
        <x:v>0</x:v>
      </x:c>
      <x:c r="R184" s="13" t="n">
        <x:f>IF(D184="",MAX(TODAY()-C184,0),MAX(D184-C184,0))</x:f>
        <x:v>0</x:v>
      </x:c>
      <x:c r="S184" s="13" t="str">
        <x:f>IF(R184=0,"Em dia",IF(R184&lt;=15,"1-15 dias",IF(R184&lt;=30,"16-30 dias",IF(R184&lt;=60,"31-60 dias","Acima de 60 dias"))))</x:f>
        <x:v>Em dia</x:v>
      </x:c>
    </x:row>
    <x:row r="185">
      <x:c r="A185" s="13" t="str">
        <x:v>REC-000184</x:v>
      </x:c>
      <x:c r="B185" s="23" t="n">
        <x:v>45402</x:v>
      </x:c>
      <x:c r="C185" s="23" t="n">
        <x:v>45409</x:v>
      </x:c>
      <x:c r="D185" s="23" t="n">
        <x:v>45409</x:v>
      </x:c>
      <x:c r="E185" s="13" t="str">
        <x:v>VAL-014</x:v>
      </x:c>
      <x:c r="F185" s="13" t="str">
        <x:v>Colégio Caminhos</x:v>
      </x:c>
      <x:c r="G185" s="13" t="str">
        <x:v>Educação</x:v>
      </x:c>
      <x:c r="H185" s="13" t="str">
        <x:v>Médio</x:v>
      </x:c>
      <x:c r="I185" s="13" t="str">
        <x:v>Gestão</x:v>
      </x:c>
      <x:c r="J185" s="17" t="n">
        <x:v>16374.9</x:v>
      </x:c>
      <x:c r="K185" s="17" t="n">
        <x:v>0</x:v>
      </x:c>
      <x:c r="L185" s="17" t="n">
        <x:v>0</x:v>
      </x:c>
      <x:c r="M185" s="13" t="str">
        <x:v>Pago</x:v>
      </x:c>
      <x:c r="N185" s="13" t="str">
        <x:v>Sem cobrança</x:v>
      </x:c>
      <x:c r="O185" s="13" t="str">
        <x:v>Base controlada</x:v>
      </x:c>
      <x:c r="P185" s="17" t="n">
        <x:f>IF(D185="",0,J185-K185+L185)</x:f>
        <x:v>16374.9</x:v>
      </x:c>
      <x:c r="Q185" s="17" t="n">
        <x:f>MAX(J185-P185-K185,0)</x:f>
        <x:v>0</x:v>
      </x:c>
      <x:c r="R185" s="13" t="n">
        <x:f>IF(D185="",MAX(TODAY()-C185,0),MAX(D185-C185,0))</x:f>
        <x:v>0</x:v>
      </x:c>
      <x:c r="S185" s="13" t="str">
        <x:f>IF(R185=0,"Em dia",IF(R185&lt;=15,"1-15 dias",IF(R185&lt;=30,"16-30 dias",IF(R185&lt;=60,"31-60 dias","Acima de 60 dias"))))</x:f>
        <x:v>Em dia</x:v>
      </x:c>
    </x:row>
    <x:row r="186">
      <x:c r="A186" s="13" t="str">
        <x:v>REC-000185</x:v>
      </x:c>
      <x:c r="B186" s="23" t="n">
        <x:v>45388</x:v>
      </x:c>
      <x:c r="C186" s="23" t="n">
        <x:v>45403</x:v>
      </x:c>
      <x:c r="D186" s="23" t="n">
        <x:v>45399</x:v>
      </x:c>
      <x:c r="E186" s="13" t="str">
        <x:v>VAL-020</x:v>
      </x:c>
      <x:c r="F186" s="13" t="str">
        <x:v>Corelink Digital</x:v>
      </x:c>
      <x:c r="G186" s="13" t="str">
        <x:v>Tecnologia</x:v>
      </x:c>
      <x:c r="H186" s="13" t="str">
        <x:v>Baixo</x:v>
      </x:c>
      <x:c r="I186" s="13" t="str">
        <x:v>Enterprise</x:v>
      </x:c>
      <x:c r="J186" s="17" t="n">
        <x:v>8690.96</x:v>
      </x:c>
      <x:c r="K186" s="17" t="n">
        <x:v>0</x:v>
      </x:c>
      <x:c r="L186" s="17" t="n">
        <x:v>0</x:v>
      </x:c>
      <x:c r="M186" s="13" t="str">
        <x:v>Pago</x:v>
      </x:c>
      <x:c r="N186" s="13" t="str">
        <x:v>Sem cobrança</x:v>
      </x:c>
      <x:c r="O186" s="13" t="str">
        <x:v>Base controlada</x:v>
      </x:c>
      <x:c r="P186" s="17" t="n">
        <x:f>IF(D186="",0,J186-K186+L186)</x:f>
        <x:v>8690.96</x:v>
      </x:c>
      <x:c r="Q186" s="17" t="n">
        <x:f>MAX(J186-P186-K186,0)</x:f>
        <x:v>0</x:v>
      </x:c>
      <x:c r="R186" s="13" t="n">
        <x:f>IF(D186="",MAX(TODAY()-C186,0),MAX(D186-C186,0))</x:f>
        <x:v>0</x:v>
      </x:c>
      <x:c r="S186" s="13" t="str">
        <x:f>IF(R186=0,"Em dia",IF(R186&lt;=15,"1-15 dias",IF(R186&lt;=30,"16-30 dias",IF(R186&lt;=60,"31-60 dias","Acima de 60 dias"))))</x:f>
        <x:v>Em dia</x:v>
      </x:c>
    </x:row>
    <x:row r="187">
      <x:c r="A187" s="13" t="str">
        <x:v>REC-000186</x:v>
      </x:c>
      <x:c r="B187" s="23" t="n">
        <x:v>45386</x:v>
      </x:c>
      <x:c r="C187" s="23" t="n">
        <x:v>45393</x:v>
      </x:c>
      <x:c r="D187" s="23" t="n">
        <x:v>45391</x:v>
      </x:c>
      <x:c r="E187" s="13" t="str">
        <x:v>VAL-002</x:v>
      </x:c>
      <x:c r="F187" s="13" t="str">
        <x:v>Mendes &amp; Prado Consultoria</x:v>
      </x:c>
      <x:c r="G187" s="13" t="str">
        <x:v>Serviços Profissionais</x:v>
      </x:c>
      <x:c r="H187" s="13" t="str">
        <x:v>Baixo</x:v>
      </x:c>
      <x:c r="I187" s="13" t="str">
        <x:v>Gestão</x:v>
      </x:c>
      <x:c r="J187" s="17" t="n">
        <x:v>14755.95</x:v>
      </x:c>
      <x:c r="K187" s="17" t="n">
        <x:v>0</x:v>
      </x:c>
      <x:c r="L187" s="17" t="n">
        <x:v>0</x:v>
      </x:c>
      <x:c r="M187" s="13" t="str">
        <x:v>Pago</x:v>
      </x:c>
      <x:c r="N187" s="13" t="str">
        <x:v>Sem cobrança</x:v>
      </x:c>
      <x:c r="O187" s="13" t="str">
        <x:v>Base controlada</x:v>
      </x:c>
      <x:c r="P187" s="17" t="n">
        <x:f>IF(D187="",0,J187-K187+L187)</x:f>
        <x:v>14755.95</x:v>
      </x:c>
      <x:c r="Q187" s="17" t="n">
        <x:f>MAX(J187-P187-K187,0)</x:f>
        <x:v>0</x:v>
      </x:c>
      <x:c r="R187" s="13" t="n">
        <x:f>IF(D187="",MAX(TODAY()-C187,0),MAX(D187-C187,0))</x:f>
        <x:v>0</x:v>
      </x:c>
      <x:c r="S187" s="13" t="str">
        <x:f>IF(R187=0,"Em dia",IF(R187&lt;=15,"1-15 dias",IF(R187&lt;=30,"16-30 dias",IF(R187&lt;=60,"31-60 dias","Acima de 60 dias"))))</x:f>
        <x:v>Em dia</x:v>
      </x:c>
    </x:row>
    <x:row r="188">
      <x:c r="A188" s="13" t="str">
        <x:v>REC-000187</x:v>
      </x:c>
      <x:c r="B188" s="23" t="n">
        <x:v>45395</x:v>
      </x:c>
      <x:c r="C188" s="23" t="n">
        <x:v>45402</x:v>
      </x:c>
      <x:c r="D188" s="23" t="n">
        <x:v>45402</x:v>
      </x:c>
      <x:c r="E188" s="13" t="str">
        <x:v>VAL-020</x:v>
      </x:c>
      <x:c r="F188" s="13" t="str">
        <x:v>Corelink Digital</x:v>
      </x:c>
      <x:c r="G188" s="13" t="str">
        <x:v>Tecnologia</x:v>
      </x:c>
      <x:c r="H188" s="13" t="str">
        <x:v>Baixo</x:v>
      </x:c>
      <x:c r="I188" s="13" t="str">
        <x:v>Enterprise</x:v>
      </x:c>
      <x:c r="J188" s="17" t="n">
        <x:v>23019.1</x:v>
      </x:c>
      <x:c r="K188" s="17" t="n">
        <x:v>0</x:v>
      </x:c>
      <x:c r="L188" s="17" t="n">
        <x:v>0</x:v>
      </x:c>
      <x:c r="M188" s="13" t="str">
        <x:v>Pago</x:v>
      </x:c>
      <x:c r="N188" s="13" t="str">
        <x:v>Sem cobrança</x:v>
      </x:c>
      <x:c r="O188" s="13" t="str">
        <x:v>Base controlada</x:v>
      </x:c>
      <x:c r="P188" s="17" t="n">
        <x:f>IF(D188="",0,J188-K188+L188)</x:f>
        <x:v>23019.1</x:v>
      </x:c>
      <x:c r="Q188" s="17" t="n">
        <x:f>MAX(J188-P188-K188,0)</x:f>
        <x:v>0</x:v>
      </x:c>
      <x:c r="R188" s="13" t="n">
        <x:f>IF(D188="",MAX(TODAY()-C188,0),MAX(D188-C188,0))</x:f>
        <x:v>0</x:v>
      </x:c>
      <x:c r="S188" s="13" t="str">
        <x:f>IF(R188=0,"Em dia",IF(R188&lt;=15,"1-15 dias",IF(R188&lt;=30,"16-30 dias",IF(R188&lt;=60,"31-60 dias","Acima de 60 dias"))))</x:f>
        <x:v>Em dia</x:v>
      </x:c>
    </x:row>
    <x:row r="189">
      <x:c r="A189" s="13" t="str">
        <x:v>REC-000188</x:v>
      </x:c>
      <x:c r="B189" s="23" t="n">
        <x:v>45401</x:v>
      </x:c>
      <x:c r="C189" s="23" t="n">
        <x:v>45431</x:v>
      </x:c>
      <x:c r="D189" s="23" t="n">
        <x:v>45429</x:v>
      </x:c>
      <x:c r="E189" s="13" t="str">
        <x:v>VAL-024</x:v>
      </x:c>
      <x:c r="F189" s="13" t="str">
        <x:v>NovaForma Móveis</x:v>
      </x:c>
      <x:c r="G189" s="13" t="str">
        <x:v>Indústria Leve</x:v>
      </x:c>
      <x:c r="H189" s="13" t="str">
        <x:v>Baixo</x:v>
      </x:c>
      <x:c r="I189" s="13" t="str">
        <x:v>Enterprise</x:v>
      </x:c>
      <x:c r="J189" s="17" t="n">
        <x:v>28036.48</x:v>
      </x:c>
      <x:c r="K189" s="17" t="n">
        <x:v>0</x:v>
      </x:c>
      <x:c r="L189" s="17" t="n">
        <x:v>0</x:v>
      </x:c>
      <x:c r="M189" s="13" t="str">
        <x:v>Pago</x:v>
      </x:c>
      <x:c r="N189" s="13" t="str">
        <x:v>Sem cobrança</x:v>
      </x:c>
      <x:c r="O189" s="13" t="str">
        <x:v>Base controlada</x:v>
      </x:c>
      <x:c r="P189" s="17" t="n">
        <x:f>IF(D189="",0,J189-K189+L189)</x:f>
        <x:v>28036.48</x:v>
      </x:c>
      <x:c r="Q189" s="17" t="n">
        <x:f>MAX(J189-P189-K189,0)</x:f>
        <x:v>0</x:v>
      </x:c>
      <x:c r="R189" s="13" t="n">
        <x:f>IF(D189="",MAX(TODAY()-C189,0),MAX(D189-C189,0))</x:f>
        <x:v>0</x:v>
      </x:c>
      <x:c r="S189" s="13" t="str">
        <x:f>IF(R189=0,"Em dia",IF(R189&lt;=15,"1-15 dias",IF(R189&lt;=30,"16-30 dias",IF(R189&lt;=60,"31-60 dias","Acima de 60 dias"))))</x:f>
        <x:v>Em dia</x:v>
      </x:c>
    </x:row>
    <x:row r="190">
      <x:c r="A190" s="13" t="str">
        <x:v>REC-000189</x:v>
      </x:c>
      <x:c r="B190" s="23" t="n">
        <x:v>45395</x:v>
      </x:c>
      <x:c r="C190" s="23" t="n">
        <x:v>45416</x:v>
      </x:c>
      <x:c r="D190" s="23" t="n">
        <x:v>45412</x:v>
      </x:c>
      <x:c r="E190" s="13" t="str">
        <x:v>VAL-002</x:v>
      </x:c>
      <x:c r="F190" s="13" t="str">
        <x:v>Mendes &amp; Prado Consultoria</x:v>
      </x:c>
      <x:c r="G190" s="13" t="str">
        <x:v>Serviços Profissionais</x:v>
      </x:c>
      <x:c r="H190" s="13" t="str">
        <x:v>Baixo</x:v>
      </x:c>
      <x:c r="I190" s="13" t="str">
        <x:v>Gestão</x:v>
      </x:c>
      <x:c r="J190" s="17" t="n">
        <x:v>12866.04</x:v>
      </x:c>
      <x:c r="K190" s="17" t="n">
        <x:v>207.81</x:v>
      </x:c>
      <x:c r="L190" s="17" t="n">
        <x:v>0</x:v>
      </x:c>
      <x:c r="M190" s="13" t="str">
        <x:v>Pago</x:v>
      </x:c>
      <x:c r="N190" s="13" t="str">
        <x:v>Sem cobrança</x:v>
      </x:c>
      <x:c r="O190" s="13" t="str">
        <x:v>Base controlada</x:v>
      </x:c>
      <x:c r="P190" s="17" t="n">
        <x:f>IF(D190="",0,J190-K190+L190)</x:f>
        <x:v>12658.230000000001</x:v>
      </x:c>
      <x:c r="Q190" s="17" t="n">
        <x:f>MAX(J190-P190-K190,0)</x:f>
        <x:v>0</x:v>
      </x:c>
      <x:c r="R190" s="13" t="n">
        <x:f>IF(D190="",MAX(TODAY()-C190,0),MAX(D190-C190,0))</x:f>
        <x:v>0</x:v>
      </x:c>
      <x:c r="S190" s="13" t="str">
        <x:f>IF(R190=0,"Em dia",IF(R190&lt;=15,"1-15 dias",IF(R190&lt;=30,"16-30 dias",IF(R190&lt;=60,"31-60 dias","Acima de 60 dias"))))</x:f>
        <x:v>Em dia</x:v>
      </x:c>
    </x:row>
    <x:row r="191">
      <x:c r="A191" s="13" t="str">
        <x:v>REC-000190</x:v>
      </x:c>
      <x:c r="B191" s="23" t="n">
        <x:v>45386</x:v>
      </x:c>
      <x:c r="C191" s="23" t="n">
        <x:v>45414</x:v>
      </x:c>
      <x:c r="D191" s="23" t="n">
        <x:v>45413</x:v>
      </x:c>
      <x:c r="E191" s="13" t="str">
        <x:v>VAL-006</x:v>
      </x:c>
      <x:c r="F191" s="13" t="str">
        <x:v>Instituto Saber Mais</x:v>
      </x:c>
      <x:c r="G191" s="13" t="str">
        <x:v>Educação</x:v>
      </x:c>
      <x:c r="H191" s="13" t="str">
        <x:v>Médio</x:v>
      </x:c>
      <x:c r="I191" s="13" t="str">
        <x:v>Gestão</x:v>
      </x:c>
      <x:c r="J191" s="17" t="n">
        <x:v>11292.13</x:v>
      </x:c>
      <x:c r="K191" s="17" t="n">
        <x:v>0</x:v>
      </x:c>
      <x:c r="L191" s="17" t="n">
        <x:v>0</x:v>
      </x:c>
      <x:c r="M191" s="13" t="str">
        <x:v>Pago</x:v>
      </x:c>
      <x:c r="N191" s="13" t="str">
        <x:v>Sem cobrança</x:v>
      </x:c>
      <x:c r="O191" s="13" t="str">
        <x:v>Base controlada</x:v>
      </x:c>
      <x:c r="P191" s="17" t="n">
        <x:f>IF(D191="",0,J191-K191+L191)</x:f>
        <x:v>11292.13</x:v>
      </x:c>
      <x:c r="Q191" s="17" t="n">
        <x:f>MAX(J191-P191-K191,0)</x:f>
        <x:v>0</x:v>
      </x:c>
      <x:c r="R191" s="13" t="n">
        <x:f>IF(D191="",MAX(TODAY()-C191,0),MAX(D191-C191,0))</x:f>
        <x:v>0</x:v>
      </x:c>
      <x:c r="S191" s="13" t="str">
        <x:f>IF(R191=0,"Em dia",IF(R191&lt;=15,"1-15 dias",IF(R191&lt;=30,"16-30 dias",IF(R191&lt;=60,"31-60 dias","Acima de 60 dias"))))</x:f>
        <x:v>Em dia</x:v>
      </x:c>
    </x:row>
    <x:row r="192">
      <x:c r="A192" s="13" t="str">
        <x:v>REC-000191</x:v>
      </x:c>
      <x:c r="B192" s="23" t="n">
        <x:v>45400</x:v>
      </x:c>
      <x:c r="C192" s="23" t="n">
        <x:v>45430</x:v>
      </x:c>
      <x:c r="D192" s="23" t="n">
        <x:v>45427</x:v>
      </x:c>
      <x:c r="E192" s="13" t="str">
        <x:v>VAL-007</x:v>
      </x:c>
      <x:c r="F192" s="13" t="str">
        <x:v>Loja Prisma Online</x:v>
      </x:c>
      <x:c r="G192" s="13" t="str">
        <x:v>E-commerce</x:v>
      </x:c>
      <x:c r="H192" s="13" t="str">
        <x:v>Médio</x:v>
      </x:c>
      <x:c r="I192" s="13" t="str">
        <x:v>Performance</x:v>
      </x:c>
      <x:c r="J192" s="17" t="n">
        <x:v>18086.96</x:v>
      </x:c>
      <x:c r="K192" s="17" t="n">
        <x:v>0</x:v>
      </x:c>
      <x:c r="L192" s="17" t="n">
        <x:v>0</x:v>
      </x:c>
      <x:c r="M192" s="13" t="str">
        <x:v>Pago</x:v>
      </x:c>
      <x:c r="N192" s="13" t="str">
        <x:v>Sem cobrança</x:v>
      </x:c>
      <x:c r="O192" s="13" t="str">
        <x:v>Base controlada</x:v>
      </x:c>
      <x:c r="P192" s="17" t="n">
        <x:f>IF(D192="",0,J192-K192+L192)</x:f>
        <x:v>18086.96</x:v>
      </x:c>
      <x:c r="Q192" s="17" t="n">
        <x:f>MAX(J192-P192-K192,0)</x:f>
        <x:v>0</x:v>
      </x:c>
      <x:c r="R192" s="13" t="n">
        <x:f>IF(D192="",MAX(TODAY()-C192,0),MAX(D192-C192,0))</x:f>
        <x:v>0</x:v>
      </x:c>
      <x:c r="S192" s="13" t="str">
        <x:f>IF(R192=0,"Em dia",IF(R192&lt;=15,"1-15 dias",IF(R192&lt;=30,"16-30 dias",IF(R192&lt;=60,"31-60 dias","Acima de 60 dias"))))</x:f>
        <x:v>Em dia</x:v>
      </x:c>
    </x:row>
    <x:row r="193">
      <x:c r="A193" s="13" t="str">
        <x:v>REC-000192</x:v>
      </x:c>
      <x:c r="B193" s="23" t="n">
        <x:v>45394</x:v>
      </x:c>
      <x:c r="C193" s="23" t="n">
        <x:v>45409</x:v>
      </x:c>
      <x:c r="D193" s="23" t="n">
        <x:v>45409</x:v>
      </x:c>
      <x:c r="E193" s="13" t="str">
        <x:v>VAL-013</x:v>
      </x:c>
      <x:c r="F193" s="13" t="str">
        <x:v>Engenharia Vértice</x:v>
      </x:c>
      <x:c r="G193" s="13" t="str">
        <x:v>Construção</x:v>
      </x:c>
      <x:c r="H193" s="13" t="str">
        <x:v>Baixo</x:v>
      </x:c>
      <x:c r="I193" s="13" t="str">
        <x:v>Essencial</x:v>
      </x:c>
      <x:c r="J193" s="17" t="n">
        <x:v>16992.04</x:v>
      </x:c>
      <x:c r="K193" s="17" t="n">
        <x:v>0</x:v>
      </x:c>
      <x:c r="L193" s="17" t="n">
        <x:v>0</x:v>
      </x:c>
      <x:c r="M193" s="13" t="str">
        <x:v>Pago</x:v>
      </x:c>
      <x:c r="N193" s="13" t="str">
        <x:v>Sem cobrança</x:v>
      </x:c>
      <x:c r="O193" s="13" t="str">
        <x:v>Base controlada</x:v>
      </x:c>
      <x:c r="P193" s="17" t="n">
        <x:f>IF(D193="",0,J193-K193+L193)</x:f>
        <x:v>16992.04</x:v>
      </x:c>
      <x:c r="Q193" s="17" t="n">
        <x:f>MAX(J193-P193-K193,0)</x:f>
        <x:v>0</x:v>
      </x:c>
      <x:c r="R193" s="13" t="n">
        <x:f>IF(D193="",MAX(TODAY()-C193,0),MAX(D193-C193,0))</x:f>
        <x:v>0</x:v>
      </x:c>
      <x:c r="S193" s="13" t="str">
        <x:f>IF(R193=0,"Em dia",IF(R193&lt;=15,"1-15 dias",IF(R193&lt;=30,"16-30 dias",IF(R193&lt;=60,"31-60 dias","Acima de 60 dias"))))</x:f>
        <x:v>Em dia</x:v>
      </x:c>
    </x:row>
    <x:row r="194">
      <x:c r="A194" s="13" t="str">
        <x:v>REC-000193</x:v>
      </x:c>
      <x:c r="B194" s="23" t="n">
        <x:v>45388</x:v>
      </x:c>
      <x:c r="C194" s="23" t="n">
        <x:v>45403</x:v>
      </x:c>
      <x:c r="D194" s="23" t="n">
        <x:v>45403</x:v>
      </x:c>
      <x:c r="E194" s="13" t="str">
        <x:v>VAL-021</x:v>
      </x:c>
      <x:c r="F194" s="13" t="str">
        <x:v>Base Forte Obras</x:v>
      </x:c>
      <x:c r="G194" s="13" t="str">
        <x:v>Construção</x:v>
      </x:c>
      <x:c r="H194" s="13" t="str">
        <x:v>Médio</x:v>
      </x:c>
      <x:c r="I194" s="13" t="str">
        <x:v>Essencial</x:v>
      </x:c>
      <x:c r="J194" s="17" t="n">
        <x:v>26185.77</x:v>
      </x:c>
      <x:c r="K194" s="17" t="n">
        <x:v>0</x:v>
      </x:c>
      <x:c r="L194" s="17" t="n">
        <x:v>0</x:v>
      </x:c>
      <x:c r="M194" s="13" t="str">
        <x:v>Pago</x:v>
      </x:c>
      <x:c r="N194" s="13" t="str">
        <x:v>Sem cobrança</x:v>
      </x:c>
      <x:c r="O194" s="13" t="str">
        <x:v>Base controlada</x:v>
      </x:c>
      <x:c r="P194" s="17" t="n">
        <x:f>IF(D194="",0,J194-K194+L194)</x:f>
        <x:v>26185.77</x:v>
      </x:c>
      <x:c r="Q194" s="17" t="n">
        <x:f>MAX(J194-P194-K194,0)</x:f>
        <x:v>0</x:v>
      </x:c>
      <x:c r="R194" s="13" t="n">
        <x:f>IF(D194="",MAX(TODAY()-C194,0),MAX(D194-C194,0))</x:f>
        <x:v>0</x:v>
      </x:c>
      <x:c r="S194" s="13" t="str">
        <x:f>IF(R194=0,"Em dia",IF(R194&lt;=15,"1-15 dias",IF(R194&lt;=30,"16-30 dias",IF(R194&lt;=60,"31-60 dias","Acima de 60 dias"))))</x:f>
        <x:v>Em dia</x:v>
      </x:c>
    </x:row>
    <x:row r="195">
      <x:c r="A195" s="13" t="str">
        <x:v>REC-000194</x:v>
      </x:c>
      <x:c r="B195" s="23" t="n">
        <x:v>45398</x:v>
      </x:c>
      <x:c r="C195" s="23" t="n">
        <x:v>45419</x:v>
      </x:c>
      <x:c r="D195" s="23" t="n">
        <x:v>45445</x:v>
      </x:c>
      <x:c r="E195" s="13" t="str">
        <x:v>VAL-001</x:v>
      </x:c>
      <x:c r="F195" s="13" t="str">
        <x:v>Clínica Horizonte</x:v>
      </x:c>
      <x:c r="G195" s="13" t="str">
        <x:v>Clínicas e Saúde</x:v>
      </x:c>
      <x:c r="H195" s="13" t="str">
        <x:v>Baixo</x:v>
      </x:c>
      <x:c r="I195" s="13" t="str">
        <x:v>Essencial</x:v>
      </x:c>
      <x:c r="J195" s="17" t="n">
        <x:v>10162.52</x:v>
      </x:c>
      <x:c r="K195" s="17" t="n">
        <x:v>0</x:v>
      </x:c>
      <x:c r="L195" s="17" t="n">
        <x:v>171.75</x:v>
      </x:c>
      <x:c r="M195" s="13" t="str">
        <x:v>Pago com atraso</x:v>
      </x:c>
      <x:c r="N195" s="13" t="str">
        <x:v>WhatsApp</x:v>
      </x:c>
      <x:c r="O195" s="13" t="str">
        <x:v>Base controlada</x:v>
      </x:c>
      <x:c r="P195" s="17" t="n">
        <x:f>IF(D195="",0,J195-K195+L195)</x:f>
        <x:v>10334.27</x:v>
      </x:c>
      <x:c r="Q195" s="17" t="n">
        <x:f>MAX(J195-P195-K195,0)</x:f>
        <x:v>0</x:v>
      </x:c>
      <x:c r="R195" s="13" t="n">
        <x:f>IF(D195="",MAX(TODAY()-C195,0),MAX(D195-C195,0))</x:f>
        <x:v>26</x:v>
      </x:c>
      <x:c r="S195" s="13" t="str">
        <x:f>IF(R195=0,"Em dia",IF(R195&lt;=15,"1-15 dias",IF(R195&lt;=30,"16-30 dias",IF(R195&lt;=60,"31-60 dias","Acima de 60 dias"))))</x:f>
        <x:v>16-30 dias</x:v>
      </x:c>
    </x:row>
    <x:row r="196">
      <x:c r="A196" s="13" t="str">
        <x:v>REC-000195</x:v>
      </x:c>
      <x:c r="B196" s="23" t="n">
        <x:v>45396</x:v>
      </x:c>
      <x:c r="C196" s="23" t="n">
        <x:v>45411</x:v>
      </x:c>
      <x:c r="D196" s="23" t="n">
        <x:v>45411</x:v>
      </x:c>
      <x:c r="E196" s="13" t="str">
        <x:v>VAL-002</x:v>
      </x:c>
      <x:c r="F196" s="13" t="str">
        <x:v>Mendes &amp; Prado Consultoria</x:v>
      </x:c>
      <x:c r="G196" s="13" t="str">
        <x:v>Serviços Profissionais</x:v>
      </x:c>
      <x:c r="H196" s="13" t="str">
        <x:v>Baixo</x:v>
      </x:c>
      <x:c r="I196" s="13" t="str">
        <x:v>Gestão</x:v>
      </x:c>
      <x:c r="J196" s="17" t="n">
        <x:v>17085.81</x:v>
      </x:c>
      <x:c r="K196" s="17" t="n">
        <x:v>0</x:v>
      </x:c>
      <x:c r="L196" s="17" t="n">
        <x:v>0</x:v>
      </x:c>
      <x:c r="M196" s="13" t="str">
        <x:v>Pago</x:v>
      </x:c>
      <x:c r="N196" s="13" t="str">
        <x:v>Sem cobrança</x:v>
      </x:c>
      <x:c r="O196" s="13" t="str">
        <x:v>Base controlada</x:v>
      </x:c>
      <x:c r="P196" s="17" t="n">
        <x:f>IF(D196="",0,J196-K196+L196)</x:f>
        <x:v>17085.81</x:v>
      </x:c>
      <x:c r="Q196" s="17" t="n">
        <x:f>MAX(J196-P196-K196,0)</x:f>
        <x:v>0</x:v>
      </x:c>
      <x:c r="R196" s="13" t="n">
        <x:f>IF(D196="",MAX(TODAY()-C196,0),MAX(D196-C196,0))</x:f>
        <x:v>0</x:v>
      </x:c>
      <x:c r="S196" s="13" t="str">
        <x:f>IF(R196=0,"Em dia",IF(R196&lt;=15,"1-15 dias",IF(R196&lt;=30,"16-30 dias",IF(R196&lt;=60,"31-60 dias","Acima de 60 dias"))))</x:f>
        <x:v>Em dia</x:v>
      </x:c>
    </x:row>
    <x:row r="197">
      <x:c r="A197" s="13" t="str">
        <x:v>REC-000196</x:v>
      </x:c>
      <x:c r="B197" s="23" t="n">
        <x:v>45397</x:v>
      </x:c>
      <x:c r="C197" s="23" t="n">
        <x:v>45412</x:v>
      </x:c>
      <x:c r="D197" s="23" t="n">
        <x:v>45408</x:v>
      </x:c>
      <x:c r="E197" s="13" t="str">
        <x:v>VAL-023</x:v>
      </x:c>
      <x:c r="F197" s="13" t="str">
        <x:v>ShopMix Brasil</x:v>
      </x:c>
      <x:c r="G197" s="13" t="str">
        <x:v>E-commerce</x:v>
      </x:c>
      <x:c r="H197" s="13" t="str">
        <x:v>Baixo</x:v>
      </x:c>
      <x:c r="I197" s="13" t="str">
        <x:v>Performance</x:v>
      </x:c>
      <x:c r="J197" s="17" t="n">
        <x:v>22237.84</x:v>
      </x:c>
      <x:c r="K197" s="17" t="n">
        <x:v>0</x:v>
      </x:c>
      <x:c r="L197" s="17" t="n">
        <x:v>0</x:v>
      </x:c>
      <x:c r="M197" s="13" t="str">
        <x:v>Pago</x:v>
      </x:c>
      <x:c r="N197" s="13" t="str">
        <x:v>Sem cobrança</x:v>
      </x:c>
      <x:c r="O197" s="13" t="str">
        <x:v>Base controlada</x:v>
      </x:c>
      <x:c r="P197" s="17" t="n">
        <x:f>IF(D197="",0,J197-K197+L197)</x:f>
        <x:v>22237.84</x:v>
      </x:c>
      <x:c r="Q197" s="17" t="n">
        <x:f>MAX(J197-P197-K197,0)</x:f>
        <x:v>0</x:v>
      </x:c>
      <x:c r="R197" s="13" t="n">
        <x:f>IF(D197="",MAX(TODAY()-C197,0),MAX(D197-C197,0))</x:f>
        <x:v>0</x:v>
      </x:c>
      <x:c r="S197" s="13" t="str">
        <x:f>IF(R197=0,"Em dia",IF(R197&lt;=15,"1-15 dias",IF(R197&lt;=30,"16-30 dias",IF(R197&lt;=60,"31-60 dias","Acima de 60 dias"))))</x:f>
        <x:v>Em dia</x:v>
      </x:c>
    </x:row>
    <x:row r="198">
      <x:c r="A198" s="13" t="str">
        <x:v>REC-000197</x:v>
      </x:c>
      <x:c r="B198" s="23" t="n">
        <x:v>45387</x:v>
      </x:c>
      <x:c r="C198" s="23" t="n">
        <x:v>45415</x:v>
      </x:c>
      <x:c r="D198" s="23" t="n">
        <x:v>45411</x:v>
      </x:c>
      <x:c r="E198" s="13" t="str">
        <x:v>VAL-029</x:v>
      </x:c>
      <x:c r="F198" s="13" t="str">
        <x:v>Planobra Serviços</x:v>
      </x:c>
      <x:c r="G198" s="13" t="str">
        <x:v>Construção</x:v>
      </x:c>
      <x:c r="H198" s="13" t="str">
        <x:v>Baixo</x:v>
      </x:c>
      <x:c r="I198" s="13" t="str">
        <x:v>Essencial</x:v>
      </x:c>
      <x:c r="J198" s="17" t="n">
        <x:v>12074.96</x:v>
      </x:c>
      <x:c r="K198" s="17" t="n">
        <x:v>0</x:v>
      </x:c>
      <x:c r="L198" s="17" t="n">
        <x:v>0</x:v>
      </x:c>
      <x:c r="M198" s="13" t="str">
        <x:v>Pago</x:v>
      </x:c>
      <x:c r="N198" s="13" t="str">
        <x:v>Sem cobrança</x:v>
      </x:c>
      <x:c r="O198" s="13" t="str">
        <x:v>Base controlada</x:v>
      </x:c>
      <x:c r="P198" s="17" t="n">
        <x:f>IF(D198="",0,J198-K198+L198)</x:f>
        <x:v>12074.96</x:v>
      </x:c>
      <x:c r="Q198" s="17" t="n">
        <x:f>MAX(J198-P198-K198,0)</x:f>
        <x:v>0</x:v>
      </x:c>
      <x:c r="R198" s="13" t="n">
        <x:f>IF(D198="",MAX(TODAY()-C198,0),MAX(D198-C198,0))</x:f>
        <x:v>0</x:v>
      </x:c>
      <x:c r="S198" s="13" t="str">
        <x:f>IF(R198=0,"Em dia",IF(R198&lt;=15,"1-15 dias",IF(R198&lt;=30,"16-30 dias",IF(R198&lt;=60,"31-60 dias","Acima de 60 dias"))))</x:f>
        <x:v>Em dia</x:v>
      </x:c>
    </x:row>
    <x:row r="199">
      <x:c r="A199" s="13" t="str">
        <x:v>REC-000198</x:v>
      </x:c>
      <x:c r="B199" s="23" t="n">
        <x:v>45397</x:v>
      </x:c>
      <x:c r="C199" s="23" t="n">
        <x:v>45418</x:v>
      </x:c>
      <x:c r="D199" s="23" t="n">
        <x:v>45416</x:v>
      </x:c>
      <x:c r="E199" s="13" t="str">
        <x:v>VAL-015</x:v>
      </x:c>
      <x:c r="F199" s="13" t="str">
        <x:v>Mercado Click</x:v>
      </x:c>
      <x:c r="G199" s="13" t="str">
        <x:v>E-commerce</x:v>
      </x:c>
      <x:c r="H199" s="13" t="str">
        <x:v>Baixo</x:v>
      </x:c>
      <x:c r="I199" s="13" t="str">
        <x:v>Performance</x:v>
      </x:c>
      <x:c r="J199" s="17" t="n">
        <x:v>5152.72</x:v>
      </x:c>
      <x:c r="K199" s="17" t="n">
        <x:v>0</x:v>
      </x:c>
      <x:c r="L199" s="17" t="n">
        <x:v>0</x:v>
      </x:c>
      <x:c r="M199" s="13" t="str">
        <x:v>Pago</x:v>
      </x:c>
      <x:c r="N199" s="13" t="str">
        <x:v>Sem cobrança</x:v>
      </x:c>
      <x:c r="O199" s="13" t="str">
        <x:v>Base controlada</x:v>
      </x:c>
      <x:c r="P199" s="17" t="n">
        <x:f>IF(D199="",0,J199-K199+L199)</x:f>
        <x:v>5152.72</x:v>
      </x:c>
      <x:c r="Q199" s="17" t="n">
        <x:f>MAX(J199-P199-K199,0)</x:f>
        <x:v>0</x:v>
      </x:c>
      <x:c r="R199" s="13" t="n">
        <x:f>IF(D199="",MAX(TODAY()-C199,0),MAX(D199-C199,0))</x:f>
        <x:v>0</x:v>
      </x:c>
      <x:c r="S199" s="13" t="str">
        <x:f>IF(R199=0,"Em dia",IF(R199&lt;=15,"1-15 dias",IF(R199&lt;=30,"16-30 dias",IF(R199&lt;=60,"31-60 dias","Acima de 60 dias"))))</x:f>
        <x:v>Em dia</x:v>
      </x:c>
    </x:row>
    <x:row r="200">
      <x:c r="A200" s="13" t="str">
        <x:v>REC-000199</x:v>
      </x:c>
      <x:c r="B200" s="23" t="n">
        <x:v>45397</x:v>
      </x:c>
      <x:c r="C200" s="23" t="n">
        <x:v>45412</x:v>
      </x:c>
      <x:c r="D200" s="23" t="n">
        <x:v>45409</x:v>
      </x:c>
      <x:c r="E200" s="13" t="str">
        <x:v>VAL-016</x:v>
      </x:c>
      <x:c r="F200" s="13" t="str">
        <x:v>Lumina Embalagens</x:v>
      </x:c>
      <x:c r="G200" s="13" t="str">
        <x:v>Indústria Leve</x:v>
      </x:c>
      <x:c r="H200" s="13" t="str">
        <x:v>Baixo</x:v>
      </x:c>
      <x:c r="I200" s="13" t="str">
        <x:v>Enterprise</x:v>
      </x:c>
      <x:c r="J200" s="17" t="n">
        <x:v>11815.35</x:v>
      </x:c>
      <x:c r="K200" s="17" t="n">
        <x:v>0</x:v>
      </x:c>
      <x:c r="L200" s="17" t="n">
        <x:v>0</x:v>
      </x:c>
      <x:c r="M200" s="13" t="str">
        <x:v>Pago</x:v>
      </x:c>
      <x:c r="N200" s="13" t="str">
        <x:v>Sem cobrança</x:v>
      </x:c>
      <x:c r="O200" s="13" t="str">
        <x:v>Base controlada</x:v>
      </x:c>
      <x:c r="P200" s="17" t="n">
        <x:f>IF(D200="",0,J200-K200+L200)</x:f>
        <x:v>11815.35</x:v>
      </x:c>
      <x:c r="Q200" s="17" t="n">
        <x:f>MAX(J200-P200-K200,0)</x:f>
        <x:v>0</x:v>
      </x:c>
      <x:c r="R200" s="13" t="n">
        <x:f>IF(D200="",MAX(TODAY()-C200,0),MAX(D200-C200,0))</x:f>
        <x:v>0</x:v>
      </x:c>
      <x:c r="S200" s="13" t="str">
        <x:f>IF(R200=0,"Em dia",IF(R200&lt;=15,"1-15 dias",IF(R200&lt;=30,"16-30 dias",IF(R200&lt;=60,"31-60 dias","Acima de 60 dias"))))</x:f>
        <x:v>Em dia</x:v>
      </x:c>
    </x:row>
    <x:row r="201">
      <x:c r="A201" s="13" t="str">
        <x:v>REC-000200</x:v>
      </x:c>
      <x:c r="B201" s="23" t="n">
        <x:v>45396</x:v>
      </x:c>
      <x:c r="C201" s="23" t="n">
        <x:v>45411</x:v>
      </x:c>
      <x:c r="D201" s="23" t="n">
        <x:v>45422</x:v>
      </x:c>
      <x:c r="E201" s="13" t="str">
        <x:v>VAL-002</x:v>
      </x:c>
      <x:c r="F201" s="13" t="str">
        <x:v>Mendes &amp; Prado Consultoria</x:v>
      </x:c>
      <x:c r="G201" s="13" t="str">
        <x:v>Serviços Profissionais</x:v>
      </x:c>
      <x:c r="H201" s="13" t="str">
        <x:v>Baixo</x:v>
      </x:c>
      <x:c r="I201" s="13" t="str">
        <x:v>Gestão</x:v>
      </x:c>
      <x:c r="J201" s="17" t="n">
        <x:v>2018.79</x:v>
      </x:c>
      <x:c r="K201" s="17" t="n">
        <x:v>0</x:v>
      </x:c>
      <x:c r="L201" s="17" t="n">
        <x:v>14.43</x:v>
      </x:c>
      <x:c r="M201" s="13" t="str">
        <x:v>Pago com atraso</x:v>
      </x:c>
      <x:c r="N201" s="13" t="str">
        <x:v>Telefone</x:v>
      </x:c>
      <x:c r="O201" s="13" t="str">
        <x:v>Base controlada</x:v>
      </x:c>
      <x:c r="P201" s="17" t="n">
        <x:f>IF(D201="",0,J201-K201+L201)</x:f>
        <x:v>2033.22</x:v>
      </x:c>
      <x:c r="Q201" s="17" t="n">
        <x:f>MAX(J201-P201-K201,0)</x:f>
        <x:v>0</x:v>
      </x:c>
      <x:c r="R201" s="13" t="n">
        <x:f>IF(D201="",MAX(TODAY()-C201,0),MAX(D201-C201,0))</x:f>
        <x:v>11</x:v>
      </x:c>
      <x:c r="S201" s="13" t="str">
        <x:f>IF(R201=0,"Em dia",IF(R201&lt;=15,"1-15 dias",IF(R201&lt;=30,"16-30 dias",IF(R201&lt;=60,"31-60 dias","Acima de 60 dias"))))</x:f>
        <x:v>1-15 dias</x:v>
      </x:c>
    </x:row>
    <x:row r="202">
      <x:c r="A202" s="13" t="str">
        <x:v>REC-000201</x:v>
      </x:c>
      <x:c r="B202" s="23" t="n">
        <x:v>45397</x:v>
      </x:c>
      <x:c r="C202" s="23" t="n">
        <x:v>45427</x:v>
      </x:c>
      <x:c r="D202" s="23" t="n">
        <x:v>45426</x:v>
      </x:c>
      <x:c r="E202" s="13" t="str">
        <x:v>VAL-030</x:v>
      </x:c>
      <x:c r="F202" s="13" t="str">
        <x:v>Mundo Kids Cursos</x:v>
      </x:c>
      <x:c r="G202" s="13" t="str">
        <x:v>Educação</x:v>
      </x:c>
      <x:c r="H202" s="13" t="str">
        <x:v>Alto</x:v>
      </x:c>
      <x:c r="I202" s="13" t="str">
        <x:v>Gestão</x:v>
      </x:c>
      <x:c r="J202" s="17" t="n">
        <x:v>11188.94</x:v>
      </x:c>
      <x:c r="K202" s="17" t="n">
        <x:v>0</x:v>
      </x:c>
      <x:c r="L202" s="17" t="n">
        <x:v>0</x:v>
      </x:c>
      <x:c r="M202" s="13" t="str">
        <x:v>Pago</x:v>
      </x:c>
      <x:c r="N202" s="13" t="str">
        <x:v>Sem cobrança</x:v>
      </x:c>
      <x:c r="O202" s="13" t="str">
        <x:v>Base controlada</x:v>
      </x:c>
      <x:c r="P202" s="17" t="n">
        <x:f>IF(D202="",0,J202-K202+L202)</x:f>
        <x:v>11188.94</x:v>
      </x:c>
      <x:c r="Q202" s="17" t="n">
        <x:f>MAX(J202-P202-K202,0)</x:f>
        <x:v>0</x:v>
      </x:c>
      <x:c r="R202" s="13" t="n">
        <x:f>IF(D202="",MAX(TODAY()-C202,0),MAX(D202-C202,0))</x:f>
        <x:v>0</x:v>
      </x:c>
      <x:c r="S202" s="13" t="str">
        <x:f>IF(R202=0,"Em dia",IF(R202&lt;=15,"1-15 dias",IF(R202&lt;=30,"16-30 dias",IF(R202&lt;=60,"31-60 dias","Acima de 60 dias"))))</x:f>
        <x:v>Em dia</x:v>
      </x:c>
    </x:row>
    <x:row r="203">
      <x:c r="A203" s="13" t="str">
        <x:v>REC-000202</x:v>
      </x:c>
      <x:c r="B203" s="23" t="n">
        <x:v>45400</x:v>
      </x:c>
      <x:c r="C203" s="23" t="n">
        <x:v>45415</x:v>
      </x:c>
      <x:c r="D203" s="23" t="n">
        <x:v>45411</x:v>
      </x:c>
      <x:c r="E203" s="13" t="str">
        <x:v>VAL-011</x:v>
      </x:c>
      <x:c r="F203" s="13" t="str">
        <x:v>Rede Essencial</x:v>
      </x:c>
      <x:c r="G203" s="13" t="str">
        <x:v>Varejo</x:v>
      </x:c>
      <x:c r="H203" s="13" t="str">
        <x:v>Médio</x:v>
      </x:c>
      <x:c r="I203" s="13" t="str">
        <x:v>Performance</x:v>
      </x:c>
      <x:c r="J203" s="17" t="n">
        <x:v>25556.57</x:v>
      </x:c>
      <x:c r="K203" s="17" t="n">
        <x:v>0</x:v>
      </x:c>
      <x:c r="L203" s="17" t="n">
        <x:v>0</x:v>
      </x:c>
      <x:c r="M203" s="13" t="str">
        <x:v>Pago</x:v>
      </x:c>
      <x:c r="N203" s="13" t="str">
        <x:v>Sem cobrança</x:v>
      </x:c>
      <x:c r="O203" s="13" t="str">
        <x:v>Base controlada</x:v>
      </x:c>
      <x:c r="P203" s="17" t="n">
        <x:f>IF(D203="",0,J203-K203+L203)</x:f>
        <x:v>25556.57</x:v>
      </x:c>
      <x:c r="Q203" s="17" t="n">
        <x:f>MAX(J203-P203-K203,0)</x:f>
        <x:v>0</x:v>
      </x:c>
      <x:c r="R203" s="13" t="n">
        <x:f>IF(D203="",MAX(TODAY()-C203,0),MAX(D203-C203,0))</x:f>
        <x:v>0</x:v>
      </x:c>
      <x:c r="S203" s="13" t="str">
        <x:f>IF(R203=0,"Em dia",IF(R203&lt;=15,"1-15 dias",IF(R203&lt;=30,"16-30 dias",IF(R203&lt;=60,"31-60 dias","Acima de 60 dias"))))</x:f>
        <x:v>Em dia</x:v>
      </x:c>
    </x:row>
    <x:row r="204">
      <x:c r="A204" s="13" t="str">
        <x:v>REC-000203</x:v>
      </x:c>
      <x:c r="B204" s="23" t="n">
        <x:v>45397</x:v>
      </x:c>
      <x:c r="C204" s="23" t="n">
        <x:v>45425</x:v>
      </x:c>
      <x:c r="D204" s="23" t="n">
        <x:v>45425</x:v>
      </x:c>
      <x:c r="E204" s="13" t="str">
        <x:v>VAL-001</x:v>
      </x:c>
      <x:c r="F204" s="13" t="str">
        <x:v>Clínica Horizonte</x:v>
      </x:c>
      <x:c r="G204" s="13" t="str">
        <x:v>Clínicas e Saúde</x:v>
      </x:c>
      <x:c r="H204" s="13" t="str">
        <x:v>Baixo</x:v>
      </x:c>
      <x:c r="I204" s="13" t="str">
        <x:v>Essencial</x:v>
      </x:c>
      <x:c r="J204" s="17" t="n">
        <x:v>6830.69</x:v>
      </x:c>
      <x:c r="K204" s="17" t="n">
        <x:v>0</x:v>
      </x:c>
      <x:c r="L204" s="17" t="n">
        <x:v>0</x:v>
      </x:c>
      <x:c r="M204" s="13" t="str">
        <x:v>Pago</x:v>
      </x:c>
      <x:c r="N204" s="13" t="str">
        <x:v>Sem cobrança</x:v>
      </x:c>
      <x:c r="O204" s="13" t="str">
        <x:v>Base controlada</x:v>
      </x:c>
      <x:c r="P204" s="17" t="n">
        <x:f>IF(D204="",0,J204-K204+L204)</x:f>
        <x:v>6830.69</x:v>
      </x:c>
      <x:c r="Q204" s="17" t="n">
        <x:f>MAX(J204-P204-K204,0)</x:f>
        <x:v>0</x:v>
      </x:c>
      <x:c r="R204" s="13" t="n">
        <x:f>IF(D204="",MAX(TODAY()-C204,0),MAX(D204-C204,0))</x:f>
        <x:v>0</x:v>
      </x:c>
      <x:c r="S204" s="13" t="str">
        <x:f>IF(R204=0,"Em dia",IF(R204&lt;=15,"1-15 dias",IF(R204&lt;=30,"16-30 dias",IF(R204&lt;=60,"31-60 dias","Acima de 60 dias"))))</x:f>
        <x:v>Em dia</x:v>
      </x:c>
    </x:row>
    <x:row r="205">
      <x:c r="A205" s="13" t="str">
        <x:v>REC-000204</x:v>
      </x:c>
      <x:c r="B205" s="23" t="n">
        <x:v>45400</x:v>
      </x:c>
      <x:c r="C205" s="23" t="n">
        <x:v>45421</x:v>
      </x:c>
      <x:c r="D205" s="23" t="n">
        <x:v>45418</x:v>
      </x:c>
      <x:c r="E205" s="13" t="str">
        <x:v>VAL-022</x:v>
      </x:c>
      <x:c r="F205" s="13" t="str">
        <x:v>Academia Evoluir</x:v>
      </x:c>
      <x:c r="G205" s="13" t="str">
        <x:v>Educação</x:v>
      </x:c>
      <x:c r="H205" s="13" t="str">
        <x:v>Alto</x:v>
      </x:c>
      <x:c r="I205" s="13" t="str">
        <x:v>Gestão</x:v>
      </x:c>
      <x:c r="J205" s="17" t="n">
        <x:v>16324.41</x:v>
      </x:c>
      <x:c r="K205" s="17" t="n">
        <x:v>126.14</x:v>
      </x:c>
      <x:c r="L205" s="17" t="n">
        <x:v>0</x:v>
      </x:c>
      <x:c r="M205" s="13" t="str">
        <x:v>Pago</x:v>
      </x:c>
      <x:c r="N205" s="13" t="str">
        <x:v>Sem cobrança</x:v>
      </x:c>
      <x:c r="O205" s="13" t="str">
        <x:v>Base controlada</x:v>
      </x:c>
      <x:c r="P205" s="17" t="n">
        <x:f>IF(D205="",0,J205-K205+L205)</x:f>
        <x:v>16198.27</x:v>
      </x:c>
      <x:c r="Q205" s="17" t="n">
        <x:f>MAX(J205-P205-K205,0)</x:f>
        <x:v>0</x:v>
      </x:c>
      <x:c r="R205" s="13" t="n">
        <x:f>IF(D205="",MAX(TODAY()-C205,0),MAX(D205-C205,0))</x:f>
        <x:v>0</x:v>
      </x:c>
      <x:c r="S205" s="13" t="str">
        <x:f>IF(R205=0,"Em dia",IF(R205&lt;=15,"1-15 dias",IF(R205&lt;=30,"16-30 dias",IF(R205&lt;=60,"31-60 dias","Acima de 60 dias"))))</x:f>
        <x:v>Em dia</x:v>
      </x:c>
    </x:row>
    <x:row r="206">
      <x:c r="A206" s="13" t="str">
        <x:v>REC-000205</x:v>
      </x:c>
      <x:c r="B206" s="23" t="n">
        <x:v>45401</x:v>
      </x:c>
      <x:c r="C206" s="23" t="n">
        <x:v>45429</x:v>
      </x:c>
      <x:c r="D206" s="23" t="n">
        <x:v>45429</x:v>
      </x:c>
      <x:c r="E206" s="13" t="str">
        <x:v>VAL-029</x:v>
      </x:c>
      <x:c r="F206" s="13" t="str">
        <x:v>Planobra Serviços</x:v>
      </x:c>
      <x:c r="G206" s="13" t="str">
        <x:v>Construção</x:v>
      </x:c>
      <x:c r="H206" s="13" t="str">
        <x:v>Baixo</x:v>
      </x:c>
      <x:c r="I206" s="13" t="str">
        <x:v>Essencial</x:v>
      </x:c>
      <x:c r="J206" s="17" t="n">
        <x:v>12220.18</x:v>
      </x:c>
      <x:c r="K206" s="17" t="n">
        <x:v>0</x:v>
      </x:c>
      <x:c r="L206" s="17" t="n">
        <x:v>0</x:v>
      </x:c>
      <x:c r="M206" s="13" t="str">
        <x:v>Pago</x:v>
      </x:c>
      <x:c r="N206" s="13" t="str">
        <x:v>Sem cobrança</x:v>
      </x:c>
      <x:c r="O206" s="13" t="str">
        <x:v>Base controlada</x:v>
      </x:c>
      <x:c r="P206" s="17" t="n">
        <x:f>IF(D206="",0,J206-K206+L206)</x:f>
        <x:v>12220.18</x:v>
      </x:c>
      <x:c r="Q206" s="17" t="n">
        <x:f>MAX(J206-P206-K206,0)</x:f>
        <x:v>0</x:v>
      </x:c>
      <x:c r="R206" s="13" t="n">
        <x:f>IF(D206="",MAX(TODAY()-C206,0),MAX(D206-C206,0))</x:f>
        <x:v>0</x:v>
      </x:c>
      <x:c r="S206" s="13" t="str">
        <x:f>IF(R206=0,"Em dia",IF(R206&lt;=15,"1-15 dias",IF(R206&lt;=30,"16-30 dias",IF(R206&lt;=60,"31-60 dias","Acima de 60 dias"))))</x:f>
        <x:v>Em dia</x:v>
      </x:c>
    </x:row>
    <x:row r="207">
      <x:c r="A207" s="13" t="str">
        <x:v>REC-000206</x:v>
      </x:c>
      <x:c r="B207" s="23" t="n">
        <x:v>45385</x:v>
      </x:c>
      <x:c r="C207" s="23" t="n">
        <x:v>45406</x:v>
      </x:c>
      <x:c r="D207" s="23" t="n">
        <x:v>45404</x:v>
      </x:c>
      <x:c r="E207" s="13" t="str">
        <x:v>VAL-020</x:v>
      </x:c>
      <x:c r="F207" s="13" t="str">
        <x:v>Corelink Digital</x:v>
      </x:c>
      <x:c r="G207" s="13" t="str">
        <x:v>Tecnologia</x:v>
      </x:c>
      <x:c r="H207" s="13" t="str">
        <x:v>Baixo</x:v>
      </x:c>
      <x:c r="I207" s="13" t="str">
        <x:v>Enterprise</x:v>
      </x:c>
      <x:c r="J207" s="17" t="n">
        <x:v>9605.81</x:v>
      </x:c>
      <x:c r="K207" s="17" t="n">
        <x:v>0</x:v>
      </x:c>
      <x:c r="L207" s="17" t="n">
        <x:v>0</x:v>
      </x:c>
      <x:c r="M207" s="13" t="str">
        <x:v>Pago</x:v>
      </x:c>
      <x:c r="N207" s="13" t="str">
        <x:v>Sem cobrança</x:v>
      </x:c>
      <x:c r="O207" s="13" t="str">
        <x:v>Base controlada</x:v>
      </x:c>
      <x:c r="P207" s="17" t="n">
        <x:f>IF(D207="",0,J207-K207+L207)</x:f>
        <x:v>9605.81</x:v>
      </x:c>
      <x:c r="Q207" s="17" t="n">
        <x:f>MAX(J207-P207-K207,0)</x:f>
        <x:v>0</x:v>
      </x:c>
      <x:c r="R207" s="13" t="n">
        <x:f>IF(D207="",MAX(TODAY()-C207,0),MAX(D207-C207,0))</x:f>
        <x:v>0</x:v>
      </x:c>
      <x:c r="S207" s="13" t="str">
        <x:f>IF(R207=0,"Em dia",IF(R207&lt;=15,"1-15 dias",IF(R207&lt;=30,"16-30 dias",IF(R207&lt;=60,"31-60 dias","Acima de 60 dias"))))</x:f>
        <x:v>Em dia</x:v>
      </x:c>
    </x:row>
    <x:row r="208">
      <x:c r="A208" s="13" t="str">
        <x:v>REC-000207</x:v>
      </x:c>
      <x:c r="B208" s="23" t="n">
        <x:v>45402</x:v>
      </x:c>
      <x:c r="C208" s="23" t="n">
        <x:v>45430</x:v>
      </x:c>
      <x:c r="D208" s="23" t="n">
        <x:v>45458</x:v>
      </x:c>
      <x:c r="E208" s="13" t="str">
        <x:v>VAL-029</x:v>
      </x:c>
      <x:c r="F208" s="13" t="str">
        <x:v>Planobra Serviços</x:v>
      </x:c>
      <x:c r="G208" s="13" t="str">
        <x:v>Construção</x:v>
      </x:c>
      <x:c r="H208" s="13" t="str">
        <x:v>Baixo</x:v>
      </x:c>
      <x:c r="I208" s="13" t="str">
        <x:v>Essencial</x:v>
      </x:c>
      <x:c r="J208" s="17" t="n">
        <x:v>7049.51</x:v>
      </x:c>
      <x:c r="K208" s="17" t="n">
        <x:v>0</x:v>
      </x:c>
      <x:c r="L208" s="17" t="n">
        <x:v>128.3</x:v>
      </x:c>
      <x:c r="M208" s="13" t="str">
        <x:v>Pago com atraso</x:v>
      </x:c>
      <x:c r="N208" s="13" t="str">
        <x:v>Régua automática</x:v>
      </x:c>
      <x:c r="O208" s="13" t="str">
        <x:v>Base controlada</x:v>
      </x:c>
      <x:c r="P208" s="17" t="n">
        <x:f>IF(D208="",0,J208-K208+L208)</x:f>
        <x:v>7177.81</x:v>
      </x:c>
      <x:c r="Q208" s="17" t="n">
        <x:f>MAX(J208-P208-K208,0)</x:f>
        <x:v>0</x:v>
      </x:c>
      <x:c r="R208" s="13" t="n">
        <x:f>IF(D208="",MAX(TODAY()-C208,0),MAX(D208-C208,0))</x:f>
        <x:v>28</x:v>
      </x:c>
      <x:c r="S208" s="13" t="str">
        <x:f>IF(R208=0,"Em dia",IF(R208&lt;=15,"1-15 dias",IF(R208&lt;=30,"16-30 dias",IF(R208&lt;=60,"31-60 dias","Acima de 60 dias"))))</x:f>
        <x:v>16-30 dias</x:v>
      </x:c>
    </x:row>
    <x:row r="209">
      <x:c r="A209" s="13" t="str">
        <x:v>REC-000208</x:v>
      </x:c>
      <x:c r="B209" s="23" t="n">
        <x:v>45392</x:v>
      </x:c>
      <x:c r="C209" s="23" t="n">
        <x:v>45413</x:v>
      </x:c>
      <x:c r="D209" s="23" t="n">
        <x:v>45410</x:v>
      </x:c>
      <x:c r="E209" s="13" t="str">
        <x:v>VAL-009</x:v>
      </x:c>
      <x:c r="F209" s="13" t="str">
        <x:v>Odonto Prime</x:v>
      </x:c>
      <x:c r="G209" s="13" t="str">
        <x:v>Clínicas e Saúde</x:v>
      </x:c>
      <x:c r="H209" s="13" t="str">
        <x:v>Médio</x:v>
      </x:c>
      <x:c r="I209" s="13" t="str">
        <x:v>Essencial</x:v>
      </x:c>
      <x:c r="J209" s="17" t="n">
        <x:v>4538.91</x:v>
      </x:c>
      <x:c r="K209" s="17" t="n">
        <x:v>0</x:v>
      </x:c>
      <x:c r="L209" s="17" t="n">
        <x:v>0</x:v>
      </x:c>
      <x:c r="M209" s="13" t="str">
        <x:v>Pago</x:v>
      </x:c>
      <x:c r="N209" s="13" t="str">
        <x:v>Sem cobrança</x:v>
      </x:c>
      <x:c r="O209" s="13" t="str">
        <x:v>Base controlada</x:v>
      </x:c>
      <x:c r="P209" s="17" t="n">
        <x:f>IF(D209="",0,J209-K209+L209)</x:f>
        <x:v>4538.91</x:v>
      </x:c>
      <x:c r="Q209" s="17" t="n">
        <x:f>MAX(J209-P209-K209,0)</x:f>
        <x:v>0</x:v>
      </x:c>
      <x:c r="R209" s="13" t="n">
        <x:f>IF(D209="",MAX(TODAY()-C209,0),MAX(D209-C209,0))</x:f>
        <x:v>0</x:v>
      </x:c>
      <x:c r="S209" s="13" t="str">
        <x:f>IF(R209=0,"Em dia",IF(R209&lt;=15,"1-15 dias",IF(R209&lt;=30,"16-30 dias",IF(R209&lt;=60,"31-60 dias","Acima de 60 dias"))))</x:f>
        <x:v>Em dia</x:v>
      </x:c>
    </x:row>
    <x:row r="210">
      <x:c r="A210" s="13" t="str">
        <x:v>REC-000209</x:v>
      </x:c>
      <x:c r="B210" s="23" t="n">
        <x:v>45391</x:v>
      </x:c>
      <x:c r="C210" s="23" t="n">
        <x:v>45412</x:v>
      </x:c>
      <x:c r="D210" s="23" t="n">
        <x:v>45408</x:v>
      </x:c>
      <x:c r="E210" s="13" t="str">
        <x:v>VAL-030</x:v>
      </x:c>
      <x:c r="F210" s="13" t="str">
        <x:v>Mundo Kids Cursos</x:v>
      </x:c>
      <x:c r="G210" s="13" t="str">
        <x:v>Educação</x:v>
      </x:c>
      <x:c r="H210" s="13" t="str">
        <x:v>Alto</x:v>
      </x:c>
      <x:c r="I210" s="13" t="str">
        <x:v>Gestão</x:v>
      </x:c>
      <x:c r="J210" s="17" t="n">
        <x:v>23870.83</x:v>
      </x:c>
      <x:c r="K210" s="17" t="n">
        <x:v>0</x:v>
      </x:c>
      <x:c r="L210" s="17" t="n">
        <x:v>0</x:v>
      </x:c>
      <x:c r="M210" s="13" t="str">
        <x:v>Pago</x:v>
      </x:c>
      <x:c r="N210" s="13" t="str">
        <x:v>Sem cobrança</x:v>
      </x:c>
      <x:c r="O210" s="13" t="str">
        <x:v>Base controlada</x:v>
      </x:c>
      <x:c r="P210" s="17" t="n">
        <x:f>IF(D210="",0,J210-K210+L210)</x:f>
        <x:v>23870.83</x:v>
      </x:c>
      <x:c r="Q210" s="17" t="n">
        <x:f>MAX(J210-P210-K210,0)</x:f>
        <x:v>0</x:v>
      </x:c>
      <x:c r="R210" s="13" t="n">
        <x:f>IF(D210="",MAX(TODAY()-C210,0),MAX(D210-C210,0))</x:f>
        <x:v>0</x:v>
      </x:c>
      <x:c r="S210" s="13" t="str">
        <x:f>IF(R210=0,"Em dia",IF(R210&lt;=15,"1-15 dias",IF(R210&lt;=30,"16-30 dias",IF(R210&lt;=60,"31-60 dias","Acima de 60 dias"))))</x:f>
        <x:v>Em dia</x:v>
      </x:c>
    </x:row>
    <x:row r="211">
      <x:c r="A211" s="13" t="str">
        <x:v>REC-000210</x:v>
      </x:c>
      <x:c r="B211" s="23" t="n">
        <x:v>45399</x:v>
      </x:c>
      <x:c r="C211" s="23" t="n">
        <x:v>45427</x:v>
      </x:c>
      <x:c r="D211" s="23" t="n">
        <x:v>45437</x:v>
      </x:c>
      <x:c r="E211" s="13" t="str">
        <x:v>VAL-003</x:v>
      </x:c>
      <x:c r="F211" s="13" t="str">
        <x:v>Casa Nova Varejo</x:v>
      </x:c>
      <x:c r="G211" s="13" t="str">
        <x:v>Varejo</x:v>
      </x:c>
      <x:c r="H211" s="13" t="str">
        <x:v>Baixo</x:v>
      </x:c>
      <x:c r="I211" s="13" t="str">
        <x:v>Performance</x:v>
      </x:c>
      <x:c r="J211" s="17" t="n">
        <x:v>4665.63</x:v>
      </x:c>
      <x:c r="K211" s="17" t="n">
        <x:v>0</x:v>
      </x:c>
      <x:c r="L211" s="17" t="n">
        <x:v>30.33</x:v>
      </x:c>
      <x:c r="M211" s="13" t="str">
        <x:v>Pago com atraso</x:v>
      </x:c>
      <x:c r="N211" s="13" t="str">
        <x:v>Régua automática</x:v>
      </x:c>
      <x:c r="O211" s="13" t="str">
        <x:v>Base controlada</x:v>
      </x:c>
      <x:c r="P211" s="17" t="n">
        <x:f>IF(D211="",0,J211-K211+L211)</x:f>
        <x:v>4695.96</x:v>
      </x:c>
      <x:c r="Q211" s="17" t="n">
        <x:f>MAX(J211-P211-K211,0)</x:f>
        <x:v>0</x:v>
      </x:c>
      <x:c r="R211" s="13" t="n">
        <x:f>IF(D211="",MAX(TODAY()-C211,0),MAX(D211-C211,0))</x:f>
        <x:v>10</x:v>
      </x:c>
      <x:c r="S211" s="13" t="str">
        <x:f>IF(R211=0,"Em dia",IF(R211&lt;=15,"1-15 dias",IF(R211&lt;=30,"16-30 dias",IF(R211&lt;=60,"31-60 dias","Acima de 60 dias"))))</x:f>
        <x:v>1-15 dias</x:v>
      </x:c>
    </x:row>
    <x:row r="212">
      <x:c r="A212" s="13" t="str">
        <x:v>REC-000211</x:v>
      </x:c>
      <x:c r="B212" s="23" t="n">
        <x:v>45395</x:v>
      </x:c>
      <x:c r="C212" s="23" t="n">
        <x:v>45402</x:v>
      </x:c>
      <x:c r="D212" s="23" t="n">
        <x:v>45402</x:v>
      </x:c>
      <x:c r="E212" s="13" t="str">
        <x:v>VAL-004</x:v>
      </x:c>
      <x:c r="F212" s="13" t="str">
        <x:v>NuvemBase Tecnologia</x:v>
      </x:c>
      <x:c r="G212" s="13" t="str">
        <x:v>Tecnologia</x:v>
      </x:c>
      <x:c r="H212" s="13" t="str">
        <x:v>Baixo</x:v>
      </x:c>
      <x:c r="I212" s="13" t="str">
        <x:v>Enterprise</x:v>
      </x:c>
      <x:c r="J212" s="17" t="n">
        <x:v>4989.96</x:v>
      </x:c>
      <x:c r="K212" s="17" t="n">
        <x:v>0</x:v>
      </x:c>
      <x:c r="L212" s="17" t="n">
        <x:v>0</x:v>
      </x:c>
      <x:c r="M212" s="13" t="str">
        <x:v>Pago</x:v>
      </x:c>
      <x:c r="N212" s="13" t="str">
        <x:v>Sem cobrança</x:v>
      </x:c>
      <x:c r="O212" s="13" t="str">
        <x:v>Base controlada</x:v>
      </x:c>
      <x:c r="P212" s="17" t="n">
        <x:f>IF(D212="",0,J212-K212+L212)</x:f>
        <x:v>4989.96</x:v>
      </x:c>
      <x:c r="Q212" s="17" t="n">
        <x:f>MAX(J212-P212-K212,0)</x:f>
        <x:v>0</x:v>
      </x:c>
      <x:c r="R212" s="13" t="n">
        <x:f>IF(D212="",MAX(TODAY()-C212,0),MAX(D212-C212,0))</x:f>
        <x:v>0</x:v>
      </x:c>
      <x:c r="S212" s="13" t="str">
        <x:f>IF(R212=0,"Em dia",IF(R212&lt;=15,"1-15 dias",IF(R212&lt;=30,"16-30 dias",IF(R212&lt;=60,"31-60 dias","Acima de 60 dias"))))</x:f>
        <x:v>Em dia</x:v>
      </x:c>
    </x:row>
    <x:row r="213">
      <x:c r="A213" s="13" t="str">
        <x:v>REC-000212</x:v>
      </x:c>
      <x:c r="B213" s="23" t="n">
        <x:v>45398</x:v>
      </x:c>
      <x:c r="C213" s="23" t="n">
        <x:v>45413</x:v>
      </x:c>
      <x:c r="D213" s="23" t="n">
        <x:v>45411</x:v>
      </x:c>
      <x:c r="E213" s="13" t="str">
        <x:v>VAL-025</x:v>
      </x:c>
      <x:c r="F213" s="13" t="str">
        <x:v>Bem-Estar Terapias</x:v>
      </x:c>
      <x:c r="G213" s="13" t="str">
        <x:v>Clínicas e Saúde</x:v>
      </x:c>
      <x:c r="H213" s="13" t="str">
        <x:v>Baixo</x:v>
      </x:c>
      <x:c r="I213" s="13" t="str">
        <x:v>Essencial</x:v>
      </x:c>
      <x:c r="J213" s="17" t="n">
        <x:v>15659.64</x:v>
      </x:c>
      <x:c r="K213" s="17" t="n">
        <x:v>0</x:v>
      </x:c>
      <x:c r="L213" s="17" t="n">
        <x:v>0</x:v>
      </x:c>
      <x:c r="M213" s="13" t="str">
        <x:v>Pago</x:v>
      </x:c>
      <x:c r="N213" s="13" t="str">
        <x:v>Sem cobrança</x:v>
      </x:c>
      <x:c r="O213" s="13" t="str">
        <x:v>Base controlada</x:v>
      </x:c>
      <x:c r="P213" s="17" t="n">
        <x:f>IF(D213="",0,J213-K213+L213)</x:f>
        <x:v>15659.64</x:v>
      </x:c>
      <x:c r="Q213" s="17" t="n">
        <x:f>MAX(J213-P213-K213,0)</x:f>
        <x:v>0</x:v>
      </x:c>
      <x:c r="R213" s="13" t="n">
        <x:f>IF(D213="",MAX(TODAY()-C213,0),MAX(D213-C213,0))</x:f>
        <x:v>0</x:v>
      </x:c>
      <x:c r="S213" s="13" t="str">
        <x:f>IF(R213=0,"Em dia",IF(R213&lt;=15,"1-15 dias",IF(R213&lt;=30,"16-30 dias",IF(R213&lt;=60,"31-60 dias","Acima de 60 dias"))))</x:f>
        <x:v>Em dia</x:v>
      </x:c>
    </x:row>
    <x:row r="214">
      <x:c r="A214" s="13" t="str">
        <x:v>REC-000213</x:v>
      </x:c>
      <x:c r="B214" s="23" t="n">
        <x:v>45387</x:v>
      </x:c>
      <x:c r="C214" s="23" t="n">
        <x:v>45394</x:v>
      </x:c>
      <x:c r="D214" s="23" t="n">
        <x:v>45390</x:v>
      </x:c>
      <x:c r="E214" s="13" t="str">
        <x:v>VAL-029</x:v>
      </x:c>
      <x:c r="F214" s="13" t="str">
        <x:v>Planobra Serviços</x:v>
      </x:c>
      <x:c r="G214" s="13" t="str">
        <x:v>Construção</x:v>
      </x:c>
      <x:c r="H214" s="13" t="str">
        <x:v>Baixo</x:v>
      </x:c>
      <x:c r="I214" s="13" t="str">
        <x:v>Essencial</x:v>
      </x:c>
      <x:c r="J214" s="17" t="n">
        <x:v>19824.68</x:v>
      </x:c>
      <x:c r="K214" s="17" t="n">
        <x:v>0</x:v>
      </x:c>
      <x:c r="L214" s="17" t="n">
        <x:v>0</x:v>
      </x:c>
      <x:c r="M214" s="13" t="str">
        <x:v>Pago</x:v>
      </x:c>
      <x:c r="N214" s="13" t="str">
        <x:v>Sem cobrança</x:v>
      </x:c>
      <x:c r="O214" s="13" t="str">
        <x:v>Base controlada</x:v>
      </x:c>
      <x:c r="P214" s="17" t="n">
        <x:f>IF(D214="",0,J214-K214+L214)</x:f>
        <x:v>19824.68</x:v>
      </x:c>
      <x:c r="Q214" s="17" t="n">
        <x:f>MAX(J214-P214-K214,0)</x:f>
        <x:v>0</x:v>
      </x:c>
      <x:c r="R214" s="13" t="n">
        <x:f>IF(D214="",MAX(TODAY()-C214,0),MAX(D214-C214,0))</x:f>
        <x:v>0</x:v>
      </x:c>
      <x:c r="S214" s="13" t="str">
        <x:f>IF(R214=0,"Em dia",IF(R214&lt;=15,"1-15 dias",IF(R214&lt;=30,"16-30 dias",IF(R214&lt;=60,"31-60 dias","Acima de 60 dias"))))</x:f>
        <x:v>Em dia</x:v>
      </x:c>
    </x:row>
    <x:row r="215">
      <x:c r="A215" s="13" t="str">
        <x:v>REC-000214</x:v>
      </x:c>
      <x:c r="B215" s="23" t="n">
        <x:v>45384</x:v>
      </x:c>
      <x:c r="C215" s="23" t="n">
        <x:v>45414</x:v>
      </x:c>
      <x:c r="D215" s="23" t="n">
        <x:v>45413</x:v>
      </x:c>
      <x:c r="E215" s="13" t="str">
        <x:v>VAL-026</x:v>
      </x:c>
      <x:c r="F215" s="13" t="str">
        <x:v>Ribeiro Arquitetura</x:v>
      </x:c>
      <x:c r="G215" s="13" t="str">
        <x:v>Serviços Profissionais</x:v>
      </x:c>
      <x:c r="H215" s="13" t="str">
        <x:v>Baixo</x:v>
      </x:c>
      <x:c r="I215" s="13" t="str">
        <x:v>Gestão</x:v>
      </x:c>
      <x:c r="J215" s="17" t="n">
        <x:v>23101.51</x:v>
      </x:c>
      <x:c r="K215" s="17" t="n">
        <x:v>0</x:v>
      </x:c>
      <x:c r="L215" s="17" t="n">
        <x:v>0</x:v>
      </x:c>
      <x:c r="M215" s="13" t="str">
        <x:v>Pago</x:v>
      </x:c>
      <x:c r="N215" s="13" t="str">
        <x:v>Sem cobrança</x:v>
      </x:c>
      <x:c r="O215" s="13" t="str">
        <x:v>Base controlada</x:v>
      </x:c>
      <x:c r="P215" s="17" t="n">
        <x:f>IF(D215="",0,J215-K215+L215)</x:f>
        <x:v>23101.51</x:v>
      </x:c>
      <x:c r="Q215" s="17" t="n">
        <x:f>MAX(J215-P215-K215,0)</x:f>
        <x:v>0</x:v>
      </x:c>
      <x:c r="R215" s="13" t="n">
        <x:f>IF(D215="",MAX(TODAY()-C215,0),MAX(D215-C215,0))</x:f>
        <x:v>0</x:v>
      </x:c>
      <x:c r="S215" s="13" t="str">
        <x:f>IF(R215=0,"Em dia",IF(R215&lt;=15,"1-15 dias",IF(R215&lt;=30,"16-30 dias",IF(R215&lt;=60,"31-60 dias","Acima de 60 dias"))))</x:f>
        <x:v>Em dia</x:v>
      </x:c>
    </x:row>
    <x:row r="216">
      <x:c r="A216" s="13" t="str">
        <x:v>REC-000215</x:v>
      </x:c>
      <x:c r="B216" s="23" t="n">
        <x:v>45389</x:v>
      </x:c>
      <x:c r="C216" s="23" t="n">
        <x:v>45417</x:v>
      </x:c>
      <x:c r="D216" s="23" t="n">
        <x:v>45414</x:v>
      </x:c>
      <x:c r="E216" s="13" t="str">
        <x:v>VAL-013</x:v>
      </x:c>
      <x:c r="F216" s="13" t="str">
        <x:v>Engenharia Vértice</x:v>
      </x:c>
      <x:c r="G216" s="13" t="str">
        <x:v>Construção</x:v>
      </x:c>
      <x:c r="H216" s="13" t="str">
        <x:v>Baixo</x:v>
      </x:c>
      <x:c r="I216" s="13" t="str">
        <x:v>Essencial</x:v>
      </x:c>
      <x:c r="J216" s="17" t="n">
        <x:v>15240.88</x:v>
      </x:c>
      <x:c r="K216" s="17" t="n">
        <x:v>0</x:v>
      </x:c>
      <x:c r="L216" s="17" t="n">
        <x:v>0</x:v>
      </x:c>
      <x:c r="M216" s="13" t="str">
        <x:v>Pago</x:v>
      </x:c>
      <x:c r="N216" s="13" t="str">
        <x:v>Sem cobrança</x:v>
      </x:c>
      <x:c r="O216" s="13" t="str">
        <x:v>Base controlada</x:v>
      </x:c>
      <x:c r="P216" s="17" t="n">
        <x:f>IF(D216="",0,J216-K216+L216)</x:f>
        <x:v>15240.88</x:v>
      </x:c>
      <x:c r="Q216" s="17" t="n">
        <x:f>MAX(J216-P216-K216,0)</x:f>
        <x:v>0</x:v>
      </x:c>
      <x:c r="R216" s="13" t="n">
        <x:f>IF(D216="",MAX(TODAY()-C216,0),MAX(D216-C216,0))</x:f>
        <x:v>0</x:v>
      </x:c>
      <x:c r="S216" s="13" t="str">
        <x:f>IF(R216=0,"Em dia",IF(R216&lt;=15,"1-15 dias",IF(R216&lt;=30,"16-30 dias",IF(R216&lt;=60,"31-60 dias","Acima de 60 dias"))))</x:f>
        <x:v>Em dia</x:v>
      </x:c>
    </x:row>
    <x:row r="217">
      <x:c r="A217" s="13" t="str">
        <x:v>REC-000216</x:v>
      </x:c>
      <x:c r="B217" s="23" t="n">
        <x:v>45392</x:v>
      </x:c>
      <x:c r="C217" s="23" t="n">
        <x:v>45422</x:v>
      </x:c>
      <x:c r="D217" s="23" t="n">
        <x:v>45420</x:v>
      </x:c>
      <x:c r="E217" s="13" t="str">
        <x:v>VAL-007</x:v>
      </x:c>
      <x:c r="F217" s="13" t="str">
        <x:v>Loja Prisma Online</x:v>
      </x:c>
      <x:c r="G217" s="13" t="str">
        <x:v>E-commerce</x:v>
      </x:c>
      <x:c r="H217" s="13" t="str">
        <x:v>Médio</x:v>
      </x:c>
      <x:c r="I217" s="13" t="str">
        <x:v>Performance</x:v>
      </x:c>
      <x:c r="J217" s="17" t="n">
        <x:v>29681.92</x:v>
      </x:c>
      <x:c r="K217" s="17" t="n">
        <x:v>0</x:v>
      </x:c>
      <x:c r="L217" s="17" t="n">
        <x:v>0</x:v>
      </x:c>
      <x:c r="M217" s="13" t="str">
        <x:v>Pago</x:v>
      </x:c>
      <x:c r="N217" s="13" t="str">
        <x:v>Sem cobrança</x:v>
      </x:c>
      <x:c r="O217" s="13" t="str">
        <x:v>Base controlada</x:v>
      </x:c>
      <x:c r="P217" s="17" t="n">
        <x:f>IF(D217="",0,J217-K217+L217)</x:f>
        <x:v>29681.92</x:v>
      </x:c>
      <x:c r="Q217" s="17" t="n">
        <x:f>MAX(J217-P217-K217,0)</x:f>
        <x:v>0</x:v>
      </x:c>
      <x:c r="R217" s="13" t="n">
        <x:f>IF(D217="",MAX(TODAY()-C217,0),MAX(D217-C217,0))</x:f>
        <x:v>0</x:v>
      </x:c>
      <x:c r="S217" s="13" t="str">
        <x:f>IF(R217=0,"Em dia",IF(R217&lt;=15,"1-15 dias",IF(R217&lt;=30,"16-30 dias",IF(R217&lt;=60,"31-60 dias","Acima de 60 dias"))))</x:f>
        <x:v>Em dia</x:v>
      </x:c>
    </x:row>
    <x:row r="218">
      <x:c r="A218" s="13" t="str">
        <x:v>REC-000217</x:v>
      </x:c>
      <x:c r="B218" s="23" t="n">
        <x:v>45398</x:v>
      </x:c>
      <x:c r="C218" s="23" t="n">
        <x:v>45419</x:v>
      </x:c>
      <x:c r="D218" s="23" t="n">
        <x:v>45417</x:v>
      </x:c>
      <x:c r="E218" s="13" t="str">
        <x:v>VAL-026</x:v>
      </x:c>
      <x:c r="F218" s="13" t="str">
        <x:v>Ribeiro Arquitetura</x:v>
      </x:c>
      <x:c r="G218" s="13" t="str">
        <x:v>Serviços Profissionais</x:v>
      </x:c>
      <x:c r="H218" s="13" t="str">
        <x:v>Baixo</x:v>
      </x:c>
      <x:c r="I218" s="13" t="str">
        <x:v>Gestão</x:v>
      </x:c>
      <x:c r="J218" s="17" t="n">
        <x:v>4433.37</x:v>
      </x:c>
      <x:c r="K218" s="17" t="n">
        <x:v>0</x:v>
      </x:c>
      <x:c r="L218" s="17" t="n">
        <x:v>0</x:v>
      </x:c>
      <x:c r="M218" s="13" t="str">
        <x:v>Pago</x:v>
      </x:c>
      <x:c r="N218" s="13" t="str">
        <x:v>Sem cobrança</x:v>
      </x:c>
      <x:c r="O218" s="13" t="str">
        <x:v>Base controlada</x:v>
      </x:c>
      <x:c r="P218" s="17" t="n">
        <x:f>IF(D218="",0,J218-K218+L218)</x:f>
        <x:v>4433.37</x:v>
      </x:c>
      <x:c r="Q218" s="17" t="n">
        <x:f>MAX(J218-P218-K218,0)</x:f>
        <x:v>0</x:v>
      </x:c>
      <x:c r="R218" s="13" t="n">
        <x:f>IF(D218="",MAX(TODAY()-C218,0),MAX(D218-C218,0))</x:f>
        <x:v>0</x:v>
      </x:c>
      <x:c r="S218" s="13" t="str">
        <x:f>IF(R218=0,"Em dia",IF(R218&lt;=15,"1-15 dias",IF(R218&lt;=30,"16-30 dias",IF(R218&lt;=60,"31-60 dias","Acima de 60 dias"))))</x:f>
        <x:v>Em dia</x:v>
      </x:c>
    </x:row>
    <x:row r="219">
      <x:c r="A219" s="13" t="str">
        <x:v>REC-000218</x:v>
      </x:c>
      <x:c r="B219" s="23" t="n">
        <x:v>45386</x:v>
      </x:c>
      <x:c r="C219" s="23" t="n">
        <x:v>45416</x:v>
      </x:c>
      <x:c r="D219" s="23" t="n">
        <x:v>45416</x:v>
      </x:c>
      <x:c r="E219" s="13" t="str">
        <x:v>VAL-004</x:v>
      </x:c>
      <x:c r="F219" s="13" t="str">
        <x:v>NuvemBase Tecnologia</x:v>
      </x:c>
      <x:c r="G219" s="13" t="str">
        <x:v>Tecnologia</x:v>
      </x:c>
      <x:c r="H219" s="13" t="str">
        <x:v>Baixo</x:v>
      </x:c>
      <x:c r="I219" s="13" t="str">
        <x:v>Enterprise</x:v>
      </x:c>
      <x:c r="J219" s="17" t="n">
        <x:v>15462.47</x:v>
      </x:c>
      <x:c r="K219" s="17" t="n">
        <x:v>0</x:v>
      </x:c>
      <x:c r="L219" s="17" t="n">
        <x:v>0</x:v>
      </x:c>
      <x:c r="M219" s="13" t="str">
        <x:v>Pago</x:v>
      </x:c>
      <x:c r="N219" s="13" t="str">
        <x:v>Sem cobrança</x:v>
      </x:c>
      <x:c r="O219" s="13" t="str">
        <x:v>Base controlada</x:v>
      </x:c>
      <x:c r="P219" s="17" t="n">
        <x:f>IF(D219="",0,J219-K219+L219)</x:f>
        <x:v>15462.47</x:v>
      </x:c>
      <x:c r="Q219" s="17" t="n">
        <x:f>MAX(J219-P219-K219,0)</x:f>
        <x:v>0</x:v>
      </x:c>
      <x:c r="R219" s="13" t="n">
        <x:f>IF(D219="",MAX(TODAY()-C219,0),MAX(D219-C219,0))</x:f>
        <x:v>0</x:v>
      </x:c>
      <x:c r="S219" s="13" t="str">
        <x:f>IF(R219=0,"Em dia",IF(R219&lt;=15,"1-15 dias",IF(R219&lt;=30,"16-30 dias",IF(R219&lt;=60,"31-60 dias","Acima de 60 dias"))))</x:f>
        <x:v>Em dia</x:v>
      </x:c>
    </x:row>
    <x:row r="220">
      <x:c r="A220" s="13" t="str">
        <x:v>REC-000219</x:v>
      </x:c>
      <x:c r="B220" s="23" t="n">
        <x:v>45399</x:v>
      </x:c>
      <x:c r="C220" s="23" t="n">
        <x:v>45427</x:v>
      </x:c>
      <x:c r="D220" s="23" t="n">
        <x:v>45427</x:v>
      </x:c>
      <x:c r="E220" s="13" t="str">
        <x:v>VAL-026</x:v>
      </x:c>
      <x:c r="F220" s="13" t="str">
        <x:v>Ribeiro Arquitetura</x:v>
      </x:c>
      <x:c r="G220" s="13" t="str">
        <x:v>Serviços Profissionais</x:v>
      </x:c>
      <x:c r="H220" s="13" t="str">
        <x:v>Baixo</x:v>
      </x:c>
      <x:c r="I220" s="13" t="str">
        <x:v>Gestão</x:v>
      </x:c>
      <x:c r="J220" s="17" t="n">
        <x:v>7710.76</x:v>
      </x:c>
      <x:c r="K220" s="17" t="n">
        <x:v>0</x:v>
      </x:c>
      <x:c r="L220" s="17" t="n">
        <x:v>0</x:v>
      </x:c>
      <x:c r="M220" s="13" t="str">
        <x:v>Pago</x:v>
      </x:c>
      <x:c r="N220" s="13" t="str">
        <x:v>Sem cobrança</x:v>
      </x:c>
      <x:c r="O220" s="13" t="str">
        <x:v>Base controlada</x:v>
      </x:c>
      <x:c r="P220" s="17" t="n">
        <x:f>IF(D220="",0,J220-K220+L220)</x:f>
        <x:v>7710.76</x:v>
      </x:c>
      <x:c r="Q220" s="17" t="n">
        <x:f>MAX(J220-P220-K220,0)</x:f>
        <x:v>0</x:v>
      </x:c>
      <x:c r="R220" s="13" t="n">
        <x:f>IF(D220="",MAX(TODAY()-C220,0),MAX(D220-C220,0))</x:f>
        <x:v>0</x:v>
      </x:c>
      <x:c r="S220" s="13" t="str">
        <x:f>IF(R220=0,"Em dia",IF(R220&lt;=15,"1-15 dias",IF(R220&lt;=30,"16-30 dias",IF(R220&lt;=60,"31-60 dias","Acima de 60 dias"))))</x:f>
        <x:v>Em dia</x:v>
      </x:c>
    </x:row>
    <x:row r="221">
      <x:c r="A221" s="13" t="str">
        <x:v>REC-000220</x:v>
      </x:c>
      <x:c r="B221" s="23" t="n">
        <x:v>45401</x:v>
      </x:c>
      <x:c r="C221" s="23" t="n">
        <x:v>45416</x:v>
      </x:c>
      <x:c r="D221" s="23" t="n">
        <x:v>45414</x:v>
      </x:c>
      <x:c r="E221" s="13" t="str">
        <x:v>VAL-017</x:v>
      </x:c>
      <x:c r="F221" s="13" t="str">
        <x:v>Centro Médico Vida</x:v>
      </x:c>
      <x:c r="G221" s="13" t="str">
        <x:v>Clínicas e Saúde</x:v>
      </x:c>
      <x:c r="H221" s="13" t="str">
        <x:v>Baixo</x:v>
      </x:c>
      <x:c r="I221" s="13" t="str">
        <x:v>Essencial</x:v>
      </x:c>
      <x:c r="J221" s="17" t="n">
        <x:v>18346.22</x:v>
      </x:c>
      <x:c r="K221" s="17" t="n">
        <x:v>169.8</x:v>
      </x:c>
      <x:c r="L221" s="17" t="n">
        <x:v>0</x:v>
      </x:c>
      <x:c r="M221" s="13" t="str">
        <x:v>Pago</x:v>
      </x:c>
      <x:c r="N221" s="13" t="str">
        <x:v>Sem cobrança</x:v>
      </x:c>
      <x:c r="O221" s="13" t="str">
        <x:v>Base controlada</x:v>
      </x:c>
      <x:c r="P221" s="17" t="n">
        <x:f>IF(D221="",0,J221-K221+L221)</x:f>
        <x:v>18176.420000000002</x:v>
      </x:c>
      <x:c r="Q221" s="17" t="n">
        <x:f>MAX(J221-P221-K221,0)</x:f>
        <x:v>0</x:v>
      </x:c>
      <x:c r="R221" s="13" t="n">
        <x:f>IF(D221="",MAX(TODAY()-C221,0),MAX(D221-C221,0))</x:f>
        <x:v>0</x:v>
      </x:c>
      <x:c r="S221" s="13" t="str">
        <x:f>IF(R221=0,"Em dia",IF(R221&lt;=15,"1-15 dias",IF(R221&lt;=30,"16-30 dias",IF(R221&lt;=60,"31-60 dias","Acima de 60 dias"))))</x:f>
        <x:v>Em dia</x:v>
      </x:c>
    </x:row>
    <x:row r="222">
      <x:c r="A222" s="13" t="str">
        <x:v>REC-000221</x:v>
      </x:c>
      <x:c r="B222" s="23" t="n">
        <x:v>45386</x:v>
      </x:c>
      <x:c r="C222" s="23" t="n">
        <x:v>45416</x:v>
      </x:c>
      <x:c r="D222" s="23" t="n">
        <x:v>45414</x:v>
      </x:c>
      <x:c r="E222" s="13" t="str">
        <x:v>VAL-015</x:v>
      </x:c>
      <x:c r="F222" s="13" t="str">
        <x:v>Mercado Click</x:v>
      </x:c>
      <x:c r="G222" s="13" t="str">
        <x:v>E-commerce</x:v>
      </x:c>
      <x:c r="H222" s="13" t="str">
        <x:v>Baixo</x:v>
      </x:c>
      <x:c r="I222" s="13" t="str">
        <x:v>Performance</x:v>
      </x:c>
      <x:c r="J222" s="17" t="n">
        <x:v>20178.47</x:v>
      </x:c>
      <x:c r="K222" s="17" t="n">
        <x:v>0</x:v>
      </x:c>
      <x:c r="L222" s="17" t="n">
        <x:v>0</x:v>
      </x:c>
      <x:c r="M222" s="13" t="str">
        <x:v>Pago</x:v>
      </x:c>
      <x:c r="N222" s="13" t="str">
        <x:v>Sem cobrança</x:v>
      </x:c>
      <x:c r="O222" s="13" t="str">
        <x:v>Base controlada</x:v>
      </x:c>
      <x:c r="P222" s="17" t="n">
        <x:f>IF(D222="",0,J222-K222+L222)</x:f>
        <x:v>20178.47</x:v>
      </x:c>
      <x:c r="Q222" s="17" t="n">
        <x:f>MAX(J222-P222-K222,0)</x:f>
        <x:v>0</x:v>
      </x:c>
      <x:c r="R222" s="13" t="n">
        <x:f>IF(D222="",MAX(TODAY()-C222,0),MAX(D222-C222,0))</x:f>
        <x:v>0</x:v>
      </x:c>
      <x:c r="S222" s="13" t="str">
        <x:f>IF(R222=0,"Em dia",IF(R222&lt;=15,"1-15 dias",IF(R222&lt;=30,"16-30 dias",IF(R222&lt;=60,"31-60 dias","Acima de 60 dias"))))</x:f>
        <x:v>Em dia</x:v>
      </x:c>
    </x:row>
    <x:row r="223">
      <x:c r="A223" s="13" t="str">
        <x:v>REC-000222</x:v>
      </x:c>
      <x:c r="B223" s="23" t="n">
        <x:v>45399</x:v>
      </x:c>
      <x:c r="C223" s="23" t="n">
        <x:v>45406</x:v>
      </x:c>
      <x:c r="D223" s="23" t="n">
        <x:v>45405</x:v>
      </x:c>
      <x:c r="E223" s="13" t="str">
        <x:v>VAL-030</x:v>
      </x:c>
      <x:c r="F223" s="13" t="str">
        <x:v>Mundo Kids Cursos</x:v>
      </x:c>
      <x:c r="G223" s="13" t="str">
        <x:v>Educação</x:v>
      </x:c>
      <x:c r="H223" s="13" t="str">
        <x:v>Alto</x:v>
      </x:c>
      <x:c r="I223" s="13" t="str">
        <x:v>Gestão</x:v>
      </x:c>
      <x:c r="J223" s="17" t="n">
        <x:v>22722.42</x:v>
      </x:c>
      <x:c r="K223" s="17" t="n">
        <x:v>0</x:v>
      </x:c>
      <x:c r="L223" s="17" t="n">
        <x:v>0</x:v>
      </x:c>
      <x:c r="M223" s="13" t="str">
        <x:v>Pago</x:v>
      </x:c>
      <x:c r="N223" s="13" t="str">
        <x:v>Sem cobrança</x:v>
      </x:c>
      <x:c r="O223" s="13" t="str">
        <x:v>Base controlada</x:v>
      </x:c>
      <x:c r="P223" s="17" t="n">
        <x:f>IF(D223="",0,J223-K223+L223)</x:f>
        <x:v>22722.42</x:v>
      </x:c>
      <x:c r="Q223" s="17" t="n">
        <x:f>MAX(J223-P223-K223,0)</x:f>
        <x:v>0</x:v>
      </x:c>
      <x:c r="R223" s="13" t="n">
        <x:f>IF(D223="",MAX(TODAY()-C223,0),MAX(D223-C223,0))</x:f>
        <x:v>0</x:v>
      </x:c>
      <x:c r="S223" s="13" t="str">
        <x:f>IF(R223=0,"Em dia",IF(R223&lt;=15,"1-15 dias",IF(R223&lt;=30,"16-30 dias",IF(R223&lt;=60,"31-60 dias","Acima de 60 dias"))))</x:f>
        <x:v>Em dia</x:v>
      </x:c>
    </x:row>
    <x:row r="224">
      <x:c r="A224" s="13" t="str">
        <x:v>REC-000223</x:v>
      </x:c>
      <x:c r="B224" s="23" t="n">
        <x:v>45396</x:v>
      </x:c>
      <x:c r="C224" s="23" t="n">
        <x:v>45411</x:v>
      </x:c>
      <x:c r="D224" s="23" t="n">
        <x:v>45409</x:v>
      </x:c>
      <x:c r="E224" s="13" t="str">
        <x:v>VAL-024</x:v>
      </x:c>
      <x:c r="F224" s="13" t="str">
        <x:v>NovaForma Móveis</x:v>
      </x:c>
      <x:c r="G224" s="13" t="str">
        <x:v>Indústria Leve</x:v>
      </x:c>
      <x:c r="H224" s="13" t="str">
        <x:v>Baixo</x:v>
      </x:c>
      <x:c r="I224" s="13" t="str">
        <x:v>Enterprise</x:v>
      </x:c>
      <x:c r="J224" s="17" t="n">
        <x:v>6998.72</x:v>
      </x:c>
      <x:c r="K224" s="17" t="n">
        <x:v>0</x:v>
      </x:c>
      <x:c r="L224" s="17" t="n">
        <x:v>0</x:v>
      </x:c>
      <x:c r="M224" s="13" t="str">
        <x:v>Pago</x:v>
      </x:c>
      <x:c r="N224" s="13" t="str">
        <x:v>Sem cobrança</x:v>
      </x:c>
      <x:c r="O224" s="13" t="str">
        <x:v>Base controlada</x:v>
      </x:c>
      <x:c r="P224" s="17" t="n">
        <x:f>IF(D224="",0,J224-K224+L224)</x:f>
        <x:v>6998.72</x:v>
      </x:c>
      <x:c r="Q224" s="17" t="n">
        <x:f>MAX(J224-P224-K224,0)</x:f>
        <x:v>0</x:v>
      </x:c>
      <x:c r="R224" s="13" t="n">
        <x:f>IF(D224="",MAX(TODAY()-C224,0),MAX(D224-C224,0))</x:f>
        <x:v>0</x:v>
      </x:c>
      <x:c r="S224" s="13" t="str">
        <x:f>IF(R224=0,"Em dia",IF(R224&lt;=15,"1-15 dias",IF(R224&lt;=30,"16-30 dias",IF(R224&lt;=60,"31-60 dias","Acima de 60 dias"))))</x:f>
        <x:v>Em dia</x:v>
      </x:c>
    </x:row>
    <x:row r="225">
      <x:c r="A225" s="13" t="str">
        <x:v>REC-000224</x:v>
      </x:c>
      <x:c r="B225" s="23" t="n">
        <x:v>45385</x:v>
      </x:c>
      <x:c r="C225" s="23" t="n">
        <x:v>45415</x:v>
      </x:c>
      <x:c r="D225" s="23" t="n">
        <x:v>45413</x:v>
      </x:c>
      <x:c r="E225" s="13" t="str">
        <x:v>VAL-009</x:v>
      </x:c>
      <x:c r="F225" s="13" t="str">
        <x:v>Odonto Prime</x:v>
      </x:c>
      <x:c r="G225" s="13" t="str">
        <x:v>Clínicas e Saúde</x:v>
      </x:c>
      <x:c r="H225" s="13" t="str">
        <x:v>Médio</x:v>
      </x:c>
      <x:c r="I225" s="13" t="str">
        <x:v>Essencial</x:v>
      </x:c>
      <x:c r="J225" s="17" t="n">
        <x:v>12094</x:v>
      </x:c>
      <x:c r="K225" s="17" t="n">
        <x:v>0</x:v>
      </x:c>
      <x:c r="L225" s="17" t="n">
        <x:v>0</x:v>
      </x:c>
      <x:c r="M225" s="13" t="str">
        <x:v>Pago</x:v>
      </x:c>
      <x:c r="N225" s="13" t="str">
        <x:v>Sem cobrança</x:v>
      </x:c>
      <x:c r="O225" s="13" t="str">
        <x:v>Base controlada</x:v>
      </x:c>
      <x:c r="P225" s="17" t="n">
        <x:f>IF(D225="",0,J225-K225+L225)</x:f>
        <x:v>12094</x:v>
      </x:c>
      <x:c r="Q225" s="17" t="n">
        <x:f>MAX(J225-P225-K225,0)</x:f>
        <x:v>0</x:v>
      </x:c>
      <x:c r="R225" s="13" t="n">
        <x:f>IF(D225="",MAX(TODAY()-C225,0),MAX(D225-C225,0))</x:f>
        <x:v>0</x:v>
      </x:c>
      <x:c r="S225" s="13" t="str">
        <x:f>IF(R225=0,"Em dia",IF(R225&lt;=15,"1-15 dias",IF(R225&lt;=30,"16-30 dias",IF(R225&lt;=60,"31-60 dias","Acima de 60 dias"))))</x:f>
        <x:v>Em dia</x:v>
      </x:c>
    </x:row>
    <x:row r="226">
      <x:c r="A226" s="13" t="str">
        <x:v>REC-000225</x:v>
      </x:c>
      <x:c r="B226" s="23" t="n">
        <x:v>45393</x:v>
      </x:c>
      <x:c r="C226" s="23" t="n">
        <x:v>45414</x:v>
      </x:c>
      <x:c r="D226" s="23" t="n">
        <x:v>45414</x:v>
      </x:c>
      <x:c r="E226" s="13" t="str">
        <x:v>VAL-017</x:v>
      </x:c>
      <x:c r="F226" s="13" t="str">
        <x:v>Centro Médico Vida</x:v>
      </x:c>
      <x:c r="G226" s="13" t="str">
        <x:v>Clínicas e Saúde</x:v>
      </x:c>
      <x:c r="H226" s="13" t="str">
        <x:v>Baixo</x:v>
      </x:c>
      <x:c r="I226" s="13" t="str">
        <x:v>Essencial</x:v>
      </x:c>
      <x:c r="J226" s="17" t="n">
        <x:v>17695.32</x:v>
      </x:c>
      <x:c r="K226" s="17" t="n">
        <x:v>0</x:v>
      </x:c>
      <x:c r="L226" s="17" t="n">
        <x:v>0</x:v>
      </x:c>
      <x:c r="M226" s="13" t="str">
        <x:v>Pago</x:v>
      </x:c>
      <x:c r="N226" s="13" t="str">
        <x:v>Sem cobrança</x:v>
      </x:c>
      <x:c r="O226" s="13" t="str">
        <x:v>Base controlada</x:v>
      </x:c>
      <x:c r="P226" s="17" t="n">
        <x:f>IF(D226="",0,J226-K226+L226)</x:f>
        <x:v>17695.32</x:v>
      </x:c>
      <x:c r="Q226" s="17" t="n">
        <x:f>MAX(J226-P226-K226,0)</x:f>
        <x:v>0</x:v>
      </x:c>
      <x:c r="R226" s="13" t="n">
        <x:f>IF(D226="",MAX(TODAY()-C226,0),MAX(D226-C226,0))</x:f>
        <x:v>0</x:v>
      </x:c>
      <x:c r="S226" s="13" t="str">
        <x:f>IF(R226=0,"Em dia",IF(R226&lt;=15,"1-15 dias",IF(R226&lt;=30,"16-30 dias",IF(R226&lt;=60,"31-60 dias","Acima de 60 dias"))))</x:f>
        <x:v>Em dia</x:v>
      </x:c>
    </x:row>
    <x:row r="227">
      <x:c r="A227" s="13" t="str">
        <x:v>REC-000226</x:v>
      </x:c>
      <x:c r="B227" s="23" t="n">
        <x:v>45398</x:v>
      </x:c>
      <x:c r="C227" s="23" t="n">
        <x:v>45419</x:v>
      </x:c>
      <x:c r="D227" s="23" t="n">
        <x:v>45415</x:v>
      </x:c>
      <x:c r="E227" s="13" t="str">
        <x:v>VAL-028</x:v>
      </x:c>
      <x:c r="F227" s="13" t="str">
        <x:v>Pixel Norte</x:v>
      </x:c>
      <x:c r="G227" s="13" t="str">
        <x:v>Tecnologia</x:v>
      </x:c>
      <x:c r="H227" s="13" t="str">
        <x:v>Alto</x:v>
      </x:c>
      <x:c r="I227" s="13" t="str">
        <x:v>Enterprise</x:v>
      </x:c>
      <x:c r="J227" s="17" t="n">
        <x:v>4010.92</x:v>
      </x:c>
      <x:c r="K227" s="17" t="n">
        <x:v>0</x:v>
      </x:c>
      <x:c r="L227" s="17" t="n">
        <x:v>0</x:v>
      </x:c>
      <x:c r="M227" s="13" t="str">
        <x:v>Pago</x:v>
      </x:c>
      <x:c r="N227" s="13" t="str">
        <x:v>Sem cobrança</x:v>
      </x:c>
      <x:c r="O227" s="13" t="str">
        <x:v>Base controlada</x:v>
      </x:c>
      <x:c r="P227" s="17" t="n">
        <x:f>IF(D227="",0,J227-K227+L227)</x:f>
        <x:v>4010.92</x:v>
      </x:c>
      <x:c r="Q227" s="17" t="n">
        <x:f>MAX(J227-P227-K227,0)</x:f>
        <x:v>0</x:v>
      </x:c>
      <x:c r="R227" s="13" t="n">
        <x:f>IF(D227="",MAX(TODAY()-C227,0),MAX(D227-C227,0))</x:f>
        <x:v>0</x:v>
      </x:c>
      <x:c r="S227" s="13" t="str">
        <x:f>IF(R227=0,"Em dia",IF(R227&lt;=15,"1-15 dias",IF(R227&lt;=30,"16-30 dias",IF(R227&lt;=60,"31-60 dias","Acima de 60 dias"))))</x:f>
        <x:v>Em dia</x:v>
      </x:c>
    </x:row>
    <x:row r="228">
      <x:c r="A228" s="13" t="str">
        <x:v>REC-000227</x:v>
      </x:c>
      <x:c r="B228" s="23" t="n">
        <x:v>45401</x:v>
      </x:c>
      <x:c r="C228" s="23" t="n">
        <x:v>45422</x:v>
      </x:c>
      <x:c r="D228" s="23" t="n">
        <x:v>45421</x:v>
      </x:c>
      <x:c r="E228" s="13" t="str">
        <x:v>VAL-023</x:v>
      </x:c>
      <x:c r="F228" s="13" t="str">
        <x:v>ShopMix Brasil</x:v>
      </x:c>
      <x:c r="G228" s="13" t="str">
        <x:v>E-commerce</x:v>
      </x:c>
      <x:c r="H228" s="13" t="str">
        <x:v>Baixo</x:v>
      </x:c>
      <x:c r="I228" s="13" t="str">
        <x:v>Performance</x:v>
      </x:c>
      <x:c r="J228" s="17" t="n">
        <x:v>12150.75</x:v>
      </x:c>
      <x:c r="K228" s="17" t="n">
        <x:v>0</x:v>
      </x:c>
      <x:c r="L228" s="17" t="n">
        <x:v>0</x:v>
      </x:c>
      <x:c r="M228" s="13" t="str">
        <x:v>Pago</x:v>
      </x:c>
      <x:c r="N228" s="13" t="str">
        <x:v>Sem cobrança</x:v>
      </x:c>
      <x:c r="O228" s="13" t="str">
        <x:v>Base controlada</x:v>
      </x:c>
      <x:c r="P228" s="17" t="n">
        <x:f>IF(D228="",0,J228-K228+L228)</x:f>
        <x:v>12150.75</x:v>
      </x:c>
      <x:c r="Q228" s="17" t="n">
        <x:f>MAX(J228-P228-K228,0)</x:f>
        <x:v>0</x:v>
      </x:c>
      <x:c r="R228" s="13" t="n">
        <x:f>IF(D228="",MAX(TODAY()-C228,0),MAX(D228-C228,0))</x:f>
        <x:v>0</x:v>
      </x:c>
      <x:c r="S228" s="13" t="str">
        <x:f>IF(R228=0,"Em dia",IF(R228&lt;=15,"1-15 dias",IF(R228&lt;=30,"16-30 dias",IF(R228&lt;=60,"31-60 dias","Acima de 60 dias"))))</x:f>
        <x:v>Em dia</x:v>
      </x:c>
    </x:row>
    <x:row r="229">
      <x:c r="A229" s="13" t="str">
        <x:v>REC-000228</x:v>
      </x:c>
      <x:c r="B229" s="23" t="n">
        <x:v>45390</x:v>
      </x:c>
      <x:c r="C229" s="23" t="n">
        <x:v>45411</x:v>
      </x:c>
      <x:c r="D229" s="23" t="n">
        <x:v>45410</x:v>
      </x:c>
      <x:c r="E229" s="13" t="str">
        <x:v>VAL-010</x:v>
      </x:c>
      <x:c r="F229" s="13" t="str">
        <x:v>Atlas Contabilidade</x:v>
      </x:c>
      <x:c r="G229" s="13" t="str">
        <x:v>Serviços Profissionais</x:v>
      </x:c>
      <x:c r="H229" s="13" t="str">
        <x:v>Baixo</x:v>
      </x:c>
      <x:c r="I229" s="13" t="str">
        <x:v>Gestão</x:v>
      </x:c>
      <x:c r="J229" s="17" t="n">
        <x:v>15389.55</x:v>
      </x:c>
      <x:c r="K229" s="17" t="n">
        <x:v>0</x:v>
      </x:c>
      <x:c r="L229" s="17" t="n">
        <x:v>0</x:v>
      </x:c>
      <x:c r="M229" s="13" t="str">
        <x:v>Pago</x:v>
      </x:c>
      <x:c r="N229" s="13" t="str">
        <x:v>Sem cobrança</x:v>
      </x:c>
      <x:c r="O229" s="13" t="str">
        <x:v>Base controlada</x:v>
      </x:c>
      <x:c r="P229" s="17" t="n">
        <x:f>IF(D229="",0,J229-K229+L229)</x:f>
        <x:v>15389.55</x:v>
      </x:c>
      <x:c r="Q229" s="17" t="n">
        <x:f>MAX(J229-P229-K229,0)</x:f>
        <x:v>0</x:v>
      </x:c>
      <x:c r="R229" s="13" t="n">
        <x:f>IF(D229="",MAX(TODAY()-C229,0),MAX(D229-C229,0))</x:f>
        <x:v>0</x:v>
      </x:c>
      <x:c r="S229" s="13" t="str">
        <x:f>IF(R229=0,"Em dia",IF(R229&lt;=15,"1-15 dias",IF(R229&lt;=30,"16-30 dias",IF(R229&lt;=60,"31-60 dias","Acima de 60 dias"))))</x:f>
        <x:v>Em dia</x:v>
      </x:c>
    </x:row>
    <x:row r="230">
      <x:c r="A230" s="13" t="str">
        <x:v>REC-000229</x:v>
      </x:c>
      <x:c r="B230" s="23" t="n">
        <x:v>45384</x:v>
      </x:c>
      <x:c r="C230" s="23" t="n">
        <x:v>45414</x:v>
      </x:c>
      <x:c r="D230" s="23" t="n">
        <x:v>45411</x:v>
      </x:c>
      <x:c r="E230" s="13" t="str">
        <x:v>VAL-022</x:v>
      </x:c>
      <x:c r="F230" s="13" t="str">
        <x:v>Academia Evoluir</x:v>
      </x:c>
      <x:c r="G230" s="13" t="str">
        <x:v>Educação</x:v>
      </x:c>
      <x:c r="H230" s="13" t="str">
        <x:v>Alto</x:v>
      </x:c>
      <x:c r="I230" s="13" t="str">
        <x:v>Gestão</x:v>
      </x:c>
      <x:c r="J230" s="17" t="n">
        <x:v>13868.48</x:v>
      </x:c>
      <x:c r="K230" s="17" t="n">
        <x:v>0</x:v>
      </x:c>
      <x:c r="L230" s="17" t="n">
        <x:v>0</x:v>
      </x:c>
      <x:c r="M230" s="13" t="str">
        <x:v>Pago</x:v>
      </x:c>
      <x:c r="N230" s="13" t="str">
        <x:v>Sem cobrança</x:v>
      </x:c>
      <x:c r="O230" s="13" t="str">
        <x:v>Base controlada</x:v>
      </x:c>
      <x:c r="P230" s="17" t="n">
        <x:f>IF(D230="",0,J230-K230+L230)</x:f>
        <x:v>13868.48</x:v>
      </x:c>
      <x:c r="Q230" s="17" t="n">
        <x:f>MAX(J230-P230-K230,0)</x:f>
        <x:v>0</x:v>
      </x:c>
      <x:c r="R230" s="13" t="n">
        <x:f>IF(D230="",MAX(TODAY()-C230,0),MAX(D230-C230,0))</x:f>
        <x:v>0</x:v>
      </x:c>
      <x:c r="S230" s="13" t="str">
        <x:f>IF(R230=0,"Em dia",IF(R230&lt;=15,"1-15 dias",IF(R230&lt;=30,"16-30 dias",IF(R230&lt;=60,"31-60 dias","Acima de 60 dias"))))</x:f>
        <x:v>Em dia</x:v>
      </x:c>
    </x:row>
    <x:row r="231">
      <x:c r="A231" s="13" t="str">
        <x:v>REC-000230</x:v>
      </x:c>
      <x:c r="B231" s="23" t="n">
        <x:v>45387</x:v>
      </x:c>
      <x:c r="C231" s="23" t="n">
        <x:v>45408</x:v>
      </x:c>
      <x:c r="D231" s="23" t="n">
        <x:v>45404</x:v>
      </x:c>
      <x:c r="E231" s="13" t="str">
        <x:v>VAL-017</x:v>
      </x:c>
      <x:c r="F231" s="13" t="str">
        <x:v>Centro Médico Vida</x:v>
      </x:c>
      <x:c r="G231" s="13" t="str">
        <x:v>Clínicas e Saúde</x:v>
      </x:c>
      <x:c r="H231" s="13" t="str">
        <x:v>Baixo</x:v>
      </x:c>
      <x:c r="I231" s="13" t="str">
        <x:v>Essencial</x:v>
      </x:c>
      <x:c r="J231" s="17" t="n">
        <x:v>15508.19</x:v>
      </x:c>
      <x:c r="K231" s="17" t="n">
        <x:v>0</x:v>
      </x:c>
      <x:c r="L231" s="17" t="n">
        <x:v>0</x:v>
      </x:c>
      <x:c r="M231" s="13" t="str">
        <x:v>Pago</x:v>
      </x:c>
      <x:c r="N231" s="13" t="str">
        <x:v>Sem cobrança</x:v>
      </x:c>
      <x:c r="O231" s="13" t="str">
        <x:v>Base controlada</x:v>
      </x:c>
      <x:c r="P231" s="17" t="n">
        <x:f>IF(D231="",0,J231-K231+L231)</x:f>
        <x:v>15508.19</x:v>
      </x:c>
      <x:c r="Q231" s="17" t="n">
        <x:f>MAX(J231-P231-K231,0)</x:f>
        <x:v>0</x:v>
      </x:c>
      <x:c r="R231" s="13" t="n">
        <x:f>IF(D231="",MAX(TODAY()-C231,0),MAX(D231-C231,0))</x:f>
        <x:v>0</x:v>
      </x:c>
      <x:c r="S231" s="13" t="str">
        <x:f>IF(R231=0,"Em dia",IF(R231&lt;=15,"1-15 dias",IF(R231&lt;=30,"16-30 dias",IF(R231&lt;=60,"31-60 dias","Acima de 60 dias"))))</x:f>
        <x:v>Em dia</x:v>
      </x:c>
    </x:row>
    <x:row r="232">
      <x:c r="A232" s="13" t="str">
        <x:v>REC-000231</x:v>
      </x:c>
      <x:c r="B232" s="23" t="n">
        <x:v>45395</x:v>
      </x:c>
      <x:c r="C232" s="23" t="n">
        <x:v>45410</x:v>
      </x:c>
      <x:c r="D232" s="23" t="n">
        <x:v>45406</x:v>
      </x:c>
      <x:c r="E232" s="13" t="str">
        <x:v>VAL-002</x:v>
      </x:c>
      <x:c r="F232" s="13" t="str">
        <x:v>Mendes &amp; Prado Consultoria</x:v>
      </x:c>
      <x:c r="G232" s="13" t="str">
        <x:v>Serviços Profissionais</x:v>
      </x:c>
      <x:c r="H232" s="13" t="str">
        <x:v>Baixo</x:v>
      </x:c>
      <x:c r="I232" s="13" t="str">
        <x:v>Gestão</x:v>
      </x:c>
      <x:c r="J232" s="17" t="n">
        <x:v>12686.53</x:v>
      </x:c>
      <x:c r="K232" s="17" t="n">
        <x:v>0</x:v>
      </x:c>
      <x:c r="L232" s="17" t="n">
        <x:v>0</x:v>
      </x:c>
      <x:c r="M232" s="13" t="str">
        <x:v>Pago</x:v>
      </x:c>
      <x:c r="N232" s="13" t="str">
        <x:v>Sem cobrança</x:v>
      </x:c>
      <x:c r="O232" s="13" t="str">
        <x:v>Base controlada</x:v>
      </x:c>
      <x:c r="P232" s="17" t="n">
        <x:f>IF(D232="",0,J232-K232+L232)</x:f>
        <x:v>12686.53</x:v>
      </x:c>
      <x:c r="Q232" s="17" t="n">
        <x:f>MAX(J232-P232-K232,0)</x:f>
        <x:v>0</x:v>
      </x:c>
      <x:c r="R232" s="13" t="n">
        <x:f>IF(D232="",MAX(TODAY()-C232,0),MAX(D232-C232,0))</x:f>
        <x:v>0</x:v>
      </x:c>
      <x:c r="S232" s="13" t="str">
        <x:f>IF(R232=0,"Em dia",IF(R232&lt;=15,"1-15 dias",IF(R232&lt;=30,"16-30 dias",IF(R232&lt;=60,"31-60 dias","Acima de 60 dias"))))</x:f>
        <x:v>Em dia</x:v>
      </x:c>
    </x:row>
    <x:row r="233">
      <x:c r="A233" s="13" t="str">
        <x:v>REC-000232</x:v>
      </x:c>
      <x:c r="B233" s="23" t="n">
        <x:v>45402</x:v>
      </x:c>
      <x:c r="C233" s="23" t="n">
        <x:v>45430</x:v>
      </x:c>
      <x:c r="D233" s="23" t="n">
        <x:v>45452</x:v>
      </x:c>
      <x:c r="E233" s="13" t="str">
        <x:v>VAL-021</x:v>
      </x:c>
      <x:c r="F233" s="13" t="str">
        <x:v>Base Forte Obras</x:v>
      </x:c>
      <x:c r="G233" s="13" t="str">
        <x:v>Construção</x:v>
      </x:c>
      <x:c r="H233" s="13" t="str">
        <x:v>Médio</x:v>
      </x:c>
      <x:c r="I233" s="13" t="str">
        <x:v>Essencial</x:v>
      </x:c>
      <x:c r="J233" s="17" t="n">
        <x:v>16462.41</x:v>
      </x:c>
      <x:c r="K233" s="17" t="n">
        <x:v>0</x:v>
      </x:c>
      <x:c r="L233" s="17" t="n">
        <x:v>235.41</x:v>
      </x:c>
      <x:c r="M233" s="13" t="str">
        <x:v>Pago com atraso</x:v>
      </x:c>
      <x:c r="N233" s="13" t="str">
        <x:v>E-mail</x:v>
      </x:c>
      <x:c r="O233" s="13" t="str">
        <x:v>Base controlada</x:v>
      </x:c>
      <x:c r="P233" s="17" t="n">
        <x:f>IF(D233="",0,J233-K233+L233)</x:f>
        <x:v>16697.82</x:v>
      </x:c>
      <x:c r="Q233" s="17" t="n">
        <x:f>MAX(J233-P233-K233,0)</x:f>
        <x:v>0</x:v>
      </x:c>
      <x:c r="R233" s="13" t="n">
        <x:f>IF(D233="",MAX(TODAY()-C233,0),MAX(D233-C233,0))</x:f>
        <x:v>22</x:v>
      </x:c>
      <x:c r="S233" s="13" t="str">
        <x:f>IF(R233=0,"Em dia",IF(R233&lt;=15,"1-15 dias",IF(R233&lt;=30,"16-30 dias",IF(R233&lt;=60,"31-60 dias","Acima de 60 dias"))))</x:f>
        <x:v>16-30 dias</x:v>
      </x:c>
    </x:row>
    <x:row r="234">
      <x:c r="A234" s="13" t="str">
        <x:v>REC-000233</x:v>
      </x:c>
      <x:c r="B234" s="23" t="n">
        <x:v>45393</x:v>
      </x:c>
      <x:c r="C234" s="23" t="n">
        <x:v>45423</x:v>
      </x:c>
      <x:c r="D234" s="23" t="n">
        <x:v>45419</x:v>
      </x:c>
      <x:c r="E234" s="13" t="str">
        <x:v>VAL-007</x:v>
      </x:c>
      <x:c r="F234" s="13" t="str">
        <x:v>Loja Prisma Online</x:v>
      </x:c>
      <x:c r="G234" s="13" t="str">
        <x:v>E-commerce</x:v>
      </x:c>
      <x:c r="H234" s="13" t="str">
        <x:v>Médio</x:v>
      </x:c>
      <x:c r="I234" s="13" t="str">
        <x:v>Performance</x:v>
      </x:c>
      <x:c r="J234" s="17" t="n">
        <x:v>34888.58</x:v>
      </x:c>
      <x:c r="K234" s="17" t="n">
        <x:v>0</x:v>
      </x:c>
      <x:c r="L234" s="17" t="n">
        <x:v>0</x:v>
      </x:c>
      <x:c r="M234" s="13" t="str">
        <x:v>Pago</x:v>
      </x:c>
      <x:c r="N234" s="13" t="str">
        <x:v>Sem cobrança</x:v>
      </x:c>
      <x:c r="O234" s="13" t="str">
        <x:v>Base controlada</x:v>
      </x:c>
      <x:c r="P234" s="17" t="n">
        <x:f>IF(D234="",0,J234-K234+L234)</x:f>
        <x:v>34888.58</x:v>
      </x:c>
      <x:c r="Q234" s="17" t="n">
        <x:f>MAX(J234-P234-K234,0)</x:f>
        <x:v>0</x:v>
      </x:c>
      <x:c r="R234" s="13" t="n">
        <x:f>IF(D234="",MAX(TODAY()-C234,0),MAX(D234-C234,0))</x:f>
        <x:v>0</x:v>
      </x:c>
      <x:c r="S234" s="13" t="str">
        <x:f>IF(R234=0,"Em dia",IF(R234&lt;=15,"1-15 dias",IF(R234&lt;=30,"16-30 dias",IF(R234&lt;=60,"31-60 dias","Acima de 60 dias"))))</x:f>
        <x:v>Em dia</x:v>
      </x:c>
    </x:row>
    <x:row r="235">
      <x:c r="A235" s="13" t="str">
        <x:v>REC-000234</x:v>
      </x:c>
      <x:c r="B235" s="23" t="n">
        <x:v>45398</x:v>
      </x:c>
      <x:c r="C235" s="23" t="n">
        <x:v>45419</x:v>
      </x:c>
      <x:c r="D235" s="23" t="n">
        <x:v>45416</x:v>
      </x:c>
      <x:c r="E235" s="13" t="str">
        <x:v>VAL-023</x:v>
      </x:c>
      <x:c r="F235" s="13" t="str">
        <x:v>ShopMix Brasil</x:v>
      </x:c>
      <x:c r="G235" s="13" t="str">
        <x:v>E-commerce</x:v>
      </x:c>
      <x:c r="H235" s="13" t="str">
        <x:v>Baixo</x:v>
      </x:c>
      <x:c r="I235" s="13" t="str">
        <x:v>Performance</x:v>
      </x:c>
      <x:c r="J235" s="17" t="n">
        <x:v>4031.65</x:v>
      </x:c>
      <x:c r="K235" s="17" t="n">
        <x:v>0</x:v>
      </x:c>
      <x:c r="L235" s="17" t="n">
        <x:v>0</x:v>
      </x:c>
      <x:c r="M235" s="13" t="str">
        <x:v>Pago</x:v>
      </x:c>
      <x:c r="N235" s="13" t="str">
        <x:v>Sem cobrança</x:v>
      </x:c>
      <x:c r="O235" s="13" t="str">
        <x:v>Base controlada</x:v>
      </x:c>
      <x:c r="P235" s="17" t="n">
        <x:f>IF(D235="",0,J235-K235+L235)</x:f>
        <x:v>4031.65</x:v>
      </x:c>
      <x:c r="Q235" s="17" t="n">
        <x:f>MAX(J235-P235-K235,0)</x:f>
        <x:v>0</x:v>
      </x:c>
      <x:c r="R235" s="13" t="n">
        <x:f>IF(D235="",MAX(TODAY()-C235,0),MAX(D235-C235,0))</x:f>
        <x:v>0</x:v>
      </x:c>
      <x:c r="S235" s="13" t="str">
        <x:f>IF(R235=0,"Em dia",IF(R235&lt;=15,"1-15 dias",IF(R235&lt;=30,"16-30 dias",IF(R235&lt;=60,"31-60 dias","Acima de 60 dias"))))</x:f>
        <x:v>Em dia</x:v>
      </x:c>
    </x:row>
    <x:row r="236">
      <x:c r="A236" s="13" t="str">
        <x:v>REC-000235</x:v>
      </x:c>
      <x:c r="B236" s="23" t="n">
        <x:v>45395</x:v>
      </x:c>
      <x:c r="C236" s="23" t="n">
        <x:v>45402</x:v>
      </x:c>
      <x:c r="D236" s="23" t="n">
        <x:v>45399</x:v>
      </x:c>
      <x:c r="E236" s="13" t="str">
        <x:v>VAL-004</x:v>
      </x:c>
      <x:c r="F236" s="13" t="str">
        <x:v>NuvemBase Tecnologia</x:v>
      </x:c>
      <x:c r="G236" s="13" t="str">
        <x:v>Tecnologia</x:v>
      </x:c>
      <x:c r="H236" s="13" t="str">
        <x:v>Baixo</x:v>
      </x:c>
      <x:c r="I236" s="13" t="str">
        <x:v>Enterprise</x:v>
      </x:c>
      <x:c r="J236" s="17" t="n">
        <x:v>20539.43</x:v>
      </x:c>
      <x:c r="K236" s="17" t="n">
        <x:v>107.56</x:v>
      </x:c>
      <x:c r="L236" s="17" t="n">
        <x:v>0</x:v>
      </x:c>
      <x:c r="M236" s="13" t="str">
        <x:v>Pago</x:v>
      </x:c>
      <x:c r="N236" s="13" t="str">
        <x:v>Sem cobrança</x:v>
      </x:c>
      <x:c r="O236" s="13" t="str">
        <x:v>Base controlada</x:v>
      </x:c>
      <x:c r="P236" s="17" t="n">
        <x:f>IF(D236="",0,J236-K236+L236)</x:f>
        <x:v>20431.87</x:v>
      </x:c>
      <x:c r="Q236" s="17" t="n">
        <x:f>MAX(J236-P236-K236,0)</x:f>
        <x:v>1.3073986337985843e-12</x:v>
      </x:c>
      <x:c r="R236" s="13" t="n">
        <x:f>IF(D236="",MAX(TODAY()-C236,0),MAX(D236-C236,0))</x:f>
        <x:v>0</x:v>
      </x:c>
      <x:c r="S236" s="13" t="str">
        <x:f>IF(R236=0,"Em dia",IF(R236&lt;=15,"1-15 dias",IF(R236&lt;=30,"16-30 dias",IF(R236&lt;=60,"31-60 dias","Acima de 60 dias"))))</x:f>
        <x:v>Em dia</x:v>
      </x:c>
    </x:row>
    <x:row r="237">
      <x:c r="A237" s="13" t="str">
        <x:v>REC-000236</x:v>
      </x:c>
      <x:c r="B237" s="23" t="n">
        <x:v>45392</x:v>
      </x:c>
      <x:c r="C237" s="23" t="n">
        <x:v>45420</x:v>
      </x:c>
      <x:c r="D237" s="23" t="n">
        <x:v>45433</x:v>
      </x:c>
      <x:c r="E237" s="13" t="str">
        <x:v>VAL-006</x:v>
      </x:c>
      <x:c r="F237" s="13" t="str">
        <x:v>Instituto Saber Mais</x:v>
      </x:c>
      <x:c r="G237" s="13" t="str">
        <x:v>Educação</x:v>
      </x:c>
      <x:c r="H237" s="13" t="str">
        <x:v>Médio</x:v>
      </x:c>
      <x:c r="I237" s="13" t="str">
        <x:v>Gestão</x:v>
      </x:c>
      <x:c r="J237" s="17" t="n">
        <x:v>5557.62</x:v>
      </x:c>
      <x:c r="K237" s="17" t="n">
        <x:v>0</x:v>
      </x:c>
      <x:c r="L237" s="17" t="n">
        <x:v>46.96</x:v>
      </x:c>
      <x:c r="M237" s="13" t="str">
        <x:v>Pago com atraso</x:v>
      </x:c>
      <x:c r="N237" s="13" t="str">
        <x:v>Telefone</x:v>
      </x:c>
      <x:c r="O237" s="13" t="str">
        <x:v>Base controlada</x:v>
      </x:c>
      <x:c r="P237" s="17" t="n">
        <x:f>IF(D237="",0,J237-K237+L237)</x:f>
        <x:v>5604.58</x:v>
      </x:c>
      <x:c r="Q237" s="17" t="n">
        <x:f>MAX(J237-P237-K237,0)</x:f>
        <x:v>0</x:v>
      </x:c>
      <x:c r="R237" s="13" t="n">
        <x:f>IF(D237="",MAX(TODAY()-C237,0),MAX(D237-C237,0))</x:f>
        <x:v>13</x:v>
      </x:c>
      <x:c r="S237" s="13" t="str">
        <x:f>IF(R237=0,"Em dia",IF(R237&lt;=15,"1-15 dias",IF(R237&lt;=30,"16-30 dias",IF(R237&lt;=60,"31-60 dias","Acima de 60 dias"))))</x:f>
        <x:v>1-15 dias</x:v>
      </x:c>
    </x:row>
    <x:row r="238">
      <x:c r="A238" s="13" t="str">
        <x:v>REC-000237</x:v>
      </x:c>
      <x:c r="B238" s="23" t="n">
        <x:v>45389</x:v>
      </x:c>
      <x:c r="C238" s="23" t="n">
        <x:v>45419</x:v>
      </x:c>
      <x:c r="D238" s="23" t="n">
        <x:v>45416</x:v>
      </x:c>
      <x:c r="E238" s="13" t="str">
        <x:v>VAL-024</x:v>
      </x:c>
      <x:c r="F238" s="13" t="str">
        <x:v>NovaForma Móveis</x:v>
      </x:c>
      <x:c r="G238" s="13" t="str">
        <x:v>Indústria Leve</x:v>
      </x:c>
      <x:c r="H238" s="13" t="str">
        <x:v>Baixo</x:v>
      </x:c>
      <x:c r="I238" s="13" t="str">
        <x:v>Enterprise</x:v>
      </x:c>
      <x:c r="J238" s="17" t="n">
        <x:v>24975.89</x:v>
      </x:c>
      <x:c r="K238" s="17" t="n">
        <x:v>0</x:v>
      </x:c>
      <x:c r="L238" s="17" t="n">
        <x:v>0</x:v>
      </x:c>
      <x:c r="M238" s="13" t="str">
        <x:v>Pago</x:v>
      </x:c>
      <x:c r="N238" s="13" t="str">
        <x:v>Sem cobrança</x:v>
      </x:c>
      <x:c r="O238" s="13" t="str">
        <x:v>Base controlada</x:v>
      </x:c>
      <x:c r="P238" s="17" t="n">
        <x:f>IF(D238="",0,J238-K238+L238)</x:f>
        <x:v>24975.89</x:v>
      </x:c>
      <x:c r="Q238" s="17" t="n">
        <x:f>MAX(J238-P238-K238,0)</x:f>
        <x:v>0</x:v>
      </x:c>
      <x:c r="R238" s="13" t="n">
        <x:f>IF(D238="",MAX(TODAY()-C238,0),MAX(D238-C238,0))</x:f>
        <x:v>0</x:v>
      </x:c>
      <x:c r="S238" s="13" t="str">
        <x:f>IF(R238=0,"Em dia",IF(R238&lt;=15,"1-15 dias",IF(R238&lt;=30,"16-30 dias",IF(R238&lt;=60,"31-60 dias","Acima de 60 dias"))))</x:f>
        <x:v>Em dia</x:v>
      </x:c>
    </x:row>
    <x:row r="239">
      <x:c r="A239" s="13" t="str">
        <x:v>REC-000238</x:v>
      </x:c>
      <x:c r="B239" s="23" t="n">
        <x:v>45392</x:v>
      </x:c>
      <x:c r="C239" s="23" t="n">
        <x:v>45407</x:v>
      </x:c>
      <x:c r="D239" s="23" t="n">
        <x:v>45407</x:v>
      </x:c>
      <x:c r="E239" s="13" t="str">
        <x:v>VAL-015</x:v>
      </x:c>
      <x:c r="F239" s="13" t="str">
        <x:v>Mercado Click</x:v>
      </x:c>
      <x:c r="G239" s="13" t="str">
        <x:v>E-commerce</x:v>
      </x:c>
      <x:c r="H239" s="13" t="str">
        <x:v>Baixo</x:v>
      </x:c>
      <x:c r="I239" s="13" t="str">
        <x:v>Performance</x:v>
      </x:c>
      <x:c r="J239" s="17" t="n">
        <x:v>4915.34</x:v>
      </x:c>
      <x:c r="K239" s="17" t="n">
        <x:v>53.19</x:v>
      </x:c>
      <x:c r="L239" s="17" t="n">
        <x:v>0</x:v>
      </x:c>
      <x:c r="M239" s="13" t="str">
        <x:v>Pago</x:v>
      </x:c>
      <x:c r="N239" s="13" t="str">
        <x:v>Sem cobrança</x:v>
      </x:c>
      <x:c r="O239" s="13" t="str">
        <x:v>Base controlada</x:v>
      </x:c>
      <x:c r="P239" s="17" t="n">
        <x:f>IF(D239="",0,J239-K239+L239)</x:f>
        <x:v>4862.150000000001</x:v>
      </x:c>
      <x:c r="Q239" s="17" t="n">
        <x:f>MAX(J239-P239-K239,0)</x:f>
        <x:v>0</x:v>
      </x:c>
      <x:c r="R239" s="13" t="n">
        <x:f>IF(D239="",MAX(TODAY()-C239,0),MAX(D239-C239,0))</x:f>
        <x:v>0</x:v>
      </x:c>
      <x:c r="S239" s="13" t="str">
        <x:f>IF(R239=0,"Em dia",IF(R239&lt;=15,"1-15 dias",IF(R239&lt;=30,"16-30 dias",IF(R239&lt;=60,"31-60 dias","Acima de 60 dias"))))</x:f>
        <x:v>Em dia</x:v>
      </x:c>
    </x:row>
    <x:row r="240">
      <x:c r="A240" s="13" t="str">
        <x:v>REC-000239</x:v>
      </x:c>
      <x:c r="B240" s="23" t="n">
        <x:v>45393</x:v>
      </x:c>
      <x:c r="C240" s="23" t="n">
        <x:v>45421</x:v>
      </x:c>
      <x:c r="D240" s="23" t="n">
        <x:v>45417</x:v>
      </x:c>
      <x:c r="E240" s="13" t="str">
        <x:v>VAL-024</x:v>
      </x:c>
      <x:c r="F240" s="13" t="str">
        <x:v>NovaForma Móveis</x:v>
      </x:c>
      <x:c r="G240" s="13" t="str">
        <x:v>Indústria Leve</x:v>
      </x:c>
      <x:c r="H240" s="13" t="str">
        <x:v>Baixo</x:v>
      </x:c>
      <x:c r="I240" s="13" t="str">
        <x:v>Enterprise</x:v>
      </x:c>
      <x:c r="J240" s="17" t="n">
        <x:v>17812.62</x:v>
      </x:c>
      <x:c r="K240" s="17" t="n">
        <x:v>0</x:v>
      </x:c>
      <x:c r="L240" s="17" t="n">
        <x:v>0</x:v>
      </x:c>
      <x:c r="M240" s="13" t="str">
        <x:v>Pago</x:v>
      </x:c>
      <x:c r="N240" s="13" t="str">
        <x:v>Sem cobrança</x:v>
      </x:c>
      <x:c r="O240" s="13" t="str">
        <x:v>Base controlada</x:v>
      </x:c>
      <x:c r="P240" s="17" t="n">
        <x:f>IF(D240="",0,J240-K240+L240)</x:f>
        <x:v>17812.62</x:v>
      </x:c>
      <x:c r="Q240" s="17" t="n">
        <x:f>MAX(J240-P240-K240,0)</x:f>
        <x:v>0</x:v>
      </x:c>
      <x:c r="R240" s="13" t="n">
        <x:f>IF(D240="",MAX(TODAY()-C240,0),MAX(D240-C240,0))</x:f>
        <x:v>0</x:v>
      </x:c>
      <x:c r="S240" s="13" t="str">
        <x:f>IF(R240=0,"Em dia",IF(R240&lt;=15,"1-15 dias",IF(R240&lt;=30,"16-30 dias",IF(R240&lt;=60,"31-60 dias","Acima de 60 dias"))))</x:f>
        <x:v>Em dia</x:v>
      </x:c>
    </x:row>
    <x:row r="241">
      <x:c r="A241" s="13" t="str">
        <x:v>REC-000240</x:v>
      </x:c>
      <x:c r="B241" s="23" t="n">
        <x:v>45399</x:v>
      </x:c>
      <x:c r="C241" s="23" t="n">
        <x:v>45414</x:v>
      </x:c>
      <x:c r="D241" s="23" t="n">
        <x:v>45411</x:v>
      </x:c>
      <x:c r="E241" s="13" t="str">
        <x:v>VAL-006</x:v>
      </x:c>
      <x:c r="F241" s="13" t="str">
        <x:v>Instituto Saber Mais</x:v>
      </x:c>
      <x:c r="G241" s="13" t="str">
        <x:v>Educação</x:v>
      </x:c>
      <x:c r="H241" s="13" t="str">
        <x:v>Médio</x:v>
      </x:c>
      <x:c r="I241" s="13" t="str">
        <x:v>Gestão</x:v>
      </x:c>
      <x:c r="J241" s="17" t="n">
        <x:v>3066.15</x:v>
      </x:c>
      <x:c r="K241" s="17" t="n">
        <x:v>44.91</x:v>
      </x:c>
      <x:c r="L241" s="17" t="n">
        <x:v>0</x:v>
      </x:c>
      <x:c r="M241" s="13" t="str">
        <x:v>Pago</x:v>
      </x:c>
      <x:c r="N241" s="13" t="str">
        <x:v>Sem cobrança</x:v>
      </x:c>
      <x:c r="O241" s="13" t="str">
        <x:v>Base controlada</x:v>
      </x:c>
      <x:c r="P241" s="17" t="n">
        <x:f>IF(D241="",0,J241-K241+L241)</x:f>
        <x:v>3021.2400000000002</x:v>
      </x:c>
      <x:c r="Q241" s="17" t="n">
        <x:f>MAX(J241-P241-K241,0)</x:f>
        <x:v>0</x:v>
      </x:c>
      <x:c r="R241" s="13" t="n">
        <x:f>IF(D241="",MAX(TODAY()-C241,0),MAX(D241-C241,0))</x:f>
        <x:v>0</x:v>
      </x:c>
      <x:c r="S241" s="13" t="str">
        <x:f>IF(R241=0,"Em dia",IF(R241&lt;=15,"1-15 dias",IF(R241&lt;=30,"16-30 dias",IF(R241&lt;=60,"31-60 dias","Acima de 60 dias"))))</x:f>
        <x:v>Em dia</x:v>
      </x:c>
    </x:row>
    <x:row r="242">
      <x:c r="A242" s="13" t="str">
        <x:v>REC-000241</x:v>
      </x:c>
      <x:c r="B242" s="23" t="n">
        <x:v>45420</x:v>
      </x:c>
      <x:c r="C242" s="23" t="n">
        <x:v>45427</x:v>
      </x:c>
      <x:c r="D242" s="23" t="n">
        <x:v>45427</x:v>
      </x:c>
      <x:c r="E242" s="13" t="str">
        <x:v>VAL-015</x:v>
      </x:c>
      <x:c r="F242" s="13" t="str">
        <x:v>Mercado Click</x:v>
      </x:c>
      <x:c r="G242" s="13" t="str">
        <x:v>E-commerce</x:v>
      </x:c>
      <x:c r="H242" s="13" t="str">
        <x:v>Baixo</x:v>
      </x:c>
      <x:c r="I242" s="13" t="str">
        <x:v>Performance</x:v>
      </x:c>
      <x:c r="J242" s="17" t="n">
        <x:v>14020.01</x:v>
      </x:c>
      <x:c r="K242" s="17" t="n">
        <x:v>236.48</x:v>
      </x:c>
      <x:c r="L242" s="17" t="n">
        <x:v>0</x:v>
      </x:c>
      <x:c r="M242" s="13" t="str">
        <x:v>Pago</x:v>
      </x:c>
      <x:c r="N242" s="13" t="str">
        <x:v>Sem cobrança</x:v>
      </x:c>
      <x:c r="O242" s="13" t="str">
        <x:v>Base controlada</x:v>
      </x:c>
      <x:c r="P242" s="17" t="n">
        <x:f>IF(D242="",0,J242-K242+L242)</x:f>
        <x:v>13783.53</x:v>
      </x:c>
      <x:c r="Q242" s="17" t="n">
        <x:f>MAX(J242-P242-K242,0)</x:f>
        <x:v>0</x:v>
      </x:c>
      <x:c r="R242" s="13" t="n">
        <x:f>IF(D242="",MAX(TODAY()-C242,0),MAX(D242-C242,0))</x:f>
        <x:v>0</x:v>
      </x:c>
      <x:c r="S242" s="13" t="str">
        <x:f>IF(R242=0,"Em dia",IF(R242&lt;=15,"1-15 dias",IF(R242&lt;=30,"16-30 dias",IF(R242&lt;=60,"31-60 dias","Acima de 60 dias"))))</x:f>
        <x:v>Em dia</x:v>
      </x:c>
    </x:row>
    <x:row r="243">
      <x:c r="A243" s="13" t="str">
        <x:v>REC-000242</x:v>
      </x:c>
      <x:c r="B243" s="23" t="n">
        <x:v>45423</x:v>
      </x:c>
      <x:c r="C243" s="23" t="n">
        <x:v>45444</x:v>
      </x:c>
      <x:c r="D243" s="23" t="n">
        <x:v>45444</x:v>
      </x:c>
      <x:c r="E243" s="13" t="str">
        <x:v>VAL-005</x:v>
      </x:c>
      <x:c r="F243" s="13" t="str">
        <x:v>Construtora Alameda</x:v>
      </x:c>
      <x:c r="G243" s="13" t="str">
        <x:v>Construção</x:v>
      </x:c>
      <x:c r="H243" s="13" t="str">
        <x:v>Médio</x:v>
      </x:c>
      <x:c r="I243" s="13" t="str">
        <x:v>Essencial</x:v>
      </x:c>
      <x:c r="J243" s="17" t="n">
        <x:v>24836.3</x:v>
      </x:c>
      <x:c r="K243" s="17" t="n">
        <x:v>0</x:v>
      </x:c>
      <x:c r="L243" s="17" t="n">
        <x:v>0</x:v>
      </x:c>
      <x:c r="M243" s="13" t="str">
        <x:v>Pago</x:v>
      </x:c>
      <x:c r="N243" s="13" t="str">
        <x:v>Sem cobrança</x:v>
      </x:c>
      <x:c r="O243" s="13" t="str">
        <x:v>Base controlada</x:v>
      </x:c>
      <x:c r="P243" s="17" t="n">
        <x:f>IF(D243="",0,J243-K243+L243)</x:f>
        <x:v>24836.3</x:v>
      </x:c>
      <x:c r="Q243" s="17" t="n">
        <x:f>MAX(J243-P243-K243,0)</x:f>
        <x:v>0</x:v>
      </x:c>
      <x:c r="R243" s="13" t="n">
        <x:f>IF(D243="",MAX(TODAY()-C243,0),MAX(D243-C243,0))</x:f>
        <x:v>0</x:v>
      </x:c>
      <x:c r="S243" s="13" t="str">
        <x:f>IF(R243=0,"Em dia",IF(R243&lt;=15,"1-15 dias",IF(R243&lt;=30,"16-30 dias",IF(R243&lt;=60,"31-60 dias","Acima de 60 dias"))))</x:f>
        <x:v>Em dia</x:v>
      </x:c>
    </x:row>
    <x:row r="244">
      <x:c r="A244" s="13" t="str">
        <x:v>REC-000243</x:v>
      </x:c>
      <x:c r="B244" s="23" t="n">
        <x:v>45432</x:v>
      </x:c>
      <x:c r="C244" s="23" t="n">
        <x:v>45439</x:v>
      </x:c>
      <x:c r="D244" s="23" t="n">
        <x:v>45435</x:v>
      </x:c>
      <x:c r="E244" s="13" t="str">
        <x:v>VAL-020</x:v>
      </x:c>
      <x:c r="F244" s="13" t="str">
        <x:v>Corelink Digital</x:v>
      </x:c>
      <x:c r="G244" s="13" t="str">
        <x:v>Tecnologia</x:v>
      </x:c>
      <x:c r="H244" s="13" t="str">
        <x:v>Baixo</x:v>
      </x:c>
      <x:c r="I244" s="13" t="str">
        <x:v>Enterprise</x:v>
      </x:c>
      <x:c r="J244" s="17" t="n">
        <x:v>34558.5</x:v>
      </x:c>
      <x:c r="K244" s="17" t="n">
        <x:v>0</x:v>
      </x:c>
      <x:c r="L244" s="17" t="n">
        <x:v>0</x:v>
      </x:c>
      <x:c r="M244" s="13" t="str">
        <x:v>Pago</x:v>
      </x:c>
      <x:c r="N244" s="13" t="str">
        <x:v>Sem cobrança</x:v>
      </x:c>
      <x:c r="O244" s="13" t="str">
        <x:v>Base controlada</x:v>
      </x:c>
      <x:c r="P244" s="17" t="n">
        <x:f>IF(D244="",0,J244-K244+L244)</x:f>
        <x:v>34558.5</x:v>
      </x:c>
      <x:c r="Q244" s="17" t="n">
        <x:f>MAX(J244-P244-K244,0)</x:f>
        <x:v>0</x:v>
      </x:c>
      <x:c r="R244" s="13" t="n">
        <x:f>IF(D244="",MAX(TODAY()-C244,0),MAX(D244-C244,0))</x:f>
        <x:v>0</x:v>
      </x:c>
      <x:c r="S244" s="13" t="str">
        <x:f>IF(R244=0,"Em dia",IF(R244&lt;=15,"1-15 dias",IF(R244&lt;=30,"16-30 dias",IF(R244&lt;=60,"31-60 dias","Acima de 60 dias"))))</x:f>
        <x:v>Em dia</x:v>
      </x:c>
    </x:row>
    <x:row r="245">
      <x:c r="A245" s="13" t="str">
        <x:v>REC-000244</x:v>
      </x:c>
      <x:c r="B245" s="23" t="n">
        <x:v>45431</x:v>
      </x:c>
      <x:c r="C245" s="23" t="n">
        <x:v>45438</x:v>
      </x:c>
      <x:c r="D245" s="23" t="n">
        <x:v>45435</x:v>
      </x:c>
      <x:c r="E245" s="13" t="str">
        <x:v>VAL-003</x:v>
      </x:c>
      <x:c r="F245" s="13" t="str">
        <x:v>Casa Nova Varejo</x:v>
      </x:c>
      <x:c r="G245" s="13" t="str">
        <x:v>Varejo</x:v>
      </x:c>
      <x:c r="H245" s="13" t="str">
        <x:v>Baixo</x:v>
      </x:c>
      <x:c r="I245" s="13" t="str">
        <x:v>Performance</x:v>
      </x:c>
      <x:c r="J245" s="17" t="n">
        <x:v>30857.83</x:v>
      </x:c>
      <x:c r="K245" s="17" t="n">
        <x:v>0</x:v>
      </x:c>
      <x:c r="L245" s="17" t="n">
        <x:v>0</x:v>
      </x:c>
      <x:c r="M245" s="13" t="str">
        <x:v>Pago</x:v>
      </x:c>
      <x:c r="N245" s="13" t="str">
        <x:v>Sem cobrança</x:v>
      </x:c>
      <x:c r="O245" s="13" t="str">
        <x:v>Base controlada</x:v>
      </x:c>
      <x:c r="P245" s="17" t="n">
        <x:f>IF(D245="",0,J245-K245+L245)</x:f>
        <x:v>30857.83</x:v>
      </x:c>
      <x:c r="Q245" s="17" t="n">
        <x:f>MAX(J245-P245-K245,0)</x:f>
        <x:v>0</x:v>
      </x:c>
      <x:c r="R245" s="13" t="n">
        <x:f>IF(D245="",MAX(TODAY()-C245,0),MAX(D245-C245,0))</x:f>
        <x:v>0</x:v>
      </x:c>
      <x:c r="S245" s="13" t="str">
        <x:f>IF(R245=0,"Em dia",IF(R245&lt;=15,"1-15 dias",IF(R245&lt;=30,"16-30 dias",IF(R245&lt;=60,"31-60 dias","Acima de 60 dias"))))</x:f>
        <x:v>Em dia</x:v>
      </x:c>
    </x:row>
    <x:row r="246">
      <x:c r="A246" s="13" t="str">
        <x:v>REC-000245</x:v>
      </x:c>
      <x:c r="B246" s="23" t="n">
        <x:v>45416</x:v>
      </x:c>
      <x:c r="C246" s="23" t="n">
        <x:v>45437</x:v>
      </x:c>
      <x:c r="D246" s="23" t="n">
        <x:v>45435</x:v>
      </x:c>
      <x:c r="E246" s="13" t="str">
        <x:v>VAL-001</x:v>
      </x:c>
      <x:c r="F246" s="13" t="str">
        <x:v>Clínica Horizonte</x:v>
      </x:c>
      <x:c r="G246" s="13" t="str">
        <x:v>Clínicas e Saúde</x:v>
      </x:c>
      <x:c r="H246" s="13" t="str">
        <x:v>Baixo</x:v>
      </x:c>
      <x:c r="I246" s="13" t="str">
        <x:v>Essencial</x:v>
      </x:c>
      <x:c r="J246" s="17" t="n">
        <x:v>24281.41</x:v>
      </x:c>
      <x:c r="K246" s="17" t="n">
        <x:v>0</x:v>
      </x:c>
      <x:c r="L246" s="17" t="n">
        <x:v>0</x:v>
      </x:c>
      <x:c r="M246" s="13" t="str">
        <x:v>Pago</x:v>
      </x:c>
      <x:c r="N246" s="13" t="str">
        <x:v>Sem cobrança</x:v>
      </x:c>
      <x:c r="O246" s="13" t="str">
        <x:v>Base controlada</x:v>
      </x:c>
      <x:c r="P246" s="17" t="n">
        <x:f>IF(D246="",0,J246-K246+L246)</x:f>
        <x:v>24281.41</x:v>
      </x:c>
      <x:c r="Q246" s="17" t="n">
        <x:f>MAX(J246-P246-K246,0)</x:f>
        <x:v>0</x:v>
      </x:c>
      <x:c r="R246" s="13" t="n">
        <x:f>IF(D246="",MAX(TODAY()-C246,0),MAX(D246-C246,0))</x:f>
        <x:v>0</x:v>
      </x:c>
      <x:c r="S246" s="13" t="str">
        <x:f>IF(R246=0,"Em dia",IF(R246&lt;=15,"1-15 dias",IF(R246&lt;=30,"16-30 dias",IF(R246&lt;=60,"31-60 dias","Acima de 60 dias"))))</x:f>
        <x:v>Em dia</x:v>
      </x:c>
    </x:row>
    <x:row r="247">
      <x:c r="A247" s="13" t="str">
        <x:v>REC-000246</x:v>
      </x:c>
      <x:c r="B247" s="23" t="n">
        <x:v>45417</x:v>
      </x:c>
      <x:c r="C247" s="23" t="n">
        <x:v>45438</x:v>
      </x:c>
      <x:c r="D247" s="23" t="n">
        <x:v>45434</x:v>
      </x:c>
      <x:c r="E247" s="13" t="str">
        <x:v>VAL-017</x:v>
      </x:c>
      <x:c r="F247" s="13" t="str">
        <x:v>Centro Médico Vida</x:v>
      </x:c>
      <x:c r="G247" s="13" t="str">
        <x:v>Clínicas e Saúde</x:v>
      </x:c>
      <x:c r="H247" s="13" t="str">
        <x:v>Baixo</x:v>
      </x:c>
      <x:c r="I247" s="13" t="str">
        <x:v>Essencial</x:v>
      </x:c>
      <x:c r="J247" s="17" t="n">
        <x:v>4830.34</x:v>
      </x:c>
      <x:c r="K247" s="17" t="n">
        <x:v>0</x:v>
      </x:c>
      <x:c r="L247" s="17" t="n">
        <x:v>0</x:v>
      </x:c>
      <x:c r="M247" s="13" t="str">
        <x:v>Pago</x:v>
      </x:c>
      <x:c r="N247" s="13" t="str">
        <x:v>Sem cobrança</x:v>
      </x:c>
      <x:c r="O247" s="13" t="str">
        <x:v>Base controlada</x:v>
      </x:c>
      <x:c r="P247" s="17" t="n">
        <x:f>IF(D247="",0,J247-K247+L247)</x:f>
        <x:v>4830.34</x:v>
      </x:c>
      <x:c r="Q247" s="17" t="n">
        <x:f>MAX(J247-P247-K247,0)</x:f>
        <x:v>0</x:v>
      </x:c>
      <x:c r="R247" s="13" t="n">
        <x:f>IF(D247="",MAX(TODAY()-C247,0),MAX(D247-C247,0))</x:f>
        <x:v>0</x:v>
      </x:c>
      <x:c r="S247" s="13" t="str">
        <x:f>IF(R247=0,"Em dia",IF(R247&lt;=15,"1-15 dias",IF(R247&lt;=30,"16-30 dias",IF(R247&lt;=60,"31-60 dias","Acima de 60 dias"))))</x:f>
        <x:v>Em dia</x:v>
      </x:c>
    </x:row>
    <x:row r="248">
      <x:c r="A248" s="13" t="str">
        <x:v>REC-000247</x:v>
      </x:c>
      <x:c r="B248" s="23" t="n">
        <x:v>45422</x:v>
      </x:c>
      <x:c r="C248" s="23" t="n">
        <x:v>45452</x:v>
      </x:c>
      <x:c r="D248" s="23" t="n">
        <x:v>45452</x:v>
      </x:c>
      <x:c r="E248" s="13" t="str">
        <x:v>VAL-014</x:v>
      </x:c>
      <x:c r="F248" s="13" t="str">
        <x:v>Colégio Caminhos</x:v>
      </x:c>
      <x:c r="G248" s="13" t="str">
        <x:v>Educação</x:v>
      </x:c>
      <x:c r="H248" s="13" t="str">
        <x:v>Médio</x:v>
      </x:c>
      <x:c r="I248" s="13" t="str">
        <x:v>Gestão</x:v>
      </x:c>
      <x:c r="J248" s="17" t="n">
        <x:v>3893.04</x:v>
      </x:c>
      <x:c r="K248" s="17" t="n">
        <x:v>0</x:v>
      </x:c>
      <x:c r="L248" s="17" t="n">
        <x:v>0</x:v>
      </x:c>
      <x:c r="M248" s="13" t="str">
        <x:v>Pago</x:v>
      </x:c>
      <x:c r="N248" s="13" t="str">
        <x:v>Sem cobrança</x:v>
      </x:c>
      <x:c r="O248" s="13" t="str">
        <x:v>Base controlada</x:v>
      </x:c>
      <x:c r="P248" s="17" t="n">
        <x:f>IF(D248="",0,J248-K248+L248)</x:f>
        <x:v>3893.04</x:v>
      </x:c>
      <x:c r="Q248" s="17" t="n">
        <x:f>MAX(J248-P248-K248,0)</x:f>
        <x:v>0</x:v>
      </x:c>
      <x:c r="R248" s="13" t="n">
        <x:f>IF(D248="",MAX(TODAY()-C248,0),MAX(D248-C248,0))</x:f>
        <x:v>0</x:v>
      </x:c>
      <x:c r="S248" s="13" t="str">
        <x:f>IF(R248=0,"Em dia",IF(R248&lt;=15,"1-15 dias",IF(R248&lt;=30,"16-30 dias",IF(R248&lt;=60,"31-60 dias","Acima de 60 dias"))))</x:f>
        <x:v>Em dia</x:v>
      </x:c>
    </x:row>
    <x:row r="249">
      <x:c r="A249" s="13" t="str">
        <x:v>REC-000248</x:v>
      </x:c>
      <x:c r="B249" s="23" t="n">
        <x:v>45427</x:v>
      </x:c>
      <x:c r="C249" s="23" t="n">
        <x:v>45448</x:v>
      </x:c>
      <x:c r="D249" s="23" t="n">
        <x:v>45445</x:v>
      </x:c>
      <x:c r="E249" s="13" t="str">
        <x:v>VAL-011</x:v>
      </x:c>
      <x:c r="F249" s="13" t="str">
        <x:v>Rede Essencial</x:v>
      </x:c>
      <x:c r="G249" s="13" t="str">
        <x:v>Varejo</x:v>
      </x:c>
      <x:c r="H249" s="13" t="str">
        <x:v>Médio</x:v>
      </x:c>
      <x:c r="I249" s="13" t="str">
        <x:v>Performance</x:v>
      </x:c>
      <x:c r="J249" s="17" t="n">
        <x:v>16911.64</x:v>
      </x:c>
      <x:c r="K249" s="17" t="n">
        <x:v>0</x:v>
      </x:c>
      <x:c r="L249" s="17" t="n">
        <x:v>0</x:v>
      </x:c>
      <x:c r="M249" s="13" t="str">
        <x:v>Pago</x:v>
      </x:c>
      <x:c r="N249" s="13" t="str">
        <x:v>Sem cobrança</x:v>
      </x:c>
      <x:c r="O249" s="13" t="str">
        <x:v>Base controlada</x:v>
      </x:c>
      <x:c r="P249" s="17" t="n">
        <x:f>IF(D249="",0,J249-K249+L249)</x:f>
        <x:v>16911.64</x:v>
      </x:c>
      <x:c r="Q249" s="17" t="n">
        <x:f>MAX(J249-P249-K249,0)</x:f>
        <x:v>0</x:v>
      </x:c>
      <x:c r="R249" s="13" t="n">
        <x:f>IF(D249="",MAX(TODAY()-C249,0),MAX(D249-C249,0))</x:f>
        <x:v>0</x:v>
      </x:c>
      <x:c r="S249" s="13" t="str">
        <x:f>IF(R249=0,"Em dia",IF(R249&lt;=15,"1-15 dias",IF(R249&lt;=30,"16-30 dias",IF(R249&lt;=60,"31-60 dias","Acima de 60 dias"))))</x:f>
        <x:v>Em dia</x:v>
      </x:c>
    </x:row>
    <x:row r="250">
      <x:c r="A250" s="13" t="str">
        <x:v>REC-000249</x:v>
      </x:c>
      <x:c r="B250" s="23" t="n">
        <x:v>45427</x:v>
      </x:c>
      <x:c r="C250" s="23" t="n">
        <x:v>45457</x:v>
      </x:c>
      <x:c r="D250" s="23" t="n">
        <x:v>45454</x:v>
      </x:c>
      <x:c r="E250" s="13" t="str">
        <x:v>VAL-005</x:v>
      </x:c>
      <x:c r="F250" s="13" t="str">
        <x:v>Construtora Alameda</x:v>
      </x:c>
      <x:c r="G250" s="13" t="str">
        <x:v>Construção</x:v>
      </x:c>
      <x:c r="H250" s="13" t="str">
        <x:v>Médio</x:v>
      </x:c>
      <x:c r="I250" s="13" t="str">
        <x:v>Essencial</x:v>
      </x:c>
      <x:c r="J250" s="17" t="n">
        <x:v>9752.56</x:v>
      </x:c>
      <x:c r="K250" s="17" t="n">
        <x:v>109.79</x:v>
      </x:c>
      <x:c r="L250" s="17" t="n">
        <x:v>0</x:v>
      </x:c>
      <x:c r="M250" s="13" t="str">
        <x:v>Pago</x:v>
      </x:c>
      <x:c r="N250" s="13" t="str">
        <x:v>Sem cobrança</x:v>
      </x:c>
      <x:c r="O250" s="13" t="str">
        <x:v>Base controlada</x:v>
      </x:c>
      <x:c r="P250" s="17" t="n">
        <x:f>IF(D250="",0,J250-K250+L250)</x:f>
        <x:v>9642.769999999999</x:v>
      </x:c>
      <x:c r="Q250" s="17" t="n">
        <x:f>MAX(J250-P250-K250,0)</x:f>
        <x:v>8.668621376273222e-13</x:v>
      </x:c>
      <x:c r="R250" s="13" t="n">
        <x:f>IF(D250="",MAX(TODAY()-C250,0),MAX(D250-C250,0))</x:f>
        <x:v>0</x:v>
      </x:c>
      <x:c r="S250" s="13" t="str">
        <x:f>IF(R250=0,"Em dia",IF(R250&lt;=15,"1-15 dias",IF(R250&lt;=30,"16-30 dias",IF(R250&lt;=60,"31-60 dias","Acima de 60 dias"))))</x:f>
        <x:v>Em dia</x:v>
      </x:c>
    </x:row>
    <x:row r="251">
      <x:c r="A251" s="13" t="str">
        <x:v>REC-000250</x:v>
      </x:c>
      <x:c r="B251" s="23" t="n">
        <x:v>45432</x:v>
      </x:c>
      <x:c r="C251" s="23" t="n">
        <x:v>45447</x:v>
      </x:c>
      <x:c r="D251" s="23" t="n">
        <x:v>45449</x:v>
      </x:c>
      <x:c r="E251" s="13" t="str">
        <x:v>VAL-024</x:v>
      </x:c>
      <x:c r="F251" s="13" t="str">
        <x:v>NovaForma Móveis</x:v>
      </x:c>
      <x:c r="G251" s="13" t="str">
        <x:v>Indústria Leve</x:v>
      </x:c>
      <x:c r="H251" s="13" t="str">
        <x:v>Baixo</x:v>
      </x:c>
      <x:c r="I251" s="13" t="str">
        <x:v>Enterprise</x:v>
      </x:c>
      <x:c r="J251" s="17" t="n">
        <x:v>18312.94</x:v>
      </x:c>
      <x:c r="K251" s="17" t="n">
        <x:v>0</x:v>
      </x:c>
      <x:c r="L251" s="17" t="n">
        <x:v>23.81</x:v>
      </x:c>
      <x:c r="M251" s="13" t="str">
        <x:v>Pago com atraso</x:v>
      </x:c>
      <x:c r="N251" s="13" t="str">
        <x:v>WhatsApp</x:v>
      </x:c>
      <x:c r="O251" s="13" t="str">
        <x:v>Base controlada</x:v>
      </x:c>
      <x:c r="P251" s="17" t="n">
        <x:f>IF(D251="",0,J251-K251+L251)</x:f>
        <x:v>18336.75</x:v>
      </x:c>
      <x:c r="Q251" s="17" t="n">
        <x:f>MAX(J251-P251-K251,0)</x:f>
        <x:v>0</x:v>
      </x:c>
      <x:c r="R251" s="13" t="n">
        <x:f>IF(D251="",MAX(TODAY()-C251,0),MAX(D251-C251,0))</x:f>
        <x:v>2</x:v>
      </x:c>
      <x:c r="S251" s="13" t="str">
        <x:f>IF(R251=0,"Em dia",IF(R251&lt;=15,"1-15 dias",IF(R251&lt;=30,"16-30 dias",IF(R251&lt;=60,"31-60 dias","Acima de 60 dias"))))</x:f>
        <x:v>1-15 dias</x:v>
      </x:c>
    </x:row>
    <x:row r="252">
      <x:c r="A252" s="13" t="str">
        <x:v>REC-000251</x:v>
      </x:c>
      <x:c r="B252" s="23" t="n">
        <x:v>45430</x:v>
      </x:c>
      <x:c r="C252" s="23" t="n">
        <x:v>45445</x:v>
      </x:c>
      <x:c r="D252" s="23" t="n">
        <x:v>45442</x:v>
      </x:c>
      <x:c r="E252" s="13" t="str">
        <x:v>VAL-003</x:v>
      </x:c>
      <x:c r="F252" s="13" t="str">
        <x:v>Casa Nova Varejo</x:v>
      </x:c>
      <x:c r="G252" s="13" t="str">
        <x:v>Varejo</x:v>
      </x:c>
      <x:c r="H252" s="13" t="str">
        <x:v>Baixo</x:v>
      </x:c>
      <x:c r="I252" s="13" t="str">
        <x:v>Performance</x:v>
      </x:c>
      <x:c r="J252" s="17" t="n">
        <x:v>23019.59</x:v>
      </x:c>
      <x:c r="K252" s="17" t="n">
        <x:v>0</x:v>
      </x:c>
      <x:c r="L252" s="17" t="n">
        <x:v>0</x:v>
      </x:c>
      <x:c r="M252" s="13" t="str">
        <x:v>Pago</x:v>
      </x:c>
      <x:c r="N252" s="13" t="str">
        <x:v>Sem cobrança</x:v>
      </x:c>
      <x:c r="O252" s="13" t="str">
        <x:v>Base controlada</x:v>
      </x:c>
      <x:c r="P252" s="17" t="n">
        <x:f>IF(D252="",0,J252-K252+L252)</x:f>
        <x:v>23019.59</x:v>
      </x:c>
      <x:c r="Q252" s="17" t="n">
        <x:f>MAX(J252-P252-K252,0)</x:f>
        <x:v>0</x:v>
      </x:c>
      <x:c r="R252" s="13" t="n">
        <x:f>IF(D252="",MAX(TODAY()-C252,0),MAX(D252-C252,0))</x:f>
        <x:v>0</x:v>
      </x:c>
      <x:c r="S252" s="13" t="str">
        <x:f>IF(R252=0,"Em dia",IF(R252&lt;=15,"1-15 dias",IF(R252&lt;=30,"16-30 dias",IF(R252&lt;=60,"31-60 dias","Acima de 60 dias"))))</x:f>
        <x:v>Em dia</x:v>
      </x:c>
    </x:row>
    <x:row r="253">
      <x:c r="A253" s="13" t="str">
        <x:v>REC-000252</x:v>
      </x:c>
      <x:c r="B253" s="23" t="n">
        <x:v>45415</x:v>
      </x:c>
      <x:c r="C253" s="23" t="n">
        <x:v>45422</x:v>
      </x:c>
      <x:c r="D253" s="23" t="n">
        <x:v>45418</x:v>
      </x:c>
      <x:c r="E253" s="13" t="str">
        <x:v>VAL-005</x:v>
      </x:c>
      <x:c r="F253" s="13" t="str">
        <x:v>Construtora Alameda</x:v>
      </x:c>
      <x:c r="G253" s="13" t="str">
        <x:v>Construção</x:v>
      </x:c>
      <x:c r="H253" s="13" t="str">
        <x:v>Médio</x:v>
      </x:c>
      <x:c r="I253" s="13" t="str">
        <x:v>Essencial</x:v>
      </x:c>
      <x:c r="J253" s="17" t="n">
        <x:v>10711.38</x:v>
      </x:c>
      <x:c r="K253" s="17" t="n">
        <x:v>0</x:v>
      </x:c>
      <x:c r="L253" s="17" t="n">
        <x:v>0</x:v>
      </x:c>
      <x:c r="M253" s="13" t="str">
        <x:v>Pago</x:v>
      </x:c>
      <x:c r="N253" s="13" t="str">
        <x:v>Sem cobrança</x:v>
      </x:c>
      <x:c r="O253" s="13" t="str">
        <x:v>Base controlada</x:v>
      </x:c>
      <x:c r="P253" s="17" t="n">
        <x:f>IF(D253="",0,J253-K253+L253)</x:f>
        <x:v>10711.38</x:v>
      </x:c>
      <x:c r="Q253" s="17" t="n">
        <x:f>MAX(J253-P253-K253,0)</x:f>
        <x:v>0</x:v>
      </x:c>
      <x:c r="R253" s="13" t="n">
        <x:f>IF(D253="",MAX(TODAY()-C253,0),MAX(D253-C253,0))</x:f>
        <x:v>0</x:v>
      </x:c>
      <x:c r="S253" s="13" t="str">
        <x:f>IF(R253=0,"Em dia",IF(R253&lt;=15,"1-15 dias",IF(R253&lt;=30,"16-30 dias",IF(R253&lt;=60,"31-60 dias","Acima de 60 dias"))))</x:f>
        <x:v>Em dia</x:v>
      </x:c>
    </x:row>
    <x:row r="254">
      <x:c r="A254" s="13" t="str">
        <x:v>REC-000253</x:v>
      </x:c>
      <x:c r="B254" s="23" t="n">
        <x:v>45421</x:v>
      </x:c>
      <x:c r="C254" s="23" t="n">
        <x:v>45436</x:v>
      </x:c>
      <x:c r="D254" s="23" t="n">
        <x:v>45436</x:v>
      </x:c>
      <x:c r="E254" s="13" t="str">
        <x:v>VAL-001</x:v>
      </x:c>
      <x:c r="F254" s="13" t="str">
        <x:v>Clínica Horizonte</x:v>
      </x:c>
      <x:c r="G254" s="13" t="str">
        <x:v>Clínicas e Saúde</x:v>
      </x:c>
      <x:c r="H254" s="13" t="str">
        <x:v>Baixo</x:v>
      </x:c>
      <x:c r="I254" s="13" t="str">
        <x:v>Essencial</x:v>
      </x:c>
      <x:c r="J254" s="17" t="n">
        <x:v>19798.97</x:v>
      </x:c>
      <x:c r="K254" s="17" t="n">
        <x:v>0</x:v>
      </x:c>
      <x:c r="L254" s="17" t="n">
        <x:v>0</x:v>
      </x:c>
      <x:c r="M254" s="13" t="str">
        <x:v>Pago</x:v>
      </x:c>
      <x:c r="N254" s="13" t="str">
        <x:v>Sem cobrança</x:v>
      </x:c>
      <x:c r="O254" s="13" t="str">
        <x:v>Base controlada</x:v>
      </x:c>
      <x:c r="P254" s="17" t="n">
        <x:f>IF(D254="",0,J254-K254+L254)</x:f>
        <x:v>19798.97</x:v>
      </x:c>
      <x:c r="Q254" s="17" t="n">
        <x:f>MAX(J254-P254-K254,0)</x:f>
        <x:v>0</x:v>
      </x:c>
      <x:c r="R254" s="13" t="n">
        <x:f>IF(D254="",MAX(TODAY()-C254,0),MAX(D254-C254,0))</x:f>
        <x:v>0</x:v>
      </x:c>
      <x:c r="S254" s="13" t="str">
        <x:f>IF(R254=0,"Em dia",IF(R254&lt;=15,"1-15 dias",IF(R254&lt;=30,"16-30 dias",IF(R254&lt;=60,"31-60 dias","Acima de 60 dias"))))</x:f>
        <x:v>Em dia</x:v>
      </x:c>
    </x:row>
    <x:row r="255">
      <x:c r="A255" s="13" t="str">
        <x:v>REC-000254</x:v>
      </x:c>
      <x:c r="B255" s="23" t="n">
        <x:v>45427</x:v>
      </x:c>
      <x:c r="C255" s="23" t="n">
        <x:v>45448</x:v>
      </x:c>
      <x:c r="D255" s="23" t="n">
        <x:v>45479</x:v>
      </x:c>
      <x:c r="E255" s="13" t="str">
        <x:v>VAL-020</x:v>
      </x:c>
      <x:c r="F255" s="13" t="str">
        <x:v>Corelink Digital</x:v>
      </x:c>
      <x:c r="G255" s="13" t="str">
        <x:v>Tecnologia</x:v>
      </x:c>
      <x:c r="H255" s="13" t="str">
        <x:v>Baixo</x:v>
      </x:c>
      <x:c r="I255" s="13" t="str">
        <x:v>Enterprise</x:v>
      </x:c>
      <x:c r="J255" s="17" t="n">
        <x:v>6982.71</x:v>
      </x:c>
      <x:c r="K255" s="17" t="n">
        <x:v>0</x:v>
      </x:c>
      <x:c r="L255" s="17" t="n">
        <x:v>140.7</x:v>
      </x:c>
      <x:c r="M255" s="13" t="str">
        <x:v>Pago com atraso</x:v>
      </x:c>
      <x:c r="N255" s="13" t="str">
        <x:v>WhatsApp</x:v>
      </x:c>
      <x:c r="O255" s="13" t="str">
        <x:v>Base controlada</x:v>
      </x:c>
      <x:c r="P255" s="17" t="n">
        <x:f>IF(D255="",0,J255-K255+L255)</x:f>
        <x:v>7123.41</x:v>
      </x:c>
      <x:c r="Q255" s="17" t="n">
        <x:f>MAX(J255-P255-K255,0)</x:f>
        <x:v>0</x:v>
      </x:c>
      <x:c r="R255" s="13" t="n">
        <x:f>IF(D255="",MAX(TODAY()-C255,0),MAX(D255-C255,0))</x:f>
        <x:v>31</x:v>
      </x:c>
      <x:c r="S255" s="13" t="str">
        <x:f>IF(R255=0,"Em dia",IF(R255&lt;=15,"1-15 dias",IF(R255&lt;=30,"16-30 dias",IF(R255&lt;=60,"31-60 dias","Acima de 60 dias"))))</x:f>
        <x:v>31-60 dias</x:v>
      </x:c>
    </x:row>
    <x:row r="256">
      <x:c r="A256" s="13" t="str">
        <x:v>REC-000255</x:v>
      </x:c>
      <x:c r="B256" s="23" t="n">
        <x:v>45432</x:v>
      </x:c>
      <x:c r="C256" s="23" t="n">
        <x:v>45439</x:v>
      </x:c>
      <x:c r="D256" s="23" t="n">
        <x:v>45439</x:v>
      </x:c>
      <x:c r="E256" s="13" t="str">
        <x:v>VAL-009</x:v>
      </x:c>
      <x:c r="F256" s="13" t="str">
        <x:v>Odonto Prime</x:v>
      </x:c>
      <x:c r="G256" s="13" t="str">
        <x:v>Clínicas e Saúde</x:v>
      </x:c>
      <x:c r="H256" s="13" t="str">
        <x:v>Médio</x:v>
      </x:c>
      <x:c r="I256" s="13" t="str">
        <x:v>Essencial</x:v>
      </x:c>
      <x:c r="J256" s="17" t="n">
        <x:v>25423.23</x:v>
      </x:c>
      <x:c r="K256" s="17" t="n">
        <x:v>0</x:v>
      </x:c>
      <x:c r="L256" s="17" t="n">
        <x:v>0</x:v>
      </x:c>
      <x:c r="M256" s="13" t="str">
        <x:v>Pago</x:v>
      </x:c>
      <x:c r="N256" s="13" t="str">
        <x:v>Sem cobrança</x:v>
      </x:c>
      <x:c r="O256" s="13" t="str">
        <x:v>Base controlada</x:v>
      </x:c>
      <x:c r="P256" s="17" t="n">
        <x:f>IF(D256="",0,J256-K256+L256)</x:f>
        <x:v>25423.23</x:v>
      </x:c>
      <x:c r="Q256" s="17" t="n">
        <x:f>MAX(J256-P256-K256,0)</x:f>
        <x:v>0</x:v>
      </x:c>
      <x:c r="R256" s="13" t="n">
        <x:f>IF(D256="",MAX(TODAY()-C256,0),MAX(D256-C256,0))</x:f>
        <x:v>0</x:v>
      </x:c>
      <x:c r="S256" s="13" t="str">
        <x:f>IF(R256=0,"Em dia",IF(R256&lt;=15,"1-15 dias",IF(R256&lt;=30,"16-30 dias",IF(R256&lt;=60,"31-60 dias","Acima de 60 dias"))))</x:f>
        <x:v>Em dia</x:v>
      </x:c>
    </x:row>
    <x:row r="257">
      <x:c r="A257" s="13" t="str">
        <x:v>REC-000256</x:v>
      </x:c>
      <x:c r="B257" s="23" t="n">
        <x:v>45420</x:v>
      </x:c>
      <x:c r="C257" s="23" t="n">
        <x:v>45435</x:v>
      </x:c>
      <x:c r="D257" s="23" t="n">
        <x:v>45433</x:v>
      </x:c>
      <x:c r="E257" s="13" t="str">
        <x:v>VAL-026</x:v>
      </x:c>
      <x:c r="F257" s="13" t="str">
        <x:v>Ribeiro Arquitetura</x:v>
      </x:c>
      <x:c r="G257" s="13" t="str">
        <x:v>Serviços Profissionais</x:v>
      </x:c>
      <x:c r="H257" s="13" t="str">
        <x:v>Baixo</x:v>
      </x:c>
      <x:c r="I257" s="13" t="str">
        <x:v>Gestão</x:v>
      </x:c>
      <x:c r="J257" s="17" t="n">
        <x:v>18050.69</x:v>
      </x:c>
      <x:c r="K257" s="17" t="n">
        <x:v>0</x:v>
      </x:c>
      <x:c r="L257" s="17" t="n">
        <x:v>0</x:v>
      </x:c>
      <x:c r="M257" s="13" t="str">
        <x:v>Pago</x:v>
      </x:c>
      <x:c r="N257" s="13" t="str">
        <x:v>Sem cobrança</x:v>
      </x:c>
      <x:c r="O257" s="13" t="str">
        <x:v>Base controlada</x:v>
      </x:c>
      <x:c r="P257" s="17" t="n">
        <x:f>IF(D257="",0,J257-K257+L257)</x:f>
        <x:v>18050.69</x:v>
      </x:c>
      <x:c r="Q257" s="17" t="n">
        <x:f>MAX(J257-P257-K257,0)</x:f>
        <x:v>0</x:v>
      </x:c>
      <x:c r="R257" s="13" t="n">
        <x:f>IF(D257="",MAX(TODAY()-C257,0),MAX(D257-C257,0))</x:f>
        <x:v>0</x:v>
      </x:c>
      <x:c r="S257" s="13" t="str">
        <x:f>IF(R257=0,"Em dia",IF(R257&lt;=15,"1-15 dias",IF(R257&lt;=30,"16-30 dias",IF(R257&lt;=60,"31-60 dias","Acima de 60 dias"))))</x:f>
        <x:v>Em dia</x:v>
      </x:c>
    </x:row>
    <x:row r="258">
      <x:c r="A258" s="13" t="str">
        <x:v>REC-000257</x:v>
      </x:c>
      <x:c r="B258" s="23" t="n">
        <x:v>45430</x:v>
      </x:c>
      <x:c r="C258" s="23" t="n">
        <x:v>45451</x:v>
      </x:c>
      <x:c r="D258" s="23" t="n">
        <x:v>45447</x:v>
      </x:c>
      <x:c r="E258" s="13" t="str">
        <x:v>VAL-026</x:v>
      </x:c>
      <x:c r="F258" s="13" t="str">
        <x:v>Ribeiro Arquitetura</x:v>
      </x:c>
      <x:c r="G258" s="13" t="str">
        <x:v>Serviços Profissionais</x:v>
      </x:c>
      <x:c r="H258" s="13" t="str">
        <x:v>Baixo</x:v>
      </x:c>
      <x:c r="I258" s="13" t="str">
        <x:v>Gestão</x:v>
      </x:c>
      <x:c r="J258" s="17" t="n">
        <x:v>10129.98</x:v>
      </x:c>
      <x:c r="K258" s="17" t="n">
        <x:v>0</x:v>
      </x:c>
      <x:c r="L258" s="17" t="n">
        <x:v>0</x:v>
      </x:c>
      <x:c r="M258" s="13" t="str">
        <x:v>Pago</x:v>
      </x:c>
      <x:c r="N258" s="13" t="str">
        <x:v>Sem cobrança</x:v>
      </x:c>
      <x:c r="O258" s="13" t="str">
        <x:v>Base controlada</x:v>
      </x:c>
      <x:c r="P258" s="17" t="n">
        <x:f>IF(D258="",0,J258-K258+L258)</x:f>
        <x:v>10129.98</x:v>
      </x:c>
      <x:c r="Q258" s="17" t="n">
        <x:f>MAX(J258-P258-K258,0)</x:f>
        <x:v>0</x:v>
      </x:c>
      <x:c r="R258" s="13" t="n">
        <x:f>IF(D258="",MAX(TODAY()-C258,0),MAX(D258-C258,0))</x:f>
        <x:v>0</x:v>
      </x:c>
      <x:c r="S258" s="13" t="str">
        <x:f>IF(R258=0,"Em dia",IF(R258&lt;=15,"1-15 dias",IF(R258&lt;=30,"16-30 dias",IF(R258&lt;=60,"31-60 dias","Acima de 60 dias"))))</x:f>
        <x:v>Em dia</x:v>
      </x:c>
    </x:row>
    <x:row r="259">
      <x:c r="A259" s="13" t="str">
        <x:v>REC-000258</x:v>
      </x:c>
      <x:c r="B259" s="23" t="n">
        <x:v>45432</x:v>
      </x:c>
      <x:c r="C259" s="23" t="n">
        <x:v>45462</x:v>
      </x:c>
      <x:c r="D259" s="23" t="n">
        <x:v>45461</x:v>
      </x:c>
      <x:c r="E259" s="13" t="str">
        <x:v>VAL-024</x:v>
      </x:c>
      <x:c r="F259" s="13" t="str">
        <x:v>NovaForma Móveis</x:v>
      </x:c>
      <x:c r="G259" s="13" t="str">
        <x:v>Indústria Leve</x:v>
      </x:c>
      <x:c r="H259" s="13" t="str">
        <x:v>Baixo</x:v>
      </x:c>
      <x:c r="I259" s="13" t="str">
        <x:v>Enterprise</x:v>
      </x:c>
      <x:c r="J259" s="17" t="n">
        <x:v>14164.62</x:v>
      </x:c>
      <x:c r="K259" s="17" t="n">
        <x:v>0</x:v>
      </x:c>
      <x:c r="L259" s="17" t="n">
        <x:v>0</x:v>
      </x:c>
      <x:c r="M259" s="13" t="str">
        <x:v>Pago</x:v>
      </x:c>
      <x:c r="N259" s="13" t="str">
        <x:v>Sem cobrança</x:v>
      </x:c>
      <x:c r="O259" s="13" t="str">
        <x:v>Base controlada</x:v>
      </x:c>
      <x:c r="P259" s="17" t="n">
        <x:f>IF(D259="",0,J259-K259+L259)</x:f>
        <x:v>14164.62</x:v>
      </x:c>
      <x:c r="Q259" s="17" t="n">
        <x:f>MAX(J259-P259-K259,0)</x:f>
        <x:v>0</x:v>
      </x:c>
      <x:c r="R259" s="13" t="n">
        <x:f>IF(D259="",MAX(TODAY()-C259,0),MAX(D259-C259,0))</x:f>
        <x:v>0</x:v>
      </x:c>
      <x:c r="S259" s="13" t="str">
        <x:f>IF(R259=0,"Em dia",IF(R259&lt;=15,"1-15 dias",IF(R259&lt;=30,"16-30 dias",IF(R259&lt;=60,"31-60 dias","Acima de 60 dias"))))</x:f>
        <x:v>Em dia</x:v>
      </x:c>
    </x:row>
    <x:row r="260">
      <x:c r="A260" s="13" t="str">
        <x:v>REC-000259</x:v>
      </x:c>
      <x:c r="B260" s="23" t="n">
        <x:v>45420</x:v>
      </x:c>
      <x:c r="C260" s="23" t="n">
        <x:v>45427</x:v>
      </x:c>
      <x:c r="D260" s="23" t="n">
        <x:v>45426</x:v>
      </x:c>
      <x:c r="E260" s="13" t="str">
        <x:v>VAL-020</x:v>
      </x:c>
      <x:c r="F260" s="13" t="str">
        <x:v>Corelink Digital</x:v>
      </x:c>
      <x:c r="G260" s="13" t="str">
        <x:v>Tecnologia</x:v>
      </x:c>
      <x:c r="H260" s="13" t="str">
        <x:v>Baixo</x:v>
      </x:c>
      <x:c r="I260" s="13" t="str">
        <x:v>Enterprise</x:v>
      </x:c>
      <x:c r="J260" s="17" t="n">
        <x:v>26844.46</x:v>
      </x:c>
      <x:c r="K260" s="17" t="n">
        <x:v>0</x:v>
      </x:c>
      <x:c r="L260" s="17" t="n">
        <x:v>0</x:v>
      </x:c>
      <x:c r="M260" s="13" t="str">
        <x:v>Pago</x:v>
      </x:c>
      <x:c r="N260" s="13" t="str">
        <x:v>Sem cobrança</x:v>
      </x:c>
      <x:c r="O260" s="13" t="str">
        <x:v>Base controlada</x:v>
      </x:c>
      <x:c r="P260" s="17" t="n">
        <x:f>IF(D260="",0,J260-K260+L260)</x:f>
        <x:v>26844.46</x:v>
      </x:c>
      <x:c r="Q260" s="17" t="n">
        <x:f>MAX(J260-P260-K260,0)</x:f>
        <x:v>0</x:v>
      </x:c>
      <x:c r="R260" s="13" t="n">
        <x:f>IF(D260="",MAX(TODAY()-C260,0),MAX(D260-C260,0))</x:f>
        <x:v>0</x:v>
      </x:c>
      <x:c r="S260" s="13" t="str">
        <x:f>IF(R260=0,"Em dia",IF(R260&lt;=15,"1-15 dias",IF(R260&lt;=30,"16-30 dias",IF(R260&lt;=60,"31-60 dias","Acima de 60 dias"))))</x:f>
        <x:v>Em dia</x:v>
      </x:c>
    </x:row>
    <x:row r="261">
      <x:c r="A261" s="13" t="str">
        <x:v>REC-000260</x:v>
      </x:c>
      <x:c r="B261" s="23" t="n">
        <x:v>45426</x:v>
      </x:c>
      <x:c r="C261" s="23" t="n">
        <x:v>45456</x:v>
      </x:c>
      <x:c r="D261" s="23" t="n">
        <x:v>45452</x:v>
      </x:c>
      <x:c r="E261" s="13" t="str">
        <x:v>VAL-004</x:v>
      </x:c>
      <x:c r="F261" s="13" t="str">
        <x:v>NuvemBase Tecnologia</x:v>
      </x:c>
      <x:c r="G261" s="13" t="str">
        <x:v>Tecnologia</x:v>
      </x:c>
      <x:c r="H261" s="13" t="str">
        <x:v>Baixo</x:v>
      </x:c>
      <x:c r="I261" s="13" t="str">
        <x:v>Enterprise</x:v>
      </x:c>
      <x:c r="J261" s="17" t="n">
        <x:v>29436.73</x:v>
      </x:c>
      <x:c r="K261" s="17" t="n">
        <x:v>0</x:v>
      </x:c>
      <x:c r="L261" s="17" t="n">
        <x:v>0</x:v>
      </x:c>
      <x:c r="M261" s="13" t="str">
        <x:v>Pago</x:v>
      </x:c>
      <x:c r="N261" s="13" t="str">
        <x:v>Sem cobrança</x:v>
      </x:c>
      <x:c r="O261" s="13" t="str">
        <x:v>Base controlada</x:v>
      </x:c>
      <x:c r="P261" s="17" t="n">
        <x:f>IF(D261="",0,J261-K261+L261)</x:f>
        <x:v>29436.73</x:v>
      </x:c>
      <x:c r="Q261" s="17" t="n">
        <x:f>MAX(J261-P261-K261,0)</x:f>
        <x:v>0</x:v>
      </x:c>
      <x:c r="R261" s="13" t="n">
        <x:f>IF(D261="",MAX(TODAY()-C261,0),MAX(D261-C261,0))</x:f>
        <x:v>0</x:v>
      </x:c>
      <x:c r="S261" s="13" t="str">
        <x:f>IF(R261=0,"Em dia",IF(R261&lt;=15,"1-15 dias",IF(R261&lt;=30,"16-30 dias",IF(R261&lt;=60,"31-60 dias","Acima de 60 dias"))))</x:f>
        <x:v>Em dia</x:v>
      </x:c>
    </x:row>
    <x:row r="262">
      <x:c r="A262" s="13" t="str">
        <x:v>REC-000261</x:v>
      </x:c>
      <x:c r="B262" s="23" t="n">
        <x:v>45429</x:v>
      </x:c>
      <x:c r="C262" s="23" t="n">
        <x:v>45444</x:v>
      </x:c>
      <x:c r="D262" s="23" t="n">
        <x:v>45441</x:v>
      </x:c>
      <x:c r="E262" s="13" t="str">
        <x:v>VAL-013</x:v>
      </x:c>
      <x:c r="F262" s="13" t="str">
        <x:v>Engenharia Vértice</x:v>
      </x:c>
      <x:c r="G262" s="13" t="str">
        <x:v>Construção</x:v>
      </x:c>
      <x:c r="H262" s="13" t="str">
        <x:v>Baixo</x:v>
      </x:c>
      <x:c r="I262" s="13" t="str">
        <x:v>Essencial</x:v>
      </x:c>
      <x:c r="J262" s="17" t="n">
        <x:v>9997.09</x:v>
      </x:c>
      <x:c r="K262" s="17" t="n">
        <x:v>0</x:v>
      </x:c>
      <x:c r="L262" s="17" t="n">
        <x:v>0</x:v>
      </x:c>
      <x:c r="M262" s="13" t="str">
        <x:v>Pago</x:v>
      </x:c>
      <x:c r="N262" s="13" t="str">
        <x:v>Sem cobrança</x:v>
      </x:c>
      <x:c r="O262" s="13" t="str">
        <x:v>Base controlada</x:v>
      </x:c>
      <x:c r="P262" s="17" t="n">
        <x:f>IF(D262="",0,J262-K262+L262)</x:f>
        <x:v>9997.09</x:v>
      </x:c>
      <x:c r="Q262" s="17" t="n">
        <x:f>MAX(J262-P262-K262,0)</x:f>
        <x:v>0</x:v>
      </x:c>
      <x:c r="R262" s="13" t="n">
        <x:f>IF(D262="",MAX(TODAY()-C262,0),MAX(D262-C262,0))</x:f>
        <x:v>0</x:v>
      </x:c>
      <x:c r="S262" s="13" t="str">
        <x:f>IF(R262=0,"Em dia",IF(R262&lt;=15,"1-15 dias",IF(R262&lt;=30,"16-30 dias",IF(R262&lt;=60,"31-60 dias","Acima de 60 dias"))))</x:f>
        <x:v>Em dia</x:v>
      </x:c>
    </x:row>
    <x:row r="263">
      <x:c r="A263" s="13" t="str">
        <x:v>REC-000262</x:v>
      </x:c>
      <x:c r="B263" s="23" t="n">
        <x:v>45424</x:v>
      </x:c>
      <x:c r="C263" s="23" t="n">
        <x:v>45452</x:v>
      </x:c>
      <x:c r="D263" s="23" t="n">
        <x:v>45448</x:v>
      </x:c>
      <x:c r="E263" s="13" t="str">
        <x:v>VAL-014</x:v>
      </x:c>
      <x:c r="F263" s="13" t="str">
        <x:v>Colégio Caminhos</x:v>
      </x:c>
      <x:c r="G263" s="13" t="str">
        <x:v>Educação</x:v>
      </x:c>
      <x:c r="H263" s="13" t="str">
        <x:v>Médio</x:v>
      </x:c>
      <x:c r="I263" s="13" t="str">
        <x:v>Gestão</x:v>
      </x:c>
      <x:c r="J263" s="17" t="n">
        <x:v>3867.65</x:v>
      </x:c>
      <x:c r="K263" s="17" t="n">
        <x:v>0</x:v>
      </x:c>
      <x:c r="L263" s="17" t="n">
        <x:v>0</x:v>
      </x:c>
      <x:c r="M263" s="13" t="str">
        <x:v>Pago</x:v>
      </x:c>
      <x:c r="N263" s="13" t="str">
        <x:v>Sem cobrança</x:v>
      </x:c>
      <x:c r="O263" s="13" t="str">
        <x:v>Base controlada</x:v>
      </x:c>
      <x:c r="P263" s="17" t="n">
        <x:f>IF(D263="",0,J263-K263+L263)</x:f>
        <x:v>3867.65</x:v>
      </x:c>
      <x:c r="Q263" s="17" t="n">
        <x:f>MAX(J263-P263-K263,0)</x:f>
        <x:v>0</x:v>
      </x:c>
      <x:c r="R263" s="13" t="n">
        <x:f>IF(D263="",MAX(TODAY()-C263,0),MAX(D263-C263,0))</x:f>
        <x:v>0</x:v>
      </x:c>
      <x:c r="S263" s="13" t="str">
        <x:f>IF(R263=0,"Em dia",IF(R263&lt;=15,"1-15 dias",IF(R263&lt;=30,"16-30 dias",IF(R263&lt;=60,"31-60 dias","Acima de 60 dias"))))</x:f>
        <x:v>Em dia</x:v>
      </x:c>
    </x:row>
    <x:row r="264">
      <x:c r="A264" s="13" t="str">
        <x:v>REC-000263</x:v>
      </x:c>
      <x:c r="B264" s="23" t="n">
        <x:v>45414</x:v>
      </x:c>
      <x:c r="C264" s="23" t="n">
        <x:v>45442</x:v>
      </x:c>
      <x:c r="D264" s="23" t="n">
        <x:v>45441</x:v>
      </x:c>
      <x:c r="E264" s="13" t="str">
        <x:v>VAL-026</x:v>
      </x:c>
      <x:c r="F264" s="13" t="str">
        <x:v>Ribeiro Arquitetura</x:v>
      </x:c>
      <x:c r="G264" s="13" t="str">
        <x:v>Serviços Profissionais</x:v>
      </x:c>
      <x:c r="H264" s="13" t="str">
        <x:v>Baixo</x:v>
      </x:c>
      <x:c r="I264" s="13" t="str">
        <x:v>Gestão</x:v>
      </x:c>
      <x:c r="J264" s="17" t="n">
        <x:v>13194.58</x:v>
      </x:c>
      <x:c r="K264" s="17" t="n">
        <x:v>0</x:v>
      </x:c>
      <x:c r="L264" s="17" t="n">
        <x:v>0</x:v>
      </x:c>
      <x:c r="M264" s="13" t="str">
        <x:v>Pago</x:v>
      </x:c>
      <x:c r="N264" s="13" t="str">
        <x:v>Sem cobrança</x:v>
      </x:c>
      <x:c r="O264" s="13" t="str">
        <x:v>Base controlada</x:v>
      </x:c>
      <x:c r="P264" s="17" t="n">
        <x:f>IF(D264="",0,J264-K264+L264)</x:f>
        <x:v>13194.58</x:v>
      </x:c>
      <x:c r="Q264" s="17" t="n">
        <x:f>MAX(J264-P264-K264,0)</x:f>
        <x:v>0</x:v>
      </x:c>
      <x:c r="R264" s="13" t="n">
        <x:f>IF(D264="",MAX(TODAY()-C264,0),MAX(D264-C264,0))</x:f>
        <x:v>0</x:v>
      </x:c>
      <x:c r="S264" s="13" t="str">
        <x:f>IF(R264=0,"Em dia",IF(R264&lt;=15,"1-15 dias",IF(R264&lt;=30,"16-30 dias",IF(R264&lt;=60,"31-60 dias","Acima de 60 dias"))))</x:f>
        <x:v>Em dia</x:v>
      </x:c>
    </x:row>
    <x:row r="265">
      <x:c r="A265" s="13" t="str">
        <x:v>REC-000264</x:v>
      </x:c>
      <x:c r="B265" s="23" t="n">
        <x:v>45414</x:v>
      </x:c>
      <x:c r="C265" s="23" t="n">
        <x:v>45421</x:v>
      </x:c>
      <x:c r="D265" s="23" t="n">
        <x:v>45418</x:v>
      </x:c>
      <x:c r="E265" s="13" t="str">
        <x:v>VAL-030</x:v>
      </x:c>
      <x:c r="F265" s="13" t="str">
        <x:v>Mundo Kids Cursos</x:v>
      </x:c>
      <x:c r="G265" s="13" t="str">
        <x:v>Educação</x:v>
      </x:c>
      <x:c r="H265" s="13" t="str">
        <x:v>Alto</x:v>
      </x:c>
      <x:c r="I265" s="13" t="str">
        <x:v>Gestão</x:v>
      </x:c>
      <x:c r="J265" s="17" t="n">
        <x:v>25598.99</x:v>
      </x:c>
      <x:c r="K265" s="17" t="n">
        <x:v>148.5</x:v>
      </x:c>
      <x:c r="L265" s="17" t="n">
        <x:v>0</x:v>
      </x:c>
      <x:c r="M265" s="13" t="str">
        <x:v>Pago</x:v>
      </x:c>
      <x:c r="N265" s="13" t="str">
        <x:v>Sem cobrança</x:v>
      </x:c>
      <x:c r="O265" s="13" t="str">
        <x:v>Base controlada</x:v>
      </x:c>
      <x:c r="P265" s="17" t="n">
        <x:f>IF(D265="",0,J265-K265+L265)</x:f>
        <x:v>25450.49</x:v>
      </x:c>
      <x:c r="Q265" s="17" t="n">
        <x:f>MAX(J265-P265-K265,0)</x:f>
        <x:v>0</x:v>
      </x:c>
      <x:c r="R265" s="13" t="n">
        <x:f>IF(D265="",MAX(TODAY()-C265,0),MAX(D265-C265,0))</x:f>
        <x:v>0</x:v>
      </x:c>
      <x:c r="S265" s="13" t="str">
        <x:f>IF(R265=0,"Em dia",IF(R265&lt;=15,"1-15 dias",IF(R265&lt;=30,"16-30 dias",IF(R265&lt;=60,"31-60 dias","Acima de 60 dias"))))</x:f>
        <x:v>Em dia</x:v>
      </x:c>
    </x:row>
    <x:row r="266">
      <x:c r="A266" s="13" t="str">
        <x:v>REC-000265</x:v>
      </x:c>
      <x:c r="B266" s="23" t="n">
        <x:v>45421</x:v>
      </x:c>
      <x:c r="C266" s="23" t="n">
        <x:v>45436</x:v>
      </x:c>
      <x:c r="D266" s="23" t="n">
        <x:v>45433</x:v>
      </x:c>
      <x:c r="E266" s="13" t="str">
        <x:v>VAL-002</x:v>
      </x:c>
      <x:c r="F266" s="13" t="str">
        <x:v>Mendes &amp; Prado Consultoria</x:v>
      </x:c>
      <x:c r="G266" s="13" t="str">
        <x:v>Serviços Profissionais</x:v>
      </x:c>
      <x:c r="H266" s="13" t="str">
        <x:v>Baixo</x:v>
      </x:c>
      <x:c r="I266" s="13" t="str">
        <x:v>Gestão</x:v>
      </x:c>
      <x:c r="J266" s="17" t="n">
        <x:v>6070.05</x:v>
      </x:c>
      <x:c r="K266" s="17" t="n">
        <x:v>0</x:v>
      </x:c>
      <x:c r="L266" s="17" t="n">
        <x:v>0</x:v>
      </x:c>
      <x:c r="M266" s="13" t="str">
        <x:v>Pago</x:v>
      </x:c>
      <x:c r="N266" s="13" t="str">
        <x:v>Sem cobrança</x:v>
      </x:c>
      <x:c r="O266" s="13" t="str">
        <x:v>Base controlada</x:v>
      </x:c>
      <x:c r="P266" s="17" t="n">
        <x:f>IF(D266="",0,J266-K266+L266)</x:f>
        <x:v>6070.05</x:v>
      </x:c>
      <x:c r="Q266" s="17" t="n">
        <x:f>MAX(J266-P266-K266,0)</x:f>
        <x:v>0</x:v>
      </x:c>
      <x:c r="R266" s="13" t="n">
        <x:f>IF(D266="",MAX(TODAY()-C266,0),MAX(D266-C266,0))</x:f>
        <x:v>0</x:v>
      </x:c>
      <x:c r="S266" s="13" t="str">
        <x:f>IF(R266=0,"Em dia",IF(R266&lt;=15,"1-15 dias",IF(R266&lt;=30,"16-30 dias",IF(R266&lt;=60,"31-60 dias","Acima de 60 dias"))))</x:f>
        <x:v>Em dia</x:v>
      </x:c>
    </x:row>
    <x:row r="267">
      <x:c r="A267" s="13" t="str">
        <x:v>REC-000266</x:v>
      </x:c>
      <x:c r="B267" s="23" t="n">
        <x:v>45429</x:v>
      </x:c>
      <x:c r="C267" s="23" t="n">
        <x:v>45444</x:v>
      </x:c>
      <x:c r="D267" s="23" t="n">
        <x:v>45444</x:v>
      </x:c>
      <x:c r="E267" s="13" t="str">
        <x:v>VAL-018</x:v>
      </x:c>
      <x:c r="F267" s="13" t="str">
        <x:v>Ponto Legal Advocacia</x:v>
      </x:c>
      <x:c r="G267" s="13" t="str">
        <x:v>Serviços Profissionais</x:v>
      </x:c>
      <x:c r="H267" s="13" t="str">
        <x:v>Baixo</x:v>
      </x:c>
      <x:c r="I267" s="13" t="str">
        <x:v>Gestão</x:v>
      </x:c>
      <x:c r="J267" s="17" t="n">
        <x:v>24730.43</x:v>
      </x:c>
      <x:c r="K267" s="17" t="n">
        <x:v>0</x:v>
      </x:c>
      <x:c r="L267" s="17" t="n">
        <x:v>0</x:v>
      </x:c>
      <x:c r="M267" s="13" t="str">
        <x:v>Pago</x:v>
      </x:c>
      <x:c r="N267" s="13" t="str">
        <x:v>Sem cobrança</x:v>
      </x:c>
      <x:c r="O267" s="13" t="str">
        <x:v>Base controlada</x:v>
      </x:c>
      <x:c r="P267" s="17" t="n">
        <x:f>IF(D267="",0,J267-K267+L267)</x:f>
        <x:v>24730.43</x:v>
      </x:c>
      <x:c r="Q267" s="17" t="n">
        <x:f>MAX(J267-P267-K267,0)</x:f>
        <x:v>0</x:v>
      </x:c>
      <x:c r="R267" s="13" t="n">
        <x:f>IF(D267="",MAX(TODAY()-C267,0),MAX(D267-C267,0))</x:f>
        <x:v>0</x:v>
      </x:c>
      <x:c r="S267" s="13" t="str">
        <x:f>IF(R267=0,"Em dia",IF(R267&lt;=15,"1-15 dias",IF(R267&lt;=30,"16-30 dias",IF(R267&lt;=60,"31-60 dias","Acima de 60 dias"))))</x:f>
        <x:v>Em dia</x:v>
      </x:c>
    </x:row>
    <x:row r="268">
      <x:c r="A268" s="13" t="str">
        <x:v>REC-000267</x:v>
      </x:c>
      <x:c r="B268" s="23" t="n">
        <x:v>45421</x:v>
      </x:c>
      <x:c r="C268" s="23" t="n">
        <x:v>45436</x:v>
      </x:c>
      <x:c r="D268" s="23" t="n">
        <x:v>45433</x:v>
      </x:c>
      <x:c r="E268" s="13" t="str">
        <x:v>VAL-013</x:v>
      </x:c>
      <x:c r="F268" s="13" t="str">
        <x:v>Engenharia Vértice</x:v>
      </x:c>
      <x:c r="G268" s="13" t="str">
        <x:v>Construção</x:v>
      </x:c>
      <x:c r="H268" s="13" t="str">
        <x:v>Baixo</x:v>
      </x:c>
      <x:c r="I268" s="13" t="str">
        <x:v>Essencial</x:v>
      </x:c>
      <x:c r="J268" s="17" t="n">
        <x:v>1617.52</x:v>
      </x:c>
      <x:c r="K268" s="17" t="n">
        <x:v>0</x:v>
      </x:c>
      <x:c r="L268" s="17" t="n">
        <x:v>0</x:v>
      </x:c>
      <x:c r="M268" s="13" t="str">
        <x:v>Pago</x:v>
      </x:c>
      <x:c r="N268" s="13" t="str">
        <x:v>Sem cobrança</x:v>
      </x:c>
      <x:c r="O268" s="13" t="str">
        <x:v>Base controlada</x:v>
      </x:c>
      <x:c r="P268" s="17" t="n">
        <x:f>IF(D268="",0,J268-K268+L268)</x:f>
        <x:v>1617.52</x:v>
      </x:c>
      <x:c r="Q268" s="17" t="n">
        <x:f>MAX(J268-P268-K268,0)</x:f>
        <x:v>0</x:v>
      </x:c>
      <x:c r="R268" s="13" t="n">
        <x:f>IF(D268="",MAX(TODAY()-C268,0),MAX(D268-C268,0))</x:f>
        <x:v>0</x:v>
      </x:c>
      <x:c r="S268" s="13" t="str">
        <x:f>IF(R268=0,"Em dia",IF(R268&lt;=15,"1-15 dias",IF(R268&lt;=30,"16-30 dias",IF(R268&lt;=60,"31-60 dias","Acima de 60 dias"))))</x:f>
        <x:v>Em dia</x:v>
      </x:c>
    </x:row>
    <x:row r="269">
      <x:c r="A269" s="13" t="str">
        <x:v>REC-000268</x:v>
      </x:c>
      <x:c r="B269" s="23" t="n">
        <x:v>45425</x:v>
      </x:c>
      <x:c r="C269" s="23" t="n">
        <x:v>45440</x:v>
      </x:c>
      <x:c r="D269" s="23" t="n">
        <x:v>45442</x:v>
      </x:c>
      <x:c r="E269" s="13" t="str">
        <x:v>VAL-005</x:v>
      </x:c>
      <x:c r="F269" s="13" t="str">
        <x:v>Construtora Alameda</x:v>
      </x:c>
      <x:c r="G269" s="13" t="str">
        <x:v>Construção</x:v>
      </x:c>
      <x:c r="H269" s="13" t="str">
        <x:v>Médio</x:v>
      </x:c>
      <x:c r="I269" s="13" t="str">
        <x:v>Essencial</x:v>
      </x:c>
      <x:c r="J269" s="17" t="n">
        <x:v>6638.63</x:v>
      </x:c>
      <x:c r="K269" s="17" t="n">
        <x:v>0</x:v>
      </x:c>
      <x:c r="L269" s="17" t="n">
        <x:v>8.63</x:v>
      </x:c>
      <x:c r="M269" s="13" t="str">
        <x:v>Pago com atraso</x:v>
      </x:c>
      <x:c r="N269" s="13" t="str">
        <x:v>WhatsApp</x:v>
      </x:c>
      <x:c r="O269" s="13" t="str">
        <x:v>Base controlada</x:v>
      </x:c>
      <x:c r="P269" s="17" t="n">
        <x:f>IF(D269="",0,J269-K269+L269)</x:f>
        <x:v>6647.26</x:v>
      </x:c>
      <x:c r="Q269" s="17" t="n">
        <x:f>MAX(J269-P269-K269,0)</x:f>
        <x:v>0</x:v>
      </x:c>
      <x:c r="R269" s="13" t="n">
        <x:f>IF(D269="",MAX(TODAY()-C269,0),MAX(D269-C269,0))</x:f>
        <x:v>2</x:v>
      </x:c>
      <x:c r="S269" s="13" t="str">
        <x:f>IF(R269=0,"Em dia",IF(R269&lt;=15,"1-15 dias",IF(R269&lt;=30,"16-30 dias",IF(R269&lt;=60,"31-60 dias","Acima de 60 dias"))))</x:f>
        <x:v>1-15 dias</x:v>
      </x:c>
    </x:row>
    <x:row r="270">
      <x:c r="A270" s="13" t="str">
        <x:v>REC-000269</x:v>
      </x:c>
      <x:c r="B270" s="23" t="n">
        <x:v>45427</x:v>
      </x:c>
      <x:c r="C270" s="23" t="n">
        <x:v>45442</x:v>
      </x:c>
      <x:c r="D270" s="23" t="n">
        <x:v>45438</x:v>
      </x:c>
      <x:c r="E270" s="13" t="str">
        <x:v>VAL-004</x:v>
      </x:c>
      <x:c r="F270" s="13" t="str">
        <x:v>NuvemBase Tecnologia</x:v>
      </x:c>
      <x:c r="G270" s="13" t="str">
        <x:v>Tecnologia</x:v>
      </x:c>
      <x:c r="H270" s="13" t="str">
        <x:v>Baixo</x:v>
      </x:c>
      <x:c r="I270" s="13" t="str">
        <x:v>Enterprise</x:v>
      </x:c>
      <x:c r="J270" s="17" t="n">
        <x:v>11063.18</x:v>
      </x:c>
      <x:c r="K270" s="17" t="n">
        <x:v>0</x:v>
      </x:c>
      <x:c r="L270" s="17" t="n">
        <x:v>0</x:v>
      </x:c>
      <x:c r="M270" s="13" t="str">
        <x:v>Pago</x:v>
      </x:c>
      <x:c r="N270" s="13" t="str">
        <x:v>Sem cobrança</x:v>
      </x:c>
      <x:c r="O270" s="13" t="str">
        <x:v>Base controlada</x:v>
      </x:c>
      <x:c r="P270" s="17" t="n">
        <x:f>IF(D270="",0,J270-K270+L270)</x:f>
        <x:v>11063.18</x:v>
      </x:c>
      <x:c r="Q270" s="17" t="n">
        <x:f>MAX(J270-P270-K270,0)</x:f>
        <x:v>0</x:v>
      </x:c>
      <x:c r="R270" s="13" t="n">
        <x:f>IF(D270="",MAX(TODAY()-C270,0),MAX(D270-C270,0))</x:f>
        <x:v>0</x:v>
      </x:c>
      <x:c r="S270" s="13" t="str">
        <x:f>IF(R270=0,"Em dia",IF(R270&lt;=15,"1-15 dias",IF(R270&lt;=30,"16-30 dias",IF(R270&lt;=60,"31-60 dias","Acima de 60 dias"))))</x:f>
        <x:v>Em dia</x:v>
      </x:c>
    </x:row>
    <x:row r="271">
      <x:c r="A271" s="13" t="str">
        <x:v>REC-000270</x:v>
      </x:c>
      <x:c r="B271" s="23" t="n">
        <x:v>45415</x:v>
      </x:c>
      <x:c r="C271" s="23" t="n">
        <x:v>45443</x:v>
      </x:c>
      <x:c r="D271" s="23" t="n">
        <x:v>45441</x:v>
      </x:c>
      <x:c r="E271" s="13" t="str">
        <x:v>VAL-013</x:v>
      </x:c>
      <x:c r="F271" s="13" t="str">
        <x:v>Engenharia Vértice</x:v>
      </x:c>
      <x:c r="G271" s="13" t="str">
        <x:v>Construção</x:v>
      </x:c>
      <x:c r="H271" s="13" t="str">
        <x:v>Baixo</x:v>
      </x:c>
      <x:c r="I271" s="13" t="str">
        <x:v>Essencial</x:v>
      </x:c>
      <x:c r="J271" s="17" t="n">
        <x:v>21135.66</x:v>
      </x:c>
      <x:c r="K271" s="17" t="n">
        <x:v>0</x:v>
      </x:c>
      <x:c r="L271" s="17" t="n">
        <x:v>0</x:v>
      </x:c>
      <x:c r="M271" s="13" t="str">
        <x:v>Pago</x:v>
      </x:c>
      <x:c r="N271" s="13" t="str">
        <x:v>Sem cobrança</x:v>
      </x:c>
      <x:c r="O271" s="13" t="str">
        <x:v>Base controlada</x:v>
      </x:c>
      <x:c r="P271" s="17" t="n">
        <x:f>IF(D271="",0,J271-K271+L271)</x:f>
        <x:v>21135.66</x:v>
      </x:c>
      <x:c r="Q271" s="17" t="n">
        <x:f>MAX(J271-P271-K271,0)</x:f>
        <x:v>0</x:v>
      </x:c>
      <x:c r="R271" s="13" t="n">
        <x:f>IF(D271="",MAX(TODAY()-C271,0),MAX(D271-C271,0))</x:f>
        <x:v>0</x:v>
      </x:c>
      <x:c r="S271" s="13" t="str">
        <x:f>IF(R271=0,"Em dia",IF(R271&lt;=15,"1-15 dias",IF(R271&lt;=30,"16-30 dias",IF(R271&lt;=60,"31-60 dias","Acima de 60 dias"))))</x:f>
        <x:v>Em dia</x:v>
      </x:c>
    </x:row>
    <x:row r="272">
      <x:c r="A272" s="13" t="str">
        <x:v>REC-000271</x:v>
      </x:c>
      <x:c r="B272" s="23" t="n">
        <x:v>45421</x:v>
      </x:c>
      <x:c r="C272" s="23" t="n">
        <x:v>45436</x:v>
      </x:c>
      <x:c r="D272" s="23" t="n">
        <x:v>45432</x:v>
      </x:c>
      <x:c r="E272" s="13" t="str">
        <x:v>VAL-001</x:v>
      </x:c>
      <x:c r="F272" s="13" t="str">
        <x:v>Clínica Horizonte</x:v>
      </x:c>
      <x:c r="G272" s="13" t="str">
        <x:v>Clínicas e Saúde</x:v>
      </x:c>
      <x:c r="H272" s="13" t="str">
        <x:v>Baixo</x:v>
      </x:c>
      <x:c r="I272" s="13" t="str">
        <x:v>Essencial</x:v>
      </x:c>
      <x:c r="J272" s="17" t="n">
        <x:v>15578.57</x:v>
      </x:c>
      <x:c r="K272" s="17" t="n">
        <x:v>0</x:v>
      </x:c>
      <x:c r="L272" s="17" t="n">
        <x:v>0</x:v>
      </x:c>
      <x:c r="M272" s="13" t="str">
        <x:v>Pago</x:v>
      </x:c>
      <x:c r="N272" s="13" t="str">
        <x:v>Sem cobrança</x:v>
      </x:c>
      <x:c r="O272" s="13" t="str">
        <x:v>Base controlada</x:v>
      </x:c>
      <x:c r="P272" s="17" t="n">
        <x:f>IF(D272="",0,J272-K272+L272)</x:f>
        <x:v>15578.57</x:v>
      </x:c>
      <x:c r="Q272" s="17" t="n">
        <x:f>MAX(J272-P272-K272,0)</x:f>
        <x:v>0</x:v>
      </x:c>
      <x:c r="R272" s="13" t="n">
        <x:f>IF(D272="",MAX(TODAY()-C272,0),MAX(D272-C272,0))</x:f>
        <x:v>0</x:v>
      </x:c>
      <x:c r="S272" s="13" t="str">
        <x:f>IF(R272=0,"Em dia",IF(R272&lt;=15,"1-15 dias",IF(R272&lt;=30,"16-30 dias",IF(R272&lt;=60,"31-60 dias","Acima de 60 dias"))))</x:f>
        <x:v>Em dia</x:v>
      </x:c>
    </x:row>
    <x:row r="273">
      <x:c r="A273" s="13" t="str">
        <x:v>REC-000272</x:v>
      </x:c>
      <x:c r="B273" s="23" t="n">
        <x:v>45416</x:v>
      </x:c>
      <x:c r="C273" s="23" t="n">
        <x:v>45444</x:v>
      </x:c>
      <x:c r="D273" s="23" t="n">
        <x:v>45442</x:v>
      </x:c>
      <x:c r="E273" s="13" t="str">
        <x:v>VAL-029</x:v>
      </x:c>
      <x:c r="F273" s="13" t="str">
        <x:v>Planobra Serviços</x:v>
      </x:c>
      <x:c r="G273" s="13" t="str">
        <x:v>Construção</x:v>
      </x:c>
      <x:c r="H273" s="13" t="str">
        <x:v>Baixo</x:v>
      </x:c>
      <x:c r="I273" s="13" t="str">
        <x:v>Essencial</x:v>
      </x:c>
      <x:c r="J273" s="17" t="n">
        <x:v>27901.96</x:v>
      </x:c>
      <x:c r="K273" s="17" t="n">
        <x:v>0</x:v>
      </x:c>
      <x:c r="L273" s="17" t="n">
        <x:v>0</x:v>
      </x:c>
      <x:c r="M273" s="13" t="str">
        <x:v>Pago</x:v>
      </x:c>
      <x:c r="N273" s="13" t="str">
        <x:v>Sem cobrança</x:v>
      </x:c>
      <x:c r="O273" s="13" t="str">
        <x:v>Base controlada</x:v>
      </x:c>
      <x:c r="P273" s="17" t="n">
        <x:f>IF(D273="",0,J273-K273+L273)</x:f>
        <x:v>27901.96</x:v>
      </x:c>
      <x:c r="Q273" s="17" t="n">
        <x:f>MAX(J273-P273-K273,0)</x:f>
        <x:v>0</x:v>
      </x:c>
      <x:c r="R273" s="13" t="n">
        <x:f>IF(D273="",MAX(TODAY()-C273,0),MAX(D273-C273,0))</x:f>
        <x:v>0</x:v>
      </x:c>
      <x:c r="S273" s="13" t="str">
        <x:f>IF(R273=0,"Em dia",IF(R273&lt;=15,"1-15 dias",IF(R273&lt;=30,"16-30 dias",IF(R273&lt;=60,"31-60 dias","Acima de 60 dias"))))</x:f>
        <x:v>Em dia</x:v>
      </x:c>
    </x:row>
    <x:row r="274">
      <x:c r="A274" s="13" t="str">
        <x:v>REC-000273</x:v>
      </x:c>
      <x:c r="B274" s="23" t="n">
        <x:v>45431</x:v>
      </x:c>
      <x:c r="C274" s="23" t="n">
        <x:v>45459</x:v>
      </x:c>
      <x:c r="D274" s="23" t="n">
        <x:v>45456</x:v>
      </x:c>
      <x:c r="E274" s="13" t="str">
        <x:v>VAL-002</x:v>
      </x:c>
      <x:c r="F274" s="13" t="str">
        <x:v>Mendes &amp; Prado Consultoria</x:v>
      </x:c>
      <x:c r="G274" s="13" t="str">
        <x:v>Serviços Profissionais</x:v>
      </x:c>
      <x:c r="H274" s="13" t="str">
        <x:v>Baixo</x:v>
      </x:c>
      <x:c r="I274" s="13" t="str">
        <x:v>Gestão</x:v>
      </x:c>
      <x:c r="J274" s="17" t="n">
        <x:v>12384.15</x:v>
      </x:c>
      <x:c r="K274" s="17" t="n">
        <x:v>0</x:v>
      </x:c>
      <x:c r="L274" s="17" t="n">
        <x:v>0</x:v>
      </x:c>
      <x:c r="M274" s="13" t="str">
        <x:v>Pago</x:v>
      </x:c>
      <x:c r="N274" s="13" t="str">
        <x:v>Sem cobrança</x:v>
      </x:c>
      <x:c r="O274" s="13" t="str">
        <x:v>Base controlada</x:v>
      </x:c>
      <x:c r="P274" s="17" t="n">
        <x:f>IF(D274="",0,J274-K274+L274)</x:f>
        <x:v>12384.15</x:v>
      </x:c>
      <x:c r="Q274" s="17" t="n">
        <x:f>MAX(J274-P274-K274,0)</x:f>
        <x:v>0</x:v>
      </x:c>
      <x:c r="R274" s="13" t="n">
        <x:f>IF(D274="",MAX(TODAY()-C274,0),MAX(D274-C274,0))</x:f>
        <x:v>0</x:v>
      </x:c>
      <x:c r="S274" s="13" t="str">
        <x:f>IF(R274=0,"Em dia",IF(R274&lt;=15,"1-15 dias",IF(R274&lt;=30,"16-30 dias",IF(R274&lt;=60,"31-60 dias","Acima de 60 dias"))))</x:f>
        <x:v>Em dia</x:v>
      </x:c>
    </x:row>
    <x:row r="275">
      <x:c r="A275" s="13" t="str">
        <x:v>REC-000274</x:v>
      </x:c>
      <x:c r="B275" s="23" t="n">
        <x:v>45416</x:v>
      </x:c>
      <x:c r="C275" s="23" t="n">
        <x:v>45431</x:v>
      </x:c>
      <x:c r="D275" s="23" t="n">
        <x:v>45427</x:v>
      </x:c>
      <x:c r="E275" s="13" t="str">
        <x:v>VAL-001</x:v>
      </x:c>
      <x:c r="F275" s="13" t="str">
        <x:v>Clínica Horizonte</x:v>
      </x:c>
      <x:c r="G275" s="13" t="str">
        <x:v>Clínicas e Saúde</x:v>
      </x:c>
      <x:c r="H275" s="13" t="str">
        <x:v>Baixo</x:v>
      </x:c>
      <x:c r="I275" s="13" t="str">
        <x:v>Essencial</x:v>
      </x:c>
      <x:c r="J275" s="17" t="n">
        <x:v>21212.53</x:v>
      </x:c>
      <x:c r="K275" s="17" t="n">
        <x:v>0</x:v>
      </x:c>
      <x:c r="L275" s="17" t="n">
        <x:v>0</x:v>
      </x:c>
      <x:c r="M275" s="13" t="str">
        <x:v>Pago</x:v>
      </x:c>
      <x:c r="N275" s="13" t="str">
        <x:v>Sem cobrança</x:v>
      </x:c>
      <x:c r="O275" s="13" t="str">
        <x:v>Base controlada</x:v>
      </x:c>
      <x:c r="P275" s="17" t="n">
        <x:f>IF(D275="",0,J275-K275+L275)</x:f>
        <x:v>21212.53</x:v>
      </x:c>
      <x:c r="Q275" s="17" t="n">
        <x:f>MAX(J275-P275-K275,0)</x:f>
        <x:v>0</x:v>
      </x:c>
      <x:c r="R275" s="13" t="n">
        <x:f>IF(D275="",MAX(TODAY()-C275,0),MAX(D275-C275,0))</x:f>
        <x:v>0</x:v>
      </x:c>
      <x:c r="S275" s="13" t="str">
        <x:f>IF(R275=0,"Em dia",IF(R275&lt;=15,"1-15 dias",IF(R275&lt;=30,"16-30 dias",IF(R275&lt;=60,"31-60 dias","Acima de 60 dias"))))</x:f>
        <x:v>Em dia</x:v>
      </x:c>
    </x:row>
    <x:row r="276">
      <x:c r="A276" s="13" t="str">
        <x:v>REC-000275</x:v>
      </x:c>
      <x:c r="B276" s="23" t="n">
        <x:v>45430</x:v>
      </x:c>
      <x:c r="C276" s="23" t="n">
        <x:v>45458</x:v>
      </x:c>
      <x:c r="D276" s="23" t="n">
        <x:v>45457</x:v>
      </x:c>
      <x:c r="E276" s="13" t="str">
        <x:v>VAL-001</x:v>
      </x:c>
      <x:c r="F276" s="13" t="str">
        <x:v>Clínica Horizonte</x:v>
      </x:c>
      <x:c r="G276" s="13" t="str">
        <x:v>Clínicas e Saúde</x:v>
      </x:c>
      <x:c r="H276" s="13" t="str">
        <x:v>Baixo</x:v>
      </x:c>
      <x:c r="I276" s="13" t="str">
        <x:v>Essencial</x:v>
      </x:c>
      <x:c r="J276" s="17" t="n">
        <x:v>1817.79</x:v>
      </x:c>
      <x:c r="K276" s="17" t="n">
        <x:v>0</x:v>
      </x:c>
      <x:c r="L276" s="17" t="n">
        <x:v>0</x:v>
      </x:c>
      <x:c r="M276" s="13" t="str">
        <x:v>Pago</x:v>
      </x:c>
      <x:c r="N276" s="13" t="str">
        <x:v>Sem cobrança</x:v>
      </x:c>
      <x:c r="O276" s="13" t="str">
        <x:v>Base controlada</x:v>
      </x:c>
      <x:c r="P276" s="17" t="n">
        <x:f>IF(D276="",0,J276-K276+L276)</x:f>
        <x:v>1817.79</x:v>
      </x:c>
      <x:c r="Q276" s="17" t="n">
        <x:f>MAX(J276-P276-K276,0)</x:f>
        <x:v>0</x:v>
      </x:c>
      <x:c r="R276" s="13" t="n">
        <x:f>IF(D276="",MAX(TODAY()-C276,0),MAX(D276-C276,0))</x:f>
        <x:v>0</x:v>
      </x:c>
      <x:c r="S276" s="13" t="str">
        <x:f>IF(R276=0,"Em dia",IF(R276&lt;=15,"1-15 dias",IF(R276&lt;=30,"16-30 dias",IF(R276&lt;=60,"31-60 dias","Acima de 60 dias"))))</x:f>
        <x:v>Em dia</x:v>
      </x:c>
    </x:row>
    <x:row r="277">
      <x:c r="A277" s="13" t="str">
        <x:v>REC-000276</x:v>
      </x:c>
      <x:c r="B277" s="23" t="n">
        <x:v>45415</x:v>
      </x:c>
      <x:c r="C277" s="23" t="n">
        <x:v>45436</x:v>
      </x:c>
      <x:c r="D277" s="23" t="n">
        <x:v>45434</x:v>
      </x:c>
      <x:c r="E277" s="13" t="str">
        <x:v>VAL-007</x:v>
      </x:c>
      <x:c r="F277" s="13" t="str">
        <x:v>Loja Prisma Online</x:v>
      </x:c>
      <x:c r="G277" s="13" t="str">
        <x:v>E-commerce</x:v>
      </x:c>
      <x:c r="H277" s="13" t="str">
        <x:v>Médio</x:v>
      </x:c>
      <x:c r="I277" s="13" t="str">
        <x:v>Performance</x:v>
      </x:c>
      <x:c r="J277" s="17" t="n">
        <x:v>13125.12</x:v>
      </x:c>
      <x:c r="K277" s="17" t="n">
        <x:v>0</x:v>
      </x:c>
      <x:c r="L277" s="17" t="n">
        <x:v>0</x:v>
      </x:c>
      <x:c r="M277" s="13" t="str">
        <x:v>Pago</x:v>
      </x:c>
      <x:c r="N277" s="13" t="str">
        <x:v>Sem cobrança</x:v>
      </x:c>
      <x:c r="O277" s="13" t="str">
        <x:v>Base controlada</x:v>
      </x:c>
      <x:c r="P277" s="17" t="n">
        <x:f>IF(D277="",0,J277-K277+L277)</x:f>
        <x:v>13125.12</x:v>
      </x:c>
      <x:c r="Q277" s="17" t="n">
        <x:f>MAX(J277-P277-K277,0)</x:f>
        <x:v>0</x:v>
      </x:c>
      <x:c r="R277" s="13" t="n">
        <x:f>IF(D277="",MAX(TODAY()-C277,0),MAX(D277-C277,0))</x:f>
        <x:v>0</x:v>
      </x:c>
      <x:c r="S277" s="13" t="str">
        <x:f>IF(R277=0,"Em dia",IF(R277&lt;=15,"1-15 dias",IF(R277&lt;=30,"16-30 dias",IF(R277&lt;=60,"31-60 dias","Acima de 60 dias"))))</x:f>
        <x:v>Em dia</x:v>
      </x:c>
    </x:row>
    <x:row r="278">
      <x:c r="A278" s="13" t="str">
        <x:v>REC-000277</x:v>
      </x:c>
      <x:c r="B278" s="23" t="n">
        <x:v>45419</x:v>
      </x:c>
      <x:c r="C278" s="23" t="n">
        <x:v>45440</x:v>
      </x:c>
      <x:c r="D278" s="23" t="n">
        <x:v>45438</x:v>
      </x:c>
      <x:c r="E278" s="13" t="str">
        <x:v>VAL-011</x:v>
      </x:c>
      <x:c r="F278" s="13" t="str">
        <x:v>Rede Essencial</x:v>
      </x:c>
      <x:c r="G278" s="13" t="str">
        <x:v>Varejo</x:v>
      </x:c>
      <x:c r="H278" s="13" t="str">
        <x:v>Médio</x:v>
      </x:c>
      <x:c r="I278" s="13" t="str">
        <x:v>Performance</x:v>
      </x:c>
      <x:c r="J278" s="17" t="n">
        <x:v>1974.59</x:v>
      </x:c>
      <x:c r="K278" s="17" t="n">
        <x:v>0</x:v>
      </x:c>
      <x:c r="L278" s="17" t="n">
        <x:v>0</x:v>
      </x:c>
      <x:c r="M278" s="13" t="str">
        <x:v>Pago</x:v>
      </x:c>
      <x:c r="N278" s="13" t="str">
        <x:v>Sem cobrança</x:v>
      </x:c>
      <x:c r="O278" s="13" t="str">
        <x:v>Base controlada</x:v>
      </x:c>
      <x:c r="P278" s="17" t="n">
        <x:f>IF(D278="",0,J278-K278+L278)</x:f>
        <x:v>1974.59</x:v>
      </x:c>
      <x:c r="Q278" s="17" t="n">
        <x:f>MAX(J278-P278-K278,0)</x:f>
        <x:v>0</x:v>
      </x:c>
      <x:c r="R278" s="13" t="n">
        <x:f>IF(D278="",MAX(TODAY()-C278,0),MAX(D278-C278,0))</x:f>
        <x:v>0</x:v>
      </x:c>
      <x:c r="S278" s="13" t="str">
        <x:f>IF(R278=0,"Em dia",IF(R278&lt;=15,"1-15 dias",IF(R278&lt;=30,"16-30 dias",IF(R278&lt;=60,"31-60 dias","Acima de 60 dias"))))</x:f>
        <x:v>Em dia</x:v>
      </x:c>
    </x:row>
    <x:row r="279">
      <x:c r="A279" s="13" t="str">
        <x:v>REC-000278</x:v>
      </x:c>
      <x:c r="B279" s="23" t="n">
        <x:v>45424</x:v>
      </x:c>
      <x:c r="C279" s="23" t="n">
        <x:v>45452</x:v>
      </x:c>
      <x:c r="D279" s="23" t="n">
        <x:v>45452</x:v>
      </x:c>
      <x:c r="E279" s="13" t="str">
        <x:v>VAL-014</x:v>
      </x:c>
      <x:c r="F279" s="13" t="str">
        <x:v>Colégio Caminhos</x:v>
      </x:c>
      <x:c r="G279" s="13" t="str">
        <x:v>Educação</x:v>
      </x:c>
      <x:c r="H279" s="13" t="str">
        <x:v>Médio</x:v>
      </x:c>
      <x:c r="I279" s="13" t="str">
        <x:v>Gestão</x:v>
      </x:c>
      <x:c r="J279" s="17" t="n">
        <x:v>23295.48</x:v>
      </x:c>
      <x:c r="K279" s="17" t="n">
        <x:v>0</x:v>
      </x:c>
      <x:c r="L279" s="17" t="n">
        <x:v>0</x:v>
      </x:c>
      <x:c r="M279" s="13" t="str">
        <x:v>Pago</x:v>
      </x:c>
      <x:c r="N279" s="13" t="str">
        <x:v>Sem cobrança</x:v>
      </x:c>
      <x:c r="O279" s="13" t="str">
        <x:v>Base controlada</x:v>
      </x:c>
      <x:c r="P279" s="17" t="n">
        <x:f>IF(D279="",0,J279-K279+L279)</x:f>
        <x:v>23295.48</x:v>
      </x:c>
      <x:c r="Q279" s="17" t="n">
        <x:f>MAX(J279-P279-K279,0)</x:f>
        <x:v>0</x:v>
      </x:c>
      <x:c r="R279" s="13" t="n">
        <x:f>IF(D279="",MAX(TODAY()-C279,0),MAX(D279-C279,0))</x:f>
        <x:v>0</x:v>
      </x:c>
      <x:c r="S279" s="13" t="str">
        <x:f>IF(R279=0,"Em dia",IF(R279&lt;=15,"1-15 dias",IF(R279&lt;=30,"16-30 dias",IF(R279&lt;=60,"31-60 dias","Acima de 60 dias"))))</x:f>
        <x:v>Em dia</x:v>
      </x:c>
    </x:row>
    <x:row r="280">
      <x:c r="A280" s="13" t="str">
        <x:v>REC-000279</x:v>
      </x:c>
      <x:c r="B280" s="23" t="n">
        <x:v>45429</x:v>
      </x:c>
      <x:c r="C280" s="23" t="n">
        <x:v>45436</x:v>
      </x:c>
      <x:c r="D280" s="23" t="n">
        <x:v>45432</x:v>
      </x:c>
      <x:c r="E280" s="13" t="str">
        <x:v>VAL-012</x:v>
      </x:c>
      <x:c r="F280" s="13" t="str">
        <x:v>DataFlow Sistemas</x:v>
      </x:c>
      <x:c r="G280" s="13" t="str">
        <x:v>Tecnologia</x:v>
      </x:c>
      <x:c r="H280" s="13" t="str">
        <x:v>Médio</x:v>
      </x:c>
      <x:c r="I280" s="13" t="str">
        <x:v>Enterprise</x:v>
      </x:c>
      <x:c r="J280" s="17" t="n">
        <x:v>28434.05</x:v>
      </x:c>
      <x:c r="K280" s="17" t="n">
        <x:v>0</x:v>
      </x:c>
      <x:c r="L280" s="17" t="n">
        <x:v>0</x:v>
      </x:c>
      <x:c r="M280" s="13" t="str">
        <x:v>Pago</x:v>
      </x:c>
      <x:c r="N280" s="13" t="str">
        <x:v>Sem cobrança</x:v>
      </x:c>
      <x:c r="O280" s="13" t="str">
        <x:v>Base controlada</x:v>
      </x:c>
      <x:c r="P280" s="17" t="n">
        <x:f>IF(D280="",0,J280-K280+L280)</x:f>
        <x:v>28434.05</x:v>
      </x:c>
      <x:c r="Q280" s="17" t="n">
        <x:f>MAX(J280-P280-K280,0)</x:f>
        <x:v>0</x:v>
      </x:c>
      <x:c r="R280" s="13" t="n">
        <x:f>IF(D280="",MAX(TODAY()-C280,0),MAX(D280-C280,0))</x:f>
        <x:v>0</x:v>
      </x:c>
      <x:c r="S280" s="13" t="str">
        <x:f>IF(R280=0,"Em dia",IF(R280&lt;=15,"1-15 dias",IF(R280&lt;=30,"16-30 dias",IF(R280&lt;=60,"31-60 dias","Acima de 60 dias"))))</x:f>
        <x:v>Em dia</x:v>
      </x:c>
    </x:row>
    <x:row r="281">
      <x:c r="A281" s="13" t="str">
        <x:v>REC-000280</x:v>
      </x:c>
      <x:c r="B281" s="23" t="n">
        <x:v>45429</x:v>
      </x:c>
      <x:c r="C281" s="23" t="n">
        <x:v>45459</x:v>
      </x:c>
      <x:c r="D281" s="23" t="n">
        <x:v>45458</x:v>
      </x:c>
      <x:c r="E281" s="13" t="str">
        <x:v>VAL-022</x:v>
      </x:c>
      <x:c r="F281" s="13" t="str">
        <x:v>Academia Evoluir</x:v>
      </x:c>
      <x:c r="G281" s="13" t="str">
        <x:v>Educação</x:v>
      </x:c>
      <x:c r="H281" s="13" t="str">
        <x:v>Alto</x:v>
      </x:c>
      <x:c r="I281" s="13" t="str">
        <x:v>Gestão</x:v>
      </x:c>
      <x:c r="J281" s="17" t="n">
        <x:v>17510.6</x:v>
      </x:c>
      <x:c r="K281" s="17" t="n">
        <x:v>0</x:v>
      </x:c>
      <x:c r="L281" s="17" t="n">
        <x:v>0</x:v>
      </x:c>
      <x:c r="M281" s="13" t="str">
        <x:v>Pago</x:v>
      </x:c>
      <x:c r="N281" s="13" t="str">
        <x:v>Sem cobrança</x:v>
      </x:c>
      <x:c r="O281" s="13" t="str">
        <x:v>Base controlada</x:v>
      </x:c>
      <x:c r="P281" s="17" t="n">
        <x:f>IF(D281="",0,J281-K281+L281)</x:f>
        <x:v>17510.6</x:v>
      </x:c>
      <x:c r="Q281" s="17" t="n">
        <x:f>MAX(J281-P281-K281,0)</x:f>
        <x:v>0</x:v>
      </x:c>
      <x:c r="R281" s="13" t="n">
        <x:f>IF(D281="",MAX(TODAY()-C281,0),MAX(D281-C281,0))</x:f>
        <x:v>0</x:v>
      </x:c>
      <x:c r="S281" s="13" t="str">
        <x:f>IF(R281=0,"Em dia",IF(R281&lt;=15,"1-15 dias",IF(R281&lt;=30,"16-30 dias",IF(R281&lt;=60,"31-60 dias","Acima de 60 dias"))))</x:f>
        <x:v>Em dia</x:v>
      </x:c>
    </x:row>
    <x:row r="282">
      <x:c r="A282" s="13" t="str">
        <x:v>REC-000281</x:v>
      </x:c>
      <x:c r="B282" s="23" t="n">
        <x:v>45420</x:v>
      </x:c>
      <x:c r="C282" s="23" t="n">
        <x:v>45450</x:v>
      </x:c>
      <x:c r="D282" s="23" t="n">
        <x:v>45449</x:v>
      </x:c>
      <x:c r="E282" s="13" t="str">
        <x:v>VAL-013</x:v>
      </x:c>
      <x:c r="F282" s="13" t="str">
        <x:v>Engenharia Vértice</x:v>
      </x:c>
      <x:c r="G282" s="13" t="str">
        <x:v>Construção</x:v>
      </x:c>
      <x:c r="H282" s="13" t="str">
        <x:v>Baixo</x:v>
      </x:c>
      <x:c r="I282" s="13" t="str">
        <x:v>Essencial</x:v>
      </x:c>
      <x:c r="J282" s="17" t="n">
        <x:v>6766.5</x:v>
      </x:c>
      <x:c r="K282" s="17" t="n">
        <x:v>0</x:v>
      </x:c>
      <x:c r="L282" s="17" t="n">
        <x:v>0</x:v>
      </x:c>
      <x:c r="M282" s="13" t="str">
        <x:v>Pago</x:v>
      </x:c>
      <x:c r="N282" s="13" t="str">
        <x:v>Sem cobrança</x:v>
      </x:c>
      <x:c r="O282" s="13" t="str">
        <x:v>Base controlada</x:v>
      </x:c>
      <x:c r="P282" s="17" t="n">
        <x:f>IF(D282="",0,J282-K282+L282)</x:f>
        <x:v>6766.5</x:v>
      </x:c>
      <x:c r="Q282" s="17" t="n">
        <x:f>MAX(J282-P282-K282,0)</x:f>
        <x:v>0</x:v>
      </x:c>
      <x:c r="R282" s="13" t="n">
        <x:f>IF(D282="",MAX(TODAY()-C282,0),MAX(D282-C282,0))</x:f>
        <x:v>0</x:v>
      </x:c>
      <x:c r="S282" s="13" t="str">
        <x:f>IF(R282=0,"Em dia",IF(R282&lt;=15,"1-15 dias",IF(R282&lt;=30,"16-30 dias",IF(R282&lt;=60,"31-60 dias","Acima de 60 dias"))))</x:f>
        <x:v>Em dia</x:v>
      </x:c>
    </x:row>
    <x:row r="283">
      <x:c r="A283" s="13" t="str">
        <x:v>REC-000282</x:v>
      </x:c>
      <x:c r="B283" s="23" t="n">
        <x:v>45419</x:v>
      </x:c>
      <x:c r="C283" s="23" t="n">
        <x:v>45449</x:v>
      </x:c>
      <x:c r="D283" s="23" t="n">
        <x:v>45445</x:v>
      </x:c>
      <x:c r="E283" s="13" t="str">
        <x:v>VAL-016</x:v>
      </x:c>
      <x:c r="F283" s="13" t="str">
        <x:v>Lumina Embalagens</x:v>
      </x:c>
      <x:c r="G283" s="13" t="str">
        <x:v>Indústria Leve</x:v>
      </x:c>
      <x:c r="H283" s="13" t="str">
        <x:v>Baixo</x:v>
      </x:c>
      <x:c r="I283" s="13" t="str">
        <x:v>Enterprise</x:v>
      </x:c>
      <x:c r="J283" s="17" t="n">
        <x:v>30602.97</x:v>
      </x:c>
      <x:c r="K283" s="17" t="n">
        <x:v>0</x:v>
      </x:c>
      <x:c r="L283" s="17" t="n">
        <x:v>0</x:v>
      </x:c>
      <x:c r="M283" s="13" t="str">
        <x:v>Pago</x:v>
      </x:c>
      <x:c r="N283" s="13" t="str">
        <x:v>Sem cobrança</x:v>
      </x:c>
      <x:c r="O283" s="13" t="str">
        <x:v>Base controlada</x:v>
      </x:c>
      <x:c r="P283" s="17" t="n">
        <x:f>IF(D283="",0,J283-K283+L283)</x:f>
        <x:v>30602.97</x:v>
      </x:c>
      <x:c r="Q283" s="17" t="n">
        <x:f>MAX(J283-P283-K283,0)</x:f>
        <x:v>0</x:v>
      </x:c>
      <x:c r="R283" s="13" t="n">
        <x:f>IF(D283="",MAX(TODAY()-C283,0),MAX(D283-C283,0))</x:f>
        <x:v>0</x:v>
      </x:c>
      <x:c r="S283" s="13" t="str">
        <x:f>IF(R283=0,"Em dia",IF(R283&lt;=15,"1-15 dias",IF(R283&lt;=30,"16-30 dias",IF(R283&lt;=60,"31-60 dias","Acima de 60 dias"))))</x:f>
        <x:v>Em dia</x:v>
      </x:c>
    </x:row>
    <x:row r="284">
      <x:c r="A284" s="13" t="str">
        <x:v>REC-000283</x:v>
      </x:c>
      <x:c r="B284" s="23" t="n">
        <x:v>45420</x:v>
      </x:c>
      <x:c r="C284" s="23" t="n">
        <x:v>45435</x:v>
      </x:c>
      <x:c r="D284" s="23" t="n">
        <x:v>45431</x:v>
      </x:c>
      <x:c r="E284" s="13" t="str">
        <x:v>VAL-026</x:v>
      </x:c>
      <x:c r="F284" s="13" t="str">
        <x:v>Ribeiro Arquitetura</x:v>
      </x:c>
      <x:c r="G284" s="13" t="str">
        <x:v>Serviços Profissionais</x:v>
      </x:c>
      <x:c r="H284" s="13" t="str">
        <x:v>Baixo</x:v>
      </x:c>
      <x:c r="I284" s="13" t="str">
        <x:v>Gestão</x:v>
      </x:c>
      <x:c r="J284" s="17" t="n">
        <x:v>18007.15</x:v>
      </x:c>
      <x:c r="K284" s="17" t="n">
        <x:v>0</x:v>
      </x:c>
      <x:c r="L284" s="17" t="n">
        <x:v>0</x:v>
      </x:c>
      <x:c r="M284" s="13" t="str">
        <x:v>Pago</x:v>
      </x:c>
      <x:c r="N284" s="13" t="str">
        <x:v>Sem cobrança</x:v>
      </x:c>
      <x:c r="O284" s="13" t="str">
        <x:v>Base controlada</x:v>
      </x:c>
      <x:c r="P284" s="17" t="n">
        <x:f>IF(D284="",0,J284-K284+L284)</x:f>
        <x:v>18007.15</x:v>
      </x:c>
      <x:c r="Q284" s="17" t="n">
        <x:f>MAX(J284-P284-K284,0)</x:f>
        <x:v>0</x:v>
      </x:c>
      <x:c r="R284" s="13" t="n">
        <x:f>IF(D284="",MAX(TODAY()-C284,0),MAX(D284-C284,0))</x:f>
        <x:v>0</x:v>
      </x:c>
      <x:c r="S284" s="13" t="str">
        <x:f>IF(R284=0,"Em dia",IF(R284&lt;=15,"1-15 dias",IF(R284&lt;=30,"16-30 dias",IF(R284&lt;=60,"31-60 dias","Acima de 60 dias"))))</x:f>
        <x:v>Em dia</x:v>
      </x:c>
    </x:row>
    <x:row r="285">
      <x:c r="A285" s="13" t="str">
        <x:v>REC-000284</x:v>
      </x:c>
      <x:c r="B285" s="23" t="n">
        <x:v>45422</x:v>
      </x:c>
      <x:c r="C285" s="23" t="n">
        <x:v>45429</x:v>
      </x:c>
      <x:c r="D285" s="23" t="n">
        <x:v>45428</x:v>
      </x:c>
      <x:c r="E285" s="13" t="str">
        <x:v>VAL-022</x:v>
      </x:c>
      <x:c r="F285" s="13" t="str">
        <x:v>Academia Evoluir</x:v>
      </x:c>
      <x:c r="G285" s="13" t="str">
        <x:v>Educação</x:v>
      </x:c>
      <x:c r="H285" s="13" t="str">
        <x:v>Alto</x:v>
      </x:c>
      <x:c r="I285" s="13" t="str">
        <x:v>Gestão</x:v>
      </x:c>
      <x:c r="J285" s="17" t="n">
        <x:v>26758.11</x:v>
      </x:c>
      <x:c r="K285" s="17" t="n">
        <x:v>0</x:v>
      </x:c>
      <x:c r="L285" s="17" t="n">
        <x:v>0</x:v>
      </x:c>
      <x:c r="M285" s="13" t="str">
        <x:v>Pago</x:v>
      </x:c>
      <x:c r="N285" s="13" t="str">
        <x:v>Sem cobrança</x:v>
      </x:c>
      <x:c r="O285" s="13" t="str">
        <x:v>Base controlada</x:v>
      </x:c>
      <x:c r="P285" s="17" t="n">
        <x:f>IF(D285="",0,J285-K285+L285)</x:f>
        <x:v>26758.11</x:v>
      </x:c>
      <x:c r="Q285" s="17" t="n">
        <x:f>MAX(J285-P285-K285,0)</x:f>
        <x:v>0</x:v>
      </x:c>
      <x:c r="R285" s="13" t="n">
        <x:f>IF(D285="",MAX(TODAY()-C285,0),MAX(D285-C285,0))</x:f>
        <x:v>0</x:v>
      </x:c>
      <x:c r="S285" s="13" t="str">
        <x:f>IF(R285=0,"Em dia",IF(R285&lt;=15,"1-15 dias",IF(R285&lt;=30,"16-30 dias",IF(R285&lt;=60,"31-60 dias","Acima de 60 dias"))))</x:f>
        <x:v>Em dia</x:v>
      </x:c>
    </x:row>
    <x:row r="286">
      <x:c r="A286" s="13" t="str">
        <x:v>REC-000285</x:v>
      </x:c>
      <x:c r="B286" s="23" t="n">
        <x:v>45426</x:v>
      </x:c>
      <x:c r="C286" s="23" t="n">
        <x:v>45454</x:v>
      </x:c>
      <x:c r="D286" s="23" t="n">
        <x:v>45453</x:v>
      </x:c>
      <x:c r="E286" s="13" t="str">
        <x:v>VAL-029</x:v>
      </x:c>
      <x:c r="F286" s="13" t="str">
        <x:v>Planobra Serviços</x:v>
      </x:c>
      <x:c r="G286" s="13" t="str">
        <x:v>Construção</x:v>
      </x:c>
      <x:c r="H286" s="13" t="str">
        <x:v>Baixo</x:v>
      </x:c>
      <x:c r="I286" s="13" t="str">
        <x:v>Essencial</x:v>
      </x:c>
      <x:c r="J286" s="17" t="n">
        <x:v>22612.68</x:v>
      </x:c>
      <x:c r="K286" s="17" t="n">
        <x:v>0</x:v>
      </x:c>
      <x:c r="L286" s="17" t="n">
        <x:v>0</x:v>
      </x:c>
      <x:c r="M286" s="13" t="str">
        <x:v>Pago</x:v>
      </x:c>
      <x:c r="N286" s="13" t="str">
        <x:v>Sem cobrança</x:v>
      </x:c>
      <x:c r="O286" s="13" t="str">
        <x:v>Base controlada</x:v>
      </x:c>
      <x:c r="P286" s="17" t="n">
        <x:f>IF(D286="",0,J286-K286+L286)</x:f>
        <x:v>22612.68</x:v>
      </x:c>
      <x:c r="Q286" s="17" t="n">
        <x:f>MAX(J286-P286-K286,0)</x:f>
        <x:v>0</x:v>
      </x:c>
      <x:c r="R286" s="13" t="n">
        <x:f>IF(D286="",MAX(TODAY()-C286,0),MAX(D286-C286,0))</x:f>
        <x:v>0</x:v>
      </x:c>
      <x:c r="S286" s="13" t="str">
        <x:f>IF(R286=0,"Em dia",IF(R286&lt;=15,"1-15 dias",IF(R286&lt;=30,"16-30 dias",IF(R286&lt;=60,"31-60 dias","Acima de 60 dias"))))</x:f>
        <x:v>Em dia</x:v>
      </x:c>
    </x:row>
    <x:row r="287">
      <x:c r="A287" s="13" t="str">
        <x:v>REC-000286</x:v>
      </x:c>
      <x:c r="B287" s="23" t="n">
        <x:v>45423</x:v>
      </x:c>
      <x:c r="C287" s="23" t="n">
        <x:v>45444</x:v>
      </x:c>
      <x:c r="D287" s="23" t="n">
        <x:v>45440</x:v>
      </x:c>
      <x:c r="E287" s="13" t="str">
        <x:v>VAL-015</x:v>
      </x:c>
      <x:c r="F287" s="13" t="str">
        <x:v>Mercado Click</x:v>
      </x:c>
      <x:c r="G287" s="13" t="str">
        <x:v>E-commerce</x:v>
      </x:c>
      <x:c r="H287" s="13" t="str">
        <x:v>Baixo</x:v>
      </x:c>
      <x:c r="I287" s="13" t="str">
        <x:v>Performance</x:v>
      </x:c>
      <x:c r="J287" s="17" t="n">
        <x:v>5468.91</x:v>
      </x:c>
      <x:c r="K287" s="17" t="n">
        <x:v>0</x:v>
      </x:c>
      <x:c r="L287" s="17" t="n">
        <x:v>0</x:v>
      </x:c>
      <x:c r="M287" s="13" t="str">
        <x:v>Pago</x:v>
      </x:c>
      <x:c r="N287" s="13" t="str">
        <x:v>Sem cobrança</x:v>
      </x:c>
      <x:c r="O287" s="13" t="str">
        <x:v>Base controlada</x:v>
      </x:c>
      <x:c r="P287" s="17" t="n">
        <x:f>IF(D287="",0,J287-K287+L287)</x:f>
        <x:v>5468.91</x:v>
      </x:c>
      <x:c r="Q287" s="17" t="n">
        <x:f>MAX(J287-P287-K287,0)</x:f>
        <x:v>0</x:v>
      </x:c>
      <x:c r="R287" s="13" t="n">
        <x:f>IF(D287="",MAX(TODAY()-C287,0),MAX(D287-C287,0))</x:f>
        <x:v>0</x:v>
      </x:c>
      <x:c r="S287" s="13" t="str">
        <x:f>IF(R287=0,"Em dia",IF(R287&lt;=15,"1-15 dias",IF(R287&lt;=30,"16-30 dias",IF(R287&lt;=60,"31-60 dias","Acima de 60 dias"))))</x:f>
        <x:v>Em dia</x:v>
      </x:c>
    </x:row>
    <x:row r="288">
      <x:c r="A288" s="13" t="str">
        <x:v>REC-000287</x:v>
      </x:c>
      <x:c r="B288" s="23" t="n">
        <x:v>45431</x:v>
      </x:c>
      <x:c r="C288" s="23" t="n">
        <x:v>45446</x:v>
      </x:c>
      <x:c r="D288" s="23" t="n">
        <x:v>45445</x:v>
      </x:c>
      <x:c r="E288" s="13" t="str">
        <x:v>VAL-029</x:v>
      </x:c>
      <x:c r="F288" s="13" t="str">
        <x:v>Planobra Serviços</x:v>
      </x:c>
      <x:c r="G288" s="13" t="str">
        <x:v>Construção</x:v>
      </x:c>
      <x:c r="H288" s="13" t="str">
        <x:v>Baixo</x:v>
      </x:c>
      <x:c r="I288" s="13" t="str">
        <x:v>Essencial</x:v>
      </x:c>
      <x:c r="J288" s="17" t="n">
        <x:v>15843.33</x:v>
      </x:c>
      <x:c r="K288" s="17" t="n">
        <x:v>0</x:v>
      </x:c>
      <x:c r="L288" s="17" t="n">
        <x:v>0</x:v>
      </x:c>
      <x:c r="M288" s="13" t="str">
        <x:v>Pago</x:v>
      </x:c>
      <x:c r="N288" s="13" t="str">
        <x:v>Sem cobrança</x:v>
      </x:c>
      <x:c r="O288" s="13" t="str">
        <x:v>Base controlada</x:v>
      </x:c>
      <x:c r="P288" s="17" t="n">
        <x:f>IF(D288="",0,J288-K288+L288)</x:f>
        <x:v>15843.33</x:v>
      </x:c>
      <x:c r="Q288" s="17" t="n">
        <x:f>MAX(J288-P288-K288,0)</x:f>
        <x:v>0</x:v>
      </x:c>
      <x:c r="R288" s="13" t="n">
        <x:f>IF(D288="",MAX(TODAY()-C288,0),MAX(D288-C288,0))</x:f>
        <x:v>0</x:v>
      </x:c>
      <x:c r="S288" s="13" t="str">
        <x:f>IF(R288=0,"Em dia",IF(R288&lt;=15,"1-15 dias",IF(R288&lt;=30,"16-30 dias",IF(R288&lt;=60,"31-60 dias","Acima de 60 dias"))))</x:f>
        <x:v>Em dia</x:v>
      </x:c>
    </x:row>
    <x:row r="289">
      <x:c r="A289" s="13" t="str">
        <x:v>REC-000288</x:v>
      </x:c>
      <x:c r="B289" s="23" t="n">
        <x:v>45421</x:v>
      </x:c>
      <x:c r="C289" s="23" t="n">
        <x:v>45451</x:v>
      </x:c>
      <x:c r="D289" s="23" t="n">
        <x:v>45451</x:v>
      </x:c>
      <x:c r="E289" s="13" t="str">
        <x:v>VAL-016</x:v>
      </x:c>
      <x:c r="F289" s="13" t="str">
        <x:v>Lumina Embalagens</x:v>
      </x:c>
      <x:c r="G289" s="13" t="str">
        <x:v>Indústria Leve</x:v>
      </x:c>
      <x:c r="H289" s="13" t="str">
        <x:v>Baixo</x:v>
      </x:c>
      <x:c r="I289" s="13" t="str">
        <x:v>Enterprise</x:v>
      </x:c>
      <x:c r="J289" s="17" t="n">
        <x:v>6383.31</x:v>
      </x:c>
      <x:c r="K289" s="17" t="n">
        <x:v>0</x:v>
      </x:c>
      <x:c r="L289" s="17" t="n">
        <x:v>0</x:v>
      </x:c>
      <x:c r="M289" s="13" t="str">
        <x:v>Pago</x:v>
      </x:c>
      <x:c r="N289" s="13" t="str">
        <x:v>Sem cobrança</x:v>
      </x:c>
      <x:c r="O289" s="13" t="str">
        <x:v>Base controlada</x:v>
      </x:c>
      <x:c r="P289" s="17" t="n">
        <x:f>IF(D289="",0,J289-K289+L289)</x:f>
        <x:v>6383.31</x:v>
      </x:c>
      <x:c r="Q289" s="17" t="n">
        <x:f>MAX(J289-P289-K289,0)</x:f>
        <x:v>0</x:v>
      </x:c>
      <x:c r="R289" s="13" t="n">
        <x:f>IF(D289="",MAX(TODAY()-C289,0),MAX(D289-C289,0))</x:f>
        <x:v>0</x:v>
      </x:c>
      <x:c r="S289" s="13" t="str">
        <x:f>IF(R289=0,"Em dia",IF(R289&lt;=15,"1-15 dias",IF(R289&lt;=30,"16-30 dias",IF(R289&lt;=60,"31-60 dias","Acima de 60 dias"))))</x:f>
        <x:v>Em dia</x:v>
      </x:c>
    </x:row>
    <x:row r="290">
      <x:c r="A290" s="13" t="str">
        <x:v>REC-000289</x:v>
      </x:c>
      <x:c r="B290" s="23" t="n">
        <x:v>45426</x:v>
      </x:c>
      <x:c r="C290" s="23" t="n">
        <x:v>45447</x:v>
      </x:c>
      <x:c r="D290" s="23" t="n">
        <x:v>45444</x:v>
      </x:c>
      <x:c r="E290" s="13" t="str">
        <x:v>VAL-030</x:v>
      </x:c>
      <x:c r="F290" s="13" t="str">
        <x:v>Mundo Kids Cursos</x:v>
      </x:c>
      <x:c r="G290" s="13" t="str">
        <x:v>Educação</x:v>
      </x:c>
      <x:c r="H290" s="13" t="str">
        <x:v>Alto</x:v>
      </x:c>
      <x:c r="I290" s="13" t="str">
        <x:v>Gestão</x:v>
      </x:c>
      <x:c r="J290" s="17" t="n">
        <x:v>2248.42</x:v>
      </x:c>
      <x:c r="K290" s="17" t="n">
        <x:v>0</x:v>
      </x:c>
      <x:c r="L290" s="17" t="n">
        <x:v>0</x:v>
      </x:c>
      <x:c r="M290" s="13" t="str">
        <x:v>Pago</x:v>
      </x:c>
      <x:c r="N290" s="13" t="str">
        <x:v>Sem cobrança</x:v>
      </x:c>
      <x:c r="O290" s="13" t="str">
        <x:v>Base controlada</x:v>
      </x:c>
      <x:c r="P290" s="17" t="n">
        <x:f>IF(D290="",0,J290-K290+L290)</x:f>
        <x:v>2248.42</x:v>
      </x:c>
      <x:c r="Q290" s="17" t="n">
        <x:f>MAX(J290-P290-K290,0)</x:f>
        <x:v>0</x:v>
      </x:c>
      <x:c r="R290" s="13" t="n">
        <x:f>IF(D290="",MAX(TODAY()-C290,0),MAX(D290-C290,0))</x:f>
        <x:v>0</x:v>
      </x:c>
      <x:c r="S290" s="13" t="str">
        <x:f>IF(R290=0,"Em dia",IF(R290&lt;=15,"1-15 dias",IF(R290&lt;=30,"16-30 dias",IF(R290&lt;=60,"31-60 dias","Acima de 60 dias"))))</x:f>
        <x:v>Em dia</x:v>
      </x:c>
    </x:row>
    <x:row r="291">
      <x:c r="A291" s="13" t="str">
        <x:v>REC-000290</x:v>
      </x:c>
      <x:c r="B291" s="23" t="n">
        <x:v>45418</x:v>
      </x:c>
      <x:c r="C291" s="23" t="n">
        <x:v>45448</x:v>
      </x:c>
      <x:c r="D291" s="23" t="n">
        <x:v>45464</x:v>
      </x:c>
      <x:c r="E291" s="13" t="str">
        <x:v>VAL-022</x:v>
      </x:c>
      <x:c r="F291" s="13" t="str">
        <x:v>Academia Evoluir</x:v>
      </x:c>
      <x:c r="G291" s="13" t="str">
        <x:v>Educação</x:v>
      </x:c>
      <x:c r="H291" s="13" t="str">
        <x:v>Alto</x:v>
      </x:c>
      <x:c r="I291" s="13" t="str">
        <x:v>Gestão</x:v>
      </x:c>
      <x:c r="J291" s="17" t="n">
        <x:v>24107.17</x:v>
      </x:c>
      <x:c r="K291" s="17" t="n">
        <x:v>0</x:v>
      </x:c>
      <x:c r="L291" s="17" t="n">
        <x:v>250.71</x:v>
      </x:c>
      <x:c r="M291" s="13" t="str">
        <x:v>Pago com atraso</x:v>
      </x:c>
      <x:c r="N291" s="13" t="str">
        <x:v>Telefone</x:v>
      </x:c>
      <x:c r="O291" s="13" t="str">
        <x:v>Base controlada</x:v>
      </x:c>
      <x:c r="P291" s="17" t="n">
        <x:f>IF(D291="",0,J291-K291+L291)</x:f>
        <x:v>24357.879999999997</x:v>
      </x:c>
      <x:c r="Q291" s="17" t="n">
        <x:f>MAX(J291-P291-K291,0)</x:f>
        <x:v>0</x:v>
      </x:c>
      <x:c r="R291" s="13" t="n">
        <x:f>IF(D291="",MAX(TODAY()-C291,0),MAX(D291-C291,0))</x:f>
        <x:v>16</x:v>
      </x:c>
      <x:c r="S291" s="13" t="str">
        <x:f>IF(R291=0,"Em dia",IF(R291&lt;=15,"1-15 dias",IF(R291&lt;=30,"16-30 dias",IF(R291&lt;=60,"31-60 dias","Acima de 60 dias"))))</x:f>
        <x:v>16-30 dias</x:v>
      </x:c>
    </x:row>
    <x:row r="292">
      <x:c r="A292" s="13" t="str">
        <x:v>REC-000291</x:v>
      </x:c>
      <x:c r="B292" s="23" t="n">
        <x:v>45426</x:v>
      </x:c>
      <x:c r="C292" s="23" t="n">
        <x:v>45447</x:v>
      </x:c>
      <x:c r="D292" s="23" t="n">
        <x:v>45445</x:v>
      </x:c>
      <x:c r="E292" s="13" t="str">
        <x:v>VAL-020</x:v>
      </x:c>
      <x:c r="F292" s="13" t="str">
        <x:v>Corelink Digital</x:v>
      </x:c>
      <x:c r="G292" s="13" t="str">
        <x:v>Tecnologia</x:v>
      </x:c>
      <x:c r="H292" s="13" t="str">
        <x:v>Baixo</x:v>
      </x:c>
      <x:c r="I292" s="13" t="str">
        <x:v>Enterprise</x:v>
      </x:c>
      <x:c r="J292" s="17" t="n">
        <x:v>34833.83</x:v>
      </x:c>
      <x:c r="K292" s="17" t="n">
        <x:v>0</x:v>
      </x:c>
      <x:c r="L292" s="17" t="n">
        <x:v>0</x:v>
      </x:c>
      <x:c r="M292" s="13" t="str">
        <x:v>Pago</x:v>
      </x:c>
      <x:c r="N292" s="13" t="str">
        <x:v>Sem cobrança</x:v>
      </x:c>
      <x:c r="O292" s="13" t="str">
        <x:v>Base controlada</x:v>
      </x:c>
      <x:c r="P292" s="17" t="n">
        <x:f>IF(D292="",0,J292-K292+L292)</x:f>
        <x:v>34833.83</x:v>
      </x:c>
      <x:c r="Q292" s="17" t="n">
        <x:f>MAX(J292-P292-K292,0)</x:f>
        <x:v>0</x:v>
      </x:c>
      <x:c r="R292" s="13" t="n">
        <x:f>IF(D292="",MAX(TODAY()-C292,0),MAX(D292-C292,0))</x:f>
        <x:v>0</x:v>
      </x:c>
      <x:c r="S292" s="13" t="str">
        <x:f>IF(R292=0,"Em dia",IF(R292&lt;=15,"1-15 dias",IF(R292&lt;=30,"16-30 dias",IF(R292&lt;=60,"31-60 dias","Acima de 60 dias"))))</x:f>
        <x:v>Em dia</x:v>
      </x:c>
    </x:row>
    <x:row r="293">
      <x:c r="A293" s="13" t="str">
        <x:v>REC-000292</x:v>
      </x:c>
      <x:c r="B293" s="23" t="n">
        <x:v>45431</x:v>
      </x:c>
      <x:c r="C293" s="23" t="n">
        <x:v>45459</x:v>
      </x:c>
      <x:c r="D293" s="23" t="n">
        <x:v>45457</x:v>
      </x:c>
      <x:c r="E293" s="13" t="str">
        <x:v>VAL-007</x:v>
      </x:c>
      <x:c r="F293" s="13" t="str">
        <x:v>Loja Prisma Online</x:v>
      </x:c>
      <x:c r="G293" s="13" t="str">
        <x:v>E-commerce</x:v>
      </x:c>
      <x:c r="H293" s="13" t="str">
        <x:v>Médio</x:v>
      </x:c>
      <x:c r="I293" s="13" t="str">
        <x:v>Performance</x:v>
      </x:c>
      <x:c r="J293" s="17" t="n">
        <x:v>8350.47</x:v>
      </x:c>
      <x:c r="K293" s="17" t="n">
        <x:v>0</x:v>
      </x:c>
      <x:c r="L293" s="17" t="n">
        <x:v>0</x:v>
      </x:c>
      <x:c r="M293" s="13" t="str">
        <x:v>Pago</x:v>
      </x:c>
      <x:c r="N293" s="13" t="str">
        <x:v>Sem cobrança</x:v>
      </x:c>
      <x:c r="O293" s="13" t="str">
        <x:v>Base controlada</x:v>
      </x:c>
      <x:c r="P293" s="17" t="n">
        <x:f>IF(D293="",0,J293-K293+L293)</x:f>
        <x:v>8350.47</x:v>
      </x:c>
      <x:c r="Q293" s="17" t="n">
        <x:f>MAX(J293-P293-K293,0)</x:f>
        <x:v>0</x:v>
      </x:c>
      <x:c r="R293" s="13" t="n">
        <x:f>IF(D293="",MAX(TODAY()-C293,0),MAX(D293-C293,0))</x:f>
        <x:v>0</x:v>
      </x:c>
      <x:c r="S293" s="13" t="str">
        <x:f>IF(R293=0,"Em dia",IF(R293&lt;=15,"1-15 dias",IF(R293&lt;=30,"16-30 dias",IF(R293&lt;=60,"31-60 dias","Acima de 60 dias"))))</x:f>
        <x:v>Em dia</x:v>
      </x:c>
    </x:row>
    <x:row r="294">
      <x:c r="A294" s="13" t="str">
        <x:v>REC-000293</x:v>
      </x:c>
      <x:c r="B294" s="23" t="n">
        <x:v>45430</x:v>
      </x:c>
      <x:c r="C294" s="23" t="n">
        <x:v>45445</x:v>
      </x:c>
      <x:c r="D294" s="23" t="n">
        <x:v>45443</x:v>
      </x:c>
      <x:c r="E294" s="13" t="str">
        <x:v>VAL-018</x:v>
      </x:c>
      <x:c r="F294" s="13" t="str">
        <x:v>Ponto Legal Advocacia</x:v>
      </x:c>
      <x:c r="G294" s="13" t="str">
        <x:v>Serviços Profissionais</x:v>
      </x:c>
      <x:c r="H294" s="13" t="str">
        <x:v>Baixo</x:v>
      </x:c>
      <x:c r="I294" s="13" t="str">
        <x:v>Gestão</x:v>
      </x:c>
      <x:c r="J294" s="17" t="n">
        <x:v>6320.34</x:v>
      </x:c>
      <x:c r="K294" s="17" t="n">
        <x:v>0</x:v>
      </x:c>
      <x:c r="L294" s="17" t="n">
        <x:v>0</x:v>
      </x:c>
      <x:c r="M294" s="13" t="str">
        <x:v>Pago</x:v>
      </x:c>
      <x:c r="N294" s="13" t="str">
        <x:v>Sem cobrança</x:v>
      </x:c>
      <x:c r="O294" s="13" t="str">
        <x:v>Base controlada</x:v>
      </x:c>
      <x:c r="P294" s="17" t="n">
        <x:f>IF(D294="",0,J294-K294+L294)</x:f>
        <x:v>6320.34</x:v>
      </x:c>
      <x:c r="Q294" s="17" t="n">
        <x:f>MAX(J294-P294-K294,0)</x:f>
        <x:v>0</x:v>
      </x:c>
      <x:c r="R294" s="13" t="n">
        <x:f>IF(D294="",MAX(TODAY()-C294,0),MAX(D294-C294,0))</x:f>
        <x:v>0</x:v>
      </x:c>
      <x:c r="S294" s="13" t="str">
        <x:f>IF(R294=0,"Em dia",IF(R294&lt;=15,"1-15 dias",IF(R294&lt;=30,"16-30 dias",IF(R294&lt;=60,"31-60 dias","Acima de 60 dias"))))</x:f>
        <x:v>Em dia</x:v>
      </x:c>
    </x:row>
    <x:row r="295">
      <x:c r="A295" s="13" t="str">
        <x:v>REC-000294</x:v>
      </x:c>
      <x:c r="B295" s="23" t="n">
        <x:v>45418</x:v>
      </x:c>
      <x:c r="C295" s="23" t="n">
        <x:v>45446</x:v>
      </x:c>
      <x:c r="D295" s="23" t="n">
        <x:v>45443</x:v>
      </x:c>
      <x:c r="E295" s="13" t="str">
        <x:v>VAL-020</x:v>
      </x:c>
      <x:c r="F295" s="13" t="str">
        <x:v>Corelink Digital</x:v>
      </x:c>
      <x:c r="G295" s="13" t="str">
        <x:v>Tecnologia</x:v>
      </x:c>
      <x:c r="H295" s="13" t="str">
        <x:v>Baixo</x:v>
      </x:c>
      <x:c r="I295" s="13" t="str">
        <x:v>Enterprise</x:v>
      </x:c>
      <x:c r="J295" s="17" t="n">
        <x:v>27014.11</x:v>
      </x:c>
      <x:c r="K295" s="17" t="n">
        <x:v>370.55</x:v>
      </x:c>
      <x:c r="L295" s="17" t="n">
        <x:v>0</x:v>
      </x:c>
      <x:c r="M295" s="13" t="str">
        <x:v>Pago</x:v>
      </x:c>
      <x:c r="N295" s="13" t="str">
        <x:v>Sem cobrança</x:v>
      </x:c>
      <x:c r="O295" s="13" t="str">
        <x:v>Base controlada</x:v>
      </x:c>
      <x:c r="P295" s="17" t="n">
        <x:f>IF(D295="",0,J295-K295+L295)</x:f>
        <x:v>26643.56</x:v>
      </x:c>
      <x:c r="Q295" s="17" t="n">
        <x:f>MAX(J295-P295-K295,0)</x:f>
        <x:v>0</x:v>
      </x:c>
      <x:c r="R295" s="13" t="n">
        <x:f>IF(D295="",MAX(TODAY()-C295,0),MAX(D295-C295,0))</x:f>
        <x:v>0</x:v>
      </x:c>
      <x:c r="S295" s="13" t="str">
        <x:f>IF(R295=0,"Em dia",IF(R295&lt;=15,"1-15 dias",IF(R295&lt;=30,"16-30 dias",IF(R295&lt;=60,"31-60 dias","Acima de 60 dias"))))</x:f>
        <x:v>Em dia</x:v>
      </x:c>
    </x:row>
    <x:row r="296">
      <x:c r="A296" s="13" t="str">
        <x:v>REC-000295</x:v>
      </x:c>
      <x:c r="B296" s="23" t="n">
        <x:v>45432</x:v>
      </x:c>
      <x:c r="C296" s="23" t="n">
        <x:v>45447</x:v>
      </x:c>
      <x:c r="D296" s="23" t="n">
        <x:v>45446</x:v>
      </x:c>
      <x:c r="E296" s="13" t="str">
        <x:v>VAL-020</x:v>
      </x:c>
      <x:c r="F296" s="13" t="str">
        <x:v>Corelink Digital</x:v>
      </x:c>
      <x:c r="G296" s="13" t="str">
        <x:v>Tecnologia</x:v>
      </x:c>
      <x:c r="H296" s="13" t="str">
        <x:v>Baixo</x:v>
      </x:c>
      <x:c r="I296" s="13" t="str">
        <x:v>Enterprise</x:v>
      </x:c>
      <x:c r="J296" s="17" t="n">
        <x:v>2875.43</x:v>
      </x:c>
      <x:c r="K296" s="17" t="n">
        <x:v>0</x:v>
      </x:c>
      <x:c r="L296" s="17" t="n">
        <x:v>0</x:v>
      </x:c>
      <x:c r="M296" s="13" t="str">
        <x:v>Pago</x:v>
      </x:c>
      <x:c r="N296" s="13" t="str">
        <x:v>Sem cobrança</x:v>
      </x:c>
      <x:c r="O296" s="13" t="str">
        <x:v>Base controlada</x:v>
      </x:c>
      <x:c r="P296" s="17" t="n">
        <x:f>IF(D296="",0,J296-K296+L296)</x:f>
        <x:v>2875.43</x:v>
      </x:c>
      <x:c r="Q296" s="17" t="n">
        <x:f>MAX(J296-P296-K296,0)</x:f>
        <x:v>0</x:v>
      </x:c>
      <x:c r="R296" s="13" t="n">
        <x:f>IF(D296="",MAX(TODAY()-C296,0),MAX(D296-C296,0))</x:f>
        <x:v>0</x:v>
      </x:c>
      <x:c r="S296" s="13" t="str">
        <x:f>IF(R296=0,"Em dia",IF(R296&lt;=15,"1-15 dias",IF(R296&lt;=30,"16-30 dias",IF(R296&lt;=60,"31-60 dias","Acima de 60 dias"))))</x:f>
        <x:v>Em dia</x:v>
      </x:c>
    </x:row>
    <x:row r="297">
      <x:c r="A297" s="13" t="str">
        <x:v>REC-000296</x:v>
      </x:c>
      <x:c r="B297" s="23" t="n">
        <x:v>45425</x:v>
      </x:c>
      <x:c r="C297" s="23" t="n">
        <x:v>45440</x:v>
      </x:c>
      <x:c r="D297" s="23" t="n">
        <x:v>45436</x:v>
      </x:c>
      <x:c r="E297" s="13" t="str">
        <x:v>VAL-021</x:v>
      </x:c>
      <x:c r="F297" s="13" t="str">
        <x:v>Base Forte Obras</x:v>
      </x:c>
      <x:c r="G297" s="13" t="str">
        <x:v>Construção</x:v>
      </x:c>
      <x:c r="H297" s="13" t="str">
        <x:v>Médio</x:v>
      </x:c>
      <x:c r="I297" s="13" t="str">
        <x:v>Essencial</x:v>
      </x:c>
      <x:c r="J297" s="17" t="n">
        <x:v>1638.14</x:v>
      </x:c>
      <x:c r="K297" s="17" t="n">
        <x:v>0</x:v>
      </x:c>
      <x:c r="L297" s="17" t="n">
        <x:v>0</x:v>
      </x:c>
      <x:c r="M297" s="13" t="str">
        <x:v>Pago</x:v>
      </x:c>
      <x:c r="N297" s="13" t="str">
        <x:v>Sem cobrança</x:v>
      </x:c>
      <x:c r="O297" s="13" t="str">
        <x:v>Base controlada</x:v>
      </x:c>
      <x:c r="P297" s="17" t="n">
        <x:f>IF(D297="",0,J297-K297+L297)</x:f>
        <x:v>1638.14</x:v>
      </x:c>
      <x:c r="Q297" s="17" t="n">
        <x:f>MAX(J297-P297-K297,0)</x:f>
        <x:v>0</x:v>
      </x:c>
      <x:c r="R297" s="13" t="n">
        <x:f>IF(D297="",MAX(TODAY()-C297,0),MAX(D297-C297,0))</x:f>
        <x:v>0</x:v>
      </x:c>
      <x:c r="S297" s="13" t="str">
        <x:f>IF(R297=0,"Em dia",IF(R297&lt;=15,"1-15 dias",IF(R297&lt;=30,"16-30 dias",IF(R297&lt;=60,"31-60 dias","Acima de 60 dias"))))</x:f>
        <x:v>Em dia</x:v>
      </x:c>
    </x:row>
    <x:row r="298">
      <x:c r="A298" s="13" t="str">
        <x:v>REC-000297</x:v>
      </x:c>
      <x:c r="B298" s="23" t="n">
        <x:v>45431</x:v>
      </x:c>
      <x:c r="C298" s="23" t="n">
        <x:v>45461</x:v>
      </x:c>
      <x:c r="D298" s="23" t="n">
        <x:v>45481</x:v>
      </x:c>
      <x:c r="E298" s="13" t="str">
        <x:v>VAL-007</x:v>
      </x:c>
      <x:c r="F298" s="13" t="str">
        <x:v>Loja Prisma Online</x:v>
      </x:c>
      <x:c r="G298" s="13" t="str">
        <x:v>E-commerce</x:v>
      </x:c>
      <x:c r="H298" s="13" t="str">
        <x:v>Médio</x:v>
      </x:c>
      <x:c r="I298" s="13" t="str">
        <x:v>Performance</x:v>
      </x:c>
      <x:c r="J298" s="17" t="n">
        <x:v>31311.68</x:v>
      </x:c>
      <x:c r="K298" s="17" t="n">
        <x:v>0</x:v>
      </x:c>
      <x:c r="L298" s="17" t="n">
        <x:v>407.05</x:v>
      </x:c>
      <x:c r="M298" s="13" t="str">
        <x:v>Pago com atraso</x:v>
      </x:c>
      <x:c r="N298" s="13" t="str">
        <x:v>Régua automática</x:v>
      </x:c>
      <x:c r="O298" s="13" t="str">
        <x:v>Base controlada</x:v>
      </x:c>
      <x:c r="P298" s="17" t="n">
        <x:f>IF(D298="",0,J298-K298+L298)</x:f>
        <x:v>31718.73</x:v>
      </x:c>
      <x:c r="Q298" s="17" t="n">
        <x:f>MAX(J298-P298-K298,0)</x:f>
        <x:v>0</x:v>
      </x:c>
      <x:c r="R298" s="13" t="n">
        <x:f>IF(D298="",MAX(TODAY()-C298,0),MAX(D298-C298,0))</x:f>
        <x:v>20</x:v>
      </x:c>
      <x:c r="S298" s="13" t="str">
        <x:f>IF(R298=0,"Em dia",IF(R298&lt;=15,"1-15 dias",IF(R298&lt;=30,"16-30 dias",IF(R298&lt;=60,"31-60 dias","Acima de 60 dias"))))</x:f>
        <x:v>16-30 dias</x:v>
      </x:c>
    </x:row>
    <x:row r="299">
      <x:c r="A299" s="13" t="str">
        <x:v>REC-000298</x:v>
      </x:c>
      <x:c r="B299" s="23" t="n">
        <x:v>45422</x:v>
      </x:c>
      <x:c r="C299" s="23" t="n">
        <x:v>45452</x:v>
      </x:c>
      <x:c r="D299" s="23" t="n">
        <x:v>45450</x:v>
      </x:c>
      <x:c r="E299" s="13" t="str">
        <x:v>VAL-003</x:v>
      </x:c>
      <x:c r="F299" s="13" t="str">
        <x:v>Casa Nova Varejo</x:v>
      </x:c>
      <x:c r="G299" s="13" t="str">
        <x:v>Varejo</x:v>
      </x:c>
      <x:c r="H299" s="13" t="str">
        <x:v>Baixo</x:v>
      </x:c>
      <x:c r="I299" s="13" t="str">
        <x:v>Performance</x:v>
      </x:c>
      <x:c r="J299" s="17" t="n">
        <x:v>28564.61</x:v>
      </x:c>
      <x:c r="K299" s="17" t="n">
        <x:v>0</x:v>
      </x:c>
      <x:c r="L299" s="17" t="n">
        <x:v>0</x:v>
      </x:c>
      <x:c r="M299" s="13" t="str">
        <x:v>Pago</x:v>
      </x:c>
      <x:c r="N299" s="13" t="str">
        <x:v>Sem cobrança</x:v>
      </x:c>
      <x:c r="O299" s="13" t="str">
        <x:v>Base controlada</x:v>
      </x:c>
      <x:c r="P299" s="17" t="n">
        <x:f>IF(D299="",0,J299-K299+L299)</x:f>
        <x:v>28564.61</x:v>
      </x:c>
      <x:c r="Q299" s="17" t="n">
        <x:f>MAX(J299-P299-K299,0)</x:f>
        <x:v>0</x:v>
      </x:c>
      <x:c r="R299" s="13" t="n">
        <x:f>IF(D299="",MAX(TODAY()-C299,0),MAX(D299-C299,0))</x:f>
        <x:v>0</x:v>
      </x:c>
      <x:c r="S299" s="13" t="str">
        <x:f>IF(R299=0,"Em dia",IF(R299&lt;=15,"1-15 dias",IF(R299&lt;=30,"16-30 dias",IF(R299&lt;=60,"31-60 dias","Acima de 60 dias"))))</x:f>
        <x:v>Em dia</x:v>
      </x:c>
    </x:row>
    <x:row r="300">
      <x:c r="A300" s="13" t="str">
        <x:v>REC-000299</x:v>
      </x:c>
      <x:c r="B300" s="23" t="n">
        <x:v>45432</x:v>
      </x:c>
      <x:c r="C300" s="23" t="n">
        <x:v>45447</x:v>
      </x:c>
      <x:c r="D300" s="23" t="n">
        <x:v>45447</x:v>
      </x:c>
      <x:c r="E300" s="13" t="str">
        <x:v>VAL-001</x:v>
      </x:c>
      <x:c r="F300" s="13" t="str">
        <x:v>Clínica Horizonte</x:v>
      </x:c>
      <x:c r="G300" s="13" t="str">
        <x:v>Clínicas e Saúde</x:v>
      </x:c>
      <x:c r="H300" s="13" t="str">
        <x:v>Baixo</x:v>
      </x:c>
      <x:c r="I300" s="13" t="str">
        <x:v>Essencial</x:v>
      </x:c>
      <x:c r="J300" s="17" t="n">
        <x:v>11770.9</x:v>
      </x:c>
      <x:c r="K300" s="17" t="n">
        <x:v>0</x:v>
      </x:c>
      <x:c r="L300" s="17" t="n">
        <x:v>0</x:v>
      </x:c>
      <x:c r="M300" s="13" t="str">
        <x:v>Pago</x:v>
      </x:c>
      <x:c r="N300" s="13" t="str">
        <x:v>Sem cobrança</x:v>
      </x:c>
      <x:c r="O300" s="13" t="str">
        <x:v>Base controlada</x:v>
      </x:c>
      <x:c r="P300" s="17" t="n">
        <x:f>IF(D300="",0,J300-K300+L300)</x:f>
        <x:v>11770.9</x:v>
      </x:c>
      <x:c r="Q300" s="17" t="n">
        <x:f>MAX(J300-P300-K300,0)</x:f>
        <x:v>0</x:v>
      </x:c>
      <x:c r="R300" s="13" t="n">
        <x:f>IF(D300="",MAX(TODAY()-C300,0),MAX(D300-C300,0))</x:f>
        <x:v>0</x:v>
      </x:c>
      <x:c r="S300" s="13" t="str">
        <x:f>IF(R300=0,"Em dia",IF(R300&lt;=15,"1-15 dias",IF(R300&lt;=30,"16-30 dias",IF(R300&lt;=60,"31-60 dias","Acima de 60 dias"))))</x:f>
        <x:v>Em dia</x:v>
      </x:c>
    </x:row>
    <x:row r="301">
      <x:c r="A301" s="13" t="str">
        <x:v>REC-000300</x:v>
      </x:c>
      <x:c r="B301" s="23" t="n">
        <x:v>45413</x:v>
      </x:c>
      <x:c r="C301" s="23" t="n">
        <x:v>45420</x:v>
      </x:c>
      <x:c r="D301" s="23" t="n">
        <x:v>45417</x:v>
      </x:c>
      <x:c r="E301" s="13" t="str">
        <x:v>VAL-025</x:v>
      </x:c>
      <x:c r="F301" s="13" t="str">
        <x:v>Bem-Estar Terapias</x:v>
      </x:c>
      <x:c r="G301" s="13" t="str">
        <x:v>Clínicas e Saúde</x:v>
      </x:c>
      <x:c r="H301" s="13" t="str">
        <x:v>Baixo</x:v>
      </x:c>
      <x:c r="I301" s="13" t="str">
        <x:v>Essencial</x:v>
      </x:c>
      <x:c r="J301" s="17" t="n">
        <x:v>8849.8</x:v>
      </x:c>
      <x:c r="K301" s="17" t="n">
        <x:v>55.24</x:v>
      </x:c>
      <x:c r="L301" s="17" t="n">
        <x:v>0</x:v>
      </x:c>
      <x:c r="M301" s="13" t="str">
        <x:v>Pago</x:v>
      </x:c>
      <x:c r="N301" s="13" t="str">
        <x:v>Sem cobrança</x:v>
      </x:c>
      <x:c r="O301" s="13" t="str">
        <x:v>Base controlada</x:v>
      </x:c>
      <x:c r="P301" s="17" t="n">
        <x:f>IF(D301="",0,J301-K301+L301)</x:f>
        <x:v>8794.56</x:v>
      </x:c>
      <x:c r="Q301" s="17" t="n">
        <x:f>MAX(J301-P301-K301,0)</x:f>
        <x:v>0</x:v>
      </x:c>
      <x:c r="R301" s="13" t="n">
        <x:f>IF(D301="",MAX(TODAY()-C301,0),MAX(D301-C301,0))</x:f>
        <x:v>0</x:v>
      </x:c>
      <x:c r="S301" s="13" t="str">
        <x:f>IF(R301=0,"Em dia",IF(R301&lt;=15,"1-15 dias",IF(R301&lt;=30,"16-30 dias",IF(R301&lt;=60,"31-60 dias","Acima de 60 dias"))))</x:f>
        <x:v>Em dia</x:v>
      </x:c>
    </x:row>
    <x:row r="302">
      <x:c r="A302" s="13" t="str">
        <x:v>REC-000301</x:v>
      </x:c>
      <x:c r="B302" s="23" t="n">
        <x:v>45461</x:v>
      </x:c>
      <x:c r="C302" s="23" t="n">
        <x:v>45468</x:v>
      </x:c>
      <x:c r="D302" s="23" t="n">
        <x:v>45465</x:v>
      </x:c>
      <x:c r="E302" s="13" t="str">
        <x:v>VAL-003</x:v>
      </x:c>
      <x:c r="F302" s="13" t="str">
        <x:v>Casa Nova Varejo</x:v>
      </x:c>
      <x:c r="G302" s="13" t="str">
        <x:v>Varejo</x:v>
      </x:c>
      <x:c r="H302" s="13" t="str">
        <x:v>Baixo</x:v>
      </x:c>
      <x:c r="I302" s="13" t="str">
        <x:v>Performance</x:v>
      </x:c>
      <x:c r="J302" s="17" t="n">
        <x:v>26298.54</x:v>
      </x:c>
      <x:c r="K302" s="17" t="n">
        <x:v>435.84</x:v>
      </x:c>
      <x:c r="L302" s="17" t="n">
        <x:v>0</x:v>
      </x:c>
      <x:c r="M302" s="13" t="str">
        <x:v>Pago</x:v>
      </x:c>
      <x:c r="N302" s="13" t="str">
        <x:v>Sem cobrança</x:v>
      </x:c>
      <x:c r="O302" s="13" t="str">
        <x:v>Base controlada</x:v>
      </x:c>
      <x:c r="P302" s="17" t="n">
        <x:f>IF(D302="",0,J302-K302+L302)</x:f>
        <x:v>25862.7</x:v>
      </x:c>
      <x:c r="Q302" s="17" t="n">
        <x:f>MAX(J302-P302-K302,0)</x:f>
        <x:v>1.7053025658242404e-13</x:v>
      </x:c>
      <x:c r="R302" s="13" t="n">
        <x:f>IF(D302="",MAX(TODAY()-C302,0),MAX(D302-C302,0))</x:f>
        <x:v>0</x:v>
      </x:c>
      <x:c r="S302" s="13" t="str">
        <x:f>IF(R302=0,"Em dia",IF(R302&lt;=15,"1-15 dias",IF(R302&lt;=30,"16-30 dias",IF(R302&lt;=60,"31-60 dias","Acima de 60 dias"))))</x:f>
        <x:v>Em dia</x:v>
      </x:c>
    </x:row>
    <x:row r="303">
      <x:c r="A303" s="13" t="str">
        <x:v>REC-000302</x:v>
      </x:c>
      <x:c r="B303" s="23" t="n">
        <x:v>45445</x:v>
      </x:c>
      <x:c r="C303" s="23" t="n">
        <x:v>45475</x:v>
      </x:c>
      <x:c r="D303" s="23" t="n">
        <x:v>45472</x:v>
      </x:c>
      <x:c r="E303" s="13" t="str">
        <x:v>VAL-017</x:v>
      </x:c>
      <x:c r="F303" s="13" t="str">
        <x:v>Centro Médico Vida</x:v>
      </x:c>
      <x:c r="G303" s="13" t="str">
        <x:v>Clínicas e Saúde</x:v>
      </x:c>
      <x:c r="H303" s="13" t="str">
        <x:v>Baixo</x:v>
      </x:c>
      <x:c r="I303" s="13" t="str">
        <x:v>Essencial</x:v>
      </x:c>
      <x:c r="J303" s="17" t="n">
        <x:v>8530.75</x:v>
      </x:c>
      <x:c r="K303" s="17" t="n">
        <x:v>136.2</x:v>
      </x:c>
      <x:c r="L303" s="17" t="n">
        <x:v>0</x:v>
      </x:c>
      <x:c r="M303" s="13" t="str">
        <x:v>Pago</x:v>
      </x:c>
      <x:c r="N303" s="13" t="str">
        <x:v>Sem cobrança</x:v>
      </x:c>
      <x:c r="O303" s="13" t="str">
        <x:v>Base controlada</x:v>
      </x:c>
      <x:c r="P303" s="17" t="n">
        <x:f>IF(D303="",0,J303-K303+L303)</x:f>
        <x:v>8394.55</x:v>
      </x:c>
      <x:c r="Q303" s="17" t="n">
        <x:f>MAX(J303-P303-K303,0)</x:f>
        <x:v>7.389644451905042e-13</x:v>
      </x:c>
      <x:c r="R303" s="13" t="n">
        <x:f>IF(D303="",MAX(TODAY()-C303,0),MAX(D303-C303,0))</x:f>
        <x:v>0</x:v>
      </x:c>
      <x:c r="S303" s="13" t="str">
        <x:f>IF(R303=0,"Em dia",IF(R303&lt;=15,"1-15 dias",IF(R303&lt;=30,"16-30 dias",IF(R303&lt;=60,"31-60 dias","Acima de 60 dias"))))</x:f>
        <x:v>Em dia</x:v>
      </x:c>
    </x:row>
    <x:row r="304">
      <x:c r="A304" s="13" t="str">
        <x:v>REC-000303</x:v>
      </x:c>
      <x:c r="B304" s="23" t="n">
        <x:v>45458</x:v>
      </x:c>
      <x:c r="C304" s="23" t="n">
        <x:v>45465</x:v>
      </x:c>
      <x:c r="D304" s="23" t="n">
        <x:v>45465</x:v>
      </x:c>
      <x:c r="E304" s="13" t="str">
        <x:v>VAL-017</x:v>
      </x:c>
      <x:c r="F304" s="13" t="str">
        <x:v>Centro Médico Vida</x:v>
      </x:c>
      <x:c r="G304" s="13" t="str">
        <x:v>Clínicas e Saúde</x:v>
      </x:c>
      <x:c r="H304" s="13" t="str">
        <x:v>Baixo</x:v>
      </x:c>
      <x:c r="I304" s="13" t="str">
        <x:v>Essencial</x:v>
      </x:c>
      <x:c r="J304" s="17" t="n">
        <x:v>11043.7</x:v>
      </x:c>
      <x:c r="K304" s="17" t="n">
        <x:v>0</x:v>
      </x:c>
      <x:c r="L304" s="17" t="n">
        <x:v>0</x:v>
      </x:c>
      <x:c r="M304" s="13" t="str">
        <x:v>Pago</x:v>
      </x:c>
      <x:c r="N304" s="13" t="str">
        <x:v>Sem cobrança</x:v>
      </x:c>
      <x:c r="O304" s="13" t="str">
        <x:v>Base controlada</x:v>
      </x:c>
      <x:c r="P304" s="17" t="n">
        <x:f>IF(D304="",0,J304-K304+L304)</x:f>
        <x:v>11043.7</x:v>
      </x:c>
      <x:c r="Q304" s="17" t="n">
        <x:f>MAX(J304-P304-K304,0)</x:f>
        <x:v>0</x:v>
      </x:c>
      <x:c r="R304" s="13" t="n">
        <x:f>IF(D304="",MAX(TODAY()-C304,0),MAX(D304-C304,0))</x:f>
        <x:v>0</x:v>
      </x:c>
      <x:c r="S304" s="13" t="str">
        <x:f>IF(R304=0,"Em dia",IF(R304&lt;=15,"1-15 dias",IF(R304&lt;=30,"16-30 dias",IF(R304&lt;=60,"31-60 dias","Acima de 60 dias"))))</x:f>
        <x:v>Em dia</x:v>
      </x:c>
    </x:row>
    <x:row r="305">
      <x:c r="A305" s="13" t="str">
        <x:v>REC-000304</x:v>
      </x:c>
      <x:c r="B305" s="23" t="n">
        <x:v>45448</x:v>
      </x:c>
      <x:c r="C305" s="23" t="n">
        <x:v>45469</x:v>
      </x:c>
      <x:c r="D305" s="23" t="n">
        <x:v>45498</x:v>
      </x:c>
      <x:c r="E305" s="13" t="str">
        <x:v>VAL-028</x:v>
      </x:c>
      <x:c r="F305" s="13" t="str">
        <x:v>Pixel Norte</x:v>
      </x:c>
      <x:c r="G305" s="13" t="str">
        <x:v>Tecnologia</x:v>
      </x:c>
      <x:c r="H305" s="13" t="str">
        <x:v>Alto</x:v>
      </x:c>
      <x:c r="I305" s="13" t="str">
        <x:v>Enterprise</x:v>
      </x:c>
      <x:c r="J305" s="17" t="n">
        <x:v>16954.22</x:v>
      </x:c>
      <x:c r="K305" s="17" t="n">
        <x:v>0</x:v>
      </x:c>
      <x:c r="L305" s="17" t="n">
        <x:v>319.59</x:v>
      </x:c>
      <x:c r="M305" s="13" t="str">
        <x:v>Pago com atraso</x:v>
      </x:c>
      <x:c r="N305" s="13" t="str">
        <x:v>Telefone</x:v>
      </x:c>
      <x:c r="O305" s="13" t="str">
        <x:v>Base controlada</x:v>
      </x:c>
      <x:c r="P305" s="17" t="n">
        <x:f>IF(D305="",0,J305-K305+L305)</x:f>
        <x:v>17273.81</x:v>
      </x:c>
      <x:c r="Q305" s="17" t="n">
        <x:f>MAX(J305-P305-K305,0)</x:f>
        <x:v>0</x:v>
      </x:c>
      <x:c r="R305" s="13" t="n">
        <x:f>IF(D305="",MAX(TODAY()-C305,0),MAX(D305-C305,0))</x:f>
        <x:v>29</x:v>
      </x:c>
      <x:c r="S305" s="13" t="str">
        <x:f>IF(R305=0,"Em dia",IF(R305&lt;=15,"1-15 dias",IF(R305&lt;=30,"16-30 dias",IF(R305&lt;=60,"31-60 dias","Acima de 60 dias"))))</x:f>
        <x:v>16-30 dias</x:v>
      </x:c>
    </x:row>
    <x:row r="306">
      <x:c r="A306" s="13" t="str">
        <x:v>REC-000305</x:v>
      </x:c>
      <x:c r="B306" s="23" t="n">
        <x:v>45457</x:v>
      </x:c>
      <x:c r="C306" s="23" t="n">
        <x:v>45472</x:v>
      </x:c>
      <x:c r="D306" s="23" t="n">
        <x:v>45469</x:v>
      </x:c>
      <x:c r="E306" s="13" t="str">
        <x:v>VAL-010</x:v>
      </x:c>
      <x:c r="F306" s="13" t="str">
        <x:v>Atlas Contabilidade</x:v>
      </x:c>
      <x:c r="G306" s="13" t="str">
        <x:v>Serviços Profissionais</x:v>
      </x:c>
      <x:c r="H306" s="13" t="str">
        <x:v>Baixo</x:v>
      </x:c>
      <x:c r="I306" s="13" t="str">
        <x:v>Gestão</x:v>
      </x:c>
      <x:c r="J306" s="17" t="n">
        <x:v>23181.43</x:v>
      </x:c>
      <x:c r="K306" s="17" t="n">
        <x:v>0</x:v>
      </x:c>
      <x:c r="L306" s="17" t="n">
        <x:v>0</x:v>
      </x:c>
      <x:c r="M306" s="13" t="str">
        <x:v>Pago</x:v>
      </x:c>
      <x:c r="N306" s="13" t="str">
        <x:v>Sem cobrança</x:v>
      </x:c>
      <x:c r="O306" s="13" t="str">
        <x:v>Base controlada</x:v>
      </x:c>
      <x:c r="P306" s="17" t="n">
        <x:f>IF(D306="",0,J306-K306+L306)</x:f>
        <x:v>23181.43</x:v>
      </x:c>
      <x:c r="Q306" s="17" t="n">
        <x:f>MAX(J306-P306-K306,0)</x:f>
        <x:v>0</x:v>
      </x:c>
      <x:c r="R306" s="13" t="n">
        <x:f>IF(D306="",MAX(TODAY()-C306,0),MAX(D306-C306,0))</x:f>
        <x:v>0</x:v>
      </x:c>
      <x:c r="S306" s="13" t="str">
        <x:f>IF(R306=0,"Em dia",IF(R306&lt;=15,"1-15 dias",IF(R306&lt;=30,"16-30 dias",IF(R306&lt;=60,"31-60 dias","Acima de 60 dias"))))</x:f>
        <x:v>Em dia</x:v>
      </x:c>
    </x:row>
    <x:row r="307">
      <x:c r="A307" s="13" t="str">
        <x:v>REC-000306</x:v>
      </x:c>
      <x:c r="B307" s="23" t="n">
        <x:v>45453</x:v>
      </x:c>
      <x:c r="C307" s="23" t="n">
        <x:v>45474</x:v>
      </x:c>
      <x:c r="D307" s="23" t="n">
        <x:v>45473</x:v>
      </x:c>
      <x:c r="E307" s="13" t="str">
        <x:v>VAL-015</x:v>
      </x:c>
      <x:c r="F307" s="13" t="str">
        <x:v>Mercado Click</x:v>
      </x:c>
      <x:c r="G307" s="13" t="str">
        <x:v>E-commerce</x:v>
      </x:c>
      <x:c r="H307" s="13" t="str">
        <x:v>Baixo</x:v>
      </x:c>
      <x:c r="I307" s="13" t="str">
        <x:v>Performance</x:v>
      </x:c>
      <x:c r="J307" s="17" t="n">
        <x:v>19338.16</x:v>
      </x:c>
      <x:c r="K307" s="17" t="n">
        <x:v>0</x:v>
      </x:c>
      <x:c r="L307" s="17" t="n">
        <x:v>0</x:v>
      </x:c>
      <x:c r="M307" s="13" t="str">
        <x:v>Pago</x:v>
      </x:c>
      <x:c r="N307" s="13" t="str">
        <x:v>Sem cobrança</x:v>
      </x:c>
      <x:c r="O307" s="13" t="str">
        <x:v>Base controlada</x:v>
      </x:c>
      <x:c r="P307" s="17" t="n">
        <x:f>IF(D307="",0,J307-K307+L307)</x:f>
        <x:v>19338.16</x:v>
      </x:c>
      <x:c r="Q307" s="17" t="n">
        <x:f>MAX(J307-P307-K307,0)</x:f>
        <x:v>0</x:v>
      </x:c>
      <x:c r="R307" s="13" t="n">
        <x:f>IF(D307="",MAX(TODAY()-C307,0),MAX(D307-C307,0))</x:f>
        <x:v>0</x:v>
      </x:c>
      <x:c r="S307" s="13" t="str">
        <x:f>IF(R307=0,"Em dia",IF(R307&lt;=15,"1-15 dias",IF(R307&lt;=30,"16-30 dias",IF(R307&lt;=60,"31-60 dias","Acima de 60 dias"))))</x:f>
        <x:v>Em dia</x:v>
      </x:c>
    </x:row>
    <x:row r="308">
      <x:c r="A308" s="13" t="str">
        <x:v>REC-000307</x:v>
      </x:c>
      <x:c r="B308" s="23" t="n">
        <x:v>45453</x:v>
      </x:c>
      <x:c r="C308" s="23" t="n">
        <x:v>45483</x:v>
      </x:c>
      <x:c r="D308" s="23" t="n">
        <x:v>45480</x:v>
      </x:c>
      <x:c r="E308" s="13" t="str">
        <x:v>VAL-007</x:v>
      </x:c>
      <x:c r="F308" s="13" t="str">
        <x:v>Loja Prisma Online</x:v>
      </x:c>
      <x:c r="G308" s="13" t="str">
        <x:v>E-commerce</x:v>
      </x:c>
      <x:c r="H308" s="13" t="str">
        <x:v>Médio</x:v>
      </x:c>
      <x:c r="I308" s="13" t="str">
        <x:v>Performance</x:v>
      </x:c>
      <x:c r="J308" s="17" t="n">
        <x:v>26728.18</x:v>
      </x:c>
      <x:c r="K308" s="17" t="n">
        <x:v>0</x:v>
      </x:c>
      <x:c r="L308" s="17" t="n">
        <x:v>0</x:v>
      </x:c>
      <x:c r="M308" s="13" t="str">
        <x:v>Pago</x:v>
      </x:c>
      <x:c r="N308" s="13" t="str">
        <x:v>Sem cobrança</x:v>
      </x:c>
      <x:c r="O308" s="13" t="str">
        <x:v>Base controlada</x:v>
      </x:c>
      <x:c r="P308" s="17" t="n">
        <x:f>IF(D308="",0,J308-K308+L308)</x:f>
        <x:v>26728.18</x:v>
      </x:c>
      <x:c r="Q308" s="17" t="n">
        <x:f>MAX(J308-P308-K308,0)</x:f>
        <x:v>0</x:v>
      </x:c>
      <x:c r="R308" s="13" t="n">
        <x:f>IF(D308="",MAX(TODAY()-C308,0),MAX(D308-C308,0))</x:f>
        <x:v>0</x:v>
      </x:c>
      <x:c r="S308" s="13" t="str">
        <x:f>IF(R308=0,"Em dia",IF(R308&lt;=15,"1-15 dias",IF(R308&lt;=30,"16-30 dias",IF(R308&lt;=60,"31-60 dias","Acima de 60 dias"))))</x:f>
        <x:v>Em dia</x:v>
      </x:c>
    </x:row>
    <x:row r="309">
      <x:c r="A309" s="13" t="str">
        <x:v>REC-000308</x:v>
      </x:c>
      <x:c r="B309" s="23" t="n">
        <x:v>45454</x:v>
      </x:c>
      <x:c r="C309" s="23" t="n">
        <x:v>45484</x:v>
      </x:c>
      <x:c r="D309" s="23" t="n">
        <x:v>45480</x:v>
      </x:c>
      <x:c r="E309" s="13" t="str">
        <x:v>VAL-014</x:v>
      </x:c>
      <x:c r="F309" s="13" t="str">
        <x:v>Colégio Caminhos</x:v>
      </x:c>
      <x:c r="G309" s="13" t="str">
        <x:v>Educação</x:v>
      </x:c>
      <x:c r="H309" s="13" t="str">
        <x:v>Médio</x:v>
      </x:c>
      <x:c r="I309" s="13" t="str">
        <x:v>Gestão</x:v>
      </x:c>
      <x:c r="J309" s="17" t="n">
        <x:v>20900.46</x:v>
      </x:c>
      <x:c r="K309" s="17" t="n">
        <x:v>0</x:v>
      </x:c>
      <x:c r="L309" s="17" t="n">
        <x:v>0</x:v>
      </x:c>
      <x:c r="M309" s="13" t="str">
        <x:v>Pago</x:v>
      </x:c>
      <x:c r="N309" s="13" t="str">
        <x:v>Sem cobrança</x:v>
      </x:c>
      <x:c r="O309" s="13" t="str">
        <x:v>Base controlada</x:v>
      </x:c>
      <x:c r="P309" s="17" t="n">
        <x:f>IF(D309="",0,J309-K309+L309)</x:f>
        <x:v>20900.46</x:v>
      </x:c>
      <x:c r="Q309" s="17" t="n">
        <x:f>MAX(J309-P309-K309,0)</x:f>
        <x:v>0</x:v>
      </x:c>
      <x:c r="R309" s="13" t="n">
        <x:f>IF(D309="",MAX(TODAY()-C309,0),MAX(D309-C309,0))</x:f>
        <x:v>0</x:v>
      </x:c>
      <x:c r="S309" s="13" t="str">
        <x:f>IF(R309=0,"Em dia",IF(R309&lt;=15,"1-15 dias",IF(R309&lt;=30,"16-30 dias",IF(R309&lt;=60,"31-60 dias","Acima de 60 dias"))))</x:f>
        <x:v>Em dia</x:v>
      </x:c>
    </x:row>
    <x:row r="310">
      <x:c r="A310" s="13" t="str">
        <x:v>REC-000309</x:v>
      </x:c>
      <x:c r="B310" s="23" t="n">
        <x:v>45462</x:v>
      </x:c>
      <x:c r="C310" s="23" t="n">
        <x:v>45469</x:v>
      </x:c>
      <x:c r="D310" s="23" t="n">
        <x:v>45466</x:v>
      </x:c>
      <x:c r="E310" s="13" t="str">
        <x:v>VAL-006</x:v>
      </x:c>
      <x:c r="F310" s="13" t="str">
        <x:v>Instituto Saber Mais</x:v>
      </x:c>
      <x:c r="G310" s="13" t="str">
        <x:v>Educação</x:v>
      </x:c>
      <x:c r="H310" s="13" t="str">
        <x:v>Médio</x:v>
      </x:c>
      <x:c r="I310" s="13" t="str">
        <x:v>Gestão</x:v>
      </x:c>
      <x:c r="J310" s="17" t="n">
        <x:v>26085.28</x:v>
      </x:c>
      <x:c r="K310" s="17" t="n">
        <x:v>0</x:v>
      </x:c>
      <x:c r="L310" s="17" t="n">
        <x:v>0</x:v>
      </x:c>
      <x:c r="M310" s="13" t="str">
        <x:v>Pago</x:v>
      </x:c>
      <x:c r="N310" s="13" t="str">
        <x:v>Sem cobrança</x:v>
      </x:c>
      <x:c r="O310" s="13" t="str">
        <x:v>Base controlada</x:v>
      </x:c>
      <x:c r="P310" s="17" t="n">
        <x:f>IF(D310="",0,J310-K310+L310)</x:f>
        <x:v>26085.28</x:v>
      </x:c>
      <x:c r="Q310" s="17" t="n">
        <x:f>MAX(J310-P310-K310,0)</x:f>
        <x:v>0</x:v>
      </x:c>
      <x:c r="R310" s="13" t="n">
        <x:f>IF(D310="",MAX(TODAY()-C310,0),MAX(D310-C310,0))</x:f>
        <x:v>0</x:v>
      </x:c>
      <x:c r="S310" s="13" t="str">
        <x:f>IF(R310=0,"Em dia",IF(R310&lt;=15,"1-15 dias",IF(R310&lt;=30,"16-30 dias",IF(R310&lt;=60,"31-60 dias","Acima de 60 dias"))))</x:f>
        <x:v>Em dia</x:v>
      </x:c>
    </x:row>
    <x:row r="311">
      <x:c r="A311" s="13" t="str">
        <x:v>REC-000310</x:v>
      </x:c>
      <x:c r="B311" s="23" t="n">
        <x:v>45455</x:v>
      </x:c>
      <x:c r="C311" s="23" t="n">
        <x:v>45483</x:v>
      </x:c>
      <x:c r="D311" s="23" t="n">
        <x:v>45480</x:v>
      </x:c>
      <x:c r="E311" s="13" t="str">
        <x:v>VAL-029</x:v>
      </x:c>
      <x:c r="F311" s="13" t="str">
        <x:v>Planobra Serviços</x:v>
      </x:c>
      <x:c r="G311" s="13" t="str">
        <x:v>Construção</x:v>
      </x:c>
      <x:c r="H311" s="13" t="str">
        <x:v>Baixo</x:v>
      </x:c>
      <x:c r="I311" s="13" t="str">
        <x:v>Essencial</x:v>
      </x:c>
      <x:c r="J311" s="17" t="n">
        <x:v>10304.25</x:v>
      </x:c>
      <x:c r="K311" s="17" t="n">
        <x:v>0</x:v>
      </x:c>
      <x:c r="L311" s="17" t="n">
        <x:v>0</x:v>
      </x:c>
      <x:c r="M311" s="13" t="str">
        <x:v>Pago</x:v>
      </x:c>
      <x:c r="N311" s="13" t="str">
        <x:v>Sem cobrança</x:v>
      </x:c>
      <x:c r="O311" s="13" t="str">
        <x:v>Base controlada</x:v>
      </x:c>
      <x:c r="P311" s="17" t="n">
        <x:f>IF(D311="",0,J311-K311+L311)</x:f>
        <x:v>10304.25</x:v>
      </x:c>
      <x:c r="Q311" s="17" t="n">
        <x:f>MAX(J311-P311-K311,0)</x:f>
        <x:v>0</x:v>
      </x:c>
      <x:c r="R311" s="13" t="n">
        <x:f>IF(D311="",MAX(TODAY()-C311,0),MAX(D311-C311,0))</x:f>
        <x:v>0</x:v>
      </x:c>
      <x:c r="S311" s="13" t="str">
        <x:f>IF(R311=0,"Em dia",IF(R311&lt;=15,"1-15 dias",IF(R311&lt;=30,"16-30 dias",IF(R311&lt;=60,"31-60 dias","Acima de 60 dias"))))</x:f>
        <x:v>Em dia</x:v>
      </x:c>
    </x:row>
    <x:row r="312">
      <x:c r="A312" s="13" t="str">
        <x:v>REC-000311</x:v>
      </x:c>
      <x:c r="B312" s="23" t="n">
        <x:v>45456</x:v>
      </x:c>
      <x:c r="C312" s="23" t="n">
        <x:v>45471</x:v>
      </x:c>
      <x:c r="D312" s="23" t="n">
        <x:v>45468</x:v>
      </x:c>
      <x:c r="E312" s="13" t="str">
        <x:v>VAL-021</x:v>
      </x:c>
      <x:c r="F312" s="13" t="str">
        <x:v>Base Forte Obras</x:v>
      </x:c>
      <x:c r="G312" s="13" t="str">
        <x:v>Construção</x:v>
      </x:c>
      <x:c r="H312" s="13" t="str">
        <x:v>Médio</x:v>
      </x:c>
      <x:c r="I312" s="13" t="str">
        <x:v>Essencial</x:v>
      </x:c>
      <x:c r="J312" s="17" t="n">
        <x:v>17984.63</x:v>
      </x:c>
      <x:c r="K312" s="17" t="n">
        <x:v>0</x:v>
      </x:c>
      <x:c r="L312" s="17" t="n">
        <x:v>0</x:v>
      </x:c>
      <x:c r="M312" s="13" t="str">
        <x:v>Pago</x:v>
      </x:c>
      <x:c r="N312" s="13" t="str">
        <x:v>Sem cobrança</x:v>
      </x:c>
      <x:c r="O312" s="13" t="str">
        <x:v>Base controlada</x:v>
      </x:c>
      <x:c r="P312" s="17" t="n">
        <x:f>IF(D312="",0,J312-K312+L312)</x:f>
        <x:v>17984.63</x:v>
      </x:c>
      <x:c r="Q312" s="17" t="n">
        <x:f>MAX(J312-P312-K312,0)</x:f>
        <x:v>0</x:v>
      </x:c>
      <x:c r="R312" s="13" t="n">
        <x:f>IF(D312="",MAX(TODAY()-C312,0),MAX(D312-C312,0))</x:f>
        <x:v>0</x:v>
      </x:c>
      <x:c r="S312" s="13" t="str">
        <x:f>IF(R312=0,"Em dia",IF(R312&lt;=15,"1-15 dias",IF(R312&lt;=30,"16-30 dias",IF(R312&lt;=60,"31-60 dias","Acima de 60 dias"))))</x:f>
        <x:v>Em dia</x:v>
      </x:c>
    </x:row>
    <x:row r="313">
      <x:c r="A313" s="13" t="str">
        <x:v>REC-000312</x:v>
      </x:c>
      <x:c r="B313" s="23" t="n">
        <x:v>45455</x:v>
      </x:c>
      <x:c r="C313" s="23" t="n">
        <x:v>45485</x:v>
      </x:c>
      <x:c r="D313" s="23" t="n">
        <x:v>45482</x:v>
      </x:c>
      <x:c r="E313" s="13" t="str">
        <x:v>VAL-012</x:v>
      </x:c>
      <x:c r="F313" s="13" t="str">
        <x:v>DataFlow Sistemas</x:v>
      </x:c>
      <x:c r="G313" s="13" t="str">
        <x:v>Tecnologia</x:v>
      </x:c>
      <x:c r="H313" s="13" t="str">
        <x:v>Médio</x:v>
      </x:c>
      <x:c r="I313" s="13" t="str">
        <x:v>Enterprise</x:v>
      </x:c>
      <x:c r="J313" s="17" t="n">
        <x:v>15375.07</x:v>
      </x:c>
      <x:c r="K313" s="17" t="n">
        <x:v>0</x:v>
      </x:c>
      <x:c r="L313" s="17" t="n">
        <x:v>0</x:v>
      </x:c>
      <x:c r="M313" s="13" t="str">
        <x:v>Pago</x:v>
      </x:c>
      <x:c r="N313" s="13" t="str">
        <x:v>Sem cobrança</x:v>
      </x:c>
      <x:c r="O313" s="13" t="str">
        <x:v>Base controlada</x:v>
      </x:c>
      <x:c r="P313" s="17" t="n">
        <x:f>IF(D313="",0,J313-K313+L313)</x:f>
        <x:v>15375.07</x:v>
      </x:c>
      <x:c r="Q313" s="17" t="n">
        <x:f>MAX(J313-P313-K313,0)</x:f>
        <x:v>0</x:v>
      </x:c>
      <x:c r="R313" s="13" t="n">
        <x:f>IF(D313="",MAX(TODAY()-C313,0),MAX(D313-C313,0))</x:f>
        <x:v>0</x:v>
      </x:c>
      <x:c r="S313" s="13" t="str">
        <x:f>IF(R313=0,"Em dia",IF(R313&lt;=15,"1-15 dias",IF(R313&lt;=30,"16-30 dias",IF(R313&lt;=60,"31-60 dias","Acima de 60 dias"))))</x:f>
        <x:v>Em dia</x:v>
      </x:c>
    </x:row>
    <x:row r="314">
      <x:c r="A314" s="13" t="str">
        <x:v>REC-000313</x:v>
      </x:c>
      <x:c r="B314" s="23" t="n">
        <x:v>45446</x:v>
      </x:c>
      <x:c r="C314" s="23" t="n">
        <x:v>45476</x:v>
      </x:c>
      <x:c r="D314" s="23" t="n">
        <x:v>45473</x:v>
      </x:c>
      <x:c r="E314" s="13" t="str">
        <x:v>VAL-011</x:v>
      </x:c>
      <x:c r="F314" s="13" t="str">
        <x:v>Rede Essencial</x:v>
      </x:c>
      <x:c r="G314" s="13" t="str">
        <x:v>Varejo</x:v>
      </x:c>
      <x:c r="H314" s="13" t="str">
        <x:v>Médio</x:v>
      </x:c>
      <x:c r="I314" s="13" t="str">
        <x:v>Performance</x:v>
      </x:c>
      <x:c r="J314" s="17" t="n">
        <x:v>2687.98</x:v>
      </x:c>
      <x:c r="K314" s="17" t="n">
        <x:v>0</x:v>
      </x:c>
      <x:c r="L314" s="17" t="n">
        <x:v>0</x:v>
      </x:c>
      <x:c r="M314" s="13" t="str">
        <x:v>Pago</x:v>
      </x:c>
      <x:c r="N314" s="13" t="str">
        <x:v>Sem cobrança</x:v>
      </x:c>
      <x:c r="O314" s="13" t="str">
        <x:v>Base controlada</x:v>
      </x:c>
      <x:c r="P314" s="17" t="n">
        <x:f>IF(D314="",0,J314-K314+L314)</x:f>
        <x:v>2687.98</x:v>
      </x:c>
      <x:c r="Q314" s="17" t="n">
        <x:f>MAX(J314-P314-K314,0)</x:f>
        <x:v>0</x:v>
      </x:c>
      <x:c r="R314" s="13" t="n">
        <x:f>IF(D314="",MAX(TODAY()-C314,0),MAX(D314-C314,0))</x:f>
        <x:v>0</x:v>
      </x:c>
      <x:c r="S314" s="13" t="str">
        <x:f>IF(R314=0,"Em dia",IF(R314&lt;=15,"1-15 dias",IF(R314&lt;=30,"16-30 dias",IF(R314&lt;=60,"31-60 dias","Acima de 60 dias"))))</x:f>
        <x:v>Em dia</x:v>
      </x:c>
    </x:row>
    <x:row r="315">
      <x:c r="A315" s="13" t="str">
        <x:v>REC-000314</x:v>
      </x:c>
      <x:c r="B315" s="23" t="n">
        <x:v>45458</x:v>
      </x:c>
      <x:c r="C315" s="23" t="n">
        <x:v>45486</x:v>
      </x:c>
      <x:c r="D315" s="23" t="n">
        <x:v>45483</x:v>
      </x:c>
      <x:c r="E315" s="13" t="str">
        <x:v>VAL-014</x:v>
      </x:c>
      <x:c r="F315" s="13" t="str">
        <x:v>Colégio Caminhos</x:v>
      </x:c>
      <x:c r="G315" s="13" t="str">
        <x:v>Educação</x:v>
      </x:c>
      <x:c r="H315" s="13" t="str">
        <x:v>Médio</x:v>
      </x:c>
      <x:c r="I315" s="13" t="str">
        <x:v>Gestão</x:v>
      </x:c>
      <x:c r="J315" s="17" t="n">
        <x:v>21793.04</x:v>
      </x:c>
      <x:c r="K315" s="17" t="n">
        <x:v>215.82</x:v>
      </x:c>
      <x:c r="L315" s="17" t="n">
        <x:v>0</x:v>
      </x:c>
      <x:c r="M315" s="13" t="str">
        <x:v>Pago</x:v>
      </x:c>
      <x:c r="N315" s="13" t="str">
        <x:v>Sem cobrança</x:v>
      </x:c>
      <x:c r="O315" s="13" t="str">
        <x:v>Base controlada</x:v>
      </x:c>
      <x:c r="P315" s="17" t="n">
        <x:f>IF(D315="",0,J315-K315+L315)</x:f>
        <x:v>21577.22</x:v>
      </x:c>
      <x:c r="Q315" s="17" t="n">
        <x:f>MAX(J315-P315-K315,0)</x:f>
        <x:v>0</x:v>
      </x:c>
      <x:c r="R315" s="13" t="n">
        <x:f>IF(D315="",MAX(TODAY()-C315,0),MAX(D315-C315,0))</x:f>
        <x:v>0</x:v>
      </x:c>
      <x:c r="S315" s="13" t="str">
        <x:f>IF(R315=0,"Em dia",IF(R315&lt;=15,"1-15 dias",IF(R315&lt;=30,"16-30 dias",IF(R315&lt;=60,"31-60 dias","Acima de 60 dias"))))</x:f>
        <x:v>Em dia</x:v>
      </x:c>
    </x:row>
    <x:row r="316">
      <x:c r="A316" s="13" t="str">
        <x:v>REC-000315</x:v>
      </x:c>
      <x:c r="B316" s="23" t="n">
        <x:v>45457</x:v>
      </x:c>
      <x:c r="C316" s="23" t="n">
        <x:v>45478</x:v>
      </x:c>
      <x:c r="D316" s="23" t="n">
        <x:v>45477</x:v>
      </x:c>
      <x:c r="E316" s="13" t="str">
        <x:v>VAL-004</x:v>
      </x:c>
      <x:c r="F316" s="13" t="str">
        <x:v>NuvemBase Tecnologia</x:v>
      </x:c>
      <x:c r="G316" s="13" t="str">
        <x:v>Tecnologia</x:v>
      </x:c>
      <x:c r="H316" s="13" t="str">
        <x:v>Baixo</x:v>
      </x:c>
      <x:c r="I316" s="13" t="str">
        <x:v>Enterprise</x:v>
      </x:c>
      <x:c r="J316" s="17" t="n">
        <x:v>17041.07</x:v>
      </x:c>
      <x:c r="K316" s="17" t="n">
        <x:v>0</x:v>
      </x:c>
      <x:c r="L316" s="17" t="n">
        <x:v>0</x:v>
      </x:c>
      <x:c r="M316" s="13" t="str">
        <x:v>Pago</x:v>
      </x:c>
      <x:c r="N316" s="13" t="str">
        <x:v>Sem cobrança</x:v>
      </x:c>
      <x:c r="O316" s="13" t="str">
        <x:v>Base controlada</x:v>
      </x:c>
      <x:c r="P316" s="17" t="n">
        <x:f>IF(D316="",0,J316-K316+L316)</x:f>
        <x:v>17041.07</x:v>
      </x:c>
      <x:c r="Q316" s="17" t="n">
        <x:f>MAX(J316-P316-K316,0)</x:f>
        <x:v>0</x:v>
      </x:c>
      <x:c r="R316" s="13" t="n">
        <x:f>IF(D316="",MAX(TODAY()-C316,0),MAX(D316-C316,0))</x:f>
        <x:v>0</x:v>
      </x:c>
      <x:c r="S316" s="13" t="str">
        <x:f>IF(R316=0,"Em dia",IF(R316&lt;=15,"1-15 dias",IF(R316&lt;=30,"16-30 dias",IF(R316&lt;=60,"31-60 dias","Acima de 60 dias"))))</x:f>
        <x:v>Em dia</x:v>
      </x:c>
    </x:row>
    <x:row r="317">
      <x:c r="A317" s="13" t="str">
        <x:v>REC-000316</x:v>
      </x:c>
      <x:c r="B317" s="23" t="n">
        <x:v>45461</x:v>
      </x:c>
      <x:c r="C317" s="23" t="n">
        <x:v>45482</x:v>
      </x:c>
      <x:c r="D317" s="23" t="n">
        <x:v>45482</x:v>
      </x:c>
      <x:c r="E317" s="13" t="str">
        <x:v>VAL-023</x:v>
      </x:c>
      <x:c r="F317" s="13" t="str">
        <x:v>ShopMix Brasil</x:v>
      </x:c>
      <x:c r="G317" s="13" t="str">
        <x:v>E-commerce</x:v>
      </x:c>
      <x:c r="H317" s="13" t="str">
        <x:v>Baixo</x:v>
      </x:c>
      <x:c r="I317" s="13" t="str">
        <x:v>Performance</x:v>
      </x:c>
      <x:c r="J317" s="17" t="n">
        <x:v>24089.47</x:v>
      </x:c>
      <x:c r="K317" s="17" t="n">
        <x:v>0</x:v>
      </x:c>
      <x:c r="L317" s="17" t="n">
        <x:v>0</x:v>
      </x:c>
      <x:c r="M317" s="13" t="str">
        <x:v>Pago</x:v>
      </x:c>
      <x:c r="N317" s="13" t="str">
        <x:v>Sem cobrança</x:v>
      </x:c>
      <x:c r="O317" s="13" t="str">
        <x:v>Base controlada</x:v>
      </x:c>
      <x:c r="P317" s="17" t="n">
        <x:f>IF(D317="",0,J317-K317+L317)</x:f>
        <x:v>24089.47</x:v>
      </x:c>
      <x:c r="Q317" s="17" t="n">
        <x:f>MAX(J317-P317-K317,0)</x:f>
        <x:v>0</x:v>
      </x:c>
      <x:c r="R317" s="13" t="n">
        <x:f>IF(D317="",MAX(TODAY()-C317,0),MAX(D317-C317,0))</x:f>
        <x:v>0</x:v>
      </x:c>
      <x:c r="S317" s="13" t="str">
        <x:f>IF(R317=0,"Em dia",IF(R317&lt;=15,"1-15 dias",IF(R317&lt;=30,"16-30 dias",IF(R317&lt;=60,"31-60 dias","Acima de 60 dias"))))</x:f>
        <x:v>Em dia</x:v>
      </x:c>
    </x:row>
    <x:row r="318">
      <x:c r="A318" s="13" t="str">
        <x:v>REC-000317</x:v>
      </x:c>
      <x:c r="B318" s="23" t="n">
        <x:v>45449</x:v>
      </x:c>
      <x:c r="C318" s="23" t="n">
        <x:v>45464</x:v>
      </x:c>
      <x:c r="D318" s="23" t="n">
        <x:v>45463</x:v>
      </x:c>
      <x:c r="E318" s="13" t="str">
        <x:v>VAL-015</x:v>
      </x:c>
      <x:c r="F318" s="13" t="str">
        <x:v>Mercado Click</x:v>
      </x:c>
      <x:c r="G318" s="13" t="str">
        <x:v>E-commerce</x:v>
      </x:c>
      <x:c r="H318" s="13" t="str">
        <x:v>Baixo</x:v>
      </x:c>
      <x:c r="I318" s="13" t="str">
        <x:v>Performance</x:v>
      </x:c>
      <x:c r="J318" s="17" t="n">
        <x:v>18881.31</x:v>
      </x:c>
      <x:c r="K318" s="17" t="n">
        <x:v>0</x:v>
      </x:c>
      <x:c r="L318" s="17" t="n">
        <x:v>0</x:v>
      </x:c>
      <x:c r="M318" s="13" t="str">
        <x:v>Pago</x:v>
      </x:c>
      <x:c r="N318" s="13" t="str">
        <x:v>Sem cobrança</x:v>
      </x:c>
      <x:c r="O318" s="13" t="str">
        <x:v>Base controlada</x:v>
      </x:c>
      <x:c r="P318" s="17" t="n">
        <x:f>IF(D318="",0,J318-K318+L318)</x:f>
        <x:v>18881.31</x:v>
      </x:c>
      <x:c r="Q318" s="17" t="n">
        <x:f>MAX(J318-P318-K318,0)</x:f>
        <x:v>0</x:v>
      </x:c>
      <x:c r="R318" s="13" t="n">
        <x:f>IF(D318="",MAX(TODAY()-C318,0),MAX(D318-C318,0))</x:f>
        <x:v>0</x:v>
      </x:c>
      <x:c r="S318" s="13" t="str">
        <x:f>IF(R318=0,"Em dia",IF(R318&lt;=15,"1-15 dias",IF(R318&lt;=30,"16-30 dias",IF(R318&lt;=60,"31-60 dias","Acima de 60 dias"))))</x:f>
        <x:v>Em dia</x:v>
      </x:c>
    </x:row>
    <x:row r="319">
      <x:c r="A319" s="13" t="str">
        <x:v>REC-000318</x:v>
      </x:c>
      <x:c r="B319" s="23" t="n">
        <x:v>45447</x:v>
      </x:c>
      <x:c r="C319" s="23" t="n">
        <x:v>45477</x:v>
      </x:c>
      <x:c r="D319" s="23" t="n">
        <x:v>45474</x:v>
      </x:c>
      <x:c r="E319" s="13" t="str">
        <x:v>VAL-004</x:v>
      </x:c>
      <x:c r="F319" s="13" t="str">
        <x:v>NuvemBase Tecnologia</x:v>
      </x:c>
      <x:c r="G319" s="13" t="str">
        <x:v>Tecnologia</x:v>
      </x:c>
      <x:c r="H319" s="13" t="str">
        <x:v>Baixo</x:v>
      </x:c>
      <x:c r="I319" s="13" t="str">
        <x:v>Enterprise</x:v>
      </x:c>
      <x:c r="J319" s="17" t="n">
        <x:v>13458.43</x:v>
      </x:c>
      <x:c r="K319" s="17" t="n">
        <x:v>0</x:v>
      </x:c>
      <x:c r="L319" s="17" t="n">
        <x:v>0</x:v>
      </x:c>
      <x:c r="M319" s="13" t="str">
        <x:v>Pago</x:v>
      </x:c>
      <x:c r="N319" s="13" t="str">
        <x:v>Sem cobrança</x:v>
      </x:c>
      <x:c r="O319" s="13" t="str">
        <x:v>Base controlada</x:v>
      </x:c>
      <x:c r="P319" s="17" t="n">
        <x:f>IF(D319="",0,J319-K319+L319)</x:f>
        <x:v>13458.43</x:v>
      </x:c>
      <x:c r="Q319" s="17" t="n">
        <x:f>MAX(J319-P319-K319,0)</x:f>
        <x:v>0</x:v>
      </x:c>
      <x:c r="R319" s="13" t="n">
        <x:f>IF(D319="",MAX(TODAY()-C319,0),MAX(D319-C319,0))</x:f>
        <x:v>0</x:v>
      </x:c>
      <x:c r="S319" s="13" t="str">
        <x:f>IF(R319=0,"Em dia",IF(R319&lt;=15,"1-15 dias",IF(R319&lt;=30,"16-30 dias",IF(R319&lt;=60,"31-60 dias","Acima de 60 dias"))))</x:f>
        <x:v>Em dia</x:v>
      </x:c>
    </x:row>
    <x:row r="320">
      <x:c r="A320" s="13" t="str">
        <x:v>REC-000319</x:v>
      </x:c>
      <x:c r="B320" s="23" t="n">
        <x:v>45456</x:v>
      </x:c>
      <x:c r="C320" s="23" t="n">
        <x:v>45484</x:v>
      </x:c>
      <x:c r="D320" s="23" t="n">
        <x:v>45481</x:v>
      </x:c>
      <x:c r="E320" s="13" t="str">
        <x:v>VAL-021</x:v>
      </x:c>
      <x:c r="F320" s="13" t="str">
        <x:v>Base Forte Obras</x:v>
      </x:c>
      <x:c r="G320" s="13" t="str">
        <x:v>Construção</x:v>
      </x:c>
      <x:c r="H320" s="13" t="str">
        <x:v>Médio</x:v>
      </x:c>
      <x:c r="I320" s="13" t="str">
        <x:v>Essencial</x:v>
      </x:c>
      <x:c r="J320" s="17" t="n">
        <x:v>4196.48</x:v>
      </x:c>
      <x:c r="K320" s="17" t="n">
        <x:v>0</x:v>
      </x:c>
      <x:c r="L320" s="17" t="n">
        <x:v>0</x:v>
      </x:c>
      <x:c r="M320" s="13" t="str">
        <x:v>Pago</x:v>
      </x:c>
      <x:c r="N320" s="13" t="str">
        <x:v>Sem cobrança</x:v>
      </x:c>
      <x:c r="O320" s="13" t="str">
        <x:v>Base controlada</x:v>
      </x:c>
      <x:c r="P320" s="17" t="n">
        <x:f>IF(D320="",0,J320-K320+L320)</x:f>
        <x:v>4196.48</x:v>
      </x:c>
      <x:c r="Q320" s="17" t="n">
        <x:f>MAX(J320-P320-K320,0)</x:f>
        <x:v>0</x:v>
      </x:c>
      <x:c r="R320" s="13" t="n">
        <x:f>IF(D320="",MAX(TODAY()-C320,0),MAX(D320-C320,0))</x:f>
        <x:v>0</x:v>
      </x:c>
      <x:c r="S320" s="13" t="str">
        <x:f>IF(R320=0,"Em dia",IF(R320&lt;=15,"1-15 dias",IF(R320&lt;=30,"16-30 dias",IF(R320&lt;=60,"31-60 dias","Acima de 60 dias"))))</x:f>
        <x:v>Em dia</x:v>
      </x:c>
    </x:row>
    <x:row r="321">
      <x:c r="A321" s="13" t="str">
        <x:v>REC-000320</x:v>
      </x:c>
      <x:c r="B321" s="23" t="n">
        <x:v>45444</x:v>
      </x:c>
      <x:c r="C321" s="23" t="n">
        <x:v>45474</x:v>
      </x:c>
      <x:c r="D321" s="23" t="n">
        <x:v>45471</x:v>
      </x:c>
      <x:c r="E321" s="13" t="str">
        <x:v>VAL-004</x:v>
      </x:c>
      <x:c r="F321" s="13" t="str">
        <x:v>NuvemBase Tecnologia</x:v>
      </x:c>
      <x:c r="G321" s="13" t="str">
        <x:v>Tecnologia</x:v>
      </x:c>
      <x:c r="H321" s="13" t="str">
        <x:v>Baixo</x:v>
      </x:c>
      <x:c r="I321" s="13" t="str">
        <x:v>Enterprise</x:v>
      </x:c>
      <x:c r="J321" s="17" t="n">
        <x:v>1945.31</x:v>
      </x:c>
      <x:c r="K321" s="17" t="n">
        <x:v>0</x:v>
      </x:c>
      <x:c r="L321" s="17" t="n">
        <x:v>0</x:v>
      </x:c>
      <x:c r="M321" s="13" t="str">
        <x:v>Pago</x:v>
      </x:c>
      <x:c r="N321" s="13" t="str">
        <x:v>Sem cobrança</x:v>
      </x:c>
      <x:c r="O321" s="13" t="str">
        <x:v>Base controlada</x:v>
      </x:c>
      <x:c r="P321" s="17" t="n">
        <x:f>IF(D321="",0,J321-K321+L321)</x:f>
        <x:v>1945.31</x:v>
      </x:c>
      <x:c r="Q321" s="17" t="n">
        <x:f>MAX(J321-P321-K321,0)</x:f>
        <x:v>0</x:v>
      </x:c>
      <x:c r="R321" s="13" t="n">
        <x:f>IF(D321="",MAX(TODAY()-C321,0),MAX(D321-C321,0))</x:f>
        <x:v>0</x:v>
      </x:c>
      <x:c r="S321" s="13" t="str">
        <x:f>IF(R321=0,"Em dia",IF(R321&lt;=15,"1-15 dias",IF(R321&lt;=30,"16-30 dias",IF(R321&lt;=60,"31-60 dias","Acima de 60 dias"))))</x:f>
        <x:v>Em dia</x:v>
      </x:c>
    </x:row>
    <x:row r="322">
      <x:c r="A322" s="13" t="str">
        <x:v>REC-000321</x:v>
      </x:c>
      <x:c r="B322" s="23" t="n">
        <x:v>45463</x:v>
      </x:c>
      <x:c r="C322" s="23" t="n">
        <x:v>45493</x:v>
      </x:c>
      <x:c r="D322" s="23" t="n">
        <x:v>45490</x:v>
      </x:c>
      <x:c r="E322" s="13" t="str">
        <x:v>VAL-027</x:v>
      </x:c>
      <x:c r="F322" s="13" t="str">
        <x:v>Mais Lar Utilidades</x:v>
      </x:c>
      <x:c r="G322" s="13" t="str">
        <x:v>Varejo</x:v>
      </x:c>
      <x:c r="H322" s="13" t="str">
        <x:v>Baixo</x:v>
      </x:c>
      <x:c r="I322" s="13" t="str">
        <x:v>Performance</x:v>
      </x:c>
      <x:c r="J322" s="17" t="n">
        <x:v>26553.06</x:v>
      </x:c>
      <x:c r="K322" s="17" t="n">
        <x:v>0</x:v>
      </x:c>
      <x:c r="L322" s="17" t="n">
        <x:v>0</x:v>
      </x:c>
      <x:c r="M322" s="13" t="str">
        <x:v>Pago</x:v>
      </x:c>
      <x:c r="N322" s="13" t="str">
        <x:v>Sem cobrança</x:v>
      </x:c>
      <x:c r="O322" s="13" t="str">
        <x:v>Base controlada</x:v>
      </x:c>
      <x:c r="P322" s="17" t="n">
        <x:f>IF(D322="",0,J322-K322+L322)</x:f>
        <x:v>26553.06</x:v>
      </x:c>
      <x:c r="Q322" s="17" t="n">
        <x:f>MAX(J322-P322-K322,0)</x:f>
        <x:v>0</x:v>
      </x:c>
      <x:c r="R322" s="13" t="n">
        <x:f>IF(D322="",MAX(TODAY()-C322,0),MAX(D322-C322,0))</x:f>
        <x:v>0</x:v>
      </x:c>
      <x:c r="S322" s="13" t="str">
        <x:f>IF(R322=0,"Em dia",IF(R322&lt;=15,"1-15 dias",IF(R322&lt;=30,"16-30 dias",IF(R322&lt;=60,"31-60 dias","Acima de 60 dias"))))</x:f>
        <x:v>Em dia</x:v>
      </x:c>
    </x:row>
    <x:row r="323">
      <x:c r="A323" s="13" t="str">
        <x:v>REC-000322</x:v>
      </x:c>
      <x:c r="B323" s="23" t="n">
        <x:v>45445</x:v>
      </x:c>
      <x:c r="C323" s="23" t="n">
        <x:v>45460</x:v>
      </x:c>
      <x:c r="D323" s="23" t="n">
        <x:v>45459</x:v>
      </x:c>
      <x:c r="E323" s="13" t="str">
        <x:v>VAL-007</x:v>
      </x:c>
      <x:c r="F323" s="13" t="str">
        <x:v>Loja Prisma Online</x:v>
      </x:c>
      <x:c r="G323" s="13" t="str">
        <x:v>E-commerce</x:v>
      </x:c>
      <x:c r="H323" s="13" t="str">
        <x:v>Médio</x:v>
      </x:c>
      <x:c r="I323" s="13" t="str">
        <x:v>Performance</x:v>
      </x:c>
      <x:c r="J323" s="17" t="n">
        <x:v>31951.28</x:v>
      </x:c>
      <x:c r="K323" s="17" t="n">
        <x:v>0</x:v>
      </x:c>
      <x:c r="L323" s="17" t="n">
        <x:v>0</x:v>
      </x:c>
      <x:c r="M323" s="13" t="str">
        <x:v>Pago</x:v>
      </x:c>
      <x:c r="N323" s="13" t="str">
        <x:v>Sem cobrança</x:v>
      </x:c>
      <x:c r="O323" s="13" t="str">
        <x:v>Base controlada</x:v>
      </x:c>
      <x:c r="P323" s="17" t="n">
        <x:f>IF(D323="",0,J323-K323+L323)</x:f>
        <x:v>31951.28</x:v>
      </x:c>
      <x:c r="Q323" s="17" t="n">
        <x:f>MAX(J323-P323-K323,0)</x:f>
        <x:v>0</x:v>
      </x:c>
      <x:c r="R323" s="13" t="n">
        <x:f>IF(D323="",MAX(TODAY()-C323,0),MAX(D323-C323,0))</x:f>
        <x:v>0</x:v>
      </x:c>
      <x:c r="S323" s="13" t="str">
        <x:f>IF(R323=0,"Em dia",IF(R323&lt;=15,"1-15 dias",IF(R323&lt;=30,"16-30 dias",IF(R323&lt;=60,"31-60 dias","Acima de 60 dias"))))</x:f>
        <x:v>Em dia</x:v>
      </x:c>
    </x:row>
    <x:row r="324">
      <x:c r="A324" s="13" t="str">
        <x:v>REC-000323</x:v>
      </x:c>
      <x:c r="B324" s="23" t="n">
        <x:v>45460</x:v>
      </x:c>
      <x:c r="C324" s="23" t="n">
        <x:v>45467</x:v>
      </x:c>
      <x:c r="D324" s="23" t="n">
        <x:v>45467</x:v>
      </x:c>
      <x:c r="E324" s="13" t="str">
        <x:v>VAL-003</x:v>
      </x:c>
      <x:c r="F324" s="13" t="str">
        <x:v>Casa Nova Varejo</x:v>
      </x:c>
      <x:c r="G324" s="13" t="str">
        <x:v>Varejo</x:v>
      </x:c>
      <x:c r="H324" s="13" t="str">
        <x:v>Baixo</x:v>
      </x:c>
      <x:c r="I324" s="13" t="str">
        <x:v>Performance</x:v>
      </x:c>
      <x:c r="J324" s="17" t="n">
        <x:v>19982.69</x:v>
      </x:c>
      <x:c r="K324" s="17" t="n">
        <x:v>0</x:v>
      </x:c>
      <x:c r="L324" s="17" t="n">
        <x:v>0</x:v>
      </x:c>
      <x:c r="M324" s="13" t="str">
        <x:v>Pago</x:v>
      </x:c>
      <x:c r="N324" s="13" t="str">
        <x:v>Sem cobrança</x:v>
      </x:c>
      <x:c r="O324" s="13" t="str">
        <x:v>Base controlada</x:v>
      </x:c>
      <x:c r="P324" s="17" t="n">
        <x:f>IF(D324="",0,J324-K324+L324)</x:f>
        <x:v>19982.69</x:v>
      </x:c>
      <x:c r="Q324" s="17" t="n">
        <x:f>MAX(J324-P324-K324,0)</x:f>
        <x:v>0</x:v>
      </x:c>
      <x:c r="R324" s="13" t="n">
        <x:f>IF(D324="",MAX(TODAY()-C324,0),MAX(D324-C324,0))</x:f>
        <x:v>0</x:v>
      </x:c>
      <x:c r="S324" s="13" t="str">
        <x:f>IF(R324=0,"Em dia",IF(R324&lt;=15,"1-15 dias",IF(R324&lt;=30,"16-30 dias",IF(R324&lt;=60,"31-60 dias","Acima de 60 dias"))))</x:f>
        <x:v>Em dia</x:v>
      </x:c>
    </x:row>
    <x:row r="325">
      <x:c r="A325" s="13" t="str">
        <x:v>REC-000324</x:v>
      </x:c>
      <x:c r="B325" s="23" t="n">
        <x:v>45445</x:v>
      </x:c>
      <x:c r="C325" s="23" t="n">
        <x:v>45460</x:v>
      </x:c>
      <x:c r="D325" s="23"/>
      <x:c r="E325" s="13" t="str">
        <x:v>VAL-007</x:v>
      </x:c>
      <x:c r="F325" s="13" t="str">
        <x:v>Loja Prisma Online</x:v>
      </x:c>
      <x:c r="G325" s="13" t="str">
        <x:v>E-commerce</x:v>
      </x:c>
      <x:c r="H325" s="13" t="str">
        <x:v>Médio</x:v>
      </x:c>
      <x:c r="I325" s="13" t="str">
        <x:v>Performance</x:v>
      </x:c>
      <x:c r="J325" s="17" t="n">
        <x:v>19913.17</x:v>
      </x:c>
      <x:c r="K325" s="17" t="n">
        <x:v>0</x:v>
      </x:c>
      <x:c r="L325" s="17" t="n">
        <x:v>0</x:v>
      </x:c>
      <x:c r="M325" s="13" t="str">
        <x:v>Em aberto</x:v>
      </x:c>
      <x:c r="N325" s="13" t="str">
        <x:v>Régua automática</x:v>
      </x:c>
      <x:c r="O325" s="13" t="str">
        <x:v>Base controlada</x:v>
      </x:c>
      <x:c r="P325" s="17" t="n">
        <x:f>IF(D325="",0,J325-K325+L325)</x:f>
        <x:v>0</x:v>
      </x:c>
      <x:c r="Q325" s="17" t="n">
        <x:f>MAX(J325-P325-K325,0)</x:f>
        <x:v>19913.17</x:v>
      </x:c>
      <x:c r="R325" s="13" t="n">
        <x:f>IF(D325="",MAX(TODAY()-C325,0),MAX(D325-C325,0))</x:f>
        <x:v>753</x:v>
      </x:c>
      <x:c r="S325" s="13" t="str">
        <x:f>IF(R325=0,"Em dia",IF(R325&lt;=15,"1-15 dias",IF(R325&lt;=30,"16-30 dias",IF(R325&lt;=60,"31-60 dias","Acima de 60 dias"))))</x:f>
        <x:v>Acima de 60 dias</x:v>
      </x:c>
    </x:row>
    <x:row r="326">
      <x:c r="A326" s="13" t="str">
        <x:v>REC-000325</x:v>
      </x:c>
      <x:c r="B326" s="23" t="n">
        <x:v>45454</x:v>
      </x:c>
      <x:c r="C326" s="23" t="n">
        <x:v>45461</x:v>
      </x:c>
      <x:c r="D326" s="23" t="n">
        <x:v>45468</x:v>
      </x:c>
      <x:c r="E326" s="13" t="str">
        <x:v>VAL-007</x:v>
      </x:c>
      <x:c r="F326" s="13" t="str">
        <x:v>Loja Prisma Online</x:v>
      </x:c>
      <x:c r="G326" s="13" t="str">
        <x:v>E-commerce</x:v>
      </x:c>
      <x:c r="H326" s="13" t="str">
        <x:v>Médio</x:v>
      </x:c>
      <x:c r="I326" s="13" t="str">
        <x:v>Performance</x:v>
      </x:c>
      <x:c r="J326" s="17" t="n">
        <x:v>23785.18</x:v>
      </x:c>
      <x:c r="K326" s="17" t="n">
        <x:v>0</x:v>
      </x:c>
      <x:c r="L326" s="17" t="n">
        <x:v>108.22</x:v>
      </x:c>
      <x:c r="M326" s="13" t="str">
        <x:v>Pago com atraso</x:v>
      </x:c>
      <x:c r="N326" s="13" t="str">
        <x:v>E-mail</x:v>
      </x:c>
      <x:c r="O326" s="13" t="str">
        <x:v>Base controlada</x:v>
      </x:c>
      <x:c r="P326" s="17" t="n">
        <x:f>IF(D326="",0,J326-K326+L326)</x:f>
        <x:v>23893.4</x:v>
      </x:c>
      <x:c r="Q326" s="17" t="n">
        <x:f>MAX(J326-P326-K326,0)</x:f>
        <x:v>0</x:v>
      </x:c>
      <x:c r="R326" s="13" t="n">
        <x:f>IF(D326="",MAX(TODAY()-C326,0),MAX(D326-C326,0))</x:f>
        <x:v>7</x:v>
      </x:c>
      <x:c r="S326" s="13" t="str">
        <x:f>IF(R326=0,"Em dia",IF(R326&lt;=15,"1-15 dias",IF(R326&lt;=30,"16-30 dias",IF(R326&lt;=60,"31-60 dias","Acima de 60 dias"))))</x:f>
        <x:v>1-15 dias</x:v>
      </x:c>
    </x:row>
    <x:row r="327">
      <x:c r="A327" s="13" t="str">
        <x:v>REC-000326</x:v>
      </x:c>
      <x:c r="B327" s="23" t="n">
        <x:v>45458</x:v>
      </x:c>
      <x:c r="C327" s="23" t="n">
        <x:v>45486</x:v>
      </x:c>
      <x:c r="D327" s="23" t="n">
        <x:v>45486</x:v>
      </x:c>
      <x:c r="E327" s="13" t="str">
        <x:v>VAL-004</x:v>
      </x:c>
      <x:c r="F327" s="13" t="str">
        <x:v>NuvemBase Tecnologia</x:v>
      </x:c>
      <x:c r="G327" s="13" t="str">
        <x:v>Tecnologia</x:v>
      </x:c>
      <x:c r="H327" s="13" t="str">
        <x:v>Baixo</x:v>
      </x:c>
      <x:c r="I327" s="13" t="str">
        <x:v>Enterprise</x:v>
      </x:c>
      <x:c r="J327" s="17" t="n">
        <x:v>16485.9</x:v>
      </x:c>
      <x:c r="K327" s="17" t="n">
        <x:v>0</x:v>
      </x:c>
      <x:c r="L327" s="17" t="n">
        <x:v>0</x:v>
      </x:c>
      <x:c r="M327" s="13" t="str">
        <x:v>Pago</x:v>
      </x:c>
      <x:c r="N327" s="13" t="str">
        <x:v>Sem cobrança</x:v>
      </x:c>
      <x:c r="O327" s="13" t="str">
        <x:v>Base controlada</x:v>
      </x:c>
      <x:c r="P327" s="17" t="n">
        <x:f>IF(D327="",0,J327-K327+L327)</x:f>
        <x:v>16485.9</x:v>
      </x:c>
      <x:c r="Q327" s="17" t="n">
        <x:f>MAX(J327-P327-K327,0)</x:f>
        <x:v>0</x:v>
      </x:c>
      <x:c r="R327" s="13" t="n">
        <x:f>IF(D327="",MAX(TODAY()-C327,0),MAX(D327-C327,0))</x:f>
        <x:v>0</x:v>
      </x:c>
      <x:c r="S327" s="13" t="str">
        <x:f>IF(R327=0,"Em dia",IF(R327&lt;=15,"1-15 dias",IF(R327&lt;=30,"16-30 dias",IF(R327&lt;=60,"31-60 dias","Acima de 60 dias"))))</x:f>
        <x:v>Em dia</x:v>
      </x:c>
    </x:row>
    <x:row r="328">
      <x:c r="A328" s="13" t="str">
        <x:v>REC-000327</x:v>
      </x:c>
      <x:c r="B328" s="23" t="n">
        <x:v>45444</x:v>
      </x:c>
      <x:c r="C328" s="23" t="n">
        <x:v>45474</x:v>
      </x:c>
      <x:c r="D328" s="23" t="n">
        <x:v>45470</x:v>
      </x:c>
      <x:c r="E328" s="13" t="str">
        <x:v>VAL-012</x:v>
      </x:c>
      <x:c r="F328" s="13" t="str">
        <x:v>DataFlow Sistemas</x:v>
      </x:c>
      <x:c r="G328" s="13" t="str">
        <x:v>Tecnologia</x:v>
      </x:c>
      <x:c r="H328" s="13" t="str">
        <x:v>Médio</x:v>
      </x:c>
      <x:c r="I328" s="13" t="str">
        <x:v>Enterprise</x:v>
      </x:c>
      <x:c r="J328" s="17" t="n">
        <x:v>13575.82</x:v>
      </x:c>
      <x:c r="K328" s="17" t="n">
        <x:v>0</x:v>
      </x:c>
      <x:c r="L328" s="17" t="n">
        <x:v>0</x:v>
      </x:c>
      <x:c r="M328" s="13" t="str">
        <x:v>Pago</x:v>
      </x:c>
      <x:c r="N328" s="13" t="str">
        <x:v>Sem cobrança</x:v>
      </x:c>
      <x:c r="O328" s="13" t="str">
        <x:v>Base controlada</x:v>
      </x:c>
      <x:c r="P328" s="17" t="n">
        <x:f>IF(D328="",0,J328-K328+L328)</x:f>
        <x:v>13575.82</x:v>
      </x:c>
      <x:c r="Q328" s="17" t="n">
        <x:f>MAX(J328-P328-K328,0)</x:f>
        <x:v>0</x:v>
      </x:c>
      <x:c r="R328" s="13" t="n">
        <x:f>IF(D328="",MAX(TODAY()-C328,0),MAX(D328-C328,0))</x:f>
        <x:v>0</x:v>
      </x:c>
      <x:c r="S328" s="13" t="str">
        <x:f>IF(R328=0,"Em dia",IF(R328&lt;=15,"1-15 dias",IF(R328&lt;=30,"16-30 dias",IF(R328&lt;=60,"31-60 dias","Acima de 60 dias"))))</x:f>
        <x:v>Em dia</x:v>
      </x:c>
    </x:row>
    <x:row r="329">
      <x:c r="A329" s="13" t="str">
        <x:v>REC-000328</x:v>
      </x:c>
      <x:c r="B329" s="23" t="n">
        <x:v>45451</x:v>
      </x:c>
      <x:c r="C329" s="23" t="n">
        <x:v>45479</x:v>
      </x:c>
      <x:c r="D329" s="23" t="n">
        <x:v>45477</x:v>
      </x:c>
      <x:c r="E329" s="13" t="str">
        <x:v>VAL-010</x:v>
      </x:c>
      <x:c r="F329" s="13" t="str">
        <x:v>Atlas Contabilidade</x:v>
      </x:c>
      <x:c r="G329" s="13" t="str">
        <x:v>Serviços Profissionais</x:v>
      </x:c>
      <x:c r="H329" s="13" t="str">
        <x:v>Baixo</x:v>
      </x:c>
      <x:c r="I329" s="13" t="str">
        <x:v>Gestão</x:v>
      </x:c>
      <x:c r="J329" s="17" t="n">
        <x:v>12576.79</x:v>
      </x:c>
      <x:c r="K329" s="17" t="n">
        <x:v>0</x:v>
      </x:c>
      <x:c r="L329" s="17" t="n">
        <x:v>0</x:v>
      </x:c>
      <x:c r="M329" s="13" t="str">
        <x:v>Pago</x:v>
      </x:c>
      <x:c r="N329" s="13" t="str">
        <x:v>Sem cobrança</x:v>
      </x:c>
      <x:c r="O329" s="13" t="str">
        <x:v>Base controlada</x:v>
      </x:c>
      <x:c r="P329" s="17" t="n">
        <x:f>IF(D329="",0,J329-K329+L329)</x:f>
        <x:v>12576.79</x:v>
      </x:c>
      <x:c r="Q329" s="17" t="n">
        <x:f>MAX(J329-P329-K329,0)</x:f>
        <x:v>0</x:v>
      </x:c>
      <x:c r="R329" s="13" t="n">
        <x:f>IF(D329="",MAX(TODAY()-C329,0),MAX(D329-C329,0))</x:f>
        <x:v>0</x:v>
      </x:c>
      <x:c r="S329" s="13" t="str">
        <x:f>IF(R329=0,"Em dia",IF(R329&lt;=15,"1-15 dias",IF(R329&lt;=30,"16-30 dias",IF(R329&lt;=60,"31-60 dias","Acima de 60 dias"))))</x:f>
        <x:v>Em dia</x:v>
      </x:c>
    </x:row>
    <x:row r="330">
      <x:c r="A330" s="13" t="str">
        <x:v>REC-000329</x:v>
      </x:c>
      <x:c r="B330" s="23" t="n">
        <x:v>45444</x:v>
      </x:c>
      <x:c r="C330" s="23" t="n">
        <x:v>45474</x:v>
      </x:c>
      <x:c r="D330" s="23" t="n">
        <x:v>45474</x:v>
      </x:c>
      <x:c r="E330" s="13" t="str">
        <x:v>VAL-023</x:v>
      </x:c>
      <x:c r="F330" s="13" t="str">
        <x:v>ShopMix Brasil</x:v>
      </x:c>
      <x:c r="G330" s="13" t="str">
        <x:v>E-commerce</x:v>
      </x:c>
      <x:c r="H330" s="13" t="str">
        <x:v>Baixo</x:v>
      </x:c>
      <x:c r="I330" s="13" t="str">
        <x:v>Performance</x:v>
      </x:c>
      <x:c r="J330" s="17" t="n">
        <x:v>31643.45</x:v>
      </x:c>
      <x:c r="K330" s="17" t="n">
        <x:v>0</x:v>
      </x:c>
      <x:c r="L330" s="17" t="n">
        <x:v>0</x:v>
      </x:c>
      <x:c r="M330" s="13" t="str">
        <x:v>Pago</x:v>
      </x:c>
      <x:c r="N330" s="13" t="str">
        <x:v>Sem cobrança</x:v>
      </x:c>
      <x:c r="O330" s="13" t="str">
        <x:v>Base controlada</x:v>
      </x:c>
      <x:c r="P330" s="17" t="n">
        <x:f>IF(D330="",0,J330-K330+L330)</x:f>
        <x:v>31643.45</x:v>
      </x:c>
      <x:c r="Q330" s="17" t="n">
        <x:f>MAX(J330-P330-K330,0)</x:f>
        <x:v>0</x:v>
      </x:c>
      <x:c r="R330" s="13" t="n">
        <x:f>IF(D330="",MAX(TODAY()-C330,0),MAX(D330-C330,0))</x:f>
        <x:v>0</x:v>
      </x:c>
      <x:c r="S330" s="13" t="str">
        <x:f>IF(R330=0,"Em dia",IF(R330&lt;=15,"1-15 dias",IF(R330&lt;=30,"16-30 dias",IF(R330&lt;=60,"31-60 dias","Acima de 60 dias"))))</x:f>
        <x:v>Em dia</x:v>
      </x:c>
    </x:row>
    <x:row r="331">
      <x:c r="A331" s="13" t="str">
        <x:v>REC-000330</x:v>
      </x:c>
      <x:c r="B331" s="23" t="n">
        <x:v>45448</x:v>
      </x:c>
      <x:c r="C331" s="23" t="n">
        <x:v>45463</x:v>
      </x:c>
      <x:c r="D331" s="23" t="n">
        <x:v>45461</x:v>
      </x:c>
      <x:c r="E331" s="13" t="str">
        <x:v>VAL-003</x:v>
      </x:c>
      <x:c r="F331" s="13" t="str">
        <x:v>Casa Nova Varejo</x:v>
      </x:c>
      <x:c r="G331" s="13" t="str">
        <x:v>Varejo</x:v>
      </x:c>
      <x:c r="H331" s="13" t="str">
        <x:v>Baixo</x:v>
      </x:c>
      <x:c r="I331" s="13" t="str">
        <x:v>Performance</x:v>
      </x:c>
      <x:c r="J331" s="17" t="n">
        <x:v>21086.07</x:v>
      </x:c>
      <x:c r="K331" s="17" t="n">
        <x:v>0</x:v>
      </x:c>
      <x:c r="L331" s="17" t="n">
        <x:v>0</x:v>
      </x:c>
      <x:c r="M331" s="13" t="str">
        <x:v>Pago</x:v>
      </x:c>
      <x:c r="N331" s="13" t="str">
        <x:v>Sem cobrança</x:v>
      </x:c>
      <x:c r="O331" s="13" t="str">
        <x:v>Base controlada</x:v>
      </x:c>
      <x:c r="P331" s="17" t="n">
        <x:f>IF(D331="",0,J331-K331+L331)</x:f>
        <x:v>21086.07</x:v>
      </x:c>
      <x:c r="Q331" s="17" t="n">
        <x:f>MAX(J331-P331-K331,0)</x:f>
        <x:v>0</x:v>
      </x:c>
      <x:c r="R331" s="13" t="n">
        <x:f>IF(D331="",MAX(TODAY()-C331,0),MAX(D331-C331,0))</x:f>
        <x:v>0</x:v>
      </x:c>
      <x:c r="S331" s="13" t="str">
        <x:f>IF(R331=0,"Em dia",IF(R331&lt;=15,"1-15 dias",IF(R331&lt;=30,"16-30 dias",IF(R331&lt;=60,"31-60 dias","Acima de 60 dias"))))</x:f>
        <x:v>Em dia</x:v>
      </x:c>
    </x:row>
    <x:row r="332">
      <x:c r="A332" s="13" t="str">
        <x:v>REC-000331</x:v>
      </x:c>
      <x:c r="B332" s="23" t="n">
        <x:v>45445</x:v>
      </x:c>
      <x:c r="C332" s="23" t="n">
        <x:v>45473</x:v>
      </x:c>
      <x:c r="D332" s="23" t="n">
        <x:v>45473</x:v>
      </x:c>
      <x:c r="E332" s="13" t="str">
        <x:v>VAL-029</x:v>
      </x:c>
      <x:c r="F332" s="13" t="str">
        <x:v>Planobra Serviços</x:v>
      </x:c>
      <x:c r="G332" s="13" t="str">
        <x:v>Construção</x:v>
      </x:c>
      <x:c r="H332" s="13" t="str">
        <x:v>Baixo</x:v>
      </x:c>
      <x:c r="I332" s="13" t="str">
        <x:v>Essencial</x:v>
      </x:c>
      <x:c r="J332" s="17" t="n">
        <x:v>13992.95</x:v>
      </x:c>
      <x:c r="K332" s="17" t="n">
        <x:v>0</x:v>
      </x:c>
      <x:c r="L332" s="17" t="n">
        <x:v>0</x:v>
      </x:c>
      <x:c r="M332" s="13" t="str">
        <x:v>Pago</x:v>
      </x:c>
      <x:c r="N332" s="13" t="str">
        <x:v>Sem cobrança</x:v>
      </x:c>
      <x:c r="O332" s="13" t="str">
        <x:v>Base controlada</x:v>
      </x:c>
      <x:c r="P332" s="17" t="n">
        <x:f>IF(D332="",0,J332-K332+L332)</x:f>
        <x:v>13992.95</x:v>
      </x:c>
      <x:c r="Q332" s="17" t="n">
        <x:f>MAX(J332-P332-K332,0)</x:f>
        <x:v>0</x:v>
      </x:c>
      <x:c r="R332" s="13" t="n">
        <x:f>IF(D332="",MAX(TODAY()-C332,0),MAX(D332-C332,0))</x:f>
        <x:v>0</x:v>
      </x:c>
      <x:c r="S332" s="13" t="str">
        <x:f>IF(R332=0,"Em dia",IF(R332&lt;=15,"1-15 dias",IF(R332&lt;=30,"16-30 dias",IF(R332&lt;=60,"31-60 dias","Acima de 60 dias"))))</x:f>
        <x:v>Em dia</x:v>
      </x:c>
    </x:row>
    <x:row r="333">
      <x:c r="A333" s="13" t="str">
        <x:v>REC-000332</x:v>
      </x:c>
      <x:c r="B333" s="23" t="n">
        <x:v>45453</x:v>
      </x:c>
      <x:c r="C333" s="23" t="n">
        <x:v>45481</x:v>
      </x:c>
      <x:c r="D333" s="23" t="n">
        <x:v>45477</x:v>
      </x:c>
      <x:c r="E333" s="13" t="str">
        <x:v>VAL-030</x:v>
      </x:c>
      <x:c r="F333" s="13" t="str">
        <x:v>Mundo Kids Cursos</x:v>
      </x:c>
      <x:c r="G333" s="13" t="str">
        <x:v>Educação</x:v>
      </x:c>
      <x:c r="H333" s="13" t="str">
        <x:v>Alto</x:v>
      </x:c>
      <x:c r="I333" s="13" t="str">
        <x:v>Gestão</x:v>
      </x:c>
      <x:c r="J333" s="17" t="n">
        <x:v>14486.77</x:v>
      </x:c>
      <x:c r="K333" s="17" t="n">
        <x:v>0</x:v>
      </x:c>
      <x:c r="L333" s="17" t="n">
        <x:v>0</x:v>
      </x:c>
      <x:c r="M333" s="13" t="str">
        <x:v>Pago</x:v>
      </x:c>
      <x:c r="N333" s="13" t="str">
        <x:v>Sem cobrança</x:v>
      </x:c>
      <x:c r="O333" s="13" t="str">
        <x:v>Base controlada</x:v>
      </x:c>
      <x:c r="P333" s="17" t="n">
        <x:f>IF(D333="",0,J333-K333+L333)</x:f>
        <x:v>14486.77</x:v>
      </x:c>
      <x:c r="Q333" s="17" t="n">
        <x:f>MAX(J333-P333-K333,0)</x:f>
        <x:v>0</x:v>
      </x:c>
      <x:c r="R333" s="13" t="n">
        <x:f>IF(D333="",MAX(TODAY()-C333,0),MAX(D333-C333,0))</x:f>
        <x:v>0</x:v>
      </x:c>
      <x:c r="S333" s="13" t="str">
        <x:f>IF(R333=0,"Em dia",IF(R333&lt;=15,"1-15 dias",IF(R333&lt;=30,"16-30 dias",IF(R333&lt;=60,"31-60 dias","Acima de 60 dias"))))</x:f>
        <x:v>Em dia</x:v>
      </x:c>
    </x:row>
    <x:row r="334">
      <x:c r="A334" s="13" t="str">
        <x:v>REC-000333</x:v>
      </x:c>
      <x:c r="B334" s="23" t="n">
        <x:v>45461</x:v>
      </x:c>
      <x:c r="C334" s="23" t="n">
        <x:v>45476</x:v>
      </x:c>
      <x:c r="D334" s="23" t="n">
        <x:v>45475</x:v>
      </x:c>
      <x:c r="E334" s="13" t="str">
        <x:v>VAL-010</x:v>
      </x:c>
      <x:c r="F334" s="13" t="str">
        <x:v>Atlas Contabilidade</x:v>
      </x:c>
      <x:c r="G334" s="13" t="str">
        <x:v>Serviços Profissionais</x:v>
      </x:c>
      <x:c r="H334" s="13" t="str">
        <x:v>Baixo</x:v>
      </x:c>
      <x:c r="I334" s="13" t="str">
        <x:v>Gestão</x:v>
      </x:c>
      <x:c r="J334" s="17" t="n">
        <x:v>8319.76</x:v>
      </x:c>
      <x:c r="K334" s="17" t="n">
        <x:v>0</x:v>
      </x:c>
      <x:c r="L334" s="17" t="n">
        <x:v>0</x:v>
      </x:c>
      <x:c r="M334" s="13" t="str">
        <x:v>Pago</x:v>
      </x:c>
      <x:c r="N334" s="13" t="str">
        <x:v>Sem cobrança</x:v>
      </x:c>
      <x:c r="O334" s="13" t="str">
        <x:v>Base controlada</x:v>
      </x:c>
      <x:c r="P334" s="17" t="n">
        <x:f>IF(D334="",0,J334-K334+L334)</x:f>
        <x:v>8319.76</x:v>
      </x:c>
      <x:c r="Q334" s="17" t="n">
        <x:f>MAX(J334-P334-K334,0)</x:f>
        <x:v>0</x:v>
      </x:c>
      <x:c r="R334" s="13" t="n">
        <x:f>IF(D334="",MAX(TODAY()-C334,0),MAX(D334-C334,0))</x:f>
        <x:v>0</x:v>
      </x:c>
      <x:c r="S334" s="13" t="str">
        <x:f>IF(R334=0,"Em dia",IF(R334&lt;=15,"1-15 dias",IF(R334&lt;=30,"16-30 dias",IF(R334&lt;=60,"31-60 dias","Acima de 60 dias"))))</x:f>
        <x:v>Em dia</x:v>
      </x:c>
    </x:row>
    <x:row r="335">
      <x:c r="A335" s="13" t="str">
        <x:v>REC-000334</x:v>
      </x:c>
      <x:c r="B335" s="23" t="n">
        <x:v>45457</x:v>
      </x:c>
      <x:c r="C335" s="23" t="n">
        <x:v>45487</x:v>
      </x:c>
      <x:c r="D335" s="23" t="n">
        <x:v>45486</x:v>
      </x:c>
      <x:c r="E335" s="13" t="str">
        <x:v>VAL-014</x:v>
      </x:c>
      <x:c r="F335" s="13" t="str">
        <x:v>Colégio Caminhos</x:v>
      </x:c>
      <x:c r="G335" s="13" t="str">
        <x:v>Educação</x:v>
      </x:c>
      <x:c r="H335" s="13" t="str">
        <x:v>Médio</x:v>
      </x:c>
      <x:c r="I335" s="13" t="str">
        <x:v>Gestão</x:v>
      </x:c>
      <x:c r="J335" s="17" t="n">
        <x:v>27693.77</x:v>
      </x:c>
      <x:c r="K335" s="17" t="n">
        <x:v>0</x:v>
      </x:c>
      <x:c r="L335" s="17" t="n">
        <x:v>0</x:v>
      </x:c>
      <x:c r="M335" s="13" t="str">
        <x:v>Pago</x:v>
      </x:c>
      <x:c r="N335" s="13" t="str">
        <x:v>Sem cobrança</x:v>
      </x:c>
      <x:c r="O335" s="13" t="str">
        <x:v>Base controlada</x:v>
      </x:c>
      <x:c r="P335" s="17" t="n">
        <x:f>IF(D335="",0,J335-K335+L335)</x:f>
        <x:v>27693.77</x:v>
      </x:c>
      <x:c r="Q335" s="17" t="n">
        <x:f>MAX(J335-P335-K335,0)</x:f>
        <x:v>0</x:v>
      </x:c>
      <x:c r="R335" s="13" t="n">
        <x:f>IF(D335="",MAX(TODAY()-C335,0),MAX(D335-C335,0))</x:f>
        <x:v>0</x:v>
      </x:c>
      <x:c r="S335" s="13" t="str">
        <x:f>IF(R335=0,"Em dia",IF(R335&lt;=15,"1-15 dias",IF(R335&lt;=30,"16-30 dias",IF(R335&lt;=60,"31-60 dias","Acima de 60 dias"))))</x:f>
        <x:v>Em dia</x:v>
      </x:c>
    </x:row>
    <x:row r="336">
      <x:c r="A336" s="13" t="str">
        <x:v>REC-000335</x:v>
      </x:c>
      <x:c r="B336" s="23" t="n">
        <x:v>45456</x:v>
      </x:c>
      <x:c r="C336" s="23" t="n">
        <x:v>45484</x:v>
      </x:c>
      <x:c r="D336" s="23" t="n">
        <x:v>45481</x:v>
      </x:c>
      <x:c r="E336" s="13" t="str">
        <x:v>VAL-015</x:v>
      </x:c>
      <x:c r="F336" s="13" t="str">
        <x:v>Mercado Click</x:v>
      </x:c>
      <x:c r="G336" s="13" t="str">
        <x:v>E-commerce</x:v>
      </x:c>
      <x:c r="H336" s="13" t="str">
        <x:v>Baixo</x:v>
      </x:c>
      <x:c r="I336" s="13" t="str">
        <x:v>Performance</x:v>
      </x:c>
      <x:c r="J336" s="17" t="n">
        <x:v>25244.34</x:v>
      </x:c>
      <x:c r="K336" s="17" t="n">
        <x:v>0</x:v>
      </x:c>
      <x:c r="L336" s="17" t="n">
        <x:v>0</x:v>
      </x:c>
      <x:c r="M336" s="13" t="str">
        <x:v>Pago</x:v>
      </x:c>
      <x:c r="N336" s="13" t="str">
        <x:v>Sem cobrança</x:v>
      </x:c>
      <x:c r="O336" s="13" t="str">
        <x:v>Base controlada</x:v>
      </x:c>
      <x:c r="P336" s="17" t="n">
        <x:f>IF(D336="",0,J336-K336+L336)</x:f>
        <x:v>25244.34</x:v>
      </x:c>
      <x:c r="Q336" s="17" t="n">
        <x:f>MAX(J336-P336-K336,0)</x:f>
        <x:v>0</x:v>
      </x:c>
      <x:c r="R336" s="13" t="n">
        <x:f>IF(D336="",MAX(TODAY()-C336,0),MAX(D336-C336,0))</x:f>
        <x:v>0</x:v>
      </x:c>
      <x:c r="S336" s="13" t="str">
        <x:f>IF(R336=0,"Em dia",IF(R336&lt;=15,"1-15 dias",IF(R336&lt;=30,"16-30 dias",IF(R336&lt;=60,"31-60 dias","Acima de 60 dias"))))</x:f>
        <x:v>Em dia</x:v>
      </x:c>
    </x:row>
    <x:row r="337">
      <x:c r="A337" s="13" t="str">
        <x:v>REC-000336</x:v>
      </x:c>
      <x:c r="B337" s="23" t="n">
        <x:v>45451</x:v>
      </x:c>
      <x:c r="C337" s="23" t="n">
        <x:v>45479</x:v>
      </x:c>
      <x:c r="D337" s="23" t="n">
        <x:v>45490</x:v>
      </x:c>
      <x:c r="E337" s="13" t="str">
        <x:v>VAL-016</x:v>
      </x:c>
      <x:c r="F337" s="13" t="str">
        <x:v>Lumina Embalagens</x:v>
      </x:c>
      <x:c r="G337" s="13" t="str">
        <x:v>Indústria Leve</x:v>
      </x:c>
      <x:c r="H337" s="13" t="str">
        <x:v>Baixo</x:v>
      </x:c>
      <x:c r="I337" s="13" t="str">
        <x:v>Enterprise</x:v>
      </x:c>
      <x:c r="J337" s="17" t="n">
        <x:v>14171.84</x:v>
      </x:c>
      <x:c r="K337" s="17" t="n">
        <x:v>0</x:v>
      </x:c>
      <x:c r="L337" s="17" t="n">
        <x:v>101.33</x:v>
      </x:c>
      <x:c r="M337" s="13" t="str">
        <x:v>Pago com atraso</x:v>
      </x:c>
      <x:c r="N337" s="13" t="str">
        <x:v>E-mail</x:v>
      </x:c>
      <x:c r="O337" s="13" t="str">
        <x:v>Base controlada</x:v>
      </x:c>
      <x:c r="P337" s="17" t="n">
        <x:f>IF(D337="",0,J337-K337+L337)</x:f>
        <x:v>14273.17</x:v>
      </x:c>
      <x:c r="Q337" s="17" t="n">
        <x:f>MAX(J337-P337-K337,0)</x:f>
        <x:v>0</x:v>
      </x:c>
      <x:c r="R337" s="13" t="n">
        <x:f>IF(D337="",MAX(TODAY()-C337,0),MAX(D337-C337,0))</x:f>
        <x:v>11</x:v>
      </x:c>
      <x:c r="S337" s="13" t="str">
        <x:f>IF(R337=0,"Em dia",IF(R337&lt;=15,"1-15 dias",IF(R337&lt;=30,"16-30 dias",IF(R337&lt;=60,"31-60 dias","Acima de 60 dias"))))</x:f>
        <x:v>1-15 dias</x:v>
      </x:c>
    </x:row>
    <x:row r="338">
      <x:c r="A338" s="13" t="str">
        <x:v>REC-000337</x:v>
      </x:c>
      <x:c r="B338" s="23" t="n">
        <x:v>45461</x:v>
      </x:c>
      <x:c r="C338" s="23" t="n">
        <x:v>45491</x:v>
      </x:c>
      <x:c r="D338" s="23" t="n">
        <x:v>45491</x:v>
      </x:c>
      <x:c r="E338" s="13" t="str">
        <x:v>VAL-012</x:v>
      </x:c>
      <x:c r="F338" s="13" t="str">
        <x:v>DataFlow Sistemas</x:v>
      </x:c>
      <x:c r="G338" s="13" t="str">
        <x:v>Tecnologia</x:v>
      </x:c>
      <x:c r="H338" s="13" t="str">
        <x:v>Médio</x:v>
      </x:c>
      <x:c r="I338" s="13" t="str">
        <x:v>Enterprise</x:v>
      </x:c>
      <x:c r="J338" s="17" t="n">
        <x:v>27076.69</x:v>
      </x:c>
      <x:c r="K338" s="17" t="n">
        <x:v>0</x:v>
      </x:c>
      <x:c r="L338" s="17" t="n">
        <x:v>0</x:v>
      </x:c>
      <x:c r="M338" s="13" t="str">
        <x:v>Pago</x:v>
      </x:c>
      <x:c r="N338" s="13" t="str">
        <x:v>Sem cobrança</x:v>
      </x:c>
      <x:c r="O338" s="13" t="str">
        <x:v>Base controlada</x:v>
      </x:c>
      <x:c r="P338" s="17" t="n">
        <x:f>IF(D338="",0,J338-K338+L338)</x:f>
        <x:v>27076.69</x:v>
      </x:c>
      <x:c r="Q338" s="17" t="n">
        <x:f>MAX(J338-P338-K338,0)</x:f>
        <x:v>0</x:v>
      </x:c>
      <x:c r="R338" s="13" t="n">
        <x:f>IF(D338="",MAX(TODAY()-C338,0),MAX(D338-C338,0))</x:f>
        <x:v>0</x:v>
      </x:c>
      <x:c r="S338" s="13" t="str">
        <x:f>IF(R338=0,"Em dia",IF(R338&lt;=15,"1-15 dias",IF(R338&lt;=30,"16-30 dias",IF(R338&lt;=60,"31-60 dias","Acima de 60 dias"))))</x:f>
        <x:v>Em dia</x:v>
      </x:c>
    </x:row>
    <x:row r="339">
      <x:c r="A339" s="13" t="str">
        <x:v>REC-000338</x:v>
      </x:c>
      <x:c r="B339" s="23" t="n">
        <x:v>45448</x:v>
      </x:c>
      <x:c r="C339" s="23" t="n">
        <x:v>45455</x:v>
      </x:c>
      <x:c r="D339" s="23" t="n">
        <x:v>45451</x:v>
      </x:c>
      <x:c r="E339" s="13" t="str">
        <x:v>VAL-023</x:v>
      </x:c>
      <x:c r="F339" s="13" t="str">
        <x:v>ShopMix Brasil</x:v>
      </x:c>
      <x:c r="G339" s="13" t="str">
        <x:v>E-commerce</x:v>
      </x:c>
      <x:c r="H339" s="13" t="str">
        <x:v>Baixo</x:v>
      </x:c>
      <x:c r="I339" s="13" t="str">
        <x:v>Performance</x:v>
      </x:c>
      <x:c r="J339" s="17" t="n">
        <x:v>34968.24</x:v>
      </x:c>
      <x:c r="K339" s="17" t="n">
        <x:v>0</x:v>
      </x:c>
      <x:c r="L339" s="17" t="n">
        <x:v>0</x:v>
      </x:c>
      <x:c r="M339" s="13" t="str">
        <x:v>Pago</x:v>
      </x:c>
      <x:c r="N339" s="13" t="str">
        <x:v>Sem cobrança</x:v>
      </x:c>
      <x:c r="O339" s="13" t="str">
        <x:v>Base controlada</x:v>
      </x:c>
      <x:c r="P339" s="17" t="n">
        <x:f>IF(D339="",0,J339-K339+L339)</x:f>
        <x:v>34968.24</x:v>
      </x:c>
      <x:c r="Q339" s="17" t="n">
        <x:f>MAX(J339-P339-K339,0)</x:f>
        <x:v>0</x:v>
      </x:c>
      <x:c r="R339" s="13" t="n">
        <x:f>IF(D339="",MAX(TODAY()-C339,0),MAX(D339-C339,0))</x:f>
        <x:v>0</x:v>
      </x:c>
      <x:c r="S339" s="13" t="str">
        <x:f>IF(R339=0,"Em dia",IF(R339&lt;=15,"1-15 dias",IF(R339&lt;=30,"16-30 dias",IF(R339&lt;=60,"31-60 dias","Acima de 60 dias"))))</x:f>
        <x:v>Em dia</x:v>
      </x:c>
    </x:row>
    <x:row r="340">
      <x:c r="A340" s="13" t="str">
        <x:v>REC-000339</x:v>
      </x:c>
      <x:c r="B340" s="23" t="n">
        <x:v>45458</x:v>
      </x:c>
      <x:c r="C340" s="23" t="n">
        <x:v>45473</x:v>
      </x:c>
      <x:c r="D340" s="23"/>
      <x:c r="E340" s="13" t="str">
        <x:v>VAL-029</x:v>
      </x:c>
      <x:c r="F340" s="13" t="str">
        <x:v>Planobra Serviços</x:v>
      </x:c>
      <x:c r="G340" s="13" t="str">
        <x:v>Construção</x:v>
      </x:c>
      <x:c r="H340" s="13" t="str">
        <x:v>Baixo</x:v>
      </x:c>
      <x:c r="I340" s="13" t="str">
        <x:v>Essencial</x:v>
      </x:c>
      <x:c r="J340" s="17" t="n">
        <x:v>18419.07</x:v>
      </x:c>
      <x:c r="K340" s="17" t="n">
        <x:v>0</x:v>
      </x:c>
      <x:c r="L340" s="17" t="n">
        <x:v>0</x:v>
      </x:c>
      <x:c r="M340" s="13" t="str">
        <x:v>Em aberto</x:v>
      </x:c>
      <x:c r="N340" s="13" t="str">
        <x:v>Telefone</x:v>
      </x:c>
      <x:c r="O340" s="13" t="str">
        <x:v>Base controlada</x:v>
      </x:c>
      <x:c r="P340" s="17" t="n">
        <x:f>IF(D340="",0,J340-K340+L340)</x:f>
        <x:v>0</x:v>
      </x:c>
      <x:c r="Q340" s="17" t="n">
        <x:f>MAX(J340-P340-K340,0)</x:f>
        <x:v>18419.07</x:v>
      </x:c>
      <x:c r="R340" s="13" t="n">
        <x:f>IF(D340="",MAX(TODAY()-C340,0),MAX(D340-C340,0))</x:f>
        <x:v>740</x:v>
      </x:c>
      <x:c r="S340" s="13" t="str">
        <x:f>IF(R340=0,"Em dia",IF(R340&lt;=15,"1-15 dias",IF(R340&lt;=30,"16-30 dias",IF(R340&lt;=60,"31-60 dias","Acima de 60 dias"))))</x:f>
        <x:v>Acima de 60 dias</x:v>
      </x:c>
    </x:row>
    <x:row r="341">
      <x:c r="A341" s="13" t="str">
        <x:v>REC-000340</x:v>
      </x:c>
      <x:c r="B341" s="23" t="n">
        <x:v>45460</x:v>
      </x:c>
      <x:c r="C341" s="23" t="n">
        <x:v>45488</x:v>
      </x:c>
      <x:c r="D341" s="23" t="n">
        <x:v>45488</x:v>
      </x:c>
      <x:c r="E341" s="13" t="str">
        <x:v>VAL-001</x:v>
      </x:c>
      <x:c r="F341" s="13" t="str">
        <x:v>Clínica Horizonte</x:v>
      </x:c>
      <x:c r="G341" s="13" t="str">
        <x:v>Clínicas e Saúde</x:v>
      </x:c>
      <x:c r="H341" s="13" t="str">
        <x:v>Baixo</x:v>
      </x:c>
      <x:c r="I341" s="13" t="str">
        <x:v>Essencial</x:v>
      </x:c>
      <x:c r="J341" s="17" t="n">
        <x:v>6191.22</x:v>
      </x:c>
      <x:c r="K341" s="17" t="n">
        <x:v>0</x:v>
      </x:c>
      <x:c r="L341" s="17" t="n">
        <x:v>0</x:v>
      </x:c>
      <x:c r="M341" s="13" t="str">
        <x:v>Pago</x:v>
      </x:c>
      <x:c r="N341" s="13" t="str">
        <x:v>Sem cobrança</x:v>
      </x:c>
      <x:c r="O341" s="13" t="str">
        <x:v>Base controlada</x:v>
      </x:c>
      <x:c r="P341" s="17" t="n">
        <x:f>IF(D341="",0,J341-K341+L341)</x:f>
        <x:v>6191.22</x:v>
      </x:c>
      <x:c r="Q341" s="17" t="n">
        <x:f>MAX(J341-P341-K341,0)</x:f>
        <x:v>0</x:v>
      </x:c>
      <x:c r="R341" s="13" t="n">
        <x:f>IF(D341="",MAX(TODAY()-C341,0),MAX(D341-C341,0))</x:f>
        <x:v>0</x:v>
      </x:c>
      <x:c r="S341" s="13" t="str">
        <x:f>IF(R341=0,"Em dia",IF(R341&lt;=15,"1-15 dias",IF(R341&lt;=30,"16-30 dias",IF(R341&lt;=60,"31-60 dias","Acima de 60 dias"))))</x:f>
        <x:v>Em dia</x:v>
      </x:c>
    </x:row>
    <x:row r="342">
      <x:c r="A342" s="13" t="str">
        <x:v>REC-000341</x:v>
      </x:c>
      <x:c r="B342" s="23" t="n">
        <x:v>45462</x:v>
      </x:c>
      <x:c r="C342" s="23" t="n">
        <x:v>45477</x:v>
      </x:c>
      <x:c r="D342" s="23" t="n">
        <x:v>45474</x:v>
      </x:c>
      <x:c r="E342" s="13" t="str">
        <x:v>VAL-009</x:v>
      </x:c>
      <x:c r="F342" s="13" t="str">
        <x:v>Odonto Prime</x:v>
      </x:c>
      <x:c r="G342" s="13" t="str">
        <x:v>Clínicas e Saúde</x:v>
      </x:c>
      <x:c r="H342" s="13" t="str">
        <x:v>Médio</x:v>
      </x:c>
      <x:c r="I342" s="13" t="str">
        <x:v>Essencial</x:v>
      </x:c>
      <x:c r="J342" s="17" t="n">
        <x:v>8634.63</x:v>
      </x:c>
      <x:c r="K342" s="17" t="n">
        <x:v>0</x:v>
      </x:c>
      <x:c r="L342" s="17" t="n">
        <x:v>0</x:v>
      </x:c>
      <x:c r="M342" s="13" t="str">
        <x:v>Pago</x:v>
      </x:c>
      <x:c r="N342" s="13" t="str">
        <x:v>Sem cobrança</x:v>
      </x:c>
      <x:c r="O342" s="13" t="str">
        <x:v>Base controlada</x:v>
      </x:c>
      <x:c r="P342" s="17" t="n">
        <x:f>IF(D342="",0,J342-K342+L342)</x:f>
        <x:v>8634.63</x:v>
      </x:c>
      <x:c r="Q342" s="17" t="n">
        <x:f>MAX(J342-P342-K342,0)</x:f>
        <x:v>0</x:v>
      </x:c>
      <x:c r="R342" s="13" t="n">
        <x:f>IF(D342="",MAX(TODAY()-C342,0),MAX(D342-C342,0))</x:f>
        <x:v>0</x:v>
      </x:c>
      <x:c r="S342" s="13" t="str">
        <x:f>IF(R342=0,"Em dia",IF(R342&lt;=15,"1-15 dias",IF(R342&lt;=30,"16-30 dias",IF(R342&lt;=60,"31-60 dias","Acima de 60 dias"))))</x:f>
        <x:v>Em dia</x:v>
      </x:c>
    </x:row>
    <x:row r="343">
      <x:c r="A343" s="13" t="str">
        <x:v>REC-000342</x:v>
      </x:c>
      <x:c r="B343" s="23" t="n">
        <x:v>45459</x:v>
      </x:c>
      <x:c r="C343" s="23" t="n">
        <x:v>45489</x:v>
      </x:c>
      <x:c r="D343" s="23" t="n">
        <x:v>45488</x:v>
      </x:c>
      <x:c r="E343" s="13" t="str">
        <x:v>VAL-025</x:v>
      </x:c>
      <x:c r="F343" s="13" t="str">
        <x:v>Bem-Estar Terapias</x:v>
      </x:c>
      <x:c r="G343" s="13" t="str">
        <x:v>Clínicas e Saúde</x:v>
      </x:c>
      <x:c r="H343" s="13" t="str">
        <x:v>Baixo</x:v>
      </x:c>
      <x:c r="I343" s="13" t="str">
        <x:v>Essencial</x:v>
      </x:c>
      <x:c r="J343" s="17" t="n">
        <x:v>14657.49</x:v>
      </x:c>
      <x:c r="K343" s="17" t="n">
        <x:v>0</x:v>
      </x:c>
      <x:c r="L343" s="17" t="n">
        <x:v>0</x:v>
      </x:c>
      <x:c r="M343" s="13" t="str">
        <x:v>Pago</x:v>
      </x:c>
      <x:c r="N343" s="13" t="str">
        <x:v>Sem cobrança</x:v>
      </x:c>
      <x:c r="O343" s="13" t="str">
        <x:v>Base controlada</x:v>
      </x:c>
      <x:c r="P343" s="17" t="n">
        <x:f>IF(D343="",0,J343-K343+L343)</x:f>
        <x:v>14657.49</x:v>
      </x:c>
      <x:c r="Q343" s="17" t="n">
        <x:f>MAX(J343-P343-K343,0)</x:f>
        <x:v>0</x:v>
      </x:c>
      <x:c r="R343" s="13" t="n">
        <x:f>IF(D343="",MAX(TODAY()-C343,0),MAX(D343-C343,0))</x:f>
        <x:v>0</x:v>
      </x:c>
      <x:c r="S343" s="13" t="str">
        <x:f>IF(R343=0,"Em dia",IF(R343&lt;=15,"1-15 dias",IF(R343&lt;=30,"16-30 dias",IF(R343&lt;=60,"31-60 dias","Acima de 60 dias"))))</x:f>
        <x:v>Em dia</x:v>
      </x:c>
    </x:row>
    <x:row r="344">
      <x:c r="A344" s="13" t="str">
        <x:v>REC-000343</x:v>
      </x:c>
      <x:c r="B344" s="23" t="n">
        <x:v>45451</x:v>
      </x:c>
      <x:c r="C344" s="23" t="n">
        <x:v>45479</x:v>
      </x:c>
      <x:c r="D344" s="23" t="n">
        <x:v>45475</x:v>
      </x:c>
      <x:c r="E344" s="13" t="str">
        <x:v>VAL-024</x:v>
      </x:c>
      <x:c r="F344" s="13" t="str">
        <x:v>NovaForma Móveis</x:v>
      </x:c>
      <x:c r="G344" s="13" t="str">
        <x:v>Indústria Leve</x:v>
      </x:c>
      <x:c r="H344" s="13" t="str">
        <x:v>Baixo</x:v>
      </x:c>
      <x:c r="I344" s="13" t="str">
        <x:v>Enterprise</x:v>
      </x:c>
      <x:c r="J344" s="17" t="n">
        <x:v>17269.34</x:v>
      </x:c>
      <x:c r="K344" s="17" t="n">
        <x:v>0</x:v>
      </x:c>
      <x:c r="L344" s="17" t="n">
        <x:v>0</x:v>
      </x:c>
      <x:c r="M344" s="13" t="str">
        <x:v>Pago</x:v>
      </x:c>
      <x:c r="N344" s="13" t="str">
        <x:v>Sem cobrança</x:v>
      </x:c>
      <x:c r="O344" s="13" t="str">
        <x:v>Base controlada</x:v>
      </x:c>
      <x:c r="P344" s="17" t="n">
        <x:f>IF(D344="",0,J344-K344+L344)</x:f>
        <x:v>17269.34</x:v>
      </x:c>
      <x:c r="Q344" s="17" t="n">
        <x:f>MAX(J344-P344-K344,0)</x:f>
        <x:v>0</x:v>
      </x:c>
      <x:c r="R344" s="13" t="n">
        <x:f>IF(D344="",MAX(TODAY()-C344,0),MAX(D344-C344,0))</x:f>
        <x:v>0</x:v>
      </x:c>
      <x:c r="S344" s="13" t="str">
        <x:f>IF(R344=0,"Em dia",IF(R344&lt;=15,"1-15 dias",IF(R344&lt;=30,"16-30 dias",IF(R344&lt;=60,"31-60 dias","Acima de 60 dias"))))</x:f>
        <x:v>Em dia</x:v>
      </x:c>
    </x:row>
    <x:row r="345">
      <x:c r="A345" s="13" t="str">
        <x:v>REC-000344</x:v>
      </x:c>
      <x:c r="B345" s="23" t="n">
        <x:v>45449</x:v>
      </x:c>
      <x:c r="C345" s="23" t="n">
        <x:v>45464</x:v>
      </x:c>
      <x:c r="D345" s="23" t="n">
        <x:v>45463</x:v>
      </x:c>
      <x:c r="E345" s="13" t="str">
        <x:v>VAL-001</x:v>
      </x:c>
      <x:c r="F345" s="13" t="str">
        <x:v>Clínica Horizonte</x:v>
      </x:c>
      <x:c r="G345" s="13" t="str">
        <x:v>Clínicas e Saúde</x:v>
      </x:c>
      <x:c r="H345" s="13" t="str">
        <x:v>Baixo</x:v>
      </x:c>
      <x:c r="I345" s="13" t="str">
        <x:v>Essencial</x:v>
      </x:c>
      <x:c r="J345" s="17" t="n">
        <x:v>24138.39</x:v>
      </x:c>
      <x:c r="K345" s="17" t="n">
        <x:v>0</x:v>
      </x:c>
      <x:c r="L345" s="17" t="n">
        <x:v>0</x:v>
      </x:c>
      <x:c r="M345" s="13" t="str">
        <x:v>Pago</x:v>
      </x:c>
      <x:c r="N345" s="13" t="str">
        <x:v>Sem cobrança</x:v>
      </x:c>
      <x:c r="O345" s="13" t="str">
        <x:v>Base controlada</x:v>
      </x:c>
      <x:c r="P345" s="17" t="n">
        <x:f>IF(D345="",0,J345-K345+L345)</x:f>
        <x:v>24138.39</x:v>
      </x:c>
      <x:c r="Q345" s="17" t="n">
        <x:f>MAX(J345-P345-K345,0)</x:f>
        <x:v>0</x:v>
      </x:c>
      <x:c r="R345" s="13" t="n">
        <x:f>IF(D345="",MAX(TODAY()-C345,0),MAX(D345-C345,0))</x:f>
        <x:v>0</x:v>
      </x:c>
      <x:c r="S345" s="13" t="str">
        <x:f>IF(R345=0,"Em dia",IF(R345&lt;=15,"1-15 dias",IF(R345&lt;=30,"16-30 dias",IF(R345&lt;=60,"31-60 dias","Acima de 60 dias"))))</x:f>
        <x:v>Em dia</x:v>
      </x:c>
    </x:row>
    <x:row r="346">
      <x:c r="A346" s="13" t="str">
        <x:v>REC-000345</x:v>
      </x:c>
      <x:c r="B346" s="23" t="n">
        <x:v>45449</x:v>
      </x:c>
      <x:c r="C346" s="23" t="n">
        <x:v>45456</x:v>
      </x:c>
      <x:c r="D346" s="23" t="n">
        <x:v>45456</x:v>
      </x:c>
      <x:c r="E346" s="13" t="str">
        <x:v>VAL-014</x:v>
      </x:c>
      <x:c r="F346" s="13" t="str">
        <x:v>Colégio Caminhos</x:v>
      </x:c>
      <x:c r="G346" s="13" t="str">
        <x:v>Educação</x:v>
      </x:c>
      <x:c r="H346" s="13" t="str">
        <x:v>Médio</x:v>
      </x:c>
      <x:c r="I346" s="13" t="str">
        <x:v>Gestão</x:v>
      </x:c>
      <x:c r="J346" s="17" t="n">
        <x:v>1862.87</x:v>
      </x:c>
      <x:c r="K346" s="17" t="n">
        <x:v>0</x:v>
      </x:c>
      <x:c r="L346" s="17" t="n">
        <x:v>0</x:v>
      </x:c>
      <x:c r="M346" s="13" t="str">
        <x:v>Pago</x:v>
      </x:c>
      <x:c r="N346" s="13" t="str">
        <x:v>Sem cobrança</x:v>
      </x:c>
      <x:c r="O346" s="13" t="str">
        <x:v>Base controlada</x:v>
      </x:c>
      <x:c r="P346" s="17" t="n">
        <x:f>IF(D346="",0,J346-K346+L346)</x:f>
        <x:v>1862.87</x:v>
      </x:c>
      <x:c r="Q346" s="17" t="n">
        <x:f>MAX(J346-P346-K346,0)</x:f>
        <x:v>0</x:v>
      </x:c>
      <x:c r="R346" s="13" t="n">
        <x:f>IF(D346="",MAX(TODAY()-C346,0),MAX(D346-C346,0))</x:f>
        <x:v>0</x:v>
      </x:c>
      <x:c r="S346" s="13" t="str">
        <x:f>IF(R346=0,"Em dia",IF(R346&lt;=15,"1-15 dias",IF(R346&lt;=30,"16-30 dias",IF(R346&lt;=60,"31-60 dias","Acima de 60 dias"))))</x:f>
        <x:v>Em dia</x:v>
      </x:c>
    </x:row>
    <x:row r="347">
      <x:c r="A347" s="13" t="str">
        <x:v>REC-000346</x:v>
      </x:c>
      <x:c r="B347" s="23" t="n">
        <x:v>45455</x:v>
      </x:c>
      <x:c r="C347" s="23" t="n">
        <x:v>45483</x:v>
      </x:c>
      <x:c r="D347" s="23" t="n">
        <x:v>45479</x:v>
      </x:c>
      <x:c r="E347" s="13" t="str">
        <x:v>VAL-028</x:v>
      </x:c>
      <x:c r="F347" s="13" t="str">
        <x:v>Pixel Norte</x:v>
      </x:c>
      <x:c r="G347" s="13" t="str">
        <x:v>Tecnologia</x:v>
      </x:c>
      <x:c r="H347" s="13" t="str">
        <x:v>Alto</x:v>
      </x:c>
      <x:c r="I347" s="13" t="str">
        <x:v>Enterprise</x:v>
      </x:c>
      <x:c r="J347" s="17" t="n">
        <x:v>21080.07</x:v>
      </x:c>
      <x:c r="K347" s="17" t="n">
        <x:v>0</x:v>
      </x:c>
      <x:c r="L347" s="17" t="n">
        <x:v>0</x:v>
      </x:c>
      <x:c r="M347" s="13" t="str">
        <x:v>Pago</x:v>
      </x:c>
      <x:c r="N347" s="13" t="str">
        <x:v>Sem cobrança</x:v>
      </x:c>
      <x:c r="O347" s="13" t="str">
        <x:v>Base controlada</x:v>
      </x:c>
      <x:c r="P347" s="17" t="n">
        <x:f>IF(D347="",0,J347-K347+L347)</x:f>
        <x:v>21080.07</x:v>
      </x:c>
      <x:c r="Q347" s="17" t="n">
        <x:f>MAX(J347-P347-K347,0)</x:f>
        <x:v>0</x:v>
      </x:c>
      <x:c r="R347" s="13" t="n">
        <x:f>IF(D347="",MAX(TODAY()-C347,0),MAX(D347-C347,0))</x:f>
        <x:v>0</x:v>
      </x:c>
      <x:c r="S347" s="13" t="str">
        <x:f>IF(R347=0,"Em dia",IF(R347&lt;=15,"1-15 dias",IF(R347&lt;=30,"16-30 dias",IF(R347&lt;=60,"31-60 dias","Acima de 60 dias"))))</x:f>
        <x:v>Em dia</x:v>
      </x:c>
    </x:row>
    <x:row r="348">
      <x:c r="A348" s="13" t="str">
        <x:v>REC-000347</x:v>
      </x:c>
      <x:c r="B348" s="23" t="n">
        <x:v>45458</x:v>
      </x:c>
      <x:c r="C348" s="23" t="n">
        <x:v>45486</x:v>
      </x:c>
      <x:c r="D348" s="23" t="n">
        <x:v>45485</x:v>
      </x:c>
      <x:c r="E348" s="13" t="str">
        <x:v>VAL-009</x:v>
      </x:c>
      <x:c r="F348" s="13" t="str">
        <x:v>Odonto Prime</x:v>
      </x:c>
      <x:c r="G348" s="13" t="str">
        <x:v>Clínicas e Saúde</x:v>
      </x:c>
      <x:c r="H348" s="13" t="str">
        <x:v>Médio</x:v>
      </x:c>
      <x:c r="I348" s="13" t="str">
        <x:v>Essencial</x:v>
      </x:c>
      <x:c r="J348" s="17" t="n">
        <x:v>15757.33</x:v>
      </x:c>
      <x:c r="K348" s="17" t="n">
        <x:v>0</x:v>
      </x:c>
      <x:c r="L348" s="17" t="n">
        <x:v>0</x:v>
      </x:c>
      <x:c r="M348" s="13" t="str">
        <x:v>Pago</x:v>
      </x:c>
      <x:c r="N348" s="13" t="str">
        <x:v>Sem cobrança</x:v>
      </x:c>
      <x:c r="O348" s="13" t="str">
        <x:v>Base controlada</x:v>
      </x:c>
      <x:c r="P348" s="17" t="n">
        <x:f>IF(D348="",0,J348-K348+L348)</x:f>
        <x:v>15757.33</x:v>
      </x:c>
      <x:c r="Q348" s="17" t="n">
        <x:f>MAX(J348-P348-K348,0)</x:f>
        <x:v>0</x:v>
      </x:c>
      <x:c r="R348" s="13" t="n">
        <x:f>IF(D348="",MAX(TODAY()-C348,0),MAX(D348-C348,0))</x:f>
        <x:v>0</x:v>
      </x:c>
      <x:c r="S348" s="13" t="str">
        <x:f>IF(R348=0,"Em dia",IF(R348&lt;=15,"1-15 dias",IF(R348&lt;=30,"16-30 dias",IF(R348&lt;=60,"31-60 dias","Acima de 60 dias"))))</x:f>
        <x:v>Em dia</x:v>
      </x:c>
    </x:row>
    <x:row r="349">
      <x:c r="A349" s="13" t="str">
        <x:v>REC-000348</x:v>
      </x:c>
      <x:c r="B349" s="23" t="n">
        <x:v>45458</x:v>
      </x:c>
      <x:c r="C349" s="23" t="n">
        <x:v>45473</x:v>
      </x:c>
      <x:c r="D349" s="23" t="n">
        <x:v>45470</x:v>
      </x:c>
      <x:c r="E349" s="13" t="str">
        <x:v>VAL-027</x:v>
      </x:c>
      <x:c r="F349" s="13" t="str">
        <x:v>Mais Lar Utilidades</x:v>
      </x:c>
      <x:c r="G349" s="13" t="str">
        <x:v>Varejo</x:v>
      </x:c>
      <x:c r="H349" s="13" t="str">
        <x:v>Baixo</x:v>
      </x:c>
      <x:c r="I349" s="13" t="str">
        <x:v>Performance</x:v>
      </x:c>
      <x:c r="J349" s="17" t="n">
        <x:v>8440.31</x:v>
      </x:c>
      <x:c r="K349" s="17" t="n">
        <x:v>0</x:v>
      </x:c>
      <x:c r="L349" s="17" t="n">
        <x:v>0</x:v>
      </x:c>
      <x:c r="M349" s="13" t="str">
        <x:v>Pago</x:v>
      </x:c>
      <x:c r="N349" s="13" t="str">
        <x:v>Sem cobrança</x:v>
      </x:c>
      <x:c r="O349" s="13" t="str">
        <x:v>Base controlada</x:v>
      </x:c>
      <x:c r="P349" s="17" t="n">
        <x:f>IF(D349="",0,J349-K349+L349)</x:f>
        <x:v>8440.31</x:v>
      </x:c>
      <x:c r="Q349" s="17" t="n">
        <x:f>MAX(J349-P349-K349,0)</x:f>
        <x:v>0</x:v>
      </x:c>
      <x:c r="R349" s="13" t="n">
        <x:f>IF(D349="",MAX(TODAY()-C349,0),MAX(D349-C349,0))</x:f>
        <x:v>0</x:v>
      </x:c>
      <x:c r="S349" s="13" t="str">
        <x:f>IF(R349=0,"Em dia",IF(R349&lt;=15,"1-15 dias",IF(R349&lt;=30,"16-30 dias",IF(R349&lt;=60,"31-60 dias","Acima de 60 dias"))))</x:f>
        <x:v>Em dia</x:v>
      </x:c>
    </x:row>
    <x:row r="350">
      <x:c r="A350" s="13" t="str">
        <x:v>REC-000349</x:v>
      </x:c>
      <x:c r="B350" s="23" t="n">
        <x:v>45452</x:v>
      </x:c>
      <x:c r="C350" s="23" t="n">
        <x:v>45482</x:v>
      </x:c>
      <x:c r="D350" s="23" t="n">
        <x:v>45478</x:v>
      </x:c>
      <x:c r="E350" s="13" t="str">
        <x:v>VAL-017</x:v>
      </x:c>
      <x:c r="F350" s="13" t="str">
        <x:v>Centro Médico Vida</x:v>
      </x:c>
      <x:c r="G350" s="13" t="str">
        <x:v>Clínicas e Saúde</x:v>
      </x:c>
      <x:c r="H350" s="13" t="str">
        <x:v>Baixo</x:v>
      </x:c>
      <x:c r="I350" s="13" t="str">
        <x:v>Essencial</x:v>
      </x:c>
      <x:c r="J350" s="17" t="n">
        <x:v>4492.16</x:v>
      </x:c>
      <x:c r="K350" s="17" t="n">
        <x:v>0</x:v>
      </x:c>
      <x:c r="L350" s="17" t="n">
        <x:v>0</x:v>
      </x:c>
      <x:c r="M350" s="13" t="str">
        <x:v>Pago</x:v>
      </x:c>
      <x:c r="N350" s="13" t="str">
        <x:v>Sem cobrança</x:v>
      </x:c>
      <x:c r="O350" s="13" t="str">
        <x:v>Base controlada</x:v>
      </x:c>
      <x:c r="P350" s="17" t="n">
        <x:f>IF(D350="",0,J350-K350+L350)</x:f>
        <x:v>4492.16</x:v>
      </x:c>
      <x:c r="Q350" s="17" t="n">
        <x:f>MAX(J350-P350-K350,0)</x:f>
        <x:v>0</x:v>
      </x:c>
      <x:c r="R350" s="13" t="n">
        <x:f>IF(D350="",MAX(TODAY()-C350,0),MAX(D350-C350,0))</x:f>
        <x:v>0</x:v>
      </x:c>
      <x:c r="S350" s="13" t="str">
        <x:f>IF(R350=0,"Em dia",IF(R350&lt;=15,"1-15 dias",IF(R350&lt;=30,"16-30 dias",IF(R350&lt;=60,"31-60 dias","Acima de 60 dias"))))</x:f>
        <x:v>Em dia</x:v>
      </x:c>
    </x:row>
    <x:row r="351">
      <x:c r="A351" s="13" t="str">
        <x:v>REC-000350</x:v>
      </x:c>
      <x:c r="B351" s="23" t="n">
        <x:v>45444</x:v>
      </x:c>
      <x:c r="C351" s="23" t="n">
        <x:v>45451</x:v>
      </x:c>
      <x:c r="D351" s="23" t="n">
        <x:v>45449</x:v>
      </x:c>
      <x:c r="E351" s="13" t="str">
        <x:v>VAL-026</x:v>
      </x:c>
      <x:c r="F351" s="13" t="str">
        <x:v>Ribeiro Arquitetura</x:v>
      </x:c>
      <x:c r="G351" s="13" t="str">
        <x:v>Serviços Profissionais</x:v>
      </x:c>
      <x:c r="H351" s="13" t="str">
        <x:v>Baixo</x:v>
      </x:c>
      <x:c r="I351" s="13" t="str">
        <x:v>Gestão</x:v>
      </x:c>
      <x:c r="J351" s="17" t="n">
        <x:v>15397.97</x:v>
      </x:c>
      <x:c r="K351" s="17" t="n">
        <x:v>144.21</x:v>
      </x:c>
      <x:c r="L351" s="17" t="n">
        <x:v>0</x:v>
      </x:c>
      <x:c r="M351" s="13" t="str">
        <x:v>Pago</x:v>
      </x:c>
      <x:c r="N351" s="13" t="str">
        <x:v>Sem cobrança</x:v>
      </x:c>
      <x:c r="O351" s="13" t="str">
        <x:v>Base controlada</x:v>
      </x:c>
      <x:c r="P351" s="17" t="n">
        <x:f>IF(D351="",0,J351-K351+L351)</x:f>
        <x:v>15253.76</x:v>
      </x:c>
      <x:c r="Q351" s="17" t="n">
        <x:f>MAX(J351-P351-K351,0)</x:f>
        <x:v>0</x:v>
      </x:c>
      <x:c r="R351" s="13" t="n">
        <x:f>IF(D351="",MAX(TODAY()-C351,0),MAX(D351-C351,0))</x:f>
        <x:v>0</x:v>
      </x:c>
      <x:c r="S351" s="13" t="str">
        <x:f>IF(R351=0,"Em dia",IF(R351&lt;=15,"1-15 dias",IF(R351&lt;=30,"16-30 dias",IF(R351&lt;=60,"31-60 dias","Acima de 60 dias"))))</x:f>
        <x:v>Em dia</x:v>
      </x:c>
    </x:row>
    <x:row r="352">
      <x:c r="A352" s="13" t="str">
        <x:v>REC-000351</x:v>
      </x:c>
      <x:c r="B352" s="23" t="n">
        <x:v>45447</x:v>
      </x:c>
      <x:c r="C352" s="23" t="n">
        <x:v>45468</x:v>
      </x:c>
      <x:c r="D352" s="23" t="n">
        <x:v>45465</x:v>
      </x:c>
      <x:c r="E352" s="13" t="str">
        <x:v>VAL-001</x:v>
      </x:c>
      <x:c r="F352" s="13" t="str">
        <x:v>Clínica Horizonte</x:v>
      </x:c>
      <x:c r="G352" s="13" t="str">
        <x:v>Clínicas e Saúde</x:v>
      </x:c>
      <x:c r="H352" s="13" t="str">
        <x:v>Baixo</x:v>
      </x:c>
      <x:c r="I352" s="13" t="str">
        <x:v>Essencial</x:v>
      </x:c>
      <x:c r="J352" s="17" t="n">
        <x:v>8147.47</x:v>
      </x:c>
      <x:c r="K352" s="17" t="n">
        <x:v>0</x:v>
      </x:c>
      <x:c r="L352" s="17" t="n">
        <x:v>0</x:v>
      </x:c>
      <x:c r="M352" s="13" t="str">
        <x:v>Pago</x:v>
      </x:c>
      <x:c r="N352" s="13" t="str">
        <x:v>Sem cobrança</x:v>
      </x:c>
      <x:c r="O352" s="13" t="str">
        <x:v>Base controlada</x:v>
      </x:c>
      <x:c r="P352" s="17" t="n">
        <x:f>IF(D352="",0,J352-K352+L352)</x:f>
        <x:v>8147.47</x:v>
      </x:c>
      <x:c r="Q352" s="17" t="n">
        <x:f>MAX(J352-P352-K352,0)</x:f>
        <x:v>0</x:v>
      </x:c>
      <x:c r="R352" s="13" t="n">
        <x:f>IF(D352="",MAX(TODAY()-C352,0),MAX(D352-C352,0))</x:f>
        <x:v>0</x:v>
      </x:c>
      <x:c r="S352" s="13" t="str">
        <x:f>IF(R352=0,"Em dia",IF(R352&lt;=15,"1-15 dias",IF(R352&lt;=30,"16-30 dias",IF(R352&lt;=60,"31-60 dias","Acima de 60 dias"))))</x:f>
        <x:v>Em dia</x:v>
      </x:c>
    </x:row>
    <x:row r="353">
      <x:c r="A353" s="13" t="str">
        <x:v>REC-000352</x:v>
      </x:c>
      <x:c r="B353" s="23" t="n">
        <x:v>45462</x:v>
      </x:c>
      <x:c r="C353" s="23" t="n">
        <x:v>45490</x:v>
      </x:c>
      <x:c r="D353" s="23" t="n">
        <x:v>45490</x:v>
      </x:c>
      <x:c r="E353" s="13" t="str">
        <x:v>VAL-010</x:v>
      </x:c>
      <x:c r="F353" s="13" t="str">
        <x:v>Atlas Contabilidade</x:v>
      </x:c>
      <x:c r="G353" s="13" t="str">
        <x:v>Serviços Profissionais</x:v>
      </x:c>
      <x:c r="H353" s="13" t="str">
        <x:v>Baixo</x:v>
      </x:c>
      <x:c r="I353" s="13" t="str">
        <x:v>Gestão</x:v>
      </x:c>
      <x:c r="J353" s="17" t="n">
        <x:v>9440.18</x:v>
      </x:c>
      <x:c r="K353" s="17" t="n">
        <x:v>0</x:v>
      </x:c>
      <x:c r="L353" s="17" t="n">
        <x:v>0</x:v>
      </x:c>
      <x:c r="M353" s="13" t="str">
        <x:v>Pago</x:v>
      </x:c>
      <x:c r="N353" s="13" t="str">
        <x:v>Sem cobrança</x:v>
      </x:c>
      <x:c r="O353" s="13" t="str">
        <x:v>Base controlada</x:v>
      </x:c>
      <x:c r="P353" s="17" t="n">
        <x:f>IF(D353="",0,J353-K353+L353)</x:f>
        <x:v>9440.18</x:v>
      </x:c>
      <x:c r="Q353" s="17" t="n">
        <x:f>MAX(J353-P353-K353,0)</x:f>
        <x:v>0</x:v>
      </x:c>
      <x:c r="R353" s="13" t="n">
        <x:f>IF(D353="",MAX(TODAY()-C353,0),MAX(D353-C353,0))</x:f>
        <x:v>0</x:v>
      </x:c>
      <x:c r="S353" s="13" t="str">
        <x:f>IF(R353=0,"Em dia",IF(R353&lt;=15,"1-15 dias",IF(R353&lt;=30,"16-30 dias",IF(R353&lt;=60,"31-60 dias","Acima de 60 dias"))))</x:f>
        <x:v>Em dia</x:v>
      </x:c>
    </x:row>
    <x:row r="354">
      <x:c r="A354" s="13" t="str">
        <x:v>REC-000353</x:v>
      </x:c>
      <x:c r="B354" s="23" t="n">
        <x:v>45453</x:v>
      </x:c>
      <x:c r="C354" s="23" t="n">
        <x:v>45483</x:v>
      </x:c>
      <x:c r="D354" s="23" t="n">
        <x:v>45491</x:v>
      </x:c>
      <x:c r="E354" s="13" t="str">
        <x:v>VAL-017</x:v>
      </x:c>
      <x:c r="F354" s="13" t="str">
        <x:v>Centro Médico Vida</x:v>
      </x:c>
      <x:c r="G354" s="13" t="str">
        <x:v>Clínicas e Saúde</x:v>
      </x:c>
      <x:c r="H354" s="13" t="str">
        <x:v>Baixo</x:v>
      </x:c>
      <x:c r="I354" s="13" t="str">
        <x:v>Essencial</x:v>
      </x:c>
      <x:c r="J354" s="17" t="n">
        <x:v>26499.3</x:v>
      </x:c>
      <x:c r="K354" s="17" t="n">
        <x:v>0</x:v>
      </x:c>
      <x:c r="L354" s="17" t="n">
        <x:v>137.8</x:v>
      </x:c>
      <x:c r="M354" s="13" t="str">
        <x:v>Pago com atraso</x:v>
      </x:c>
      <x:c r="N354" s="13" t="str">
        <x:v>Régua automática</x:v>
      </x:c>
      <x:c r="O354" s="13" t="str">
        <x:v>Base controlada</x:v>
      </x:c>
      <x:c r="P354" s="17" t="n">
        <x:f>IF(D354="",0,J354-K354+L354)</x:f>
        <x:v>26637.1</x:v>
      </x:c>
      <x:c r="Q354" s="17" t="n">
        <x:f>MAX(J354-P354-K354,0)</x:f>
        <x:v>0</x:v>
      </x:c>
      <x:c r="R354" s="13" t="n">
        <x:f>IF(D354="",MAX(TODAY()-C354,0),MAX(D354-C354,0))</x:f>
        <x:v>8</x:v>
      </x:c>
      <x:c r="S354" s="13" t="str">
        <x:f>IF(R354=0,"Em dia",IF(R354&lt;=15,"1-15 dias",IF(R354&lt;=30,"16-30 dias",IF(R354&lt;=60,"31-60 dias","Acima de 60 dias"))))</x:f>
        <x:v>1-15 dias</x:v>
      </x:c>
    </x:row>
    <x:row r="355">
      <x:c r="A355" s="13" t="str">
        <x:v>REC-000354</x:v>
      </x:c>
      <x:c r="B355" s="23" t="n">
        <x:v>45454</x:v>
      </x:c>
      <x:c r="C355" s="23" t="n">
        <x:v>45469</x:v>
      </x:c>
      <x:c r="D355" s="23" t="n">
        <x:v>45469</x:v>
      </x:c>
      <x:c r="E355" s="13" t="str">
        <x:v>VAL-001</x:v>
      </x:c>
      <x:c r="F355" s="13" t="str">
        <x:v>Clínica Horizonte</x:v>
      </x:c>
      <x:c r="G355" s="13" t="str">
        <x:v>Clínicas e Saúde</x:v>
      </x:c>
      <x:c r="H355" s="13" t="str">
        <x:v>Baixo</x:v>
      </x:c>
      <x:c r="I355" s="13" t="str">
        <x:v>Essencial</x:v>
      </x:c>
      <x:c r="J355" s="17" t="n">
        <x:v>21400.73</x:v>
      </x:c>
      <x:c r="K355" s="17" t="n">
        <x:v>0</x:v>
      </x:c>
      <x:c r="L355" s="17" t="n">
        <x:v>0</x:v>
      </x:c>
      <x:c r="M355" s="13" t="str">
        <x:v>Pago</x:v>
      </x:c>
      <x:c r="N355" s="13" t="str">
        <x:v>Sem cobrança</x:v>
      </x:c>
      <x:c r="O355" s="13" t="str">
        <x:v>Base controlada</x:v>
      </x:c>
      <x:c r="P355" s="17" t="n">
        <x:f>IF(D355="",0,J355-K355+L355)</x:f>
        <x:v>21400.73</x:v>
      </x:c>
      <x:c r="Q355" s="17" t="n">
        <x:f>MAX(J355-P355-K355,0)</x:f>
        <x:v>0</x:v>
      </x:c>
      <x:c r="R355" s="13" t="n">
        <x:f>IF(D355="",MAX(TODAY()-C355,0),MAX(D355-C355,0))</x:f>
        <x:v>0</x:v>
      </x:c>
      <x:c r="S355" s="13" t="str">
        <x:f>IF(R355=0,"Em dia",IF(R355&lt;=15,"1-15 dias",IF(R355&lt;=30,"16-30 dias",IF(R355&lt;=60,"31-60 dias","Acima de 60 dias"))))</x:f>
        <x:v>Em dia</x:v>
      </x:c>
    </x:row>
    <x:row r="356">
      <x:c r="A356" s="13" t="str">
        <x:v>REC-000355</x:v>
      </x:c>
      <x:c r="B356" s="23" t="n">
        <x:v>45447</x:v>
      </x:c>
      <x:c r="C356" s="23" t="n">
        <x:v>45477</x:v>
      </x:c>
      <x:c r="D356" s="23" t="n">
        <x:v>45473</x:v>
      </x:c>
      <x:c r="E356" s="13" t="str">
        <x:v>VAL-012</x:v>
      </x:c>
      <x:c r="F356" s="13" t="str">
        <x:v>DataFlow Sistemas</x:v>
      </x:c>
      <x:c r="G356" s="13" t="str">
        <x:v>Tecnologia</x:v>
      </x:c>
      <x:c r="H356" s="13" t="str">
        <x:v>Médio</x:v>
      </x:c>
      <x:c r="I356" s="13" t="str">
        <x:v>Enterprise</x:v>
      </x:c>
      <x:c r="J356" s="17" t="n">
        <x:v>7492.45</x:v>
      </x:c>
      <x:c r="K356" s="17" t="n">
        <x:v>0</x:v>
      </x:c>
      <x:c r="L356" s="17" t="n">
        <x:v>0</x:v>
      </x:c>
      <x:c r="M356" s="13" t="str">
        <x:v>Pago</x:v>
      </x:c>
      <x:c r="N356" s="13" t="str">
        <x:v>Sem cobrança</x:v>
      </x:c>
      <x:c r="O356" s="13" t="str">
        <x:v>Base controlada</x:v>
      </x:c>
      <x:c r="P356" s="17" t="n">
        <x:f>IF(D356="",0,J356-K356+L356)</x:f>
        <x:v>7492.45</x:v>
      </x:c>
      <x:c r="Q356" s="17" t="n">
        <x:f>MAX(J356-P356-K356,0)</x:f>
        <x:v>0</x:v>
      </x:c>
      <x:c r="R356" s="13" t="n">
        <x:f>IF(D356="",MAX(TODAY()-C356,0),MAX(D356-C356,0))</x:f>
        <x:v>0</x:v>
      </x:c>
      <x:c r="S356" s="13" t="str">
        <x:f>IF(R356=0,"Em dia",IF(R356&lt;=15,"1-15 dias",IF(R356&lt;=30,"16-30 dias",IF(R356&lt;=60,"31-60 dias","Acima de 60 dias"))))</x:f>
        <x:v>Em dia</x:v>
      </x:c>
    </x:row>
    <x:row r="357">
      <x:c r="A357" s="13" t="str">
        <x:v>REC-000356</x:v>
      </x:c>
      <x:c r="B357" s="23" t="n">
        <x:v>45455</x:v>
      </x:c>
      <x:c r="C357" s="23" t="n">
        <x:v>45470</x:v>
      </x:c>
      <x:c r="D357" s="23" t="n">
        <x:v>45489</x:v>
      </x:c>
      <x:c r="E357" s="13" t="str">
        <x:v>VAL-014</x:v>
      </x:c>
      <x:c r="F357" s="13" t="str">
        <x:v>Colégio Caminhos</x:v>
      </x:c>
      <x:c r="G357" s="13" t="str">
        <x:v>Educação</x:v>
      </x:c>
      <x:c r="H357" s="13" t="str">
        <x:v>Médio</x:v>
      </x:c>
      <x:c r="I357" s="13" t="str">
        <x:v>Gestão</x:v>
      </x:c>
      <x:c r="J357" s="17" t="n">
        <x:v>6986.1</x:v>
      </x:c>
      <x:c r="K357" s="17" t="n">
        <x:v>0</x:v>
      </x:c>
      <x:c r="L357" s="17" t="n">
        <x:v>86.28</x:v>
      </x:c>
      <x:c r="M357" s="13" t="str">
        <x:v>Pago com atraso</x:v>
      </x:c>
      <x:c r="N357" s="13" t="str">
        <x:v>E-mail</x:v>
      </x:c>
      <x:c r="O357" s="13" t="str">
        <x:v>Base controlada</x:v>
      </x:c>
      <x:c r="P357" s="17" t="n">
        <x:f>IF(D357="",0,J357-K357+L357)</x:f>
        <x:v>7072.38</x:v>
      </x:c>
      <x:c r="Q357" s="17" t="n">
        <x:f>MAX(J357-P357-K357,0)</x:f>
        <x:v>0</x:v>
      </x:c>
      <x:c r="R357" s="13" t="n">
        <x:f>IF(D357="",MAX(TODAY()-C357,0),MAX(D357-C357,0))</x:f>
        <x:v>19</x:v>
      </x:c>
      <x:c r="S357" s="13" t="str">
        <x:f>IF(R357=0,"Em dia",IF(R357&lt;=15,"1-15 dias",IF(R357&lt;=30,"16-30 dias",IF(R357&lt;=60,"31-60 dias","Acima de 60 dias"))))</x:f>
        <x:v>16-30 dias</x:v>
      </x:c>
    </x:row>
    <x:row r="358">
      <x:c r="A358" s="13" t="str">
        <x:v>REC-000357</x:v>
      </x:c>
      <x:c r="B358" s="23" t="n">
        <x:v>45449</x:v>
      </x:c>
      <x:c r="C358" s="23" t="n">
        <x:v>45479</x:v>
      </x:c>
      <x:c r="D358" s="23" t="n">
        <x:v>45475</x:v>
      </x:c>
      <x:c r="E358" s="13" t="str">
        <x:v>VAL-023</x:v>
      </x:c>
      <x:c r="F358" s="13" t="str">
        <x:v>ShopMix Brasil</x:v>
      </x:c>
      <x:c r="G358" s="13" t="str">
        <x:v>E-commerce</x:v>
      </x:c>
      <x:c r="H358" s="13" t="str">
        <x:v>Baixo</x:v>
      </x:c>
      <x:c r="I358" s="13" t="str">
        <x:v>Performance</x:v>
      </x:c>
      <x:c r="J358" s="17" t="n">
        <x:v>3256.49</x:v>
      </x:c>
      <x:c r="K358" s="17" t="n">
        <x:v>0</x:v>
      </x:c>
      <x:c r="L358" s="17" t="n">
        <x:v>0</x:v>
      </x:c>
      <x:c r="M358" s="13" t="str">
        <x:v>Pago</x:v>
      </x:c>
      <x:c r="N358" s="13" t="str">
        <x:v>Sem cobrança</x:v>
      </x:c>
      <x:c r="O358" s="13" t="str">
        <x:v>Base controlada</x:v>
      </x:c>
      <x:c r="P358" s="17" t="n">
        <x:f>IF(D358="",0,J358-K358+L358)</x:f>
        <x:v>3256.49</x:v>
      </x:c>
      <x:c r="Q358" s="17" t="n">
        <x:f>MAX(J358-P358-K358,0)</x:f>
        <x:v>0</x:v>
      </x:c>
      <x:c r="R358" s="13" t="n">
        <x:f>IF(D358="",MAX(TODAY()-C358,0),MAX(D358-C358,0))</x:f>
        <x:v>0</x:v>
      </x:c>
      <x:c r="S358" s="13" t="str">
        <x:f>IF(R358=0,"Em dia",IF(R358&lt;=15,"1-15 dias",IF(R358&lt;=30,"16-30 dias",IF(R358&lt;=60,"31-60 dias","Acima de 60 dias"))))</x:f>
        <x:v>Em dia</x:v>
      </x:c>
    </x:row>
    <x:row r="359">
      <x:c r="A359" s="13" t="str">
        <x:v>REC-000358</x:v>
      </x:c>
      <x:c r="B359" s="23" t="n">
        <x:v>45451</x:v>
      </x:c>
      <x:c r="C359" s="23" t="n">
        <x:v>45458</x:v>
      </x:c>
      <x:c r="D359" s="23" t="n">
        <x:v>45458</x:v>
      </x:c>
      <x:c r="E359" s="13" t="str">
        <x:v>VAL-028</x:v>
      </x:c>
      <x:c r="F359" s="13" t="str">
        <x:v>Pixel Norte</x:v>
      </x:c>
      <x:c r="G359" s="13" t="str">
        <x:v>Tecnologia</x:v>
      </x:c>
      <x:c r="H359" s="13" t="str">
        <x:v>Alto</x:v>
      </x:c>
      <x:c r="I359" s="13" t="str">
        <x:v>Enterprise</x:v>
      </x:c>
      <x:c r="J359" s="17" t="n">
        <x:v>33236.87</x:v>
      </x:c>
      <x:c r="K359" s="17" t="n">
        <x:v>0</x:v>
      </x:c>
      <x:c r="L359" s="17" t="n">
        <x:v>0</x:v>
      </x:c>
      <x:c r="M359" s="13" t="str">
        <x:v>Pago</x:v>
      </x:c>
      <x:c r="N359" s="13" t="str">
        <x:v>Sem cobrança</x:v>
      </x:c>
      <x:c r="O359" s="13" t="str">
        <x:v>Base controlada</x:v>
      </x:c>
      <x:c r="P359" s="17" t="n">
        <x:f>IF(D359="",0,J359-K359+L359)</x:f>
        <x:v>33236.87</x:v>
      </x:c>
      <x:c r="Q359" s="17" t="n">
        <x:f>MAX(J359-P359-K359,0)</x:f>
        <x:v>0</x:v>
      </x:c>
      <x:c r="R359" s="13" t="n">
        <x:f>IF(D359="",MAX(TODAY()-C359,0),MAX(D359-C359,0))</x:f>
        <x:v>0</x:v>
      </x:c>
      <x:c r="S359" s="13" t="str">
        <x:f>IF(R359=0,"Em dia",IF(R359&lt;=15,"1-15 dias",IF(R359&lt;=30,"16-30 dias",IF(R359&lt;=60,"31-60 dias","Acima de 60 dias"))))</x:f>
        <x:v>Em dia</x:v>
      </x:c>
    </x:row>
    <x:row r="360">
      <x:c r="A360" s="13" t="str">
        <x:v>REC-000359</x:v>
      </x:c>
      <x:c r="B360" s="23" t="n">
        <x:v>45461</x:v>
      </x:c>
      <x:c r="C360" s="23" t="n">
        <x:v>45468</x:v>
      </x:c>
      <x:c r="D360" s="23" t="n">
        <x:v>45468</x:v>
      </x:c>
      <x:c r="E360" s="13" t="str">
        <x:v>VAL-018</x:v>
      </x:c>
      <x:c r="F360" s="13" t="str">
        <x:v>Ponto Legal Advocacia</x:v>
      </x:c>
      <x:c r="G360" s="13" t="str">
        <x:v>Serviços Profissionais</x:v>
      </x:c>
      <x:c r="H360" s="13" t="str">
        <x:v>Baixo</x:v>
      </x:c>
      <x:c r="I360" s="13" t="str">
        <x:v>Gestão</x:v>
      </x:c>
      <x:c r="J360" s="17" t="n">
        <x:v>10085.77</x:v>
      </x:c>
      <x:c r="K360" s="17" t="n">
        <x:v>0</x:v>
      </x:c>
      <x:c r="L360" s="17" t="n">
        <x:v>0</x:v>
      </x:c>
      <x:c r="M360" s="13" t="str">
        <x:v>Pago</x:v>
      </x:c>
      <x:c r="N360" s="13" t="str">
        <x:v>Sem cobrança</x:v>
      </x:c>
      <x:c r="O360" s="13" t="str">
        <x:v>Base controlada</x:v>
      </x:c>
      <x:c r="P360" s="17" t="n">
        <x:f>IF(D360="",0,J360-K360+L360)</x:f>
        <x:v>10085.77</x:v>
      </x:c>
      <x:c r="Q360" s="17" t="n">
        <x:f>MAX(J360-P360-K360,0)</x:f>
        <x:v>0</x:v>
      </x:c>
      <x:c r="R360" s="13" t="n">
        <x:f>IF(D360="",MAX(TODAY()-C360,0),MAX(D360-C360,0))</x:f>
        <x:v>0</x:v>
      </x:c>
      <x:c r="S360" s="13" t="str">
        <x:f>IF(R360=0,"Em dia",IF(R360&lt;=15,"1-15 dias",IF(R360&lt;=30,"16-30 dias",IF(R360&lt;=60,"31-60 dias","Acima de 60 dias"))))</x:f>
        <x:v>Em dia</x:v>
      </x:c>
    </x:row>
    <x:row r="361">
      <x:c r="A361" s="13" t="str">
        <x:v>REC-000360</x:v>
      </x:c>
      <x:c r="B361" s="23" t="n">
        <x:v>45459</x:v>
      </x:c>
      <x:c r="C361" s="23" t="n">
        <x:v>45489</x:v>
      </x:c>
      <x:c r="D361" s="23" t="n">
        <x:v>45487</x:v>
      </x:c>
      <x:c r="E361" s="13" t="str">
        <x:v>VAL-003</x:v>
      </x:c>
      <x:c r="F361" s="13" t="str">
        <x:v>Casa Nova Varejo</x:v>
      </x:c>
      <x:c r="G361" s="13" t="str">
        <x:v>Varejo</x:v>
      </x:c>
      <x:c r="H361" s="13" t="str">
        <x:v>Baixo</x:v>
      </x:c>
      <x:c r="I361" s="13" t="str">
        <x:v>Performance</x:v>
      </x:c>
      <x:c r="J361" s="17" t="n">
        <x:v>1723.44</x:v>
      </x:c>
      <x:c r="K361" s="17" t="n">
        <x:v>0</x:v>
      </x:c>
      <x:c r="L361" s="17" t="n">
        <x:v>0</x:v>
      </x:c>
      <x:c r="M361" s="13" t="str">
        <x:v>Pago</x:v>
      </x:c>
      <x:c r="N361" s="13" t="str">
        <x:v>Sem cobrança</x:v>
      </x:c>
      <x:c r="O361" s="13" t="str">
        <x:v>Base controlada</x:v>
      </x:c>
      <x:c r="P361" s="17" t="n">
        <x:f>IF(D361="",0,J361-K361+L361)</x:f>
        <x:v>1723.44</x:v>
      </x:c>
      <x:c r="Q361" s="17" t="n">
        <x:f>MAX(J361-P361-K361,0)</x:f>
        <x:v>0</x:v>
      </x:c>
      <x:c r="R361" s="13" t="n">
        <x:f>IF(D361="",MAX(TODAY()-C361,0),MAX(D361-C361,0))</x:f>
        <x:v>0</x:v>
      </x:c>
      <x:c r="S361" s="13" t="str">
        <x:f>IF(R361=0,"Em dia",IF(R361&lt;=15,"1-15 dias",IF(R361&lt;=30,"16-30 dias",IF(R361&lt;=60,"31-60 dias","Acima de 60 dias"))))</x:f>
        <x:v>Em dia</x:v>
      </x:c>
    </x:row>
    <x:row r="362">
      <x:c r="A362" s="13" t="str">
        <x:v>REC-000361</x:v>
      </x:c>
      <x:c r="B362" s="23" t="n">
        <x:v>45482</x:v>
      </x:c>
      <x:c r="C362" s="23" t="n">
        <x:v>45503</x:v>
      </x:c>
      <x:c r="D362" s="23" t="n">
        <x:v>45500</x:v>
      </x:c>
      <x:c r="E362" s="13" t="str">
        <x:v>VAL-022</x:v>
      </x:c>
      <x:c r="F362" s="13" t="str">
        <x:v>Academia Evoluir</x:v>
      </x:c>
      <x:c r="G362" s="13" t="str">
        <x:v>Educação</x:v>
      </x:c>
      <x:c r="H362" s="13" t="str">
        <x:v>Alto</x:v>
      </x:c>
      <x:c r="I362" s="13" t="str">
        <x:v>Gestão</x:v>
      </x:c>
      <x:c r="J362" s="17" t="n">
        <x:v>16361.45</x:v>
      </x:c>
      <x:c r="K362" s="17" t="n">
        <x:v>0</x:v>
      </x:c>
      <x:c r="L362" s="17" t="n">
        <x:v>0</x:v>
      </x:c>
      <x:c r="M362" s="13" t="str">
        <x:v>Pago</x:v>
      </x:c>
      <x:c r="N362" s="13" t="str">
        <x:v>Sem cobrança</x:v>
      </x:c>
      <x:c r="O362" s="13" t="str">
        <x:v>Crescimento sem escala</x:v>
      </x:c>
      <x:c r="P362" s="17" t="n">
        <x:f>IF(D362="",0,J362-K362+L362)</x:f>
        <x:v>16361.45</x:v>
      </x:c>
      <x:c r="Q362" s="17" t="n">
        <x:f>MAX(J362-P362-K362,0)</x:f>
        <x:v>0</x:v>
      </x:c>
      <x:c r="R362" s="13" t="n">
        <x:f>IF(D362="",MAX(TODAY()-C362,0),MAX(D362-C362,0))</x:f>
        <x:v>0</x:v>
      </x:c>
      <x:c r="S362" s="13" t="str">
        <x:f>IF(R362=0,"Em dia",IF(R362&lt;=15,"1-15 dias",IF(R362&lt;=30,"16-30 dias",IF(R362&lt;=60,"31-60 dias","Acima de 60 dias"))))</x:f>
        <x:v>Em dia</x:v>
      </x:c>
    </x:row>
    <x:row r="363">
      <x:c r="A363" s="13" t="str">
        <x:v>REC-000362</x:v>
      </x:c>
      <x:c r="B363" s="23" t="n">
        <x:v>45487</x:v>
      </x:c>
      <x:c r="C363" s="23" t="n">
        <x:v>45502</x:v>
      </x:c>
      <x:c r="D363" s="23" t="n">
        <x:v>45502</x:v>
      </x:c>
      <x:c r="E363" s="13" t="str">
        <x:v>VAL-018</x:v>
      </x:c>
      <x:c r="F363" s="13" t="str">
        <x:v>Ponto Legal Advocacia</x:v>
      </x:c>
      <x:c r="G363" s="13" t="str">
        <x:v>Serviços Profissionais</x:v>
      </x:c>
      <x:c r="H363" s="13" t="str">
        <x:v>Baixo</x:v>
      </x:c>
      <x:c r="I363" s="13" t="str">
        <x:v>Gestão</x:v>
      </x:c>
      <x:c r="J363" s="17" t="n">
        <x:v>26724.96</x:v>
      </x:c>
      <x:c r="K363" s="17" t="n">
        <x:v>0</x:v>
      </x:c>
      <x:c r="L363" s="17" t="n">
        <x:v>0</x:v>
      </x:c>
      <x:c r="M363" s="13" t="str">
        <x:v>Pago</x:v>
      </x:c>
      <x:c r="N363" s="13" t="str">
        <x:v>Sem cobrança</x:v>
      </x:c>
      <x:c r="O363" s="13" t="str">
        <x:v>Crescimento sem escala</x:v>
      </x:c>
      <x:c r="P363" s="17" t="n">
        <x:f>IF(D363="",0,J363-K363+L363)</x:f>
        <x:v>26724.96</x:v>
      </x:c>
      <x:c r="Q363" s="17" t="n">
        <x:f>MAX(J363-P363-K363,0)</x:f>
        <x:v>0</x:v>
      </x:c>
      <x:c r="R363" s="13" t="n">
        <x:f>IF(D363="",MAX(TODAY()-C363,0),MAX(D363-C363,0))</x:f>
        <x:v>0</x:v>
      </x:c>
      <x:c r="S363" s="13" t="str">
        <x:f>IF(R363=0,"Em dia",IF(R363&lt;=15,"1-15 dias",IF(R363&lt;=30,"16-30 dias",IF(R363&lt;=60,"31-60 dias","Acima de 60 dias"))))</x:f>
        <x:v>Em dia</x:v>
      </x:c>
    </x:row>
    <x:row r="364">
      <x:c r="A364" s="13" t="str">
        <x:v>REC-000363</x:v>
      </x:c>
      <x:c r="B364" s="23" t="n">
        <x:v>45487</x:v>
      </x:c>
      <x:c r="C364" s="23" t="n">
        <x:v>45502</x:v>
      </x:c>
      <x:c r="D364" s="23" t="n">
        <x:v>45500</x:v>
      </x:c>
      <x:c r="E364" s="13" t="str">
        <x:v>VAL-024</x:v>
      </x:c>
      <x:c r="F364" s="13" t="str">
        <x:v>NovaForma Móveis</x:v>
      </x:c>
      <x:c r="G364" s="13" t="str">
        <x:v>Indústria Leve</x:v>
      </x:c>
      <x:c r="H364" s="13" t="str">
        <x:v>Baixo</x:v>
      </x:c>
      <x:c r="I364" s="13" t="str">
        <x:v>Enterprise</x:v>
      </x:c>
      <x:c r="J364" s="17" t="n">
        <x:v>9548.6</x:v>
      </x:c>
      <x:c r="K364" s="17" t="n">
        <x:v>0</x:v>
      </x:c>
      <x:c r="L364" s="17" t="n">
        <x:v>0</x:v>
      </x:c>
      <x:c r="M364" s="13" t="str">
        <x:v>Pago</x:v>
      </x:c>
      <x:c r="N364" s="13" t="str">
        <x:v>Sem cobrança</x:v>
      </x:c>
      <x:c r="O364" s="13" t="str">
        <x:v>Crescimento sem escala</x:v>
      </x:c>
      <x:c r="P364" s="17" t="n">
        <x:f>IF(D364="",0,J364-K364+L364)</x:f>
        <x:v>9548.6</x:v>
      </x:c>
      <x:c r="Q364" s="17" t="n">
        <x:f>MAX(J364-P364-K364,0)</x:f>
        <x:v>0</x:v>
      </x:c>
      <x:c r="R364" s="13" t="n">
        <x:f>IF(D364="",MAX(TODAY()-C364,0),MAX(D364-C364,0))</x:f>
        <x:v>0</x:v>
      </x:c>
      <x:c r="S364" s="13" t="str">
        <x:f>IF(R364=0,"Em dia",IF(R364&lt;=15,"1-15 dias",IF(R364&lt;=30,"16-30 dias",IF(R364&lt;=60,"31-60 dias","Acima de 60 dias"))))</x:f>
        <x:v>Em dia</x:v>
      </x:c>
    </x:row>
    <x:row r="365">
      <x:c r="A365" s="13" t="str">
        <x:v>REC-000364</x:v>
      </x:c>
      <x:c r="B365" s="23" t="n">
        <x:v>45481</x:v>
      </x:c>
      <x:c r="C365" s="23" t="n">
        <x:v>45511</x:v>
      </x:c>
      <x:c r="D365" s="23" t="n">
        <x:v>45509</x:v>
      </x:c>
      <x:c r="E365" s="13" t="str">
        <x:v>VAL-002</x:v>
      </x:c>
      <x:c r="F365" s="13" t="str">
        <x:v>Mendes &amp; Prado Consultoria</x:v>
      </x:c>
      <x:c r="G365" s="13" t="str">
        <x:v>Serviços Profissionais</x:v>
      </x:c>
      <x:c r="H365" s="13" t="str">
        <x:v>Baixo</x:v>
      </x:c>
      <x:c r="I365" s="13" t="str">
        <x:v>Gestão</x:v>
      </x:c>
      <x:c r="J365" s="17" t="n">
        <x:v>24716.51</x:v>
      </x:c>
      <x:c r="K365" s="17" t="n">
        <x:v>0</x:v>
      </x:c>
      <x:c r="L365" s="17" t="n">
        <x:v>0</x:v>
      </x:c>
      <x:c r="M365" s="13" t="str">
        <x:v>Pago</x:v>
      </x:c>
      <x:c r="N365" s="13" t="str">
        <x:v>Sem cobrança</x:v>
      </x:c>
      <x:c r="O365" s="13" t="str">
        <x:v>Crescimento sem escala</x:v>
      </x:c>
      <x:c r="P365" s="17" t="n">
        <x:f>IF(D365="",0,J365-K365+L365)</x:f>
        <x:v>24716.51</x:v>
      </x:c>
      <x:c r="Q365" s="17" t="n">
        <x:f>MAX(J365-P365-K365,0)</x:f>
        <x:v>0</x:v>
      </x:c>
      <x:c r="R365" s="13" t="n">
        <x:f>IF(D365="",MAX(TODAY()-C365,0),MAX(D365-C365,0))</x:f>
        <x:v>0</x:v>
      </x:c>
      <x:c r="S365" s="13" t="str">
        <x:f>IF(R365=0,"Em dia",IF(R365&lt;=15,"1-15 dias",IF(R365&lt;=30,"16-30 dias",IF(R365&lt;=60,"31-60 dias","Acima de 60 dias"))))</x:f>
        <x:v>Em dia</x:v>
      </x:c>
    </x:row>
    <x:row r="366">
      <x:c r="A366" s="13" t="str">
        <x:v>REC-000365</x:v>
      </x:c>
      <x:c r="B366" s="23" t="n">
        <x:v>45488</x:v>
      </x:c>
      <x:c r="C366" s="23" t="n">
        <x:v>45503</x:v>
      </x:c>
      <x:c r="D366" s="23" t="n">
        <x:v>45499</x:v>
      </x:c>
      <x:c r="E366" s="13" t="str">
        <x:v>VAL-002</x:v>
      </x:c>
      <x:c r="F366" s="13" t="str">
        <x:v>Mendes &amp; Prado Consultoria</x:v>
      </x:c>
      <x:c r="G366" s="13" t="str">
        <x:v>Serviços Profissionais</x:v>
      </x:c>
      <x:c r="H366" s="13" t="str">
        <x:v>Baixo</x:v>
      </x:c>
      <x:c r="I366" s="13" t="str">
        <x:v>Gestão</x:v>
      </x:c>
      <x:c r="J366" s="17" t="n">
        <x:v>24165.59</x:v>
      </x:c>
      <x:c r="K366" s="17" t="n">
        <x:v>0</x:v>
      </x:c>
      <x:c r="L366" s="17" t="n">
        <x:v>0</x:v>
      </x:c>
      <x:c r="M366" s="13" t="str">
        <x:v>Pago</x:v>
      </x:c>
      <x:c r="N366" s="13" t="str">
        <x:v>Sem cobrança</x:v>
      </x:c>
      <x:c r="O366" s="13" t="str">
        <x:v>Crescimento sem escala</x:v>
      </x:c>
      <x:c r="P366" s="17" t="n">
        <x:f>IF(D366="",0,J366-K366+L366)</x:f>
        <x:v>24165.59</x:v>
      </x:c>
      <x:c r="Q366" s="17" t="n">
        <x:f>MAX(J366-P366-K366,0)</x:f>
        <x:v>0</x:v>
      </x:c>
      <x:c r="R366" s="13" t="n">
        <x:f>IF(D366="",MAX(TODAY()-C366,0),MAX(D366-C366,0))</x:f>
        <x:v>0</x:v>
      </x:c>
      <x:c r="S366" s="13" t="str">
        <x:f>IF(R366=0,"Em dia",IF(R366&lt;=15,"1-15 dias",IF(R366&lt;=30,"16-30 dias",IF(R366&lt;=60,"31-60 dias","Acima de 60 dias"))))</x:f>
        <x:v>Em dia</x:v>
      </x:c>
    </x:row>
    <x:row r="367">
      <x:c r="A367" s="13" t="str">
        <x:v>REC-000366</x:v>
      </x:c>
      <x:c r="B367" s="23" t="n">
        <x:v>45484</x:v>
      </x:c>
      <x:c r="C367" s="23" t="n">
        <x:v>45505</x:v>
      </x:c>
      <x:c r="D367" s="23" t="n">
        <x:v>45501</x:v>
      </x:c>
      <x:c r="E367" s="13" t="str">
        <x:v>VAL-026</x:v>
      </x:c>
      <x:c r="F367" s="13" t="str">
        <x:v>Ribeiro Arquitetura</x:v>
      </x:c>
      <x:c r="G367" s="13" t="str">
        <x:v>Serviços Profissionais</x:v>
      </x:c>
      <x:c r="H367" s="13" t="str">
        <x:v>Baixo</x:v>
      </x:c>
      <x:c r="I367" s="13" t="str">
        <x:v>Gestão</x:v>
      </x:c>
      <x:c r="J367" s="17" t="n">
        <x:v>3415.49</x:v>
      </x:c>
      <x:c r="K367" s="17" t="n">
        <x:v>0</x:v>
      </x:c>
      <x:c r="L367" s="17" t="n">
        <x:v>0</x:v>
      </x:c>
      <x:c r="M367" s="13" t="str">
        <x:v>Pago</x:v>
      </x:c>
      <x:c r="N367" s="13" t="str">
        <x:v>Sem cobrança</x:v>
      </x:c>
      <x:c r="O367" s="13" t="str">
        <x:v>Crescimento sem escala</x:v>
      </x:c>
      <x:c r="P367" s="17" t="n">
        <x:f>IF(D367="",0,J367-K367+L367)</x:f>
        <x:v>3415.49</x:v>
      </x:c>
      <x:c r="Q367" s="17" t="n">
        <x:f>MAX(J367-P367-K367,0)</x:f>
        <x:v>0</x:v>
      </x:c>
      <x:c r="R367" s="13" t="n">
        <x:f>IF(D367="",MAX(TODAY()-C367,0),MAX(D367-C367,0))</x:f>
        <x:v>0</x:v>
      </x:c>
      <x:c r="S367" s="13" t="str">
        <x:f>IF(R367=0,"Em dia",IF(R367&lt;=15,"1-15 dias",IF(R367&lt;=30,"16-30 dias",IF(R367&lt;=60,"31-60 dias","Acima de 60 dias"))))</x:f>
        <x:v>Em dia</x:v>
      </x:c>
    </x:row>
    <x:row r="368">
      <x:c r="A368" s="13" t="str">
        <x:v>REC-000367</x:v>
      </x:c>
      <x:c r="B368" s="23" t="n">
        <x:v>45478</x:v>
      </x:c>
      <x:c r="C368" s="23" t="n">
        <x:v>45499</x:v>
      </x:c>
      <x:c r="D368" s="23" t="n">
        <x:v>45495</x:v>
      </x:c>
      <x:c r="E368" s="13" t="str">
        <x:v>VAL-018</x:v>
      </x:c>
      <x:c r="F368" s="13" t="str">
        <x:v>Ponto Legal Advocacia</x:v>
      </x:c>
      <x:c r="G368" s="13" t="str">
        <x:v>Serviços Profissionais</x:v>
      </x:c>
      <x:c r="H368" s="13" t="str">
        <x:v>Baixo</x:v>
      </x:c>
      <x:c r="I368" s="13" t="str">
        <x:v>Gestão</x:v>
      </x:c>
      <x:c r="J368" s="17" t="n">
        <x:v>16063.54</x:v>
      </x:c>
      <x:c r="K368" s="17" t="n">
        <x:v>129.53</x:v>
      </x:c>
      <x:c r="L368" s="17" t="n">
        <x:v>0</x:v>
      </x:c>
      <x:c r="M368" s="13" t="str">
        <x:v>Pago</x:v>
      </x:c>
      <x:c r="N368" s="13" t="str">
        <x:v>Sem cobrança</x:v>
      </x:c>
      <x:c r="O368" s="13" t="str">
        <x:v>Crescimento sem escala</x:v>
      </x:c>
      <x:c r="P368" s="17" t="n">
        <x:f>IF(D368="",0,J368-K368+L368)</x:f>
        <x:v>15934.01</x:v>
      </x:c>
      <x:c r="Q368" s="17" t="n">
        <x:f>MAX(J368-P368-K368,0)</x:f>
        <x:v>6.536993168992922e-13</x:v>
      </x:c>
      <x:c r="R368" s="13" t="n">
        <x:f>IF(D368="",MAX(TODAY()-C368,0),MAX(D368-C368,0))</x:f>
        <x:v>0</x:v>
      </x:c>
      <x:c r="S368" s="13" t="str">
        <x:f>IF(R368=0,"Em dia",IF(R368&lt;=15,"1-15 dias",IF(R368&lt;=30,"16-30 dias",IF(R368&lt;=60,"31-60 dias","Acima de 60 dias"))))</x:f>
        <x:v>Em dia</x:v>
      </x:c>
    </x:row>
    <x:row r="369">
      <x:c r="A369" s="13" t="str">
        <x:v>REC-000368</x:v>
      </x:c>
      <x:c r="B369" s="23" t="n">
        <x:v>45486</x:v>
      </x:c>
      <x:c r="C369" s="23" t="n">
        <x:v>45501</x:v>
      </x:c>
      <x:c r="D369" s="23" t="n">
        <x:v>45501</x:v>
      </x:c>
      <x:c r="E369" s="13" t="str">
        <x:v>VAL-006</x:v>
      </x:c>
      <x:c r="F369" s="13" t="str">
        <x:v>Instituto Saber Mais</x:v>
      </x:c>
      <x:c r="G369" s="13" t="str">
        <x:v>Educação</x:v>
      </x:c>
      <x:c r="H369" s="13" t="str">
        <x:v>Médio</x:v>
      </x:c>
      <x:c r="I369" s="13" t="str">
        <x:v>Gestão</x:v>
      </x:c>
      <x:c r="J369" s="17" t="n">
        <x:v>26247.43</x:v>
      </x:c>
      <x:c r="K369" s="17" t="n">
        <x:v>0</x:v>
      </x:c>
      <x:c r="L369" s="17" t="n">
        <x:v>0</x:v>
      </x:c>
      <x:c r="M369" s="13" t="str">
        <x:v>Pago</x:v>
      </x:c>
      <x:c r="N369" s="13" t="str">
        <x:v>Sem cobrança</x:v>
      </x:c>
      <x:c r="O369" s="13" t="str">
        <x:v>Crescimento sem escala</x:v>
      </x:c>
      <x:c r="P369" s="17" t="n">
        <x:f>IF(D369="",0,J369-K369+L369)</x:f>
        <x:v>26247.43</x:v>
      </x:c>
      <x:c r="Q369" s="17" t="n">
        <x:f>MAX(J369-P369-K369,0)</x:f>
        <x:v>0</x:v>
      </x:c>
      <x:c r="R369" s="13" t="n">
        <x:f>IF(D369="",MAX(TODAY()-C369,0),MAX(D369-C369,0))</x:f>
        <x:v>0</x:v>
      </x:c>
      <x:c r="S369" s="13" t="str">
        <x:f>IF(R369=0,"Em dia",IF(R369&lt;=15,"1-15 dias",IF(R369&lt;=30,"16-30 dias",IF(R369&lt;=60,"31-60 dias","Acima de 60 dias"))))</x:f>
        <x:v>Em dia</x:v>
      </x:c>
    </x:row>
    <x:row r="370">
      <x:c r="A370" s="13" t="str">
        <x:v>REC-000369</x:v>
      </x:c>
      <x:c r="B370" s="23" t="n">
        <x:v>45478</x:v>
      </x:c>
      <x:c r="C370" s="23" t="n">
        <x:v>45506</x:v>
      </x:c>
      <x:c r="D370" s="23" t="n">
        <x:v>45502</x:v>
      </x:c>
      <x:c r="E370" s="13" t="str">
        <x:v>VAL-002</x:v>
      </x:c>
      <x:c r="F370" s="13" t="str">
        <x:v>Mendes &amp; Prado Consultoria</x:v>
      </x:c>
      <x:c r="G370" s="13" t="str">
        <x:v>Serviços Profissionais</x:v>
      </x:c>
      <x:c r="H370" s="13" t="str">
        <x:v>Baixo</x:v>
      </x:c>
      <x:c r="I370" s="13" t="str">
        <x:v>Gestão</x:v>
      </x:c>
      <x:c r="J370" s="17" t="n">
        <x:v>8908.47</x:v>
      </x:c>
      <x:c r="K370" s="17" t="n">
        <x:v>0</x:v>
      </x:c>
      <x:c r="L370" s="17" t="n">
        <x:v>0</x:v>
      </x:c>
      <x:c r="M370" s="13" t="str">
        <x:v>Pago</x:v>
      </x:c>
      <x:c r="N370" s="13" t="str">
        <x:v>Sem cobrança</x:v>
      </x:c>
      <x:c r="O370" s="13" t="str">
        <x:v>Crescimento sem escala</x:v>
      </x:c>
      <x:c r="P370" s="17" t="n">
        <x:f>IF(D370="",0,J370-K370+L370)</x:f>
        <x:v>8908.47</x:v>
      </x:c>
      <x:c r="Q370" s="17" t="n">
        <x:f>MAX(J370-P370-K370,0)</x:f>
        <x:v>0</x:v>
      </x:c>
      <x:c r="R370" s="13" t="n">
        <x:f>IF(D370="",MAX(TODAY()-C370,0),MAX(D370-C370,0))</x:f>
        <x:v>0</x:v>
      </x:c>
      <x:c r="S370" s="13" t="str">
        <x:f>IF(R370=0,"Em dia",IF(R370&lt;=15,"1-15 dias",IF(R370&lt;=30,"16-30 dias",IF(R370&lt;=60,"31-60 dias","Acima de 60 dias"))))</x:f>
        <x:v>Em dia</x:v>
      </x:c>
    </x:row>
    <x:row r="371">
      <x:c r="A371" s="13" t="str">
        <x:v>REC-000370</x:v>
      </x:c>
      <x:c r="B371" s="23" t="n">
        <x:v>45491</x:v>
      </x:c>
      <x:c r="C371" s="23" t="n">
        <x:v>45519</x:v>
      </x:c>
      <x:c r="D371" s="23" t="n">
        <x:v>45516</x:v>
      </x:c>
      <x:c r="E371" s="13" t="str">
        <x:v>VAL-017</x:v>
      </x:c>
      <x:c r="F371" s="13" t="str">
        <x:v>Centro Médico Vida</x:v>
      </x:c>
      <x:c r="G371" s="13" t="str">
        <x:v>Clínicas e Saúde</x:v>
      </x:c>
      <x:c r="H371" s="13" t="str">
        <x:v>Baixo</x:v>
      </x:c>
      <x:c r="I371" s="13" t="str">
        <x:v>Essencial</x:v>
      </x:c>
      <x:c r="J371" s="17" t="n">
        <x:v>17851.17</x:v>
      </x:c>
      <x:c r="K371" s="17" t="n">
        <x:v>0</x:v>
      </x:c>
      <x:c r="L371" s="17" t="n">
        <x:v>0</x:v>
      </x:c>
      <x:c r="M371" s="13" t="str">
        <x:v>Pago</x:v>
      </x:c>
      <x:c r="N371" s="13" t="str">
        <x:v>Sem cobrança</x:v>
      </x:c>
      <x:c r="O371" s="13" t="str">
        <x:v>Crescimento sem escala</x:v>
      </x:c>
      <x:c r="P371" s="17" t="n">
        <x:f>IF(D371="",0,J371-K371+L371)</x:f>
        <x:v>17851.17</x:v>
      </x:c>
      <x:c r="Q371" s="17" t="n">
        <x:f>MAX(J371-P371-K371,0)</x:f>
        <x:v>0</x:v>
      </x:c>
      <x:c r="R371" s="13" t="n">
        <x:f>IF(D371="",MAX(TODAY()-C371,0),MAX(D371-C371,0))</x:f>
        <x:v>0</x:v>
      </x:c>
      <x:c r="S371" s="13" t="str">
        <x:f>IF(R371=0,"Em dia",IF(R371&lt;=15,"1-15 dias",IF(R371&lt;=30,"16-30 dias",IF(R371&lt;=60,"31-60 dias","Acima de 60 dias"))))</x:f>
        <x:v>Em dia</x:v>
      </x:c>
    </x:row>
    <x:row r="372">
      <x:c r="A372" s="13" t="str">
        <x:v>REC-000371</x:v>
      </x:c>
      <x:c r="B372" s="23" t="n">
        <x:v>45478</x:v>
      </x:c>
      <x:c r="C372" s="23" t="n">
        <x:v>45508</x:v>
      </x:c>
      <x:c r="D372" s="23" t="n">
        <x:v>45508</x:v>
      </x:c>
      <x:c r="E372" s="13" t="str">
        <x:v>VAL-002</x:v>
      </x:c>
      <x:c r="F372" s="13" t="str">
        <x:v>Mendes &amp; Prado Consultoria</x:v>
      </x:c>
      <x:c r="G372" s="13" t="str">
        <x:v>Serviços Profissionais</x:v>
      </x:c>
      <x:c r="H372" s="13" t="str">
        <x:v>Baixo</x:v>
      </x:c>
      <x:c r="I372" s="13" t="str">
        <x:v>Gestão</x:v>
      </x:c>
      <x:c r="J372" s="17" t="n">
        <x:v>3945.75</x:v>
      </x:c>
      <x:c r="K372" s="17" t="n">
        <x:v>0</x:v>
      </x:c>
      <x:c r="L372" s="17" t="n">
        <x:v>0</x:v>
      </x:c>
      <x:c r="M372" s="13" t="str">
        <x:v>Pago</x:v>
      </x:c>
      <x:c r="N372" s="13" t="str">
        <x:v>Sem cobrança</x:v>
      </x:c>
      <x:c r="O372" s="13" t="str">
        <x:v>Crescimento sem escala</x:v>
      </x:c>
      <x:c r="P372" s="17" t="n">
        <x:f>IF(D372="",0,J372-K372+L372)</x:f>
        <x:v>3945.75</x:v>
      </x:c>
      <x:c r="Q372" s="17" t="n">
        <x:f>MAX(J372-P372-K372,0)</x:f>
        <x:v>0</x:v>
      </x:c>
      <x:c r="R372" s="13" t="n">
        <x:f>IF(D372="",MAX(TODAY()-C372,0),MAX(D372-C372,0))</x:f>
        <x:v>0</x:v>
      </x:c>
      <x:c r="S372" s="13" t="str">
        <x:f>IF(R372=0,"Em dia",IF(R372&lt;=15,"1-15 dias",IF(R372&lt;=30,"16-30 dias",IF(R372&lt;=60,"31-60 dias","Acima de 60 dias"))))</x:f>
        <x:v>Em dia</x:v>
      </x:c>
    </x:row>
    <x:row r="373">
      <x:c r="A373" s="13" t="str">
        <x:v>REC-000372</x:v>
      </x:c>
      <x:c r="B373" s="23" t="n">
        <x:v>45482</x:v>
      </x:c>
      <x:c r="C373" s="23" t="n">
        <x:v>45510</x:v>
      </x:c>
      <x:c r="D373" s="23" t="n">
        <x:v>45510</x:v>
      </x:c>
      <x:c r="E373" s="13" t="str">
        <x:v>VAL-012</x:v>
      </x:c>
      <x:c r="F373" s="13" t="str">
        <x:v>DataFlow Sistemas</x:v>
      </x:c>
      <x:c r="G373" s="13" t="str">
        <x:v>Tecnologia</x:v>
      </x:c>
      <x:c r="H373" s="13" t="str">
        <x:v>Médio</x:v>
      </x:c>
      <x:c r="I373" s="13" t="str">
        <x:v>Enterprise</x:v>
      </x:c>
      <x:c r="J373" s="17" t="n">
        <x:v>25225.09</x:v>
      </x:c>
      <x:c r="K373" s="17" t="n">
        <x:v>0</x:v>
      </x:c>
      <x:c r="L373" s="17" t="n">
        <x:v>0</x:v>
      </x:c>
      <x:c r="M373" s="13" t="str">
        <x:v>Pago</x:v>
      </x:c>
      <x:c r="N373" s="13" t="str">
        <x:v>Sem cobrança</x:v>
      </x:c>
      <x:c r="O373" s="13" t="str">
        <x:v>Crescimento sem escala</x:v>
      </x:c>
      <x:c r="P373" s="17" t="n">
        <x:f>IF(D373="",0,J373-K373+L373)</x:f>
        <x:v>25225.09</x:v>
      </x:c>
      <x:c r="Q373" s="17" t="n">
        <x:f>MAX(J373-P373-K373,0)</x:f>
        <x:v>0</x:v>
      </x:c>
      <x:c r="R373" s="13" t="n">
        <x:f>IF(D373="",MAX(TODAY()-C373,0),MAX(D373-C373,0))</x:f>
        <x:v>0</x:v>
      </x:c>
      <x:c r="S373" s="13" t="str">
        <x:f>IF(R373=0,"Em dia",IF(R373&lt;=15,"1-15 dias",IF(R373&lt;=30,"16-30 dias",IF(R373&lt;=60,"31-60 dias","Acima de 60 dias"))))</x:f>
        <x:v>Em dia</x:v>
      </x:c>
    </x:row>
    <x:row r="374">
      <x:c r="A374" s="13" t="str">
        <x:v>REC-000373</x:v>
      </x:c>
      <x:c r="B374" s="23" t="n">
        <x:v>45491</x:v>
      </x:c>
      <x:c r="C374" s="23" t="n">
        <x:v>45521</x:v>
      </x:c>
      <x:c r="D374" s="23" t="n">
        <x:v>45519</x:v>
      </x:c>
      <x:c r="E374" s="13" t="str">
        <x:v>VAL-005</x:v>
      </x:c>
      <x:c r="F374" s="13" t="str">
        <x:v>Construtora Alameda</x:v>
      </x:c>
      <x:c r="G374" s="13" t="str">
        <x:v>Construção</x:v>
      </x:c>
      <x:c r="H374" s="13" t="str">
        <x:v>Médio</x:v>
      </x:c>
      <x:c r="I374" s="13" t="str">
        <x:v>Essencial</x:v>
      </x:c>
      <x:c r="J374" s="17" t="n">
        <x:v>7587.35</x:v>
      </x:c>
      <x:c r="K374" s="17" t="n">
        <x:v>0</x:v>
      </x:c>
      <x:c r="L374" s="17" t="n">
        <x:v>0</x:v>
      </x:c>
      <x:c r="M374" s="13" t="str">
        <x:v>Pago</x:v>
      </x:c>
      <x:c r="N374" s="13" t="str">
        <x:v>Sem cobrança</x:v>
      </x:c>
      <x:c r="O374" s="13" t="str">
        <x:v>Crescimento sem escala</x:v>
      </x:c>
      <x:c r="P374" s="17" t="n">
        <x:f>IF(D374="",0,J374-K374+L374)</x:f>
        <x:v>7587.35</x:v>
      </x:c>
      <x:c r="Q374" s="17" t="n">
        <x:f>MAX(J374-P374-K374,0)</x:f>
        <x:v>0</x:v>
      </x:c>
      <x:c r="R374" s="13" t="n">
        <x:f>IF(D374="",MAX(TODAY()-C374,0),MAX(D374-C374,0))</x:f>
        <x:v>0</x:v>
      </x:c>
      <x:c r="S374" s="13" t="str">
        <x:f>IF(R374=0,"Em dia",IF(R374&lt;=15,"1-15 dias",IF(R374&lt;=30,"16-30 dias",IF(R374&lt;=60,"31-60 dias","Acima de 60 dias"))))</x:f>
        <x:v>Em dia</x:v>
      </x:c>
    </x:row>
    <x:row r="375">
      <x:c r="A375" s="13" t="str">
        <x:v>REC-000374</x:v>
      </x:c>
      <x:c r="B375" s="23" t="n">
        <x:v>45488</x:v>
      </x:c>
      <x:c r="C375" s="23" t="n">
        <x:v>45503</x:v>
      </x:c>
      <x:c r="D375" s="23" t="n">
        <x:v>45501</x:v>
      </x:c>
      <x:c r="E375" s="13" t="str">
        <x:v>VAL-024</x:v>
      </x:c>
      <x:c r="F375" s="13" t="str">
        <x:v>NovaForma Móveis</x:v>
      </x:c>
      <x:c r="G375" s="13" t="str">
        <x:v>Indústria Leve</x:v>
      </x:c>
      <x:c r="H375" s="13" t="str">
        <x:v>Baixo</x:v>
      </x:c>
      <x:c r="I375" s="13" t="str">
        <x:v>Enterprise</x:v>
      </x:c>
      <x:c r="J375" s="17" t="n">
        <x:v>33959.72</x:v>
      </x:c>
      <x:c r="K375" s="17" t="n">
        <x:v>0</x:v>
      </x:c>
      <x:c r="L375" s="17" t="n">
        <x:v>0</x:v>
      </x:c>
      <x:c r="M375" s="13" t="str">
        <x:v>Pago</x:v>
      </x:c>
      <x:c r="N375" s="13" t="str">
        <x:v>Sem cobrança</x:v>
      </x:c>
      <x:c r="O375" s="13" t="str">
        <x:v>Crescimento sem escala</x:v>
      </x:c>
      <x:c r="P375" s="17" t="n">
        <x:f>IF(D375="",0,J375-K375+L375)</x:f>
        <x:v>33959.72</x:v>
      </x:c>
      <x:c r="Q375" s="17" t="n">
        <x:f>MAX(J375-P375-K375,0)</x:f>
        <x:v>0</x:v>
      </x:c>
      <x:c r="R375" s="13" t="n">
        <x:f>IF(D375="",MAX(TODAY()-C375,0),MAX(D375-C375,0))</x:f>
        <x:v>0</x:v>
      </x:c>
      <x:c r="S375" s="13" t="str">
        <x:f>IF(R375=0,"Em dia",IF(R375&lt;=15,"1-15 dias",IF(R375&lt;=30,"16-30 dias",IF(R375&lt;=60,"31-60 dias","Acima de 60 dias"))))</x:f>
        <x:v>Em dia</x:v>
      </x:c>
    </x:row>
    <x:row r="376">
      <x:c r="A376" s="13" t="str">
        <x:v>REC-000375</x:v>
      </x:c>
      <x:c r="B376" s="23" t="n">
        <x:v>45492</x:v>
      </x:c>
      <x:c r="C376" s="23" t="n">
        <x:v>45507</x:v>
      </x:c>
      <x:c r="D376" s="23" t="n">
        <x:v>45505</x:v>
      </x:c>
      <x:c r="E376" s="13" t="str">
        <x:v>VAL-030</x:v>
      </x:c>
      <x:c r="F376" s="13" t="str">
        <x:v>Mundo Kids Cursos</x:v>
      </x:c>
      <x:c r="G376" s="13" t="str">
        <x:v>Educação</x:v>
      </x:c>
      <x:c r="H376" s="13" t="str">
        <x:v>Alto</x:v>
      </x:c>
      <x:c r="I376" s="13" t="str">
        <x:v>Gestão</x:v>
      </x:c>
      <x:c r="J376" s="17" t="n">
        <x:v>12900.01</x:v>
      </x:c>
      <x:c r="K376" s="17" t="n">
        <x:v>201.33</x:v>
      </x:c>
      <x:c r="L376" s="17" t="n">
        <x:v>0</x:v>
      </x:c>
      <x:c r="M376" s="13" t="str">
        <x:v>Pago</x:v>
      </x:c>
      <x:c r="N376" s="13" t="str">
        <x:v>Sem cobrança</x:v>
      </x:c>
      <x:c r="O376" s="13" t="str">
        <x:v>Crescimento sem escala</x:v>
      </x:c>
      <x:c r="P376" s="17" t="n">
        <x:f>IF(D376="",0,J376-K376+L376)</x:f>
        <x:v>12698.68</x:v>
      </x:c>
      <x:c r="Q376" s="17" t="n">
        <x:f>MAX(J376-P376-K376,0)</x:f>
        <x:v>0</x:v>
      </x:c>
      <x:c r="R376" s="13" t="n">
        <x:f>IF(D376="",MAX(TODAY()-C376,0),MAX(D376-C376,0))</x:f>
        <x:v>0</x:v>
      </x:c>
      <x:c r="S376" s="13" t="str">
        <x:f>IF(R376=0,"Em dia",IF(R376&lt;=15,"1-15 dias",IF(R376&lt;=30,"16-30 dias",IF(R376&lt;=60,"31-60 dias","Acima de 60 dias"))))</x:f>
        <x:v>Em dia</x:v>
      </x:c>
    </x:row>
    <x:row r="377">
      <x:c r="A377" s="13" t="str">
        <x:v>REC-000376</x:v>
      </x:c>
      <x:c r="B377" s="23" t="n">
        <x:v>45490</x:v>
      </x:c>
      <x:c r="C377" s="23" t="n">
        <x:v>45511</x:v>
      </x:c>
      <x:c r="D377" s="23" t="n">
        <x:v>45510</x:v>
      </x:c>
      <x:c r="E377" s="13" t="str">
        <x:v>VAL-012</x:v>
      </x:c>
      <x:c r="F377" s="13" t="str">
        <x:v>DataFlow Sistemas</x:v>
      </x:c>
      <x:c r="G377" s="13" t="str">
        <x:v>Tecnologia</x:v>
      </x:c>
      <x:c r="H377" s="13" t="str">
        <x:v>Médio</x:v>
      </x:c>
      <x:c r="I377" s="13" t="str">
        <x:v>Enterprise</x:v>
      </x:c>
      <x:c r="J377" s="17" t="n">
        <x:v>3891.31</x:v>
      </x:c>
      <x:c r="K377" s="17" t="n">
        <x:v>0</x:v>
      </x:c>
      <x:c r="L377" s="17" t="n">
        <x:v>0</x:v>
      </x:c>
      <x:c r="M377" s="13" t="str">
        <x:v>Pago</x:v>
      </x:c>
      <x:c r="N377" s="13" t="str">
        <x:v>Sem cobrança</x:v>
      </x:c>
      <x:c r="O377" s="13" t="str">
        <x:v>Crescimento sem escala</x:v>
      </x:c>
      <x:c r="P377" s="17" t="n">
        <x:f>IF(D377="",0,J377-K377+L377)</x:f>
        <x:v>3891.31</x:v>
      </x:c>
      <x:c r="Q377" s="17" t="n">
        <x:f>MAX(J377-P377-K377,0)</x:f>
        <x:v>0</x:v>
      </x:c>
      <x:c r="R377" s="13" t="n">
        <x:f>IF(D377="",MAX(TODAY()-C377,0),MAX(D377-C377,0))</x:f>
        <x:v>0</x:v>
      </x:c>
      <x:c r="S377" s="13" t="str">
        <x:f>IF(R377=0,"Em dia",IF(R377&lt;=15,"1-15 dias",IF(R377&lt;=30,"16-30 dias",IF(R377&lt;=60,"31-60 dias","Acima de 60 dias"))))</x:f>
        <x:v>Em dia</x:v>
      </x:c>
    </x:row>
    <x:row r="378">
      <x:c r="A378" s="13" t="str">
        <x:v>REC-000377</x:v>
      </x:c>
      <x:c r="B378" s="23" t="n">
        <x:v>45480</x:v>
      </x:c>
      <x:c r="C378" s="23" t="n">
        <x:v>45501</x:v>
      </x:c>
      <x:c r="D378" s="23" t="n">
        <x:v>45499</x:v>
      </x:c>
      <x:c r="E378" s="13" t="str">
        <x:v>VAL-007</x:v>
      </x:c>
      <x:c r="F378" s="13" t="str">
        <x:v>Loja Prisma Online</x:v>
      </x:c>
      <x:c r="G378" s="13" t="str">
        <x:v>E-commerce</x:v>
      </x:c>
      <x:c r="H378" s="13" t="str">
        <x:v>Médio</x:v>
      </x:c>
      <x:c r="I378" s="13" t="str">
        <x:v>Performance</x:v>
      </x:c>
      <x:c r="J378" s="17" t="n">
        <x:v>26649.81</x:v>
      </x:c>
      <x:c r="K378" s="17" t="n">
        <x:v>400.83</x:v>
      </x:c>
      <x:c r="L378" s="17" t="n">
        <x:v>0</x:v>
      </x:c>
      <x:c r="M378" s="13" t="str">
        <x:v>Pago</x:v>
      </x:c>
      <x:c r="N378" s="13" t="str">
        <x:v>Sem cobrança</x:v>
      </x:c>
      <x:c r="O378" s="13" t="str">
        <x:v>Crescimento sem escala</x:v>
      </x:c>
      <x:c r="P378" s="17" t="n">
        <x:f>IF(D378="",0,J378-K378+L378)</x:f>
        <x:v>26248.98</x:v>
      </x:c>
      <x:c r="Q378" s="17" t="n">
        <x:f>MAX(J378-P378-K378,0)</x:f>
        <x:v>1.7621459846850485e-12</x:v>
      </x:c>
      <x:c r="R378" s="13" t="n">
        <x:f>IF(D378="",MAX(TODAY()-C378,0),MAX(D378-C378,0))</x:f>
        <x:v>0</x:v>
      </x:c>
      <x:c r="S378" s="13" t="str">
        <x:f>IF(R378=0,"Em dia",IF(R378&lt;=15,"1-15 dias",IF(R378&lt;=30,"16-30 dias",IF(R378&lt;=60,"31-60 dias","Acima de 60 dias"))))</x:f>
        <x:v>Em dia</x:v>
      </x:c>
    </x:row>
    <x:row r="379">
      <x:c r="A379" s="13" t="str">
        <x:v>REC-000378</x:v>
      </x:c>
      <x:c r="B379" s="23" t="n">
        <x:v>45474</x:v>
      </x:c>
      <x:c r="C379" s="23" t="n">
        <x:v>45489</x:v>
      </x:c>
      <x:c r="D379" s="23" t="n">
        <x:v>45489</x:v>
      </x:c>
      <x:c r="E379" s="13" t="str">
        <x:v>VAL-012</x:v>
      </x:c>
      <x:c r="F379" s="13" t="str">
        <x:v>DataFlow Sistemas</x:v>
      </x:c>
      <x:c r="G379" s="13" t="str">
        <x:v>Tecnologia</x:v>
      </x:c>
      <x:c r="H379" s="13" t="str">
        <x:v>Médio</x:v>
      </x:c>
      <x:c r="I379" s="13" t="str">
        <x:v>Enterprise</x:v>
      </x:c>
      <x:c r="J379" s="17" t="n">
        <x:v>17886.73</x:v>
      </x:c>
      <x:c r="K379" s="17" t="n">
        <x:v>278.36</x:v>
      </x:c>
      <x:c r="L379" s="17" t="n">
        <x:v>0</x:v>
      </x:c>
      <x:c r="M379" s="13" t="str">
        <x:v>Pago</x:v>
      </x:c>
      <x:c r="N379" s="13" t="str">
        <x:v>Sem cobrança</x:v>
      </x:c>
      <x:c r="O379" s="13" t="str">
        <x:v>Crescimento sem escala</x:v>
      </x:c>
      <x:c r="P379" s="17" t="n">
        <x:f>IF(D379="",0,J379-K379+L379)</x:f>
        <x:v>17608.37</x:v>
      </x:c>
      <x:c r="Q379" s="17" t="n">
        <x:f>MAX(J379-P379-K379,0)</x:f>
        <x:v>5.684341886080801e-13</x:v>
      </x:c>
      <x:c r="R379" s="13" t="n">
        <x:f>IF(D379="",MAX(TODAY()-C379,0),MAX(D379-C379,0))</x:f>
        <x:v>0</x:v>
      </x:c>
      <x:c r="S379" s="13" t="str">
        <x:f>IF(R379=0,"Em dia",IF(R379&lt;=15,"1-15 dias",IF(R379&lt;=30,"16-30 dias",IF(R379&lt;=60,"31-60 dias","Acima de 60 dias"))))</x:f>
        <x:v>Em dia</x:v>
      </x:c>
    </x:row>
    <x:row r="380">
      <x:c r="A380" s="13" t="str">
        <x:v>REC-000379</x:v>
      </x:c>
      <x:c r="B380" s="23" t="n">
        <x:v>45484</x:v>
      </x:c>
      <x:c r="C380" s="23" t="n">
        <x:v>45512</x:v>
      </x:c>
      <x:c r="D380" s="23" t="n">
        <x:v>45512</x:v>
      </x:c>
      <x:c r="E380" s="13" t="str">
        <x:v>VAL-016</x:v>
      </x:c>
      <x:c r="F380" s="13" t="str">
        <x:v>Lumina Embalagens</x:v>
      </x:c>
      <x:c r="G380" s="13" t="str">
        <x:v>Indústria Leve</x:v>
      </x:c>
      <x:c r="H380" s="13" t="str">
        <x:v>Baixo</x:v>
      </x:c>
      <x:c r="I380" s="13" t="str">
        <x:v>Enterprise</x:v>
      </x:c>
      <x:c r="J380" s="17" t="n">
        <x:v>28172.68</x:v>
      </x:c>
      <x:c r="K380" s="17" t="n">
        <x:v>0</x:v>
      </x:c>
      <x:c r="L380" s="17" t="n">
        <x:v>0</x:v>
      </x:c>
      <x:c r="M380" s="13" t="str">
        <x:v>Pago</x:v>
      </x:c>
      <x:c r="N380" s="13" t="str">
        <x:v>Sem cobrança</x:v>
      </x:c>
      <x:c r="O380" s="13" t="str">
        <x:v>Crescimento sem escala</x:v>
      </x:c>
      <x:c r="P380" s="17" t="n">
        <x:f>IF(D380="",0,J380-K380+L380)</x:f>
        <x:v>28172.68</x:v>
      </x:c>
      <x:c r="Q380" s="17" t="n">
        <x:f>MAX(J380-P380-K380,0)</x:f>
        <x:v>0</x:v>
      </x:c>
      <x:c r="R380" s="13" t="n">
        <x:f>IF(D380="",MAX(TODAY()-C380,0),MAX(D380-C380,0))</x:f>
        <x:v>0</x:v>
      </x:c>
      <x:c r="S380" s="13" t="str">
        <x:f>IF(R380=0,"Em dia",IF(R380&lt;=15,"1-15 dias",IF(R380&lt;=30,"16-30 dias",IF(R380&lt;=60,"31-60 dias","Acima de 60 dias"))))</x:f>
        <x:v>Em dia</x:v>
      </x:c>
    </x:row>
    <x:row r="381">
      <x:c r="A381" s="13" t="str">
        <x:v>REC-000380</x:v>
      </x:c>
      <x:c r="B381" s="23" t="n">
        <x:v>45482</x:v>
      </x:c>
      <x:c r="C381" s="23" t="n">
        <x:v>45489</x:v>
      </x:c>
      <x:c r="D381" s="23" t="n">
        <x:v>45489</x:v>
      </x:c>
      <x:c r="E381" s="13" t="str">
        <x:v>VAL-007</x:v>
      </x:c>
      <x:c r="F381" s="13" t="str">
        <x:v>Loja Prisma Online</x:v>
      </x:c>
      <x:c r="G381" s="13" t="str">
        <x:v>E-commerce</x:v>
      </x:c>
      <x:c r="H381" s="13" t="str">
        <x:v>Médio</x:v>
      </x:c>
      <x:c r="I381" s="13" t="str">
        <x:v>Performance</x:v>
      </x:c>
      <x:c r="J381" s="17" t="n">
        <x:v>30082.56</x:v>
      </x:c>
      <x:c r="K381" s="17" t="n">
        <x:v>0</x:v>
      </x:c>
      <x:c r="L381" s="17" t="n">
        <x:v>0</x:v>
      </x:c>
      <x:c r="M381" s="13" t="str">
        <x:v>Pago</x:v>
      </x:c>
      <x:c r="N381" s="13" t="str">
        <x:v>Sem cobrança</x:v>
      </x:c>
      <x:c r="O381" s="13" t="str">
        <x:v>Crescimento sem escala</x:v>
      </x:c>
      <x:c r="P381" s="17" t="n">
        <x:f>IF(D381="",0,J381-K381+L381)</x:f>
        <x:v>30082.56</x:v>
      </x:c>
      <x:c r="Q381" s="17" t="n">
        <x:f>MAX(J381-P381-K381,0)</x:f>
        <x:v>0</x:v>
      </x:c>
      <x:c r="R381" s="13" t="n">
        <x:f>IF(D381="",MAX(TODAY()-C381,0),MAX(D381-C381,0))</x:f>
        <x:v>0</x:v>
      </x:c>
      <x:c r="S381" s="13" t="str">
        <x:f>IF(R381=0,"Em dia",IF(R381&lt;=15,"1-15 dias",IF(R381&lt;=30,"16-30 dias",IF(R381&lt;=60,"31-60 dias","Acima de 60 dias"))))</x:f>
        <x:v>Em dia</x:v>
      </x:c>
    </x:row>
    <x:row r="382">
      <x:c r="A382" s="13" t="str">
        <x:v>REC-000381</x:v>
      </x:c>
      <x:c r="B382" s="23" t="n">
        <x:v>45487</x:v>
      </x:c>
      <x:c r="C382" s="23" t="n">
        <x:v>45494</x:v>
      </x:c>
      <x:c r="D382" s="23" t="n">
        <x:v>45493</x:v>
      </x:c>
      <x:c r="E382" s="13" t="str">
        <x:v>VAL-029</x:v>
      </x:c>
      <x:c r="F382" s="13" t="str">
        <x:v>Planobra Serviços</x:v>
      </x:c>
      <x:c r="G382" s="13" t="str">
        <x:v>Construção</x:v>
      </x:c>
      <x:c r="H382" s="13" t="str">
        <x:v>Baixo</x:v>
      </x:c>
      <x:c r="I382" s="13" t="str">
        <x:v>Essencial</x:v>
      </x:c>
      <x:c r="J382" s="17" t="n">
        <x:v>4522.92</x:v>
      </x:c>
      <x:c r="K382" s="17" t="n">
        <x:v>0</x:v>
      </x:c>
      <x:c r="L382" s="17" t="n">
        <x:v>0</x:v>
      </x:c>
      <x:c r="M382" s="13" t="str">
        <x:v>Pago</x:v>
      </x:c>
      <x:c r="N382" s="13" t="str">
        <x:v>Sem cobrança</x:v>
      </x:c>
      <x:c r="O382" s="13" t="str">
        <x:v>Crescimento sem escala</x:v>
      </x:c>
      <x:c r="P382" s="17" t="n">
        <x:f>IF(D382="",0,J382-K382+L382)</x:f>
        <x:v>4522.92</x:v>
      </x:c>
      <x:c r="Q382" s="17" t="n">
        <x:f>MAX(J382-P382-K382,0)</x:f>
        <x:v>0</x:v>
      </x:c>
      <x:c r="R382" s="13" t="n">
        <x:f>IF(D382="",MAX(TODAY()-C382,0),MAX(D382-C382,0))</x:f>
        <x:v>0</x:v>
      </x:c>
      <x:c r="S382" s="13" t="str">
        <x:f>IF(R382=0,"Em dia",IF(R382&lt;=15,"1-15 dias",IF(R382&lt;=30,"16-30 dias",IF(R382&lt;=60,"31-60 dias","Acima de 60 dias"))))</x:f>
        <x:v>Em dia</x:v>
      </x:c>
    </x:row>
    <x:row r="383">
      <x:c r="A383" s="13" t="str">
        <x:v>REC-000382</x:v>
      </x:c>
      <x:c r="B383" s="23" t="n">
        <x:v>45482</x:v>
      </x:c>
      <x:c r="C383" s="23" t="n">
        <x:v>45497</x:v>
      </x:c>
      <x:c r="D383" s="23" t="n">
        <x:v>45493</x:v>
      </x:c>
      <x:c r="E383" s="13" t="str">
        <x:v>VAL-012</x:v>
      </x:c>
      <x:c r="F383" s="13" t="str">
        <x:v>DataFlow Sistemas</x:v>
      </x:c>
      <x:c r="G383" s="13" t="str">
        <x:v>Tecnologia</x:v>
      </x:c>
      <x:c r="H383" s="13" t="str">
        <x:v>Médio</x:v>
      </x:c>
      <x:c r="I383" s="13" t="str">
        <x:v>Enterprise</x:v>
      </x:c>
      <x:c r="J383" s="17" t="n">
        <x:v>2492.24</x:v>
      </x:c>
      <x:c r="K383" s="17" t="n">
        <x:v>0</x:v>
      </x:c>
      <x:c r="L383" s="17" t="n">
        <x:v>0</x:v>
      </x:c>
      <x:c r="M383" s="13" t="str">
        <x:v>Pago</x:v>
      </x:c>
      <x:c r="N383" s="13" t="str">
        <x:v>Sem cobrança</x:v>
      </x:c>
      <x:c r="O383" s="13" t="str">
        <x:v>Crescimento sem escala</x:v>
      </x:c>
      <x:c r="P383" s="17" t="n">
        <x:f>IF(D383="",0,J383-K383+L383)</x:f>
        <x:v>2492.24</x:v>
      </x:c>
      <x:c r="Q383" s="17" t="n">
        <x:f>MAX(J383-P383-K383,0)</x:f>
        <x:v>0</x:v>
      </x:c>
      <x:c r="R383" s="13" t="n">
        <x:f>IF(D383="",MAX(TODAY()-C383,0),MAX(D383-C383,0))</x:f>
        <x:v>0</x:v>
      </x:c>
      <x:c r="S383" s="13" t="str">
        <x:f>IF(R383=0,"Em dia",IF(R383&lt;=15,"1-15 dias",IF(R383&lt;=30,"16-30 dias",IF(R383&lt;=60,"31-60 dias","Acima de 60 dias"))))</x:f>
        <x:v>Em dia</x:v>
      </x:c>
    </x:row>
    <x:row r="384">
      <x:c r="A384" s="13" t="str">
        <x:v>REC-000383</x:v>
      </x:c>
      <x:c r="B384" s="23" t="n">
        <x:v>45492</x:v>
      </x:c>
      <x:c r="C384" s="23" t="n">
        <x:v>45513</x:v>
      </x:c>
      <x:c r="D384" s="23" t="n">
        <x:v>45513</x:v>
      </x:c>
      <x:c r="E384" s="13" t="str">
        <x:v>VAL-016</x:v>
      </x:c>
      <x:c r="F384" s="13" t="str">
        <x:v>Lumina Embalagens</x:v>
      </x:c>
      <x:c r="G384" s="13" t="str">
        <x:v>Indústria Leve</x:v>
      </x:c>
      <x:c r="H384" s="13" t="str">
        <x:v>Baixo</x:v>
      </x:c>
      <x:c r="I384" s="13" t="str">
        <x:v>Enterprise</x:v>
      </x:c>
      <x:c r="J384" s="17" t="n">
        <x:v>5099.95</x:v>
      </x:c>
      <x:c r="K384" s="17" t="n">
        <x:v>0</x:v>
      </x:c>
      <x:c r="L384" s="17" t="n">
        <x:v>0</x:v>
      </x:c>
      <x:c r="M384" s="13" t="str">
        <x:v>Pago</x:v>
      </x:c>
      <x:c r="N384" s="13" t="str">
        <x:v>Sem cobrança</x:v>
      </x:c>
      <x:c r="O384" s="13" t="str">
        <x:v>Crescimento sem escala</x:v>
      </x:c>
      <x:c r="P384" s="17" t="n">
        <x:f>IF(D384="",0,J384-K384+L384)</x:f>
        <x:v>5099.95</x:v>
      </x:c>
      <x:c r="Q384" s="17" t="n">
        <x:f>MAX(J384-P384-K384,0)</x:f>
        <x:v>0</x:v>
      </x:c>
      <x:c r="R384" s="13" t="n">
        <x:f>IF(D384="",MAX(TODAY()-C384,0),MAX(D384-C384,0))</x:f>
        <x:v>0</x:v>
      </x:c>
      <x:c r="S384" s="13" t="str">
        <x:f>IF(R384=0,"Em dia",IF(R384&lt;=15,"1-15 dias",IF(R384&lt;=30,"16-30 dias",IF(R384&lt;=60,"31-60 dias","Acima de 60 dias"))))</x:f>
        <x:v>Em dia</x:v>
      </x:c>
    </x:row>
    <x:row r="385">
      <x:c r="A385" s="13" t="str">
        <x:v>REC-000384</x:v>
      </x:c>
      <x:c r="B385" s="23" t="n">
        <x:v>45477</x:v>
      </x:c>
      <x:c r="C385" s="23" t="n">
        <x:v>45505</x:v>
      </x:c>
      <x:c r="D385" s="23" t="n">
        <x:v>45502</x:v>
      </x:c>
      <x:c r="E385" s="13" t="str">
        <x:v>VAL-006</x:v>
      </x:c>
      <x:c r="F385" s="13" t="str">
        <x:v>Instituto Saber Mais</x:v>
      </x:c>
      <x:c r="G385" s="13" t="str">
        <x:v>Educação</x:v>
      </x:c>
      <x:c r="H385" s="13" t="str">
        <x:v>Médio</x:v>
      </x:c>
      <x:c r="I385" s="13" t="str">
        <x:v>Gestão</x:v>
      </x:c>
      <x:c r="J385" s="17" t="n">
        <x:v>5113.09</x:v>
      </x:c>
      <x:c r="K385" s="17" t="n">
        <x:v>0</x:v>
      </x:c>
      <x:c r="L385" s="17" t="n">
        <x:v>0</x:v>
      </x:c>
      <x:c r="M385" s="13" t="str">
        <x:v>Pago</x:v>
      </x:c>
      <x:c r="N385" s="13" t="str">
        <x:v>Sem cobrança</x:v>
      </x:c>
      <x:c r="O385" s="13" t="str">
        <x:v>Crescimento sem escala</x:v>
      </x:c>
      <x:c r="P385" s="17" t="n">
        <x:f>IF(D385="",0,J385-K385+L385)</x:f>
        <x:v>5113.09</x:v>
      </x:c>
      <x:c r="Q385" s="17" t="n">
        <x:f>MAX(J385-P385-K385,0)</x:f>
        <x:v>0</x:v>
      </x:c>
      <x:c r="R385" s="13" t="n">
        <x:f>IF(D385="",MAX(TODAY()-C385,0),MAX(D385-C385,0))</x:f>
        <x:v>0</x:v>
      </x:c>
      <x:c r="S385" s="13" t="str">
        <x:f>IF(R385=0,"Em dia",IF(R385&lt;=15,"1-15 dias",IF(R385&lt;=30,"16-30 dias",IF(R385&lt;=60,"31-60 dias","Acima de 60 dias"))))</x:f>
        <x:v>Em dia</x:v>
      </x:c>
    </x:row>
    <x:row r="386">
      <x:c r="A386" s="13" t="str">
        <x:v>REC-000385</x:v>
      </x:c>
      <x:c r="B386" s="23" t="n">
        <x:v>45485</x:v>
      </x:c>
      <x:c r="C386" s="23" t="n">
        <x:v>45513</x:v>
      </x:c>
      <x:c r="D386" s="23" t="n">
        <x:v>45512</x:v>
      </x:c>
      <x:c r="E386" s="13" t="str">
        <x:v>VAL-026</x:v>
      </x:c>
      <x:c r="F386" s="13" t="str">
        <x:v>Ribeiro Arquitetura</x:v>
      </x:c>
      <x:c r="G386" s="13" t="str">
        <x:v>Serviços Profissionais</x:v>
      </x:c>
      <x:c r="H386" s="13" t="str">
        <x:v>Baixo</x:v>
      </x:c>
      <x:c r="I386" s="13" t="str">
        <x:v>Gestão</x:v>
      </x:c>
      <x:c r="J386" s="17" t="n">
        <x:v>16735.18</x:v>
      </x:c>
      <x:c r="K386" s="17" t="n">
        <x:v>0</x:v>
      </x:c>
      <x:c r="L386" s="17" t="n">
        <x:v>0</x:v>
      </x:c>
      <x:c r="M386" s="13" t="str">
        <x:v>Pago</x:v>
      </x:c>
      <x:c r="N386" s="13" t="str">
        <x:v>Sem cobrança</x:v>
      </x:c>
      <x:c r="O386" s="13" t="str">
        <x:v>Crescimento sem escala</x:v>
      </x:c>
      <x:c r="P386" s="17" t="n">
        <x:f>IF(D386="",0,J386-K386+L386)</x:f>
        <x:v>16735.18</x:v>
      </x:c>
      <x:c r="Q386" s="17" t="n">
        <x:f>MAX(J386-P386-K386,0)</x:f>
        <x:v>0</x:v>
      </x:c>
      <x:c r="R386" s="13" t="n">
        <x:f>IF(D386="",MAX(TODAY()-C386,0),MAX(D386-C386,0))</x:f>
        <x:v>0</x:v>
      </x:c>
      <x:c r="S386" s="13" t="str">
        <x:f>IF(R386=0,"Em dia",IF(R386&lt;=15,"1-15 dias",IF(R386&lt;=30,"16-30 dias",IF(R386&lt;=60,"31-60 dias","Acima de 60 dias"))))</x:f>
        <x:v>Em dia</x:v>
      </x:c>
    </x:row>
    <x:row r="387">
      <x:c r="A387" s="13" t="str">
        <x:v>REC-000386</x:v>
      </x:c>
      <x:c r="B387" s="23" t="n">
        <x:v>45484</x:v>
      </x:c>
      <x:c r="C387" s="23" t="n">
        <x:v>45499</x:v>
      </x:c>
      <x:c r="D387" s="23" t="n">
        <x:v>45495</x:v>
      </x:c>
      <x:c r="E387" s="13" t="str">
        <x:v>VAL-026</x:v>
      </x:c>
      <x:c r="F387" s="13" t="str">
        <x:v>Ribeiro Arquitetura</x:v>
      </x:c>
      <x:c r="G387" s="13" t="str">
        <x:v>Serviços Profissionais</x:v>
      </x:c>
      <x:c r="H387" s="13" t="str">
        <x:v>Baixo</x:v>
      </x:c>
      <x:c r="I387" s="13" t="str">
        <x:v>Gestão</x:v>
      </x:c>
      <x:c r="J387" s="17" t="n">
        <x:v>17232.4</x:v>
      </x:c>
      <x:c r="K387" s="17" t="n">
        <x:v>0</x:v>
      </x:c>
      <x:c r="L387" s="17" t="n">
        <x:v>0</x:v>
      </x:c>
      <x:c r="M387" s="13" t="str">
        <x:v>Pago</x:v>
      </x:c>
      <x:c r="N387" s="13" t="str">
        <x:v>Sem cobrança</x:v>
      </x:c>
      <x:c r="O387" s="13" t="str">
        <x:v>Crescimento sem escala</x:v>
      </x:c>
      <x:c r="P387" s="17" t="n">
        <x:f>IF(D387="",0,J387-K387+L387)</x:f>
        <x:v>17232.4</x:v>
      </x:c>
      <x:c r="Q387" s="17" t="n">
        <x:f>MAX(J387-P387-K387,0)</x:f>
        <x:v>0</x:v>
      </x:c>
      <x:c r="R387" s="13" t="n">
        <x:f>IF(D387="",MAX(TODAY()-C387,0),MAX(D387-C387,0))</x:f>
        <x:v>0</x:v>
      </x:c>
      <x:c r="S387" s="13" t="str">
        <x:f>IF(R387=0,"Em dia",IF(R387&lt;=15,"1-15 dias",IF(R387&lt;=30,"16-30 dias",IF(R387&lt;=60,"31-60 dias","Acima de 60 dias"))))</x:f>
        <x:v>Em dia</x:v>
      </x:c>
    </x:row>
    <x:row r="388">
      <x:c r="A388" s="13" t="str">
        <x:v>REC-000387</x:v>
      </x:c>
      <x:c r="B388" s="23" t="n">
        <x:v>45487</x:v>
      </x:c>
      <x:c r="C388" s="23" t="n">
        <x:v>45517</x:v>
      </x:c>
      <x:c r="D388" s="23" t="n">
        <x:v>45513</x:v>
      </x:c>
      <x:c r="E388" s="13" t="str">
        <x:v>VAL-016</x:v>
      </x:c>
      <x:c r="F388" s="13" t="str">
        <x:v>Lumina Embalagens</x:v>
      </x:c>
      <x:c r="G388" s="13" t="str">
        <x:v>Indústria Leve</x:v>
      </x:c>
      <x:c r="H388" s="13" t="str">
        <x:v>Baixo</x:v>
      </x:c>
      <x:c r="I388" s="13" t="str">
        <x:v>Enterprise</x:v>
      </x:c>
      <x:c r="J388" s="17" t="n">
        <x:v>29256.64</x:v>
      </x:c>
      <x:c r="K388" s="17" t="n">
        <x:v>304.61</x:v>
      </x:c>
      <x:c r="L388" s="17" t="n">
        <x:v>0</x:v>
      </x:c>
      <x:c r="M388" s="13" t="str">
        <x:v>Pago</x:v>
      </x:c>
      <x:c r="N388" s="13" t="str">
        <x:v>Sem cobrança</x:v>
      </x:c>
      <x:c r="O388" s="13" t="str">
        <x:v>Crescimento sem escala</x:v>
      </x:c>
      <x:c r="P388" s="17" t="n">
        <x:f>IF(D388="",0,J388-K388+L388)</x:f>
        <x:v>28952.03</x:v>
      </x:c>
      <x:c r="Q388" s="17" t="n">
        <x:f>MAX(J388-P388-K388,0)</x:f>
        <x:v>5.684341886080801e-13</x:v>
      </x:c>
      <x:c r="R388" s="13" t="n">
        <x:f>IF(D388="",MAX(TODAY()-C388,0),MAX(D388-C388,0))</x:f>
        <x:v>0</x:v>
      </x:c>
      <x:c r="S388" s="13" t="str">
        <x:f>IF(R388=0,"Em dia",IF(R388&lt;=15,"1-15 dias",IF(R388&lt;=30,"16-30 dias",IF(R388&lt;=60,"31-60 dias","Acima de 60 dias"))))</x:f>
        <x:v>Em dia</x:v>
      </x:c>
    </x:row>
    <x:row r="389">
      <x:c r="A389" s="13" t="str">
        <x:v>REC-000388</x:v>
      </x:c>
      <x:c r="B389" s="23" t="n">
        <x:v>45486</x:v>
      </x:c>
      <x:c r="C389" s="23" t="n">
        <x:v>45514</x:v>
      </x:c>
      <x:c r="D389" s="23" t="n">
        <x:v>45513</x:v>
      </x:c>
      <x:c r="E389" s="13" t="str">
        <x:v>VAL-020</x:v>
      </x:c>
      <x:c r="F389" s="13" t="str">
        <x:v>Corelink Digital</x:v>
      </x:c>
      <x:c r="G389" s="13" t="str">
        <x:v>Tecnologia</x:v>
      </x:c>
      <x:c r="H389" s="13" t="str">
        <x:v>Baixo</x:v>
      </x:c>
      <x:c r="I389" s="13" t="str">
        <x:v>Enterprise</x:v>
      </x:c>
      <x:c r="J389" s="17" t="n">
        <x:v>18610.63</x:v>
      </x:c>
      <x:c r="K389" s="17" t="n">
        <x:v>0</x:v>
      </x:c>
      <x:c r="L389" s="17" t="n">
        <x:v>0</x:v>
      </x:c>
      <x:c r="M389" s="13" t="str">
        <x:v>Pago</x:v>
      </x:c>
      <x:c r="N389" s="13" t="str">
        <x:v>Sem cobrança</x:v>
      </x:c>
      <x:c r="O389" s="13" t="str">
        <x:v>Crescimento sem escala</x:v>
      </x:c>
      <x:c r="P389" s="17" t="n">
        <x:f>IF(D389="",0,J389-K389+L389)</x:f>
        <x:v>18610.63</x:v>
      </x:c>
      <x:c r="Q389" s="17" t="n">
        <x:f>MAX(J389-P389-K389,0)</x:f>
        <x:v>0</x:v>
      </x:c>
      <x:c r="R389" s="13" t="n">
        <x:f>IF(D389="",MAX(TODAY()-C389,0),MAX(D389-C389,0))</x:f>
        <x:v>0</x:v>
      </x:c>
      <x:c r="S389" s="13" t="str">
        <x:f>IF(R389=0,"Em dia",IF(R389&lt;=15,"1-15 dias",IF(R389&lt;=30,"16-30 dias",IF(R389&lt;=60,"31-60 dias","Acima de 60 dias"))))</x:f>
        <x:v>Em dia</x:v>
      </x:c>
    </x:row>
    <x:row r="390">
      <x:c r="A390" s="13" t="str">
        <x:v>REC-000389</x:v>
      </x:c>
      <x:c r="B390" s="23" t="n">
        <x:v>45477</x:v>
      </x:c>
      <x:c r="C390" s="23" t="n">
        <x:v>45492</x:v>
      </x:c>
      <x:c r="D390" s="23" t="n">
        <x:v>45490</x:v>
      </x:c>
      <x:c r="E390" s="13" t="str">
        <x:v>VAL-010</x:v>
      </x:c>
      <x:c r="F390" s="13" t="str">
        <x:v>Atlas Contabilidade</x:v>
      </x:c>
      <x:c r="G390" s="13" t="str">
        <x:v>Serviços Profissionais</x:v>
      </x:c>
      <x:c r="H390" s="13" t="str">
        <x:v>Baixo</x:v>
      </x:c>
      <x:c r="I390" s="13" t="str">
        <x:v>Gestão</x:v>
      </x:c>
      <x:c r="J390" s="17" t="n">
        <x:v>24133.47</x:v>
      </x:c>
      <x:c r="K390" s="17" t="n">
        <x:v>0</x:v>
      </x:c>
      <x:c r="L390" s="17" t="n">
        <x:v>0</x:v>
      </x:c>
      <x:c r="M390" s="13" t="str">
        <x:v>Pago</x:v>
      </x:c>
      <x:c r="N390" s="13" t="str">
        <x:v>Sem cobrança</x:v>
      </x:c>
      <x:c r="O390" s="13" t="str">
        <x:v>Crescimento sem escala</x:v>
      </x:c>
      <x:c r="P390" s="17" t="n">
        <x:f>IF(D390="",0,J390-K390+L390)</x:f>
        <x:v>24133.47</x:v>
      </x:c>
      <x:c r="Q390" s="17" t="n">
        <x:f>MAX(J390-P390-K390,0)</x:f>
        <x:v>0</x:v>
      </x:c>
      <x:c r="R390" s="13" t="n">
        <x:f>IF(D390="",MAX(TODAY()-C390,0),MAX(D390-C390,0))</x:f>
        <x:v>0</x:v>
      </x:c>
      <x:c r="S390" s="13" t="str">
        <x:f>IF(R390=0,"Em dia",IF(R390&lt;=15,"1-15 dias",IF(R390&lt;=30,"16-30 dias",IF(R390&lt;=60,"31-60 dias","Acima de 60 dias"))))</x:f>
        <x:v>Em dia</x:v>
      </x:c>
    </x:row>
    <x:row r="391">
      <x:c r="A391" s="13" t="str">
        <x:v>REC-000390</x:v>
      </x:c>
      <x:c r="B391" s="23" t="n">
        <x:v>45493</x:v>
      </x:c>
      <x:c r="C391" s="23" t="n">
        <x:v>45523</x:v>
      </x:c>
      <x:c r="D391" s="23" t="n">
        <x:v>45522</x:v>
      </x:c>
      <x:c r="E391" s="13" t="str">
        <x:v>VAL-003</x:v>
      </x:c>
      <x:c r="F391" s="13" t="str">
        <x:v>Casa Nova Varejo</x:v>
      </x:c>
      <x:c r="G391" s="13" t="str">
        <x:v>Varejo</x:v>
      </x:c>
      <x:c r="H391" s="13" t="str">
        <x:v>Baixo</x:v>
      </x:c>
      <x:c r="I391" s="13" t="str">
        <x:v>Performance</x:v>
      </x:c>
      <x:c r="J391" s="17" t="n">
        <x:v>20499.13</x:v>
      </x:c>
      <x:c r="K391" s="17" t="n">
        <x:v>0</x:v>
      </x:c>
      <x:c r="L391" s="17" t="n">
        <x:v>0</x:v>
      </x:c>
      <x:c r="M391" s="13" t="str">
        <x:v>Pago</x:v>
      </x:c>
      <x:c r="N391" s="13" t="str">
        <x:v>Sem cobrança</x:v>
      </x:c>
      <x:c r="O391" s="13" t="str">
        <x:v>Crescimento sem escala</x:v>
      </x:c>
      <x:c r="P391" s="17" t="n">
        <x:f>IF(D391="",0,J391-K391+L391)</x:f>
        <x:v>20499.13</x:v>
      </x:c>
      <x:c r="Q391" s="17" t="n">
        <x:f>MAX(J391-P391-K391,0)</x:f>
        <x:v>0</x:v>
      </x:c>
      <x:c r="R391" s="13" t="n">
        <x:f>IF(D391="",MAX(TODAY()-C391,0),MAX(D391-C391,0))</x:f>
        <x:v>0</x:v>
      </x:c>
      <x:c r="S391" s="13" t="str">
        <x:f>IF(R391=0,"Em dia",IF(R391&lt;=15,"1-15 dias",IF(R391&lt;=30,"16-30 dias",IF(R391&lt;=60,"31-60 dias","Acima de 60 dias"))))</x:f>
        <x:v>Em dia</x:v>
      </x:c>
    </x:row>
    <x:row r="392">
      <x:c r="A392" s="13" t="str">
        <x:v>REC-000391</x:v>
      </x:c>
      <x:c r="B392" s="23" t="n">
        <x:v>45484</x:v>
      </x:c>
      <x:c r="C392" s="23" t="n">
        <x:v>45491</x:v>
      </x:c>
      <x:c r="D392" s="23" t="n">
        <x:v>45487</x:v>
      </x:c>
      <x:c r="E392" s="13" t="str">
        <x:v>VAL-005</x:v>
      </x:c>
      <x:c r="F392" s="13" t="str">
        <x:v>Construtora Alameda</x:v>
      </x:c>
      <x:c r="G392" s="13" t="str">
        <x:v>Construção</x:v>
      </x:c>
      <x:c r="H392" s="13" t="str">
        <x:v>Médio</x:v>
      </x:c>
      <x:c r="I392" s="13" t="str">
        <x:v>Essencial</x:v>
      </x:c>
      <x:c r="J392" s="17" t="n">
        <x:v>27821.12</x:v>
      </x:c>
      <x:c r="K392" s="17" t="n">
        <x:v>0</x:v>
      </x:c>
      <x:c r="L392" s="17" t="n">
        <x:v>0</x:v>
      </x:c>
      <x:c r="M392" s="13" t="str">
        <x:v>Pago</x:v>
      </x:c>
      <x:c r="N392" s="13" t="str">
        <x:v>Sem cobrança</x:v>
      </x:c>
      <x:c r="O392" s="13" t="str">
        <x:v>Crescimento sem escala</x:v>
      </x:c>
      <x:c r="P392" s="17" t="n">
        <x:f>IF(D392="",0,J392-K392+L392)</x:f>
        <x:v>27821.12</x:v>
      </x:c>
      <x:c r="Q392" s="17" t="n">
        <x:f>MAX(J392-P392-K392,0)</x:f>
        <x:v>0</x:v>
      </x:c>
      <x:c r="R392" s="13" t="n">
        <x:f>IF(D392="",MAX(TODAY()-C392,0),MAX(D392-C392,0))</x:f>
        <x:v>0</x:v>
      </x:c>
      <x:c r="S392" s="13" t="str">
        <x:f>IF(R392=0,"Em dia",IF(R392&lt;=15,"1-15 dias",IF(R392&lt;=30,"16-30 dias",IF(R392&lt;=60,"31-60 dias","Acima de 60 dias"))))</x:f>
        <x:v>Em dia</x:v>
      </x:c>
    </x:row>
    <x:row r="393">
      <x:c r="A393" s="13" t="str">
        <x:v>REC-000392</x:v>
      </x:c>
      <x:c r="B393" s="23" t="n">
        <x:v>45477</x:v>
      </x:c>
      <x:c r="C393" s="23" t="n">
        <x:v>45507</x:v>
      </x:c>
      <x:c r="D393" s="23" t="n">
        <x:v>45507</x:v>
      </x:c>
      <x:c r="E393" s="13" t="str">
        <x:v>VAL-017</x:v>
      </x:c>
      <x:c r="F393" s="13" t="str">
        <x:v>Centro Médico Vida</x:v>
      </x:c>
      <x:c r="G393" s="13" t="str">
        <x:v>Clínicas e Saúde</x:v>
      </x:c>
      <x:c r="H393" s="13" t="str">
        <x:v>Baixo</x:v>
      </x:c>
      <x:c r="I393" s="13" t="str">
        <x:v>Essencial</x:v>
      </x:c>
      <x:c r="J393" s="17" t="n">
        <x:v>5051.82</x:v>
      </x:c>
      <x:c r="K393" s="17" t="n">
        <x:v>0</x:v>
      </x:c>
      <x:c r="L393" s="17" t="n">
        <x:v>0</x:v>
      </x:c>
      <x:c r="M393" s="13" t="str">
        <x:v>Pago</x:v>
      </x:c>
      <x:c r="N393" s="13" t="str">
        <x:v>Sem cobrança</x:v>
      </x:c>
      <x:c r="O393" s="13" t="str">
        <x:v>Crescimento sem escala</x:v>
      </x:c>
      <x:c r="P393" s="17" t="n">
        <x:f>IF(D393="",0,J393-K393+L393)</x:f>
        <x:v>5051.82</x:v>
      </x:c>
      <x:c r="Q393" s="17" t="n">
        <x:f>MAX(J393-P393-K393,0)</x:f>
        <x:v>0</x:v>
      </x:c>
      <x:c r="R393" s="13" t="n">
        <x:f>IF(D393="",MAX(TODAY()-C393,0),MAX(D393-C393,0))</x:f>
        <x:v>0</x:v>
      </x:c>
      <x:c r="S393" s="13" t="str">
        <x:f>IF(R393=0,"Em dia",IF(R393&lt;=15,"1-15 dias",IF(R393&lt;=30,"16-30 dias",IF(R393&lt;=60,"31-60 dias","Acima de 60 dias"))))</x:f>
        <x:v>Em dia</x:v>
      </x:c>
    </x:row>
    <x:row r="394">
      <x:c r="A394" s="13" t="str">
        <x:v>REC-000393</x:v>
      </x:c>
      <x:c r="B394" s="23" t="n">
        <x:v>45485</x:v>
      </x:c>
      <x:c r="C394" s="23" t="n">
        <x:v>45513</x:v>
      </x:c>
      <x:c r="D394" s="23" t="n">
        <x:v>45512</x:v>
      </x:c>
      <x:c r="E394" s="13" t="str">
        <x:v>VAL-028</x:v>
      </x:c>
      <x:c r="F394" s="13" t="str">
        <x:v>Pixel Norte</x:v>
      </x:c>
      <x:c r="G394" s="13" t="str">
        <x:v>Tecnologia</x:v>
      </x:c>
      <x:c r="H394" s="13" t="str">
        <x:v>Alto</x:v>
      </x:c>
      <x:c r="I394" s="13" t="str">
        <x:v>Enterprise</x:v>
      </x:c>
      <x:c r="J394" s="17" t="n">
        <x:v>23821.25</x:v>
      </x:c>
      <x:c r="K394" s="17" t="n">
        <x:v>0</x:v>
      </x:c>
      <x:c r="L394" s="17" t="n">
        <x:v>0</x:v>
      </x:c>
      <x:c r="M394" s="13" t="str">
        <x:v>Pago</x:v>
      </x:c>
      <x:c r="N394" s="13" t="str">
        <x:v>Sem cobrança</x:v>
      </x:c>
      <x:c r="O394" s="13" t="str">
        <x:v>Crescimento sem escala</x:v>
      </x:c>
      <x:c r="P394" s="17" t="n">
        <x:f>IF(D394="",0,J394-K394+L394)</x:f>
        <x:v>23821.25</x:v>
      </x:c>
      <x:c r="Q394" s="17" t="n">
        <x:f>MAX(J394-P394-K394,0)</x:f>
        <x:v>0</x:v>
      </x:c>
      <x:c r="R394" s="13" t="n">
        <x:f>IF(D394="",MAX(TODAY()-C394,0),MAX(D394-C394,0))</x:f>
        <x:v>0</x:v>
      </x:c>
      <x:c r="S394" s="13" t="str">
        <x:f>IF(R394=0,"Em dia",IF(R394&lt;=15,"1-15 dias",IF(R394&lt;=30,"16-30 dias",IF(R394&lt;=60,"31-60 dias","Acima de 60 dias"))))</x:f>
        <x:v>Em dia</x:v>
      </x:c>
    </x:row>
    <x:row r="395">
      <x:c r="A395" s="13" t="str">
        <x:v>REC-000394</x:v>
      </x:c>
      <x:c r="B395" s="23" t="n">
        <x:v>45480</x:v>
      </x:c>
      <x:c r="C395" s="23" t="n">
        <x:v>45510</x:v>
      </x:c>
      <x:c r="D395" s="23" t="n">
        <x:v>45507</x:v>
      </x:c>
      <x:c r="E395" s="13" t="str">
        <x:v>VAL-028</x:v>
      </x:c>
      <x:c r="F395" s="13" t="str">
        <x:v>Pixel Norte</x:v>
      </x:c>
      <x:c r="G395" s="13" t="str">
        <x:v>Tecnologia</x:v>
      </x:c>
      <x:c r="H395" s="13" t="str">
        <x:v>Alto</x:v>
      </x:c>
      <x:c r="I395" s="13" t="str">
        <x:v>Enterprise</x:v>
      </x:c>
      <x:c r="J395" s="17" t="n">
        <x:v>13955.74</x:v>
      </x:c>
      <x:c r="K395" s="17" t="n">
        <x:v>96.53</x:v>
      </x:c>
      <x:c r="L395" s="17" t="n">
        <x:v>0</x:v>
      </x:c>
      <x:c r="M395" s="13" t="str">
        <x:v>Pago</x:v>
      </x:c>
      <x:c r="N395" s="13" t="str">
        <x:v>Sem cobrança</x:v>
      </x:c>
      <x:c r="O395" s="13" t="str">
        <x:v>Crescimento sem escala</x:v>
      </x:c>
      <x:c r="P395" s="17" t="n">
        <x:f>IF(D395="",0,J395-K395+L395)</x:f>
        <x:v>13859.21</x:v>
      </x:c>
      <x:c r="Q395" s="17" t="n">
        <x:f>MAX(J395-P395-K395,0)</x:f>
        <x:v>6.536993168992922e-13</x:v>
      </x:c>
      <x:c r="R395" s="13" t="n">
        <x:f>IF(D395="",MAX(TODAY()-C395,0),MAX(D395-C395,0))</x:f>
        <x:v>0</x:v>
      </x:c>
      <x:c r="S395" s="13" t="str">
        <x:f>IF(R395=0,"Em dia",IF(R395&lt;=15,"1-15 dias",IF(R395&lt;=30,"16-30 dias",IF(R395&lt;=60,"31-60 dias","Acima de 60 dias"))))</x:f>
        <x:v>Em dia</x:v>
      </x:c>
    </x:row>
    <x:row r="396">
      <x:c r="A396" s="13" t="str">
        <x:v>REC-000395</x:v>
      </x:c>
      <x:c r="B396" s="23" t="n">
        <x:v>45477</x:v>
      </x:c>
      <x:c r="C396" s="23" t="n">
        <x:v>45492</x:v>
      </x:c>
      <x:c r="D396" s="23" t="n">
        <x:v>45491</x:v>
      </x:c>
      <x:c r="E396" s="13" t="str">
        <x:v>VAL-030</x:v>
      </x:c>
      <x:c r="F396" s="13" t="str">
        <x:v>Mundo Kids Cursos</x:v>
      </x:c>
      <x:c r="G396" s="13" t="str">
        <x:v>Educação</x:v>
      </x:c>
      <x:c r="H396" s="13" t="str">
        <x:v>Alto</x:v>
      </x:c>
      <x:c r="I396" s="13" t="str">
        <x:v>Gestão</x:v>
      </x:c>
      <x:c r="J396" s="17" t="n">
        <x:v>6826.35</x:v>
      </x:c>
      <x:c r="K396" s="17" t="n">
        <x:v>0</x:v>
      </x:c>
      <x:c r="L396" s="17" t="n">
        <x:v>0</x:v>
      </x:c>
      <x:c r="M396" s="13" t="str">
        <x:v>Pago</x:v>
      </x:c>
      <x:c r="N396" s="13" t="str">
        <x:v>Sem cobrança</x:v>
      </x:c>
      <x:c r="O396" s="13" t="str">
        <x:v>Crescimento sem escala</x:v>
      </x:c>
      <x:c r="P396" s="17" t="n">
        <x:f>IF(D396="",0,J396-K396+L396)</x:f>
        <x:v>6826.35</x:v>
      </x:c>
      <x:c r="Q396" s="17" t="n">
        <x:f>MAX(J396-P396-K396,0)</x:f>
        <x:v>0</x:v>
      </x:c>
      <x:c r="R396" s="13" t="n">
        <x:f>IF(D396="",MAX(TODAY()-C396,0),MAX(D396-C396,0))</x:f>
        <x:v>0</x:v>
      </x:c>
      <x:c r="S396" s="13" t="str">
        <x:f>IF(R396=0,"Em dia",IF(R396&lt;=15,"1-15 dias",IF(R396&lt;=30,"16-30 dias",IF(R396&lt;=60,"31-60 dias","Acima de 60 dias"))))</x:f>
        <x:v>Em dia</x:v>
      </x:c>
    </x:row>
    <x:row r="397">
      <x:c r="A397" s="13" t="str">
        <x:v>REC-000396</x:v>
      </x:c>
      <x:c r="B397" s="23" t="n">
        <x:v>45488</x:v>
      </x:c>
      <x:c r="C397" s="23" t="n">
        <x:v>45503</x:v>
      </x:c>
      <x:c r="D397" s="23" t="n">
        <x:v>45501</x:v>
      </x:c>
      <x:c r="E397" s="13" t="str">
        <x:v>VAL-029</x:v>
      </x:c>
      <x:c r="F397" s="13" t="str">
        <x:v>Planobra Serviços</x:v>
      </x:c>
      <x:c r="G397" s="13" t="str">
        <x:v>Construção</x:v>
      </x:c>
      <x:c r="H397" s="13" t="str">
        <x:v>Baixo</x:v>
      </x:c>
      <x:c r="I397" s="13" t="str">
        <x:v>Essencial</x:v>
      </x:c>
      <x:c r="J397" s="17" t="n">
        <x:v>18352.72</x:v>
      </x:c>
      <x:c r="K397" s="17" t="n">
        <x:v>0</x:v>
      </x:c>
      <x:c r="L397" s="17" t="n">
        <x:v>0</x:v>
      </x:c>
      <x:c r="M397" s="13" t="str">
        <x:v>Pago</x:v>
      </x:c>
      <x:c r="N397" s="13" t="str">
        <x:v>Sem cobrança</x:v>
      </x:c>
      <x:c r="O397" s="13" t="str">
        <x:v>Crescimento sem escala</x:v>
      </x:c>
      <x:c r="P397" s="17" t="n">
        <x:f>IF(D397="",0,J397-K397+L397)</x:f>
        <x:v>18352.72</x:v>
      </x:c>
      <x:c r="Q397" s="17" t="n">
        <x:f>MAX(J397-P397-K397,0)</x:f>
        <x:v>0</x:v>
      </x:c>
      <x:c r="R397" s="13" t="n">
        <x:f>IF(D397="",MAX(TODAY()-C397,0),MAX(D397-C397,0))</x:f>
        <x:v>0</x:v>
      </x:c>
      <x:c r="S397" s="13" t="str">
        <x:f>IF(R397=0,"Em dia",IF(R397&lt;=15,"1-15 dias",IF(R397&lt;=30,"16-30 dias",IF(R397&lt;=60,"31-60 dias","Acima de 60 dias"))))</x:f>
        <x:v>Em dia</x:v>
      </x:c>
    </x:row>
    <x:row r="398">
      <x:c r="A398" s="13" t="str">
        <x:v>REC-000397</x:v>
      </x:c>
      <x:c r="B398" s="23" t="n">
        <x:v>45488</x:v>
      </x:c>
      <x:c r="C398" s="23" t="n">
        <x:v>45495</x:v>
      </x:c>
      <x:c r="D398" s="23" t="n">
        <x:v>45494</x:v>
      </x:c>
      <x:c r="E398" s="13" t="str">
        <x:v>VAL-026</x:v>
      </x:c>
      <x:c r="F398" s="13" t="str">
        <x:v>Ribeiro Arquitetura</x:v>
      </x:c>
      <x:c r="G398" s="13" t="str">
        <x:v>Serviços Profissionais</x:v>
      </x:c>
      <x:c r="H398" s="13" t="str">
        <x:v>Baixo</x:v>
      </x:c>
      <x:c r="I398" s="13" t="str">
        <x:v>Gestão</x:v>
      </x:c>
      <x:c r="J398" s="17" t="n">
        <x:v>13662.4</x:v>
      </x:c>
      <x:c r="K398" s="17" t="n">
        <x:v>0</x:v>
      </x:c>
      <x:c r="L398" s="17" t="n">
        <x:v>0</x:v>
      </x:c>
      <x:c r="M398" s="13" t="str">
        <x:v>Pago</x:v>
      </x:c>
      <x:c r="N398" s="13" t="str">
        <x:v>Sem cobrança</x:v>
      </x:c>
      <x:c r="O398" s="13" t="str">
        <x:v>Crescimento sem escala</x:v>
      </x:c>
      <x:c r="P398" s="17" t="n">
        <x:f>IF(D398="",0,J398-K398+L398)</x:f>
        <x:v>13662.4</x:v>
      </x:c>
      <x:c r="Q398" s="17" t="n">
        <x:f>MAX(J398-P398-K398,0)</x:f>
        <x:v>0</x:v>
      </x:c>
      <x:c r="R398" s="13" t="n">
        <x:f>IF(D398="",MAX(TODAY()-C398,0),MAX(D398-C398,0))</x:f>
        <x:v>0</x:v>
      </x:c>
      <x:c r="S398" s="13" t="str">
        <x:f>IF(R398=0,"Em dia",IF(R398&lt;=15,"1-15 dias",IF(R398&lt;=30,"16-30 dias",IF(R398&lt;=60,"31-60 dias","Acima de 60 dias"))))</x:f>
        <x:v>Em dia</x:v>
      </x:c>
    </x:row>
    <x:row r="399">
      <x:c r="A399" s="13" t="str">
        <x:v>REC-000398</x:v>
      </x:c>
      <x:c r="B399" s="23" t="n">
        <x:v>45477</x:v>
      </x:c>
      <x:c r="C399" s="23" t="n">
        <x:v>45505</x:v>
      </x:c>
      <x:c r="D399" s="23" t="n">
        <x:v>45503</x:v>
      </x:c>
      <x:c r="E399" s="13" t="str">
        <x:v>VAL-030</x:v>
      </x:c>
      <x:c r="F399" s="13" t="str">
        <x:v>Mundo Kids Cursos</x:v>
      </x:c>
      <x:c r="G399" s="13" t="str">
        <x:v>Educação</x:v>
      </x:c>
      <x:c r="H399" s="13" t="str">
        <x:v>Alto</x:v>
      </x:c>
      <x:c r="I399" s="13" t="str">
        <x:v>Gestão</x:v>
      </x:c>
      <x:c r="J399" s="17" t="n">
        <x:v>12884.77</x:v>
      </x:c>
      <x:c r="K399" s="17" t="n">
        <x:v>82.59</x:v>
      </x:c>
      <x:c r="L399" s="17" t="n">
        <x:v>0</x:v>
      </x:c>
      <x:c r="M399" s="13" t="str">
        <x:v>Pago</x:v>
      </x:c>
      <x:c r="N399" s="13" t="str">
        <x:v>Sem cobrança</x:v>
      </x:c>
      <x:c r="O399" s="13" t="str">
        <x:v>Crescimento sem escala</x:v>
      </x:c>
      <x:c r="P399" s="17" t="n">
        <x:f>IF(D399="",0,J399-K399+L399)</x:f>
        <x:v>12802.18</x:v>
      </x:c>
      <x:c r="Q399" s="17" t="n">
        <x:f>MAX(J399-P399-K399,0)</x:f>
        <x:v>1.4210854715202004e-13</x:v>
      </x:c>
      <x:c r="R399" s="13" t="n">
        <x:f>IF(D399="",MAX(TODAY()-C399,0),MAX(D399-C399,0))</x:f>
        <x:v>0</x:v>
      </x:c>
      <x:c r="S399" s="13" t="str">
        <x:f>IF(R399=0,"Em dia",IF(R399&lt;=15,"1-15 dias",IF(R399&lt;=30,"16-30 dias",IF(R399&lt;=60,"31-60 dias","Acima de 60 dias"))))</x:f>
        <x:v>Em dia</x:v>
      </x:c>
    </x:row>
    <x:row r="400">
      <x:c r="A400" s="13" t="str">
        <x:v>REC-000399</x:v>
      </x:c>
      <x:c r="B400" s="23" t="n">
        <x:v>45478</x:v>
      </x:c>
      <x:c r="C400" s="23" t="n">
        <x:v>45485</x:v>
      </x:c>
      <x:c r="D400" s="23" t="n">
        <x:v>45483</x:v>
      </x:c>
      <x:c r="E400" s="13" t="str">
        <x:v>VAL-027</x:v>
      </x:c>
      <x:c r="F400" s="13" t="str">
        <x:v>Mais Lar Utilidades</x:v>
      </x:c>
      <x:c r="G400" s="13" t="str">
        <x:v>Varejo</x:v>
      </x:c>
      <x:c r="H400" s="13" t="str">
        <x:v>Baixo</x:v>
      </x:c>
      <x:c r="I400" s="13" t="str">
        <x:v>Performance</x:v>
      </x:c>
      <x:c r="J400" s="17" t="n">
        <x:v>16004.18</x:v>
      </x:c>
      <x:c r="K400" s="17" t="n">
        <x:v>0</x:v>
      </x:c>
      <x:c r="L400" s="17" t="n">
        <x:v>0</x:v>
      </x:c>
      <x:c r="M400" s="13" t="str">
        <x:v>Pago</x:v>
      </x:c>
      <x:c r="N400" s="13" t="str">
        <x:v>Sem cobrança</x:v>
      </x:c>
      <x:c r="O400" s="13" t="str">
        <x:v>Crescimento sem escala</x:v>
      </x:c>
      <x:c r="P400" s="17" t="n">
        <x:f>IF(D400="",0,J400-K400+L400)</x:f>
        <x:v>16004.18</x:v>
      </x:c>
      <x:c r="Q400" s="17" t="n">
        <x:f>MAX(J400-P400-K400,0)</x:f>
        <x:v>0</x:v>
      </x:c>
      <x:c r="R400" s="13" t="n">
        <x:f>IF(D400="",MAX(TODAY()-C400,0),MAX(D400-C400,0))</x:f>
        <x:v>0</x:v>
      </x:c>
      <x:c r="S400" s="13" t="str">
        <x:f>IF(R400=0,"Em dia",IF(R400&lt;=15,"1-15 dias",IF(R400&lt;=30,"16-30 dias",IF(R400&lt;=60,"31-60 dias","Acima de 60 dias"))))</x:f>
        <x:v>Em dia</x:v>
      </x:c>
    </x:row>
    <x:row r="401">
      <x:c r="A401" s="13" t="str">
        <x:v>REC-000400</x:v>
      </x:c>
      <x:c r="B401" s="23" t="n">
        <x:v>45480</x:v>
      </x:c>
      <x:c r="C401" s="23" t="n">
        <x:v>45487</x:v>
      </x:c>
      <x:c r="D401" s="23" t="n">
        <x:v>45487</x:v>
      </x:c>
      <x:c r="E401" s="13" t="str">
        <x:v>VAL-023</x:v>
      </x:c>
      <x:c r="F401" s="13" t="str">
        <x:v>ShopMix Brasil</x:v>
      </x:c>
      <x:c r="G401" s="13" t="str">
        <x:v>E-commerce</x:v>
      </x:c>
      <x:c r="H401" s="13" t="str">
        <x:v>Baixo</x:v>
      </x:c>
      <x:c r="I401" s="13" t="str">
        <x:v>Performance</x:v>
      </x:c>
      <x:c r="J401" s="17" t="n">
        <x:v>1836.94</x:v>
      </x:c>
      <x:c r="K401" s="17" t="n">
        <x:v>0</x:v>
      </x:c>
      <x:c r="L401" s="17" t="n">
        <x:v>0</x:v>
      </x:c>
      <x:c r="M401" s="13" t="str">
        <x:v>Pago</x:v>
      </x:c>
      <x:c r="N401" s="13" t="str">
        <x:v>Sem cobrança</x:v>
      </x:c>
      <x:c r="O401" s="13" t="str">
        <x:v>Crescimento sem escala</x:v>
      </x:c>
      <x:c r="P401" s="17" t="n">
        <x:f>IF(D401="",0,J401-K401+L401)</x:f>
        <x:v>1836.94</x:v>
      </x:c>
      <x:c r="Q401" s="17" t="n">
        <x:f>MAX(J401-P401-K401,0)</x:f>
        <x:v>0</x:v>
      </x:c>
      <x:c r="R401" s="13" t="n">
        <x:f>IF(D401="",MAX(TODAY()-C401,0),MAX(D401-C401,0))</x:f>
        <x:v>0</x:v>
      </x:c>
      <x:c r="S401" s="13" t="str">
        <x:f>IF(R401=0,"Em dia",IF(R401&lt;=15,"1-15 dias",IF(R401&lt;=30,"16-30 dias",IF(R401&lt;=60,"31-60 dias","Acima de 60 dias"))))</x:f>
        <x:v>Em dia</x:v>
      </x:c>
    </x:row>
    <x:row r="402">
      <x:c r="A402" s="13" t="str">
        <x:v>REC-000401</x:v>
      </x:c>
      <x:c r="B402" s="23" t="n">
        <x:v>45475</x:v>
      </x:c>
      <x:c r="C402" s="23" t="n">
        <x:v>45503</x:v>
      </x:c>
      <x:c r="D402" s="23" t="n">
        <x:v>45524</x:v>
      </x:c>
      <x:c r="E402" s="13" t="str">
        <x:v>VAL-017</x:v>
      </x:c>
      <x:c r="F402" s="13" t="str">
        <x:v>Centro Médico Vida</x:v>
      </x:c>
      <x:c r="G402" s="13" t="str">
        <x:v>Clínicas e Saúde</x:v>
      </x:c>
      <x:c r="H402" s="13" t="str">
        <x:v>Baixo</x:v>
      </x:c>
      <x:c r="I402" s="13" t="str">
        <x:v>Essencial</x:v>
      </x:c>
      <x:c r="J402" s="17" t="n">
        <x:v>12112.57</x:v>
      </x:c>
      <x:c r="K402" s="17" t="n">
        <x:v>0</x:v>
      </x:c>
      <x:c r="L402" s="17" t="n">
        <x:v>165.34</x:v>
      </x:c>
      <x:c r="M402" s="13" t="str">
        <x:v>Pago com atraso</x:v>
      </x:c>
      <x:c r="N402" s="13" t="str">
        <x:v>Telefone</x:v>
      </x:c>
      <x:c r="O402" s="13" t="str">
        <x:v>Crescimento sem escala</x:v>
      </x:c>
      <x:c r="P402" s="17" t="n">
        <x:f>IF(D402="",0,J402-K402+L402)</x:f>
        <x:v>12277.91</x:v>
      </x:c>
      <x:c r="Q402" s="17" t="n">
        <x:f>MAX(J402-P402-K402,0)</x:f>
        <x:v>0</x:v>
      </x:c>
      <x:c r="R402" s="13" t="n">
        <x:f>IF(D402="",MAX(TODAY()-C402,0),MAX(D402-C402,0))</x:f>
        <x:v>21</x:v>
      </x:c>
      <x:c r="S402" s="13" t="str">
        <x:f>IF(R402=0,"Em dia",IF(R402&lt;=15,"1-15 dias",IF(R402&lt;=30,"16-30 dias",IF(R402&lt;=60,"31-60 dias","Acima de 60 dias"))))</x:f>
        <x:v>16-30 dias</x:v>
      </x:c>
    </x:row>
    <x:row r="403">
      <x:c r="A403" s="13" t="str">
        <x:v>REC-000402</x:v>
      </x:c>
      <x:c r="B403" s="23" t="n">
        <x:v>45492</x:v>
      </x:c>
      <x:c r="C403" s="23" t="n">
        <x:v>45522</x:v>
      </x:c>
      <x:c r="D403" s="23" t="n">
        <x:v>45518</x:v>
      </x:c>
      <x:c r="E403" s="13" t="str">
        <x:v>VAL-006</x:v>
      </x:c>
      <x:c r="F403" s="13" t="str">
        <x:v>Instituto Saber Mais</x:v>
      </x:c>
      <x:c r="G403" s="13" t="str">
        <x:v>Educação</x:v>
      </x:c>
      <x:c r="H403" s="13" t="str">
        <x:v>Médio</x:v>
      </x:c>
      <x:c r="I403" s="13" t="str">
        <x:v>Gestão</x:v>
      </x:c>
      <x:c r="J403" s="17" t="n">
        <x:v>9869.06</x:v>
      </x:c>
      <x:c r="K403" s="17" t="n">
        <x:v>0</x:v>
      </x:c>
      <x:c r="L403" s="17" t="n">
        <x:v>0</x:v>
      </x:c>
      <x:c r="M403" s="13" t="str">
        <x:v>Pago</x:v>
      </x:c>
      <x:c r="N403" s="13" t="str">
        <x:v>Sem cobrança</x:v>
      </x:c>
      <x:c r="O403" s="13" t="str">
        <x:v>Crescimento sem escala</x:v>
      </x:c>
      <x:c r="P403" s="17" t="n">
        <x:f>IF(D403="",0,J403-K403+L403)</x:f>
        <x:v>9869.06</x:v>
      </x:c>
      <x:c r="Q403" s="17" t="n">
        <x:f>MAX(J403-P403-K403,0)</x:f>
        <x:v>0</x:v>
      </x:c>
      <x:c r="R403" s="13" t="n">
        <x:f>IF(D403="",MAX(TODAY()-C403,0),MAX(D403-C403,0))</x:f>
        <x:v>0</x:v>
      </x:c>
      <x:c r="S403" s="13" t="str">
        <x:f>IF(R403=0,"Em dia",IF(R403&lt;=15,"1-15 dias",IF(R403&lt;=30,"16-30 dias",IF(R403&lt;=60,"31-60 dias","Acima de 60 dias"))))</x:f>
        <x:v>Em dia</x:v>
      </x:c>
    </x:row>
    <x:row r="404">
      <x:c r="A404" s="13" t="str">
        <x:v>REC-000403</x:v>
      </x:c>
      <x:c r="B404" s="23" t="n">
        <x:v>45477</x:v>
      </x:c>
      <x:c r="C404" s="23" t="n">
        <x:v>45484</x:v>
      </x:c>
      <x:c r="D404" s="23" t="n">
        <x:v>45482</x:v>
      </x:c>
      <x:c r="E404" s="13" t="str">
        <x:v>VAL-001</x:v>
      </x:c>
      <x:c r="F404" s="13" t="str">
        <x:v>Clínica Horizonte</x:v>
      </x:c>
      <x:c r="G404" s="13" t="str">
        <x:v>Clínicas e Saúde</x:v>
      </x:c>
      <x:c r="H404" s="13" t="str">
        <x:v>Baixo</x:v>
      </x:c>
      <x:c r="I404" s="13" t="str">
        <x:v>Essencial</x:v>
      </x:c>
      <x:c r="J404" s="17" t="n">
        <x:v>9900.28</x:v>
      </x:c>
      <x:c r="K404" s="17" t="n">
        <x:v>0</x:v>
      </x:c>
      <x:c r="L404" s="17" t="n">
        <x:v>0</x:v>
      </x:c>
      <x:c r="M404" s="13" t="str">
        <x:v>Pago</x:v>
      </x:c>
      <x:c r="N404" s="13" t="str">
        <x:v>Sem cobrança</x:v>
      </x:c>
      <x:c r="O404" s="13" t="str">
        <x:v>Crescimento sem escala</x:v>
      </x:c>
      <x:c r="P404" s="17" t="n">
        <x:f>IF(D404="",0,J404-K404+L404)</x:f>
        <x:v>9900.28</x:v>
      </x:c>
      <x:c r="Q404" s="17" t="n">
        <x:f>MAX(J404-P404-K404,0)</x:f>
        <x:v>0</x:v>
      </x:c>
      <x:c r="R404" s="13" t="n">
        <x:f>IF(D404="",MAX(TODAY()-C404,0),MAX(D404-C404,0))</x:f>
        <x:v>0</x:v>
      </x:c>
      <x:c r="S404" s="13" t="str">
        <x:f>IF(R404=0,"Em dia",IF(R404&lt;=15,"1-15 dias",IF(R404&lt;=30,"16-30 dias",IF(R404&lt;=60,"31-60 dias","Acima de 60 dias"))))</x:f>
        <x:v>Em dia</x:v>
      </x:c>
    </x:row>
    <x:row r="405">
      <x:c r="A405" s="13" t="str">
        <x:v>REC-000404</x:v>
      </x:c>
      <x:c r="B405" s="23" t="n">
        <x:v>45474</x:v>
      </x:c>
      <x:c r="C405" s="23" t="n">
        <x:v>45481</x:v>
      </x:c>
      <x:c r="D405" s="23" t="n">
        <x:v>45480</x:v>
      </x:c>
      <x:c r="E405" s="13" t="str">
        <x:v>VAL-029</x:v>
      </x:c>
      <x:c r="F405" s="13" t="str">
        <x:v>Planobra Serviços</x:v>
      </x:c>
      <x:c r="G405" s="13" t="str">
        <x:v>Construção</x:v>
      </x:c>
      <x:c r="H405" s="13" t="str">
        <x:v>Baixo</x:v>
      </x:c>
      <x:c r="I405" s="13" t="str">
        <x:v>Essencial</x:v>
      </x:c>
      <x:c r="J405" s="17" t="n">
        <x:v>21349.07</x:v>
      </x:c>
      <x:c r="K405" s="17" t="n">
        <x:v>0</x:v>
      </x:c>
      <x:c r="L405" s="17" t="n">
        <x:v>0</x:v>
      </x:c>
      <x:c r="M405" s="13" t="str">
        <x:v>Pago</x:v>
      </x:c>
      <x:c r="N405" s="13" t="str">
        <x:v>Sem cobrança</x:v>
      </x:c>
      <x:c r="O405" s="13" t="str">
        <x:v>Crescimento sem escala</x:v>
      </x:c>
      <x:c r="P405" s="17" t="n">
        <x:f>IF(D405="",0,J405-K405+L405)</x:f>
        <x:v>21349.07</x:v>
      </x:c>
      <x:c r="Q405" s="17" t="n">
        <x:f>MAX(J405-P405-K405,0)</x:f>
        <x:v>0</x:v>
      </x:c>
      <x:c r="R405" s="13" t="n">
        <x:f>IF(D405="",MAX(TODAY()-C405,0),MAX(D405-C405,0))</x:f>
        <x:v>0</x:v>
      </x:c>
      <x:c r="S405" s="13" t="str">
        <x:f>IF(R405=0,"Em dia",IF(R405&lt;=15,"1-15 dias",IF(R405&lt;=30,"16-30 dias",IF(R405&lt;=60,"31-60 dias","Acima de 60 dias"))))</x:f>
        <x:v>Em dia</x:v>
      </x:c>
    </x:row>
    <x:row r="406">
      <x:c r="A406" s="13" t="str">
        <x:v>REC-000405</x:v>
      </x:c>
      <x:c r="B406" s="23" t="n">
        <x:v>45486</x:v>
      </x:c>
      <x:c r="C406" s="23" t="n">
        <x:v>45516</x:v>
      </x:c>
      <x:c r="D406" s="23" t="n">
        <x:v>45516</x:v>
      </x:c>
      <x:c r="E406" s="13" t="str">
        <x:v>VAL-023</x:v>
      </x:c>
      <x:c r="F406" s="13" t="str">
        <x:v>ShopMix Brasil</x:v>
      </x:c>
      <x:c r="G406" s="13" t="str">
        <x:v>E-commerce</x:v>
      </x:c>
      <x:c r="H406" s="13" t="str">
        <x:v>Baixo</x:v>
      </x:c>
      <x:c r="I406" s="13" t="str">
        <x:v>Performance</x:v>
      </x:c>
      <x:c r="J406" s="17" t="n">
        <x:v>24694.33</x:v>
      </x:c>
      <x:c r="K406" s="17" t="n">
        <x:v>0</x:v>
      </x:c>
      <x:c r="L406" s="17" t="n">
        <x:v>0</x:v>
      </x:c>
      <x:c r="M406" s="13" t="str">
        <x:v>Pago</x:v>
      </x:c>
      <x:c r="N406" s="13" t="str">
        <x:v>Sem cobrança</x:v>
      </x:c>
      <x:c r="O406" s="13" t="str">
        <x:v>Crescimento sem escala</x:v>
      </x:c>
      <x:c r="P406" s="17" t="n">
        <x:f>IF(D406="",0,J406-K406+L406)</x:f>
        <x:v>24694.33</x:v>
      </x:c>
      <x:c r="Q406" s="17" t="n">
        <x:f>MAX(J406-P406-K406,0)</x:f>
        <x:v>0</x:v>
      </x:c>
      <x:c r="R406" s="13" t="n">
        <x:f>IF(D406="",MAX(TODAY()-C406,0),MAX(D406-C406,0))</x:f>
        <x:v>0</x:v>
      </x:c>
      <x:c r="S406" s="13" t="str">
        <x:f>IF(R406=0,"Em dia",IF(R406&lt;=15,"1-15 dias",IF(R406&lt;=30,"16-30 dias",IF(R406&lt;=60,"31-60 dias","Acima de 60 dias"))))</x:f>
        <x:v>Em dia</x:v>
      </x:c>
    </x:row>
    <x:row r="407">
      <x:c r="A407" s="13" t="str">
        <x:v>REC-000406</x:v>
      </x:c>
      <x:c r="B407" s="23" t="n">
        <x:v>45474</x:v>
      </x:c>
      <x:c r="C407" s="23" t="n">
        <x:v>45489</x:v>
      </x:c>
      <x:c r="D407" s="23" t="n">
        <x:v>45489</x:v>
      </x:c>
      <x:c r="E407" s="13" t="str">
        <x:v>VAL-023</x:v>
      </x:c>
      <x:c r="F407" s="13" t="str">
        <x:v>ShopMix Brasil</x:v>
      </x:c>
      <x:c r="G407" s="13" t="str">
        <x:v>E-commerce</x:v>
      </x:c>
      <x:c r="H407" s="13" t="str">
        <x:v>Baixo</x:v>
      </x:c>
      <x:c r="I407" s="13" t="str">
        <x:v>Performance</x:v>
      </x:c>
      <x:c r="J407" s="17" t="n">
        <x:v>24234.99</x:v>
      </x:c>
      <x:c r="K407" s="17" t="n">
        <x:v>233.85</x:v>
      </x:c>
      <x:c r="L407" s="17" t="n">
        <x:v>0</x:v>
      </x:c>
      <x:c r="M407" s="13" t="str">
        <x:v>Pago</x:v>
      </x:c>
      <x:c r="N407" s="13" t="str">
        <x:v>Sem cobrança</x:v>
      </x:c>
      <x:c r="O407" s="13" t="str">
        <x:v>Crescimento sem escala</x:v>
      </x:c>
      <x:c r="P407" s="17" t="n">
        <x:f>IF(D407="",0,J407-K407+L407)</x:f>
        <x:v>24001.140000000003</x:v>
      </x:c>
      <x:c r="Q407" s="17" t="n">
        <x:f>MAX(J407-P407-K407,0)</x:f>
        <x:v>0</x:v>
      </x:c>
      <x:c r="R407" s="13" t="n">
        <x:f>IF(D407="",MAX(TODAY()-C407,0),MAX(D407-C407,0))</x:f>
        <x:v>0</x:v>
      </x:c>
      <x:c r="S407" s="13" t="str">
        <x:f>IF(R407=0,"Em dia",IF(R407&lt;=15,"1-15 dias",IF(R407&lt;=30,"16-30 dias",IF(R407&lt;=60,"31-60 dias","Acima de 60 dias"))))</x:f>
        <x:v>Em dia</x:v>
      </x:c>
    </x:row>
    <x:row r="408">
      <x:c r="A408" s="13" t="str">
        <x:v>REC-000407</x:v>
      </x:c>
      <x:c r="B408" s="23" t="n">
        <x:v>45482</x:v>
      </x:c>
      <x:c r="C408" s="23" t="n">
        <x:v>45512</x:v>
      </x:c>
      <x:c r="D408" s="23" t="n">
        <x:v>45512</x:v>
      </x:c>
      <x:c r="E408" s="13" t="str">
        <x:v>VAL-015</x:v>
      </x:c>
      <x:c r="F408" s="13" t="str">
        <x:v>Mercado Click</x:v>
      </x:c>
      <x:c r="G408" s="13" t="str">
        <x:v>E-commerce</x:v>
      </x:c>
      <x:c r="H408" s="13" t="str">
        <x:v>Baixo</x:v>
      </x:c>
      <x:c r="I408" s="13" t="str">
        <x:v>Performance</x:v>
      </x:c>
      <x:c r="J408" s="17" t="n">
        <x:v>20783.82</x:v>
      </x:c>
      <x:c r="K408" s="17" t="n">
        <x:v>0</x:v>
      </x:c>
      <x:c r="L408" s="17" t="n">
        <x:v>0</x:v>
      </x:c>
      <x:c r="M408" s="13" t="str">
        <x:v>Pago</x:v>
      </x:c>
      <x:c r="N408" s="13" t="str">
        <x:v>Sem cobrança</x:v>
      </x:c>
      <x:c r="O408" s="13" t="str">
        <x:v>Crescimento sem escala</x:v>
      </x:c>
      <x:c r="P408" s="17" t="n">
        <x:f>IF(D408="",0,J408-K408+L408)</x:f>
        <x:v>20783.82</x:v>
      </x:c>
      <x:c r="Q408" s="17" t="n">
        <x:f>MAX(J408-P408-K408,0)</x:f>
        <x:v>0</x:v>
      </x:c>
      <x:c r="R408" s="13" t="n">
        <x:f>IF(D408="",MAX(TODAY()-C408,0),MAX(D408-C408,0))</x:f>
        <x:v>0</x:v>
      </x:c>
      <x:c r="S408" s="13" t="str">
        <x:f>IF(R408=0,"Em dia",IF(R408&lt;=15,"1-15 dias",IF(R408&lt;=30,"16-30 dias",IF(R408&lt;=60,"31-60 dias","Acima de 60 dias"))))</x:f>
        <x:v>Em dia</x:v>
      </x:c>
    </x:row>
    <x:row r="409">
      <x:c r="A409" s="13" t="str">
        <x:v>REC-000408</x:v>
      </x:c>
      <x:c r="B409" s="23" t="n">
        <x:v>45477</x:v>
      </x:c>
      <x:c r="C409" s="23" t="n">
        <x:v>45498</x:v>
      </x:c>
      <x:c r="D409" s="23" t="n">
        <x:v>45497</x:v>
      </x:c>
      <x:c r="E409" s="13" t="str">
        <x:v>VAL-023</x:v>
      </x:c>
      <x:c r="F409" s="13" t="str">
        <x:v>ShopMix Brasil</x:v>
      </x:c>
      <x:c r="G409" s="13" t="str">
        <x:v>E-commerce</x:v>
      </x:c>
      <x:c r="H409" s="13" t="str">
        <x:v>Baixo</x:v>
      </x:c>
      <x:c r="I409" s="13" t="str">
        <x:v>Performance</x:v>
      </x:c>
      <x:c r="J409" s="17" t="n">
        <x:v>34495.01</x:v>
      </x:c>
      <x:c r="K409" s="17" t="n">
        <x:v>0</x:v>
      </x:c>
      <x:c r="L409" s="17" t="n">
        <x:v>0</x:v>
      </x:c>
      <x:c r="M409" s="13" t="str">
        <x:v>Pago</x:v>
      </x:c>
      <x:c r="N409" s="13" t="str">
        <x:v>Sem cobrança</x:v>
      </x:c>
      <x:c r="O409" s="13" t="str">
        <x:v>Crescimento sem escala</x:v>
      </x:c>
      <x:c r="P409" s="17" t="n">
        <x:f>IF(D409="",0,J409-K409+L409)</x:f>
        <x:v>34495.01</x:v>
      </x:c>
      <x:c r="Q409" s="17" t="n">
        <x:f>MAX(J409-P409-K409,0)</x:f>
        <x:v>0</x:v>
      </x:c>
      <x:c r="R409" s="13" t="n">
        <x:f>IF(D409="",MAX(TODAY()-C409,0),MAX(D409-C409,0))</x:f>
        <x:v>0</x:v>
      </x:c>
      <x:c r="S409" s="13" t="str">
        <x:f>IF(R409=0,"Em dia",IF(R409&lt;=15,"1-15 dias",IF(R409&lt;=30,"16-30 dias",IF(R409&lt;=60,"31-60 dias","Acima de 60 dias"))))</x:f>
        <x:v>Em dia</x:v>
      </x:c>
    </x:row>
    <x:row r="410">
      <x:c r="A410" s="13" t="str">
        <x:v>REC-000409</x:v>
      </x:c>
      <x:c r="B410" s="23" t="n">
        <x:v>45489</x:v>
      </x:c>
      <x:c r="C410" s="23" t="n">
        <x:v>45510</x:v>
      </x:c>
      <x:c r="D410" s="23" t="n">
        <x:v>45510</x:v>
      </x:c>
      <x:c r="E410" s="13" t="str">
        <x:v>VAL-004</x:v>
      </x:c>
      <x:c r="F410" s="13" t="str">
        <x:v>NuvemBase Tecnologia</x:v>
      </x:c>
      <x:c r="G410" s="13" t="str">
        <x:v>Tecnologia</x:v>
      </x:c>
      <x:c r="H410" s="13" t="str">
        <x:v>Baixo</x:v>
      </x:c>
      <x:c r="I410" s="13" t="str">
        <x:v>Enterprise</x:v>
      </x:c>
      <x:c r="J410" s="17" t="n">
        <x:v>26094.71</x:v>
      </x:c>
      <x:c r="K410" s="17" t="n">
        <x:v>0</x:v>
      </x:c>
      <x:c r="L410" s="17" t="n">
        <x:v>0</x:v>
      </x:c>
      <x:c r="M410" s="13" t="str">
        <x:v>Pago</x:v>
      </x:c>
      <x:c r="N410" s="13" t="str">
        <x:v>Sem cobrança</x:v>
      </x:c>
      <x:c r="O410" s="13" t="str">
        <x:v>Crescimento sem escala</x:v>
      </x:c>
      <x:c r="P410" s="17" t="n">
        <x:f>IF(D410="",0,J410-K410+L410)</x:f>
        <x:v>26094.71</x:v>
      </x:c>
      <x:c r="Q410" s="17" t="n">
        <x:f>MAX(J410-P410-K410,0)</x:f>
        <x:v>0</x:v>
      </x:c>
      <x:c r="R410" s="13" t="n">
        <x:f>IF(D410="",MAX(TODAY()-C410,0),MAX(D410-C410,0))</x:f>
        <x:v>0</x:v>
      </x:c>
      <x:c r="S410" s="13" t="str">
        <x:f>IF(R410=0,"Em dia",IF(R410&lt;=15,"1-15 dias",IF(R410&lt;=30,"16-30 dias",IF(R410&lt;=60,"31-60 dias","Acima de 60 dias"))))</x:f>
        <x:v>Em dia</x:v>
      </x:c>
    </x:row>
    <x:row r="411">
      <x:c r="A411" s="13" t="str">
        <x:v>REC-000410</x:v>
      </x:c>
      <x:c r="B411" s="23" t="n">
        <x:v>45491</x:v>
      </x:c>
      <x:c r="C411" s="23" t="n">
        <x:v>45521</x:v>
      </x:c>
      <x:c r="D411" s="23" t="n">
        <x:v>45518</x:v>
      </x:c>
      <x:c r="E411" s="13" t="str">
        <x:v>VAL-013</x:v>
      </x:c>
      <x:c r="F411" s="13" t="str">
        <x:v>Engenharia Vértice</x:v>
      </x:c>
      <x:c r="G411" s="13" t="str">
        <x:v>Construção</x:v>
      </x:c>
      <x:c r="H411" s="13" t="str">
        <x:v>Baixo</x:v>
      </x:c>
      <x:c r="I411" s="13" t="str">
        <x:v>Essencial</x:v>
      </x:c>
      <x:c r="J411" s="17" t="n">
        <x:v>9327.08</x:v>
      </x:c>
      <x:c r="K411" s="17" t="n">
        <x:v>0</x:v>
      </x:c>
      <x:c r="L411" s="17" t="n">
        <x:v>0</x:v>
      </x:c>
      <x:c r="M411" s="13" t="str">
        <x:v>Pago</x:v>
      </x:c>
      <x:c r="N411" s="13" t="str">
        <x:v>Sem cobrança</x:v>
      </x:c>
      <x:c r="O411" s="13" t="str">
        <x:v>Crescimento sem escala</x:v>
      </x:c>
      <x:c r="P411" s="17" t="n">
        <x:f>IF(D411="",0,J411-K411+L411)</x:f>
        <x:v>9327.08</x:v>
      </x:c>
      <x:c r="Q411" s="17" t="n">
        <x:f>MAX(J411-P411-K411,0)</x:f>
        <x:v>0</x:v>
      </x:c>
      <x:c r="R411" s="13" t="n">
        <x:f>IF(D411="",MAX(TODAY()-C411,0),MAX(D411-C411,0))</x:f>
        <x:v>0</x:v>
      </x:c>
      <x:c r="S411" s="13" t="str">
        <x:f>IF(R411=0,"Em dia",IF(R411&lt;=15,"1-15 dias",IF(R411&lt;=30,"16-30 dias",IF(R411&lt;=60,"31-60 dias","Acima de 60 dias"))))</x:f>
        <x:v>Em dia</x:v>
      </x:c>
    </x:row>
    <x:row r="412">
      <x:c r="A412" s="13" t="str">
        <x:v>REC-000411</x:v>
      </x:c>
      <x:c r="B412" s="23" t="n">
        <x:v>45492</x:v>
      </x:c>
      <x:c r="C412" s="23" t="n">
        <x:v>45513</x:v>
      </x:c>
      <x:c r="D412" s="23" t="n">
        <x:v>45512</x:v>
      </x:c>
      <x:c r="E412" s="13" t="str">
        <x:v>VAL-020</x:v>
      </x:c>
      <x:c r="F412" s="13" t="str">
        <x:v>Corelink Digital</x:v>
      </x:c>
      <x:c r="G412" s="13" t="str">
        <x:v>Tecnologia</x:v>
      </x:c>
      <x:c r="H412" s="13" t="str">
        <x:v>Baixo</x:v>
      </x:c>
      <x:c r="I412" s="13" t="str">
        <x:v>Enterprise</x:v>
      </x:c>
      <x:c r="J412" s="17" t="n">
        <x:v>14388.42</x:v>
      </x:c>
      <x:c r="K412" s="17" t="n">
        <x:v>0</x:v>
      </x:c>
      <x:c r="L412" s="17" t="n">
        <x:v>0</x:v>
      </x:c>
      <x:c r="M412" s="13" t="str">
        <x:v>Pago</x:v>
      </x:c>
      <x:c r="N412" s="13" t="str">
        <x:v>Sem cobrança</x:v>
      </x:c>
      <x:c r="O412" s="13" t="str">
        <x:v>Crescimento sem escala</x:v>
      </x:c>
      <x:c r="P412" s="17" t="n">
        <x:f>IF(D412="",0,J412-K412+L412)</x:f>
        <x:v>14388.42</x:v>
      </x:c>
      <x:c r="Q412" s="17" t="n">
        <x:f>MAX(J412-P412-K412,0)</x:f>
        <x:v>0</x:v>
      </x:c>
      <x:c r="R412" s="13" t="n">
        <x:f>IF(D412="",MAX(TODAY()-C412,0),MAX(D412-C412,0))</x:f>
        <x:v>0</x:v>
      </x:c>
      <x:c r="S412" s="13" t="str">
        <x:f>IF(R412=0,"Em dia",IF(R412&lt;=15,"1-15 dias",IF(R412&lt;=30,"16-30 dias",IF(R412&lt;=60,"31-60 dias","Acima de 60 dias"))))</x:f>
        <x:v>Em dia</x:v>
      </x:c>
    </x:row>
    <x:row r="413">
      <x:c r="A413" s="13" t="str">
        <x:v>REC-000412</x:v>
      </x:c>
      <x:c r="B413" s="23" t="n">
        <x:v>45490</x:v>
      </x:c>
      <x:c r="C413" s="23" t="n">
        <x:v>45518</x:v>
      </x:c>
      <x:c r="D413" s="23" t="n">
        <x:v>45536</x:v>
      </x:c>
      <x:c r="E413" s="13" t="str">
        <x:v>VAL-029</x:v>
      </x:c>
      <x:c r="F413" s="13" t="str">
        <x:v>Planobra Serviços</x:v>
      </x:c>
      <x:c r="G413" s="13" t="str">
        <x:v>Construção</x:v>
      </x:c>
      <x:c r="H413" s="13" t="str">
        <x:v>Baixo</x:v>
      </x:c>
      <x:c r="I413" s="13" t="str">
        <x:v>Essencial</x:v>
      </x:c>
      <x:c r="J413" s="17" t="n">
        <x:v>24139.83</x:v>
      </x:c>
      <x:c r="K413" s="17" t="n">
        <x:v>0</x:v>
      </x:c>
      <x:c r="L413" s="17" t="n">
        <x:v>282.44</x:v>
      </x:c>
      <x:c r="M413" s="13" t="str">
        <x:v>Pago com atraso</x:v>
      </x:c>
      <x:c r="N413" s="13" t="str">
        <x:v>E-mail</x:v>
      </x:c>
      <x:c r="O413" s="13" t="str">
        <x:v>Crescimento sem escala</x:v>
      </x:c>
      <x:c r="P413" s="17" t="n">
        <x:f>IF(D413="",0,J413-K413+L413)</x:f>
        <x:v>24422.27</x:v>
      </x:c>
      <x:c r="Q413" s="17" t="n">
        <x:f>MAX(J413-P413-K413,0)</x:f>
        <x:v>0</x:v>
      </x:c>
      <x:c r="R413" s="13" t="n">
        <x:f>IF(D413="",MAX(TODAY()-C413,0),MAX(D413-C413,0))</x:f>
        <x:v>18</x:v>
      </x:c>
      <x:c r="S413" s="13" t="str">
        <x:f>IF(R413=0,"Em dia",IF(R413&lt;=15,"1-15 dias",IF(R413&lt;=30,"16-30 dias",IF(R413&lt;=60,"31-60 dias","Acima de 60 dias"))))</x:f>
        <x:v>16-30 dias</x:v>
      </x:c>
    </x:row>
    <x:row r="414">
      <x:c r="A414" s="13" t="str">
        <x:v>REC-000413</x:v>
      </x:c>
      <x:c r="B414" s="23" t="n">
        <x:v>45474</x:v>
      </x:c>
      <x:c r="C414" s="23" t="n">
        <x:v>45502</x:v>
      </x:c>
      <x:c r="D414" s="23" t="n">
        <x:v>45502</x:v>
      </x:c>
      <x:c r="E414" s="13" t="str">
        <x:v>VAL-030</x:v>
      </x:c>
      <x:c r="F414" s="13" t="str">
        <x:v>Mundo Kids Cursos</x:v>
      </x:c>
      <x:c r="G414" s="13" t="str">
        <x:v>Educação</x:v>
      </x:c>
      <x:c r="H414" s="13" t="str">
        <x:v>Alto</x:v>
      </x:c>
      <x:c r="I414" s="13" t="str">
        <x:v>Gestão</x:v>
      </x:c>
      <x:c r="J414" s="17" t="n">
        <x:v>23694.89</x:v>
      </x:c>
      <x:c r="K414" s="17" t="n">
        <x:v>0</x:v>
      </x:c>
      <x:c r="L414" s="17" t="n">
        <x:v>0</x:v>
      </x:c>
      <x:c r="M414" s="13" t="str">
        <x:v>Pago</x:v>
      </x:c>
      <x:c r="N414" s="13" t="str">
        <x:v>Sem cobrança</x:v>
      </x:c>
      <x:c r="O414" s="13" t="str">
        <x:v>Crescimento sem escala</x:v>
      </x:c>
      <x:c r="P414" s="17" t="n">
        <x:f>IF(D414="",0,J414-K414+L414)</x:f>
        <x:v>23694.89</x:v>
      </x:c>
      <x:c r="Q414" s="17" t="n">
        <x:f>MAX(J414-P414-K414,0)</x:f>
        <x:v>0</x:v>
      </x:c>
      <x:c r="R414" s="13" t="n">
        <x:f>IF(D414="",MAX(TODAY()-C414,0),MAX(D414-C414,0))</x:f>
        <x:v>0</x:v>
      </x:c>
      <x:c r="S414" s="13" t="str">
        <x:f>IF(R414=0,"Em dia",IF(R414&lt;=15,"1-15 dias",IF(R414&lt;=30,"16-30 dias",IF(R414&lt;=60,"31-60 dias","Acima de 60 dias"))))</x:f>
        <x:v>Em dia</x:v>
      </x:c>
    </x:row>
    <x:row r="415">
      <x:c r="A415" s="13" t="str">
        <x:v>REC-000414</x:v>
      </x:c>
      <x:c r="B415" s="23" t="n">
        <x:v>45485</x:v>
      </x:c>
      <x:c r="C415" s="23" t="n">
        <x:v>45506</x:v>
      </x:c>
      <x:c r="D415" s="23" t="n">
        <x:v>45502</x:v>
      </x:c>
      <x:c r="E415" s="13" t="str">
        <x:v>VAL-029</x:v>
      </x:c>
      <x:c r="F415" s="13" t="str">
        <x:v>Planobra Serviços</x:v>
      </x:c>
      <x:c r="G415" s="13" t="str">
        <x:v>Construção</x:v>
      </x:c>
      <x:c r="H415" s="13" t="str">
        <x:v>Baixo</x:v>
      </x:c>
      <x:c r="I415" s="13" t="str">
        <x:v>Essencial</x:v>
      </x:c>
      <x:c r="J415" s="17" t="n">
        <x:v>8507.14</x:v>
      </x:c>
      <x:c r="K415" s="17" t="n">
        <x:v>0</x:v>
      </x:c>
      <x:c r="L415" s="17" t="n">
        <x:v>0</x:v>
      </x:c>
      <x:c r="M415" s="13" t="str">
        <x:v>Pago</x:v>
      </x:c>
      <x:c r="N415" s="13" t="str">
        <x:v>Sem cobrança</x:v>
      </x:c>
      <x:c r="O415" s="13" t="str">
        <x:v>Crescimento sem escala</x:v>
      </x:c>
      <x:c r="P415" s="17" t="n">
        <x:f>IF(D415="",0,J415-K415+L415)</x:f>
        <x:v>8507.14</x:v>
      </x:c>
      <x:c r="Q415" s="17" t="n">
        <x:f>MAX(J415-P415-K415,0)</x:f>
        <x:v>0</x:v>
      </x:c>
      <x:c r="R415" s="13" t="n">
        <x:f>IF(D415="",MAX(TODAY()-C415,0),MAX(D415-C415,0))</x:f>
        <x:v>0</x:v>
      </x:c>
      <x:c r="S415" s="13" t="str">
        <x:f>IF(R415=0,"Em dia",IF(R415&lt;=15,"1-15 dias",IF(R415&lt;=30,"16-30 dias",IF(R415&lt;=60,"31-60 dias","Acima de 60 dias"))))</x:f>
        <x:v>Em dia</x:v>
      </x:c>
    </x:row>
    <x:row r="416">
      <x:c r="A416" s="13" t="str">
        <x:v>REC-000415</x:v>
      </x:c>
      <x:c r="B416" s="23" t="n">
        <x:v>45482</x:v>
      </x:c>
      <x:c r="C416" s="23" t="n">
        <x:v>45497</x:v>
      </x:c>
      <x:c r="D416" s="23" t="n">
        <x:v>45497</x:v>
      </x:c>
      <x:c r="E416" s="13" t="str">
        <x:v>VAL-017</x:v>
      </x:c>
      <x:c r="F416" s="13" t="str">
        <x:v>Centro Médico Vida</x:v>
      </x:c>
      <x:c r="G416" s="13" t="str">
        <x:v>Clínicas e Saúde</x:v>
      </x:c>
      <x:c r="H416" s="13" t="str">
        <x:v>Baixo</x:v>
      </x:c>
      <x:c r="I416" s="13" t="str">
        <x:v>Essencial</x:v>
      </x:c>
      <x:c r="J416" s="17" t="n">
        <x:v>9293.72</x:v>
      </x:c>
      <x:c r="K416" s="17" t="n">
        <x:v>0</x:v>
      </x:c>
      <x:c r="L416" s="17" t="n">
        <x:v>0</x:v>
      </x:c>
      <x:c r="M416" s="13" t="str">
        <x:v>Pago</x:v>
      </x:c>
      <x:c r="N416" s="13" t="str">
        <x:v>Sem cobrança</x:v>
      </x:c>
      <x:c r="O416" s="13" t="str">
        <x:v>Crescimento sem escala</x:v>
      </x:c>
      <x:c r="P416" s="17" t="n">
        <x:f>IF(D416="",0,J416-K416+L416)</x:f>
        <x:v>9293.72</x:v>
      </x:c>
      <x:c r="Q416" s="17" t="n">
        <x:f>MAX(J416-P416-K416,0)</x:f>
        <x:v>0</x:v>
      </x:c>
      <x:c r="R416" s="13" t="n">
        <x:f>IF(D416="",MAX(TODAY()-C416,0),MAX(D416-C416,0))</x:f>
        <x:v>0</x:v>
      </x:c>
      <x:c r="S416" s="13" t="str">
        <x:f>IF(R416=0,"Em dia",IF(R416&lt;=15,"1-15 dias",IF(R416&lt;=30,"16-30 dias",IF(R416&lt;=60,"31-60 dias","Acima de 60 dias"))))</x:f>
        <x:v>Em dia</x:v>
      </x:c>
    </x:row>
    <x:row r="417">
      <x:c r="A417" s="13" t="str">
        <x:v>REC-000416</x:v>
      </x:c>
      <x:c r="B417" s="23" t="n">
        <x:v>45477</x:v>
      </x:c>
      <x:c r="C417" s="23" t="n">
        <x:v>45507</x:v>
      </x:c>
      <x:c r="D417" s="23" t="n">
        <x:v>45505</x:v>
      </x:c>
      <x:c r="E417" s="13" t="str">
        <x:v>VAL-027</x:v>
      </x:c>
      <x:c r="F417" s="13" t="str">
        <x:v>Mais Lar Utilidades</x:v>
      </x:c>
      <x:c r="G417" s="13" t="str">
        <x:v>Varejo</x:v>
      </x:c>
      <x:c r="H417" s="13" t="str">
        <x:v>Baixo</x:v>
      </x:c>
      <x:c r="I417" s="13" t="str">
        <x:v>Performance</x:v>
      </x:c>
      <x:c r="J417" s="17" t="n">
        <x:v>3434.38</x:v>
      </x:c>
      <x:c r="K417" s="17" t="n">
        <x:v>0</x:v>
      </x:c>
      <x:c r="L417" s="17" t="n">
        <x:v>0</x:v>
      </x:c>
      <x:c r="M417" s="13" t="str">
        <x:v>Pago</x:v>
      </x:c>
      <x:c r="N417" s="13" t="str">
        <x:v>Sem cobrança</x:v>
      </x:c>
      <x:c r="O417" s="13" t="str">
        <x:v>Crescimento sem escala</x:v>
      </x:c>
      <x:c r="P417" s="17" t="n">
        <x:f>IF(D417="",0,J417-K417+L417)</x:f>
        <x:v>3434.38</x:v>
      </x:c>
      <x:c r="Q417" s="17" t="n">
        <x:f>MAX(J417-P417-K417,0)</x:f>
        <x:v>0</x:v>
      </x:c>
      <x:c r="R417" s="13" t="n">
        <x:f>IF(D417="",MAX(TODAY()-C417,0),MAX(D417-C417,0))</x:f>
        <x:v>0</x:v>
      </x:c>
      <x:c r="S417" s="13" t="str">
        <x:f>IF(R417=0,"Em dia",IF(R417&lt;=15,"1-15 dias",IF(R417&lt;=30,"16-30 dias",IF(R417&lt;=60,"31-60 dias","Acima de 60 dias"))))</x:f>
        <x:v>Em dia</x:v>
      </x:c>
    </x:row>
    <x:row r="418">
      <x:c r="A418" s="13" t="str">
        <x:v>REC-000417</x:v>
      </x:c>
      <x:c r="B418" s="23" t="n">
        <x:v>45474</x:v>
      </x:c>
      <x:c r="C418" s="23" t="n">
        <x:v>45502</x:v>
      </x:c>
      <x:c r="D418" s="23" t="n">
        <x:v>45498</x:v>
      </x:c>
      <x:c r="E418" s="13" t="str">
        <x:v>VAL-028</x:v>
      </x:c>
      <x:c r="F418" s="13" t="str">
        <x:v>Pixel Norte</x:v>
      </x:c>
      <x:c r="G418" s="13" t="str">
        <x:v>Tecnologia</x:v>
      </x:c>
      <x:c r="H418" s="13" t="str">
        <x:v>Alto</x:v>
      </x:c>
      <x:c r="I418" s="13" t="str">
        <x:v>Enterprise</x:v>
      </x:c>
      <x:c r="J418" s="17" t="n">
        <x:v>23674.07</x:v>
      </x:c>
      <x:c r="K418" s="17" t="n">
        <x:v>0</x:v>
      </x:c>
      <x:c r="L418" s="17" t="n">
        <x:v>0</x:v>
      </x:c>
      <x:c r="M418" s="13" t="str">
        <x:v>Pago</x:v>
      </x:c>
      <x:c r="N418" s="13" t="str">
        <x:v>Sem cobrança</x:v>
      </x:c>
      <x:c r="O418" s="13" t="str">
        <x:v>Crescimento sem escala</x:v>
      </x:c>
      <x:c r="P418" s="17" t="n">
        <x:f>IF(D418="",0,J418-K418+L418)</x:f>
        <x:v>23674.07</x:v>
      </x:c>
      <x:c r="Q418" s="17" t="n">
        <x:f>MAX(J418-P418-K418,0)</x:f>
        <x:v>0</x:v>
      </x:c>
      <x:c r="R418" s="13" t="n">
        <x:f>IF(D418="",MAX(TODAY()-C418,0),MAX(D418-C418,0))</x:f>
        <x:v>0</x:v>
      </x:c>
      <x:c r="S418" s="13" t="str">
        <x:f>IF(R418=0,"Em dia",IF(R418&lt;=15,"1-15 dias",IF(R418&lt;=30,"16-30 dias",IF(R418&lt;=60,"31-60 dias","Acima de 60 dias"))))</x:f>
        <x:v>Em dia</x:v>
      </x:c>
    </x:row>
    <x:row r="419">
      <x:c r="A419" s="13" t="str">
        <x:v>REC-000418</x:v>
      </x:c>
      <x:c r="B419" s="23" t="n">
        <x:v>45489</x:v>
      </x:c>
      <x:c r="C419" s="23" t="n">
        <x:v>45504</x:v>
      </x:c>
      <x:c r="D419" s="23" t="n">
        <x:v>45502</x:v>
      </x:c>
      <x:c r="E419" s="13" t="str">
        <x:v>VAL-010</x:v>
      </x:c>
      <x:c r="F419" s="13" t="str">
        <x:v>Atlas Contabilidade</x:v>
      </x:c>
      <x:c r="G419" s="13" t="str">
        <x:v>Serviços Profissionais</x:v>
      </x:c>
      <x:c r="H419" s="13" t="str">
        <x:v>Baixo</x:v>
      </x:c>
      <x:c r="I419" s="13" t="str">
        <x:v>Gestão</x:v>
      </x:c>
      <x:c r="J419" s="17" t="n">
        <x:v>26535.14</x:v>
      </x:c>
      <x:c r="K419" s="17" t="n">
        <x:v>154.33</x:v>
      </x:c>
      <x:c r="L419" s="17" t="n">
        <x:v>0</x:v>
      </x:c>
      <x:c r="M419" s="13" t="str">
        <x:v>Pago</x:v>
      </x:c>
      <x:c r="N419" s="13" t="str">
        <x:v>Sem cobrança</x:v>
      </x:c>
      <x:c r="O419" s="13" t="str">
        <x:v>Crescimento sem escala</x:v>
      </x:c>
      <x:c r="P419" s="17" t="n">
        <x:f>IF(D419="",0,J419-K419+L419)</x:f>
        <x:v>26380.809999999998</x:v>
      </x:c>
      <x:c r="Q419" s="17" t="n">
        <x:f>MAX(J419-P419-K419,0)</x:f>
        <x:v>1.7337242752546445e-12</x:v>
      </x:c>
      <x:c r="R419" s="13" t="n">
        <x:f>IF(D419="",MAX(TODAY()-C419,0),MAX(D419-C419,0))</x:f>
        <x:v>0</x:v>
      </x:c>
      <x:c r="S419" s="13" t="str">
        <x:f>IF(R419=0,"Em dia",IF(R419&lt;=15,"1-15 dias",IF(R419&lt;=30,"16-30 dias",IF(R419&lt;=60,"31-60 dias","Acima de 60 dias"))))</x:f>
        <x:v>Em dia</x:v>
      </x:c>
    </x:row>
    <x:row r="420">
      <x:c r="A420" s="13" t="str">
        <x:v>REC-000419</x:v>
      </x:c>
      <x:c r="B420" s="23" t="n">
        <x:v>45484</x:v>
      </x:c>
      <x:c r="C420" s="23" t="n">
        <x:v>45514</x:v>
      </x:c>
      <x:c r="D420" s="23" t="n">
        <x:v>45513</x:v>
      </x:c>
      <x:c r="E420" s="13" t="str">
        <x:v>VAL-028</x:v>
      </x:c>
      <x:c r="F420" s="13" t="str">
        <x:v>Pixel Norte</x:v>
      </x:c>
      <x:c r="G420" s="13" t="str">
        <x:v>Tecnologia</x:v>
      </x:c>
      <x:c r="H420" s="13" t="str">
        <x:v>Alto</x:v>
      </x:c>
      <x:c r="I420" s="13" t="str">
        <x:v>Enterprise</x:v>
      </x:c>
      <x:c r="J420" s="17" t="n">
        <x:v>27138.87</x:v>
      </x:c>
      <x:c r="K420" s="17" t="n">
        <x:v>392.68</x:v>
      </x:c>
      <x:c r="L420" s="17" t="n">
        <x:v>0</x:v>
      </x:c>
      <x:c r="M420" s="13" t="str">
        <x:v>Pago</x:v>
      </x:c>
      <x:c r="N420" s="13" t="str">
        <x:v>Sem cobrança</x:v>
      </x:c>
      <x:c r="O420" s="13" t="str">
        <x:v>Crescimento sem escala</x:v>
      </x:c>
      <x:c r="P420" s="17" t="n">
        <x:f>IF(D420="",0,J420-K420+L420)</x:f>
        <x:v>26746.19</x:v>
      </x:c>
      <x:c r="Q420" s="17" t="n">
        <x:f>MAX(J420-P420-K420,0)</x:f>
        <x:v>2.8421709430404007e-13</x:v>
      </x:c>
      <x:c r="R420" s="13" t="n">
        <x:f>IF(D420="",MAX(TODAY()-C420,0),MAX(D420-C420,0))</x:f>
        <x:v>0</x:v>
      </x:c>
      <x:c r="S420" s="13" t="str">
        <x:f>IF(R420=0,"Em dia",IF(R420&lt;=15,"1-15 dias",IF(R420&lt;=30,"16-30 dias",IF(R420&lt;=60,"31-60 dias","Acima de 60 dias"))))</x:f>
        <x:v>Em dia</x:v>
      </x:c>
    </x:row>
    <x:row r="421">
      <x:c r="A421" s="13" t="str">
        <x:v>REC-000420</x:v>
      </x:c>
      <x:c r="B421" s="23" t="n">
        <x:v>45491</x:v>
      </x:c>
      <x:c r="C421" s="23" t="n">
        <x:v>45512</x:v>
      </x:c>
      <x:c r="D421" s="23" t="n">
        <x:v>45508</x:v>
      </x:c>
      <x:c r="E421" s="13" t="str">
        <x:v>VAL-018</x:v>
      </x:c>
      <x:c r="F421" s="13" t="str">
        <x:v>Ponto Legal Advocacia</x:v>
      </x:c>
      <x:c r="G421" s="13" t="str">
        <x:v>Serviços Profissionais</x:v>
      </x:c>
      <x:c r="H421" s="13" t="str">
        <x:v>Baixo</x:v>
      </x:c>
      <x:c r="I421" s="13" t="str">
        <x:v>Gestão</x:v>
      </x:c>
      <x:c r="J421" s="17" t="n">
        <x:v>26086.14</x:v>
      </x:c>
      <x:c r="K421" s="17" t="n">
        <x:v>212.42</x:v>
      </x:c>
      <x:c r="L421" s="17" t="n">
        <x:v>0</x:v>
      </x:c>
      <x:c r="M421" s="13" t="str">
        <x:v>Pago</x:v>
      </x:c>
      <x:c r="N421" s="13" t="str">
        <x:v>Sem cobrança</x:v>
      </x:c>
      <x:c r="O421" s="13" t="str">
        <x:v>Crescimento sem escala</x:v>
      </x:c>
      <x:c r="P421" s="17" t="n">
        <x:f>IF(D421="",0,J421-K421+L421)</x:f>
        <x:v>25873.72</x:v>
      </x:c>
      <x:c r="Q421" s="17" t="n">
        <x:f>MAX(J421-P421-K421,0)</x:f>
        <x:v>0</x:v>
      </x:c>
      <x:c r="R421" s="13" t="n">
        <x:f>IF(D421="",MAX(TODAY()-C421,0),MAX(D421-C421,0))</x:f>
        <x:v>0</x:v>
      </x:c>
      <x:c r="S421" s="13" t="str">
        <x:f>IF(R421=0,"Em dia",IF(R421&lt;=15,"1-15 dias",IF(R421&lt;=30,"16-30 dias",IF(R421&lt;=60,"31-60 dias","Acima de 60 dias"))))</x:f>
        <x:v>Em dia</x:v>
      </x:c>
    </x:row>
    <x:row r="422">
      <x:c r="A422" s="13" t="str">
        <x:v>REC-000421</x:v>
      </x:c>
      <x:c r="B422" s="23" t="n">
        <x:v>45515</x:v>
      </x:c>
      <x:c r="C422" s="23" t="n">
        <x:v>45522</x:v>
      </x:c>
      <x:c r="D422" s="23" t="n">
        <x:v>45544</x:v>
      </x:c>
      <x:c r="E422" s="13" t="str">
        <x:v>VAL-015</x:v>
      </x:c>
      <x:c r="F422" s="13" t="str">
        <x:v>Mercado Click</x:v>
      </x:c>
      <x:c r="G422" s="13" t="str">
        <x:v>E-commerce</x:v>
      </x:c>
      <x:c r="H422" s="13" t="str">
        <x:v>Baixo</x:v>
      </x:c>
      <x:c r="I422" s="13" t="str">
        <x:v>Performance</x:v>
      </x:c>
      <x:c r="J422" s="17" t="n">
        <x:v>2416.9</x:v>
      </x:c>
      <x:c r="K422" s="17" t="n">
        <x:v>0</x:v>
      </x:c>
      <x:c r="L422" s="17" t="n">
        <x:v>34.56</x:v>
      </x:c>
      <x:c r="M422" s="13" t="str">
        <x:v>Pago com atraso</x:v>
      </x:c>
      <x:c r="N422" s="13" t="str">
        <x:v>E-mail</x:v>
      </x:c>
      <x:c r="O422" s="13" t="str">
        <x:v>Crescimento sem escala</x:v>
      </x:c>
      <x:c r="P422" s="17" t="n">
        <x:f>IF(D422="",0,J422-K422+L422)</x:f>
        <x:v>2451.46</x:v>
      </x:c>
      <x:c r="Q422" s="17" t="n">
        <x:f>MAX(J422-P422-K422,0)</x:f>
        <x:v>0</x:v>
      </x:c>
      <x:c r="R422" s="13" t="n">
        <x:f>IF(D422="",MAX(TODAY()-C422,0),MAX(D422-C422,0))</x:f>
        <x:v>22</x:v>
      </x:c>
      <x:c r="S422" s="13" t="str">
        <x:f>IF(R422=0,"Em dia",IF(R422&lt;=15,"1-15 dias",IF(R422&lt;=30,"16-30 dias",IF(R422&lt;=60,"31-60 dias","Acima de 60 dias"))))</x:f>
        <x:v>16-30 dias</x:v>
      </x:c>
    </x:row>
    <x:row r="423">
      <x:c r="A423" s="13" t="str">
        <x:v>REC-000422</x:v>
      </x:c>
      <x:c r="B423" s="23" t="n">
        <x:v>45507</x:v>
      </x:c>
      <x:c r="C423" s="23" t="n">
        <x:v>45522</x:v>
      </x:c>
      <x:c r="D423" s="23" t="n">
        <x:v>45556</x:v>
      </x:c>
      <x:c r="E423" s="13" t="str">
        <x:v>VAL-016</x:v>
      </x:c>
      <x:c r="F423" s="13" t="str">
        <x:v>Lumina Embalagens</x:v>
      </x:c>
      <x:c r="G423" s="13" t="str">
        <x:v>Indústria Leve</x:v>
      </x:c>
      <x:c r="H423" s="13" t="str">
        <x:v>Baixo</x:v>
      </x:c>
      <x:c r="I423" s="13" t="str">
        <x:v>Enterprise</x:v>
      </x:c>
      <x:c r="J423" s="17" t="n">
        <x:v>24476.67</x:v>
      </x:c>
      <x:c r="K423" s="17" t="n">
        <x:v>0</x:v>
      </x:c>
      <x:c r="L423" s="17" t="n">
        <x:v>540.93</x:v>
      </x:c>
      <x:c r="M423" s="13" t="str">
        <x:v>Pago com atraso</x:v>
      </x:c>
      <x:c r="N423" s="13" t="str">
        <x:v>Telefone</x:v>
      </x:c>
      <x:c r="O423" s="13" t="str">
        <x:v>Crescimento sem escala</x:v>
      </x:c>
      <x:c r="P423" s="17" t="n">
        <x:f>IF(D423="",0,J423-K423+L423)</x:f>
        <x:v>25017.6</x:v>
      </x:c>
      <x:c r="Q423" s="17" t="n">
        <x:f>MAX(J423-P423-K423,0)</x:f>
        <x:v>0</x:v>
      </x:c>
      <x:c r="R423" s="13" t="n">
        <x:f>IF(D423="",MAX(TODAY()-C423,0),MAX(D423-C423,0))</x:f>
        <x:v>34</x:v>
      </x:c>
      <x:c r="S423" s="13" t="str">
        <x:f>IF(R423=0,"Em dia",IF(R423&lt;=15,"1-15 dias",IF(R423&lt;=30,"16-30 dias",IF(R423&lt;=60,"31-60 dias","Acima de 60 dias"))))</x:f>
        <x:v>31-60 dias</x:v>
      </x:c>
    </x:row>
    <x:row r="424">
      <x:c r="A424" s="13" t="str">
        <x:v>REC-000423</x:v>
      </x:c>
      <x:c r="B424" s="23" t="n">
        <x:v>45509</x:v>
      </x:c>
      <x:c r="C424" s="23" t="n">
        <x:v>45516</x:v>
      </x:c>
      <x:c r="D424" s="23" t="n">
        <x:v>45514</x:v>
      </x:c>
      <x:c r="E424" s="13" t="str">
        <x:v>VAL-022</x:v>
      </x:c>
      <x:c r="F424" s="13" t="str">
        <x:v>Academia Evoluir</x:v>
      </x:c>
      <x:c r="G424" s="13" t="str">
        <x:v>Educação</x:v>
      </x:c>
      <x:c r="H424" s="13" t="str">
        <x:v>Alto</x:v>
      </x:c>
      <x:c r="I424" s="13" t="str">
        <x:v>Gestão</x:v>
      </x:c>
      <x:c r="J424" s="17" t="n">
        <x:v>18623.7</x:v>
      </x:c>
      <x:c r="K424" s="17" t="n">
        <x:v>0</x:v>
      </x:c>
      <x:c r="L424" s="17" t="n">
        <x:v>0</x:v>
      </x:c>
      <x:c r="M424" s="13" t="str">
        <x:v>Pago</x:v>
      </x:c>
      <x:c r="N424" s="13" t="str">
        <x:v>Sem cobrança</x:v>
      </x:c>
      <x:c r="O424" s="13" t="str">
        <x:v>Crescimento sem escala</x:v>
      </x:c>
      <x:c r="P424" s="17" t="n">
        <x:f>IF(D424="",0,J424-K424+L424)</x:f>
        <x:v>18623.7</x:v>
      </x:c>
      <x:c r="Q424" s="17" t="n">
        <x:f>MAX(J424-P424-K424,0)</x:f>
        <x:v>0</x:v>
      </x:c>
      <x:c r="R424" s="13" t="n">
        <x:f>IF(D424="",MAX(TODAY()-C424,0),MAX(D424-C424,0))</x:f>
        <x:v>0</x:v>
      </x:c>
      <x:c r="S424" s="13" t="str">
        <x:f>IF(R424=0,"Em dia",IF(R424&lt;=15,"1-15 dias",IF(R424&lt;=30,"16-30 dias",IF(R424&lt;=60,"31-60 dias","Acima de 60 dias"))))</x:f>
        <x:v>Em dia</x:v>
      </x:c>
    </x:row>
    <x:row r="425">
      <x:c r="A425" s="13" t="str">
        <x:v>REC-000424</x:v>
      </x:c>
      <x:c r="B425" s="23" t="n">
        <x:v>45509</x:v>
      </x:c>
      <x:c r="C425" s="23" t="n">
        <x:v>45530</x:v>
      </x:c>
      <x:c r="D425" s="23"/>
      <x:c r="E425" s="13" t="str">
        <x:v>VAL-026</x:v>
      </x:c>
      <x:c r="F425" s="13" t="str">
        <x:v>Ribeiro Arquitetura</x:v>
      </x:c>
      <x:c r="G425" s="13" t="str">
        <x:v>Serviços Profissionais</x:v>
      </x:c>
      <x:c r="H425" s="13" t="str">
        <x:v>Baixo</x:v>
      </x:c>
      <x:c r="I425" s="13" t="str">
        <x:v>Gestão</x:v>
      </x:c>
      <x:c r="J425" s="17" t="n">
        <x:v>11978.55</x:v>
      </x:c>
      <x:c r="K425" s="17" t="n">
        <x:v>0</x:v>
      </x:c>
      <x:c r="L425" s="17" t="n">
        <x:v>0</x:v>
      </x:c>
      <x:c r="M425" s="13" t="str">
        <x:v>Em aberto</x:v>
      </x:c>
      <x:c r="N425" s="13" t="str">
        <x:v>Negociação</x:v>
      </x:c>
      <x:c r="O425" s="13" t="str">
        <x:v>Crescimento sem escala</x:v>
      </x:c>
      <x:c r="P425" s="17" t="n">
        <x:f>IF(D425="",0,J425-K425+L425)</x:f>
        <x:v>0</x:v>
      </x:c>
      <x:c r="Q425" s="17" t="n">
        <x:f>MAX(J425-P425-K425,0)</x:f>
        <x:v>11978.55</x:v>
      </x:c>
      <x:c r="R425" s="13" t="n">
        <x:f>IF(D425="",MAX(TODAY()-C425,0),MAX(D425-C425,0))</x:f>
        <x:v>683</x:v>
      </x:c>
      <x:c r="S425" s="13" t="str">
        <x:f>IF(R425=0,"Em dia",IF(R425&lt;=15,"1-15 dias",IF(R425&lt;=30,"16-30 dias",IF(R425&lt;=60,"31-60 dias","Acima de 60 dias"))))</x:f>
        <x:v>Acima de 60 dias</x:v>
      </x:c>
    </x:row>
    <x:row r="426">
      <x:c r="A426" s="13" t="str">
        <x:v>REC-000425</x:v>
      </x:c>
      <x:c r="B426" s="23" t="n">
        <x:v>45518</x:v>
      </x:c>
      <x:c r="C426" s="23" t="n">
        <x:v>45548</x:v>
      </x:c>
      <x:c r="D426" s="23" t="n">
        <x:v>45544</x:v>
      </x:c>
      <x:c r="E426" s="13" t="str">
        <x:v>VAL-016</x:v>
      </x:c>
      <x:c r="F426" s="13" t="str">
        <x:v>Lumina Embalagens</x:v>
      </x:c>
      <x:c r="G426" s="13" t="str">
        <x:v>Indústria Leve</x:v>
      </x:c>
      <x:c r="H426" s="13" t="str">
        <x:v>Baixo</x:v>
      </x:c>
      <x:c r="I426" s="13" t="str">
        <x:v>Enterprise</x:v>
      </x:c>
      <x:c r="J426" s="17" t="n">
        <x:v>4369.92</x:v>
      </x:c>
      <x:c r="K426" s="17" t="n">
        <x:v>0</x:v>
      </x:c>
      <x:c r="L426" s="17" t="n">
        <x:v>0</x:v>
      </x:c>
      <x:c r="M426" s="13" t="str">
        <x:v>Pago</x:v>
      </x:c>
      <x:c r="N426" s="13" t="str">
        <x:v>Sem cobrança</x:v>
      </x:c>
      <x:c r="O426" s="13" t="str">
        <x:v>Crescimento sem escala</x:v>
      </x:c>
      <x:c r="P426" s="17" t="n">
        <x:f>IF(D426="",0,J426-K426+L426)</x:f>
        <x:v>4369.92</x:v>
      </x:c>
      <x:c r="Q426" s="17" t="n">
        <x:f>MAX(J426-P426-K426,0)</x:f>
        <x:v>0</x:v>
      </x:c>
      <x:c r="R426" s="13" t="n">
        <x:f>IF(D426="",MAX(TODAY()-C426,0),MAX(D426-C426,0))</x:f>
        <x:v>0</x:v>
      </x:c>
      <x:c r="S426" s="13" t="str">
        <x:f>IF(R426=0,"Em dia",IF(R426&lt;=15,"1-15 dias",IF(R426&lt;=30,"16-30 dias",IF(R426&lt;=60,"31-60 dias","Acima de 60 dias"))))</x:f>
        <x:v>Em dia</x:v>
      </x:c>
    </x:row>
    <x:row r="427">
      <x:c r="A427" s="13" t="str">
        <x:v>REC-000426</x:v>
      </x:c>
      <x:c r="B427" s="23" t="n">
        <x:v>45507</x:v>
      </x:c>
      <x:c r="C427" s="23" t="n">
        <x:v>45522</x:v>
      </x:c>
      <x:c r="D427" s="23" t="n">
        <x:v>45522</x:v>
      </x:c>
      <x:c r="E427" s="13" t="str">
        <x:v>VAL-001</x:v>
      </x:c>
      <x:c r="F427" s="13" t="str">
        <x:v>Clínica Horizonte</x:v>
      </x:c>
      <x:c r="G427" s="13" t="str">
        <x:v>Clínicas e Saúde</x:v>
      </x:c>
      <x:c r="H427" s="13" t="str">
        <x:v>Baixo</x:v>
      </x:c>
      <x:c r="I427" s="13" t="str">
        <x:v>Essencial</x:v>
      </x:c>
      <x:c r="J427" s="17" t="n">
        <x:v>10314.99</x:v>
      </x:c>
      <x:c r="K427" s="17" t="n">
        <x:v>0</x:v>
      </x:c>
      <x:c r="L427" s="17" t="n">
        <x:v>0</x:v>
      </x:c>
      <x:c r="M427" s="13" t="str">
        <x:v>Pago</x:v>
      </x:c>
      <x:c r="N427" s="13" t="str">
        <x:v>Sem cobrança</x:v>
      </x:c>
      <x:c r="O427" s="13" t="str">
        <x:v>Crescimento sem escala</x:v>
      </x:c>
      <x:c r="P427" s="17" t="n">
        <x:f>IF(D427="",0,J427-K427+L427)</x:f>
        <x:v>10314.99</x:v>
      </x:c>
      <x:c r="Q427" s="17" t="n">
        <x:f>MAX(J427-P427-K427,0)</x:f>
        <x:v>0</x:v>
      </x:c>
      <x:c r="R427" s="13" t="n">
        <x:f>IF(D427="",MAX(TODAY()-C427,0),MAX(D427-C427,0))</x:f>
        <x:v>0</x:v>
      </x:c>
      <x:c r="S427" s="13" t="str">
        <x:f>IF(R427=0,"Em dia",IF(R427&lt;=15,"1-15 dias",IF(R427&lt;=30,"16-30 dias",IF(R427&lt;=60,"31-60 dias","Acima de 60 dias"))))</x:f>
        <x:v>Em dia</x:v>
      </x:c>
    </x:row>
    <x:row r="428">
      <x:c r="A428" s="13" t="str">
        <x:v>REC-000427</x:v>
      </x:c>
      <x:c r="B428" s="23" t="n">
        <x:v>45513</x:v>
      </x:c>
      <x:c r="C428" s="23" t="n">
        <x:v>45528</x:v>
      </x:c>
      <x:c r="D428" s="23" t="n">
        <x:v>45524</x:v>
      </x:c>
      <x:c r="E428" s="13" t="str">
        <x:v>VAL-030</x:v>
      </x:c>
      <x:c r="F428" s="13" t="str">
        <x:v>Mundo Kids Cursos</x:v>
      </x:c>
      <x:c r="G428" s="13" t="str">
        <x:v>Educação</x:v>
      </x:c>
      <x:c r="H428" s="13" t="str">
        <x:v>Alto</x:v>
      </x:c>
      <x:c r="I428" s="13" t="str">
        <x:v>Gestão</x:v>
      </x:c>
      <x:c r="J428" s="17" t="n">
        <x:v>16350.71</x:v>
      </x:c>
      <x:c r="K428" s="17" t="n">
        <x:v>0</x:v>
      </x:c>
      <x:c r="L428" s="17" t="n">
        <x:v>0</x:v>
      </x:c>
      <x:c r="M428" s="13" t="str">
        <x:v>Pago</x:v>
      </x:c>
      <x:c r="N428" s="13" t="str">
        <x:v>Sem cobrança</x:v>
      </x:c>
      <x:c r="O428" s="13" t="str">
        <x:v>Crescimento sem escala</x:v>
      </x:c>
      <x:c r="P428" s="17" t="n">
        <x:f>IF(D428="",0,J428-K428+L428)</x:f>
        <x:v>16350.71</x:v>
      </x:c>
      <x:c r="Q428" s="17" t="n">
        <x:f>MAX(J428-P428-K428,0)</x:f>
        <x:v>0</x:v>
      </x:c>
      <x:c r="R428" s="13" t="n">
        <x:f>IF(D428="",MAX(TODAY()-C428,0),MAX(D428-C428,0))</x:f>
        <x:v>0</x:v>
      </x:c>
      <x:c r="S428" s="13" t="str">
        <x:f>IF(R428=0,"Em dia",IF(R428&lt;=15,"1-15 dias",IF(R428&lt;=30,"16-30 dias",IF(R428&lt;=60,"31-60 dias","Acima de 60 dias"))))</x:f>
        <x:v>Em dia</x:v>
      </x:c>
    </x:row>
    <x:row r="429">
      <x:c r="A429" s="13" t="str">
        <x:v>REC-000428</x:v>
      </x:c>
      <x:c r="B429" s="23" t="n">
        <x:v>45513</x:v>
      </x:c>
      <x:c r="C429" s="23" t="n">
        <x:v>45520</x:v>
      </x:c>
      <x:c r="D429" s="23" t="n">
        <x:v>45520</x:v>
      </x:c>
      <x:c r="E429" s="13" t="str">
        <x:v>VAL-030</x:v>
      </x:c>
      <x:c r="F429" s="13" t="str">
        <x:v>Mundo Kids Cursos</x:v>
      </x:c>
      <x:c r="G429" s="13" t="str">
        <x:v>Educação</x:v>
      </x:c>
      <x:c r="H429" s="13" t="str">
        <x:v>Alto</x:v>
      </x:c>
      <x:c r="I429" s="13" t="str">
        <x:v>Gestão</x:v>
      </x:c>
      <x:c r="J429" s="17" t="n">
        <x:v>7797.35</x:v>
      </x:c>
      <x:c r="K429" s="17" t="n">
        <x:v>0</x:v>
      </x:c>
      <x:c r="L429" s="17" t="n">
        <x:v>0</x:v>
      </x:c>
      <x:c r="M429" s="13" t="str">
        <x:v>Pago</x:v>
      </x:c>
      <x:c r="N429" s="13" t="str">
        <x:v>Sem cobrança</x:v>
      </x:c>
      <x:c r="O429" s="13" t="str">
        <x:v>Crescimento sem escala</x:v>
      </x:c>
      <x:c r="P429" s="17" t="n">
        <x:f>IF(D429="",0,J429-K429+L429)</x:f>
        <x:v>7797.35</x:v>
      </x:c>
      <x:c r="Q429" s="17" t="n">
        <x:f>MAX(J429-P429-K429,0)</x:f>
        <x:v>0</x:v>
      </x:c>
      <x:c r="R429" s="13" t="n">
        <x:f>IF(D429="",MAX(TODAY()-C429,0),MAX(D429-C429,0))</x:f>
        <x:v>0</x:v>
      </x:c>
      <x:c r="S429" s="13" t="str">
        <x:f>IF(R429=0,"Em dia",IF(R429&lt;=15,"1-15 dias",IF(R429&lt;=30,"16-30 dias",IF(R429&lt;=60,"31-60 dias","Acima de 60 dias"))))</x:f>
        <x:v>Em dia</x:v>
      </x:c>
    </x:row>
    <x:row r="430">
      <x:c r="A430" s="13" t="str">
        <x:v>REC-000429</x:v>
      </x:c>
      <x:c r="B430" s="23" t="n">
        <x:v>45506</x:v>
      </x:c>
      <x:c r="C430" s="23" t="n">
        <x:v>45536</x:v>
      </x:c>
      <x:c r="D430" s="23" t="n">
        <x:v>45533</x:v>
      </x:c>
      <x:c r="E430" s="13" t="str">
        <x:v>VAL-023</x:v>
      </x:c>
      <x:c r="F430" s="13" t="str">
        <x:v>ShopMix Brasil</x:v>
      </x:c>
      <x:c r="G430" s="13" t="str">
        <x:v>E-commerce</x:v>
      </x:c>
      <x:c r="H430" s="13" t="str">
        <x:v>Baixo</x:v>
      </x:c>
      <x:c r="I430" s="13" t="str">
        <x:v>Performance</x:v>
      </x:c>
      <x:c r="J430" s="17" t="n">
        <x:v>30347.19</x:v>
      </x:c>
      <x:c r="K430" s="17" t="n">
        <x:v>0</x:v>
      </x:c>
      <x:c r="L430" s="17" t="n">
        <x:v>0</x:v>
      </x:c>
      <x:c r="M430" s="13" t="str">
        <x:v>Pago</x:v>
      </x:c>
      <x:c r="N430" s="13" t="str">
        <x:v>Sem cobrança</x:v>
      </x:c>
      <x:c r="O430" s="13" t="str">
        <x:v>Crescimento sem escala</x:v>
      </x:c>
      <x:c r="P430" s="17" t="n">
        <x:f>IF(D430="",0,J430-K430+L430)</x:f>
        <x:v>30347.19</x:v>
      </x:c>
      <x:c r="Q430" s="17" t="n">
        <x:f>MAX(J430-P430-K430,0)</x:f>
        <x:v>0</x:v>
      </x:c>
      <x:c r="R430" s="13" t="n">
        <x:f>IF(D430="",MAX(TODAY()-C430,0),MAX(D430-C430,0))</x:f>
        <x:v>0</x:v>
      </x:c>
      <x:c r="S430" s="13" t="str">
        <x:f>IF(R430=0,"Em dia",IF(R430&lt;=15,"1-15 dias",IF(R430&lt;=30,"16-30 dias",IF(R430&lt;=60,"31-60 dias","Acima de 60 dias"))))</x:f>
        <x:v>Em dia</x:v>
      </x:c>
    </x:row>
    <x:row r="431">
      <x:c r="A431" s="13" t="str">
        <x:v>REC-000430</x:v>
      </x:c>
      <x:c r="B431" s="23" t="n">
        <x:v>45520</x:v>
      </x:c>
      <x:c r="C431" s="23" t="n">
        <x:v>45535</x:v>
      </x:c>
      <x:c r="D431" s="23" t="n">
        <x:v>45533</x:v>
      </x:c>
      <x:c r="E431" s="13" t="str">
        <x:v>VAL-020</x:v>
      </x:c>
      <x:c r="F431" s="13" t="str">
        <x:v>Corelink Digital</x:v>
      </x:c>
      <x:c r="G431" s="13" t="str">
        <x:v>Tecnologia</x:v>
      </x:c>
      <x:c r="H431" s="13" t="str">
        <x:v>Baixo</x:v>
      </x:c>
      <x:c r="I431" s="13" t="str">
        <x:v>Enterprise</x:v>
      </x:c>
      <x:c r="J431" s="17" t="n">
        <x:v>26827.37</x:v>
      </x:c>
      <x:c r="K431" s="17" t="n">
        <x:v>0</x:v>
      </x:c>
      <x:c r="L431" s="17" t="n">
        <x:v>0</x:v>
      </x:c>
      <x:c r="M431" s="13" t="str">
        <x:v>Pago</x:v>
      </x:c>
      <x:c r="N431" s="13" t="str">
        <x:v>Sem cobrança</x:v>
      </x:c>
      <x:c r="O431" s="13" t="str">
        <x:v>Crescimento sem escala</x:v>
      </x:c>
      <x:c r="P431" s="17" t="n">
        <x:f>IF(D431="",0,J431-K431+L431)</x:f>
        <x:v>26827.37</x:v>
      </x:c>
      <x:c r="Q431" s="17" t="n">
        <x:f>MAX(J431-P431-K431,0)</x:f>
        <x:v>0</x:v>
      </x:c>
      <x:c r="R431" s="13" t="n">
        <x:f>IF(D431="",MAX(TODAY()-C431,0),MAX(D431-C431,0))</x:f>
        <x:v>0</x:v>
      </x:c>
      <x:c r="S431" s="13" t="str">
        <x:f>IF(R431=0,"Em dia",IF(R431&lt;=15,"1-15 dias",IF(R431&lt;=30,"16-30 dias",IF(R431&lt;=60,"31-60 dias","Acima de 60 dias"))))</x:f>
        <x:v>Em dia</x:v>
      </x:c>
    </x:row>
    <x:row r="432">
      <x:c r="A432" s="13" t="str">
        <x:v>REC-000431</x:v>
      </x:c>
      <x:c r="B432" s="23" t="n">
        <x:v>45516</x:v>
      </x:c>
      <x:c r="C432" s="23" t="n">
        <x:v>45537</x:v>
      </x:c>
      <x:c r="D432" s="23" t="n">
        <x:v>45536</x:v>
      </x:c>
      <x:c r="E432" s="13" t="str">
        <x:v>VAL-027</x:v>
      </x:c>
      <x:c r="F432" s="13" t="str">
        <x:v>Mais Lar Utilidades</x:v>
      </x:c>
      <x:c r="G432" s="13" t="str">
        <x:v>Varejo</x:v>
      </x:c>
      <x:c r="H432" s="13" t="str">
        <x:v>Baixo</x:v>
      </x:c>
      <x:c r="I432" s="13" t="str">
        <x:v>Performance</x:v>
      </x:c>
      <x:c r="J432" s="17" t="n">
        <x:v>23225.07</x:v>
      </x:c>
      <x:c r="K432" s="17" t="n">
        <x:v>0</x:v>
      </x:c>
      <x:c r="L432" s="17" t="n">
        <x:v>0</x:v>
      </x:c>
      <x:c r="M432" s="13" t="str">
        <x:v>Pago</x:v>
      </x:c>
      <x:c r="N432" s="13" t="str">
        <x:v>Sem cobrança</x:v>
      </x:c>
      <x:c r="O432" s="13" t="str">
        <x:v>Crescimento sem escala</x:v>
      </x:c>
      <x:c r="P432" s="17" t="n">
        <x:f>IF(D432="",0,J432-K432+L432)</x:f>
        <x:v>23225.07</x:v>
      </x:c>
      <x:c r="Q432" s="17" t="n">
        <x:f>MAX(J432-P432-K432,0)</x:f>
        <x:v>0</x:v>
      </x:c>
      <x:c r="R432" s="13" t="n">
        <x:f>IF(D432="",MAX(TODAY()-C432,0),MAX(D432-C432,0))</x:f>
        <x:v>0</x:v>
      </x:c>
      <x:c r="S432" s="13" t="str">
        <x:f>IF(R432=0,"Em dia",IF(R432&lt;=15,"1-15 dias",IF(R432&lt;=30,"16-30 dias",IF(R432&lt;=60,"31-60 dias","Acima de 60 dias"))))</x:f>
        <x:v>Em dia</x:v>
      </x:c>
    </x:row>
    <x:row r="433">
      <x:c r="A433" s="13" t="str">
        <x:v>REC-000432</x:v>
      </x:c>
      <x:c r="B433" s="23" t="n">
        <x:v>45521</x:v>
      </x:c>
      <x:c r="C433" s="23" t="n">
        <x:v>45536</x:v>
      </x:c>
      <x:c r="D433" s="23" t="n">
        <x:v>45532</x:v>
      </x:c>
      <x:c r="E433" s="13" t="str">
        <x:v>VAL-028</x:v>
      </x:c>
      <x:c r="F433" s="13" t="str">
        <x:v>Pixel Norte</x:v>
      </x:c>
      <x:c r="G433" s="13" t="str">
        <x:v>Tecnologia</x:v>
      </x:c>
      <x:c r="H433" s="13" t="str">
        <x:v>Alto</x:v>
      </x:c>
      <x:c r="I433" s="13" t="str">
        <x:v>Enterprise</x:v>
      </x:c>
      <x:c r="J433" s="17" t="n">
        <x:v>24630.31</x:v>
      </x:c>
      <x:c r="K433" s="17" t="n">
        <x:v>0</x:v>
      </x:c>
      <x:c r="L433" s="17" t="n">
        <x:v>0</x:v>
      </x:c>
      <x:c r="M433" s="13" t="str">
        <x:v>Pago</x:v>
      </x:c>
      <x:c r="N433" s="13" t="str">
        <x:v>Sem cobrança</x:v>
      </x:c>
      <x:c r="O433" s="13" t="str">
        <x:v>Crescimento sem escala</x:v>
      </x:c>
      <x:c r="P433" s="17" t="n">
        <x:f>IF(D433="",0,J433-K433+L433)</x:f>
        <x:v>24630.31</x:v>
      </x:c>
      <x:c r="Q433" s="17" t="n">
        <x:f>MAX(J433-P433-K433,0)</x:f>
        <x:v>0</x:v>
      </x:c>
      <x:c r="R433" s="13" t="n">
        <x:f>IF(D433="",MAX(TODAY()-C433,0),MAX(D433-C433,0))</x:f>
        <x:v>0</x:v>
      </x:c>
      <x:c r="S433" s="13" t="str">
        <x:f>IF(R433=0,"Em dia",IF(R433&lt;=15,"1-15 dias",IF(R433&lt;=30,"16-30 dias",IF(R433&lt;=60,"31-60 dias","Acima de 60 dias"))))</x:f>
        <x:v>Em dia</x:v>
      </x:c>
    </x:row>
    <x:row r="434">
      <x:c r="A434" s="13" t="str">
        <x:v>REC-000433</x:v>
      </x:c>
      <x:c r="B434" s="23" t="n">
        <x:v>45511</x:v>
      </x:c>
      <x:c r="C434" s="23" t="n">
        <x:v>45532</x:v>
      </x:c>
      <x:c r="D434" s="23" t="n">
        <x:v>45528</x:v>
      </x:c>
      <x:c r="E434" s="13" t="str">
        <x:v>VAL-016</x:v>
      </x:c>
      <x:c r="F434" s="13" t="str">
        <x:v>Lumina Embalagens</x:v>
      </x:c>
      <x:c r="G434" s="13" t="str">
        <x:v>Indústria Leve</x:v>
      </x:c>
      <x:c r="H434" s="13" t="str">
        <x:v>Baixo</x:v>
      </x:c>
      <x:c r="I434" s="13" t="str">
        <x:v>Enterprise</x:v>
      </x:c>
      <x:c r="J434" s="17" t="n">
        <x:v>20327.52</x:v>
      </x:c>
      <x:c r="K434" s="17" t="n">
        <x:v>0</x:v>
      </x:c>
      <x:c r="L434" s="17" t="n">
        <x:v>0</x:v>
      </x:c>
      <x:c r="M434" s="13" t="str">
        <x:v>Pago</x:v>
      </x:c>
      <x:c r="N434" s="13" t="str">
        <x:v>Sem cobrança</x:v>
      </x:c>
      <x:c r="O434" s="13" t="str">
        <x:v>Crescimento sem escala</x:v>
      </x:c>
      <x:c r="P434" s="17" t="n">
        <x:f>IF(D434="",0,J434-K434+L434)</x:f>
        <x:v>20327.52</x:v>
      </x:c>
      <x:c r="Q434" s="17" t="n">
        <x:f>MAX(J434-P434-K434,0)</x:f>
        <x:v>0</x:v>
      </x:c>
      <x:c r="R434" s="13" t="n">
        <x:f>IF(D434="",MAX(TODAY()-C434,0),MAX(D434-C434,0))</x:f>
        <x:v>0</x:v>
      </x:c>
      <x:c r="S434" s="13" t="str">
        <x:f>IF(R434=0,"Em dia",IF(R434&lt;=15,"1-15 dias",IF(R434&lt;=30,"16-30 dias",IF(R434&lt;=60,"31-60 dias","Acima de 60 dias"))))</x:f>
        <x:v>Em dia</x:v>
      </x:c>
    </x:row>
    <x:row r="435">
      <x:c r="A435" s="13" t="str">
        <x:v>REC-000434</x:v>
      </x:c>
      <x:c r="B435" s="23" t="n">
        <x:v>45522</x:v>
      </x:c>
      <x:c r="C435" s="23" t="n">
        <x:v>45529</x:v>
      </x:c>
      <x:c r="D435" s="23" t="n">
        <x:v>45529</x:v>
      </x:c>
      <x:c r="E435" s="13" t="str">
        <x:v>VAL-025</x:v>
      </x:c>
      <x:c r="F435" s="13" t="str">
        <x:v>Bem-Estar Terapias</x:v>
      </x:c>
      <x:c r="G435" s="13" t="str">
        <x:v>Clínicas e Saúde</x:v>
      </x:c>
      <x:c r="H435" s="13" t="str">
        <x:v>Baixo</x:v>
      </x:c>
      <x:c r="I435" s="13" t="str">
        <x:v>Essencial</x:v>
      </x:c>
      <x:c r="J435" s="17" t="n">
        <x:v>3137.1</x:v>
      </x:c>
      <x:c r="K435" s="17" t="n">
        <x:v>0</x:v>
      </x:c>
      <x:c r="L435" s="17" t="n">
        <x:v>0</x:v>
      </x:c>
      <x:c r="M435" s="13" t="str">
        <x:v>Pago</x:v>
      </x:c>
      <x:c r="N435" s="13" t="str">
        <x:v>Sem cobrança</x:v>
      </x:c>
      <x:c r="O435" s="13" t="str">
        <x:v>Crescimento sem escala</x:v>
      </x:c>
      <x:c r="P435" s="17" t="n">
        <x:f>IF(D435="",0,J435-K435+L435)</x:f>
        <x:v>3137.1</x:v>
      </x:c>
      <x:c r="Q435" s="17" t="n">
        <x:f>MAX(J435-P435-K435,0)</x:f>
        <x:v>0</x:v>
      </x:c>
      <x:c r="R435" s="13" t="n">
        <x:f>IF(D435="",MAX(TODAY()-C435,0),MAX(D435-C435,0))</x:f>
        <x:v>0</x:v>
      </x:c>
      <x:c r="S435" s="13" t="str">
        <x:f>IF(R435=0,"Em dia",IF(R435&lt;=15,"1-15 dias",IF(R435&lt;=30,"16-30 dias",IF(R435&lt;=60,"31-60 dias","Acima de 60 dias"))))</x:f>
        <x:v>Em dia</x:v>
      </x:c>
    </x:row>
    <x:row r="436">
      <x:c r="A436" s="13" t="str">
        <x:v>REC-000435</x:v>
      </x:c>
      <x:c r="B436" s="23" t="n">
        <x:v>45519</x:v>
      </x:c>
      <x:c r="C436" s="23" t="n">
        <x:v>45540</x:v>
      </x:c>
      <x:c r="D436" s="23" t="n">
        <x:v>45546</x:v>
      </x:c>
      <x:c r="E436" s="13" t="str">
        <x:v>VAL-020</x:v>
      </x:c>
      <x:c r="F436" s="13" t="str">
        <x:v>Corelink Digital</x:v>
      </x:c>
      <x:c r="G436" s="13" t="str">
        <x:v>Tecnologia</x:v>
      </x:c>
      <x:c r="H436" s="13" t="str">
        <x:v>Baixo</x:v>
      </x:c>
      <x:c r="I436" s="13" t="str">
        <x:v>Enterprise</x:v>
      </x:c>
      <x:c r="J436" s="17" t="n">
        <x:v>11389.57</x:v>
      </x:c>
      <x:c r="K436" s="17" t="n">
        <x:v>0</x:v>
      </x:c>
      <x:c r="L436" s="17" t="n">
        <x:v>44.42</x:v>
      </x:c>
      <x:c r="M436" s="13" t="str">
        <x:v>Pago com atraso</x:v>
      </x:c>
      <x:c r="N436" s="13" t="str">
        <x:v>Telefone</x:v>
      </x:c>
      <x:c r="O436" s="13" t="str">
        <x:v>Crescimento sem escala</x:v>
      </x:c>
      <x:c r="P436" s="17" t="n">
        <x:f>IF(D436="",0,J436-K436+L436)</x:f>
        <x:v>11433.99</x:v>
      </x:c>
      <x:c r="Q436" s="17" t="n">
        <x:f>MAX(J436-P436-K436,0)</x:f>
        <x:v>0</x:v>
      </x:c>
      <x:c r="R436" s="13" t="n">
        <x:f>IF(D436="",MAX(TODAY()-C436,0),MAX(D436-C436,0))</x:f>
        <x:v>6</x:v>
      </x:c>
      <x:c r="S436" s="13" t="str">
        <x:f>IF(R436=0,"Em dia",IF(R436&lt;=15,"1-15 dias",IF(R436&lt;=30,"16-30 dias",IF(R436&lt;=60,"31-60 dias","Acima de 60 dias"))))</x:f>
        <x:v>1-15 dias</x:v>
      </x:c>
    </x:row>
    <x:row r="437">
      <x:c r="A437" s="13" t="str">
        <x:v>REC-000436</x:v>
      </x:c>
      <x:c r="B437" s="23" t="n">
        <x:v>45508</x:v>
      </x:c>
      <x:c r="C437" s="23" t="n">
        <x:v>45536</x:v>
      </x:c>
      <x:c r="D437" s="23" t="n">
        <x:v>45534</x:v>
      </x:c>
      <x:c r="E437" s="13" t="str">
        <x:v>VAL-027</x:v>
      </x:c>
      <x:c r="F437" s="13" t="str">
        <x:v>Mais Lar Utilidades</x:v>
      </x:c>
      <x:c r="G437" s="13" t="str">
        <x:v>Varejo</x:v>
      </x:c>
      <x:c r="H437" s="13" t="str">
        <x:v>Baixo</x:v>
      </x:c>
      <x:c r="I437" s="13" t="str">
        <x:v>Performance</x:v>
      </x:c>
      <x:c r="J437" s="17" t="n">
        <x:v>25792.64</x:v>
      </x:c>
      <x:c r="K437" s="17" t="n">
        <x:v>0</x:v>
      </x:c>
      <x:c r="L437" s="17" t="n">
        <x:v>0</x:v>
      </x:c>
      <x:c r="M437" s="13" t="str">
        <x:v>Pago</x:v>
      </x:c>
      <x:c r="N437" s="13" t="str">
        <x:v>Sem cobrança</x:v>
      </x:c>
      <x:c r="O437" s="13" t="str">
        <x:v>Crescimento sem escala</x:v>
      </x:c>
      <x:c r="P437" s="17" t="n">
        <x:f>IF(D437="",0,J437-K437+L437)</x:f>
        <x:v>25792.64</x:v>
      </x:c>
      <x:c r="Q437" s="17" t="n">
        <x:f>MAX(J437-P437-K437,0)</x:f>
        <x:v>0</x:v>
      </x:c>
      <x:c r="R437" s="13" t="n">
        <x:f>IF(D437="",MAX(TODAY()-C437,0),MAX(D437-C437,0))</x:f>
        <x:v>0</x:v>
      </x:c>
      <x:c r="S437" s="13" t="str">
        <x:f>IF(R437=0,"Em dia",IF(R437&lt;=15,"1-15 dias",IF(R437&lt;=30,"16-30 dias",IF(R437&lt;=60,"31-60 dias","Acima de 60 dias"))))</x:f>
        <x:v>Em dia</x:v>
      </x:c>
    </x:row>
    <x:row r="438">
      <x:c r="A438" s="13" t="str">
        <x:v>REC-000437</x:v>
      </x:c>
      <x:c r="B438" s="23" t="n">
        <x:v>45514</x:v>
      </x:c>
      <x:c r="C438" s="23" t="n">
        <x:v>45542</x:v>
      </x:c>
      <x:c r="D438" s="23" t="n">
        <x:v>45539</x:v>
      </x:c>
      <x:c r="E438" s="13" t="str">
        <x:v>VAL-020</x:v>
      </x:c>
      <x:c r="F438" s="13" t="str">
        <x:v>Corelink Digital</x:v>
      </x:c>
      <x:c r="G438" s="13" t="str">
        <x:v>Tecnologia</x:v>
      </x:c>
      <x:c r="H438" s="13" t="str">
        <x:v>Baixo</x:v>
      </x:c>
      <x:c r="I438" s="13" t="str">
        <x:v>Enterprise</x:v>
      </x:c>
      <x:c r="J438" s="17" t="n">
        <x:v>33941.53</x:v>
      </x:c>
      <x:c r="K438" s="17" t="n">
        <x:v>0</x:v>
      </x:c>
      <x:c r="L438" s="17" t="n">
        <x:v>0</x:v>
      </x:c>
      <x:c r="M438" s="13" t="str">
        <x:v>Pago</x:v>
      </x:c>
      <x:c r="N438" s="13" t="str">
        <x:v>Sem cobrança</x:v>
      </x:c>
      <x:c r="O438" s="13" t="str">
        <x:v>Crescimento sem escala</x:v>
      </x:c>
      <x:c r="P438" s="17" t="n">
        <x:f>IF(D438="",0,J438-K438+L438)</x:f>
        <x:v>33941.53</x:v>
      </x:c>
      <x:c r="Q438" s="17" t="n">
        <x:f>MAX(J438-P438-K438,0)</x:f>
        <x:v>0</x:v>
      </x:c>
      <x:c r="R438" s="13" t="n">
        <x:f>IF(D438="",MAX(TODAY()-C438,0),MAX(D438-C438,0))</x:f>
        <x:v>0</x:v>
      </x:c>
      <x:c r="S438" s="13" t="str">
        <x:f>IF(R438=0,"Em dia",IF(R438&lt;=15,"1-15 dias",IF(R438&lt;=30,"16-30 dias",IF(R438&lt;=60,"31-60 dias","Acima de 60 dias"))))</x:f>
        <x:v>Em dia</x:v>
      </x:c>
    </x:row>
    <x:row r="439">
      <x:c r="A439" s="13" t="str">
        <x:v>REC-000438</x:v>
      </x:c>
      <x:c r="B439" s="23" t="n">
        <x:v>45505</x:v>
      </x:c>
      <x:c r="C439" s="23" t="n">
        <x:v>45533</x:v>
      </x:c>
      <x:c r="D439" s="23" t="n">
        <x:v>45531</x:v>
      </x:c>
      <x:c r="E439" s="13" t="str">
        <x:v>VAL-027</x:v>
      </x:c>
      <x:c r="F439" s="13" t="str">
        <x:v>Mais Lar Utilidades</x:v>
      </x:c>
      <x:c r="G439" s="13" t="str">
        <x:v>Varejo</x:v>
      </x:c>
      <x:c r="H439" s="13" t="str">
        <x:v>Baixo</x:v>
      </x:c>
      <x:c r="I439" s="13" t="str">
        <x:v>Performance</x:v>
      </x:c>
      <x:c r="J439" s="17" t="n">
        <x:v>17808.45</x:v>
      </x:c>
      <x:c r="K439" s="17" t="n">
        <x:v>0</x:v>
      </x:c>
      <x:c r="L439" s="17" t="n">
        <x:v>0</x:v>
      </x:c>
      <x:c r="M439" s="13" t="str">
        <x:v>Pago</x:v>
      </x:c>
      <x:c r="N439" s="13" t="str">
        <x:v>Sem cobrança</x:v>
      </x:c>
      <x:c r="O439" s="13" t="str">
        <x:v>Crescimento sem escala</x:v>
      </x:c>
      <x:c r="P439" s="17" t="n">
        <x:f>IF(D439="",0,J439-K439+L439)</x:f>
        <x:v>17808.45</x:v>
      </x:c>
      <x:c r="Q439" s="17" t="n">
        <x:f>MAX(J439-P439-K439,0)</x:f>
        <x:v>0</x:v>
      </x:c>
      <x:c r="R439" s="13" t="n">
        <x:f>IF(D439="",MAX(TODAY()-C439,0),MAX(D439-C439,0))</x:f>
        <x:v>0</x:v>
      </x:c>
      <x:c r="S439" s="13" t="str">
        <x:f>IF(R439=0,"Em dia",IF(R439&lt;=15,"1-15 dias",IF(R439&lt;=30,"16-30 dias",IF(R439&lt;=60,"31-60 dias","Acima de 60 dias"))))</x:f>
        <x:v>Em dia</x:v>
      </x:c>
    </x:row>
    <x:row r="440">
      <x:c r="A440" s="13" t="str">
        <x:v>REC-000439</x:v>
      </x:c>
      <x:c r="B440" s="23" t="n">
        <x:v>45511</x:v>
      </x:c>
      <x:c r="C440" s="23" t="n">
        <x:v>45541</x:v>
      </x:c>
      <x:c r="D440" s="23" t="n">
        <x:v>45540</x:v>
      </x:c>
      <x:c r="E440" s="13" t="str">
        <x:v>VAL-030</x:v>
      </x:c>
      <x:c r="F440" s="13" t="str">
        <x:v>Mundo Kids Cursos</x:v>
      </x:c>
      <x:c r="G440" s="13" t="str">
        <x:v>Educação</x:v>
      </x:c>
      <x:c r="H440" s="13" t="str">
        <x:v>Alto</x:v>
      </x:c>
      <x:c r="I440" s="13" t="str">
        <x:v>Gestão</x:v>
      </x:c>
      <x:c r="J440" s="17" t="n">
        <x:v>4817.32</x:v>
      </x:c>
      <x:c r="K440" s="17" t="n">
        <x:v>60.88</x:v>
      </x:c>
      <x:c r="L440" s="17" t="n">
        <x:v>0</x:v>
      </x:c>
      <x:c r="M440" s="13" t="str">
        <x:v>Pago</x:v>
      </x:c>
      <x:c r="N440" s="13" t="str">
        <x:v>Sem cobrança</x:v>
      </x:c>
      <x:c r="O440" s="13" t="str">
        <x:v>Crescimento sem escala</x:v>
      </x:c>
      <x:c r="P440" s="17" t="n">
        <x:f>IF(D440="",0,J440-K440+L440)</x:f>
        <x:v>4756.44</x:v>
      </x:c>
      <x:c r="Q440" s="17" t="n">
        <x:f>MAX(J440-P440-K440,0)</x:f>
        <x:v>1.0658141036401503e-13</x:v>
      </x:c>
      <x:c r="R440" s="13" t="n">
        <x:f>IF(D440="",MAX(TODAY()-C440,0),MAX(D440-C440,0))</x:f>
        <x:v>0</x:v>
      </x:c>
      <x:c r="S440" s="13" t="str">
        <x:f>IF(R440=0,"Em dia",IF(R440&lt;=15,"1-15 dias",IF(R440&lt;=30,"16-30 dias",IF(R440&lt;=60,"31-60 dias","Acima de 60 dias"))))</x:f>
        <x:v>Em dia</x:v>
      </x:c>
    </x:row>
    <x:row r="441">
      <x:c r="A441" s="13" t="str">
        <x:v>REC-000440</x:v>
      </x:c>
      <x:c r="B441" s="23" t="n">
        <x:v>45522</x:v>
      </x:c>
      <x:c r="C441" s="23" t="n">
        <x:v>45543</x:v>
      </x:c>
      <x:c r="D441" s="23" t="n">
        <x:v>45539</x:v>
      </x:c>
      <x:c r="E441" s="13" t="str">
        <x:v>VAL-004</x:v>
      </x:c>
      <x:c r="F441" s="13" t="str">
        <x:v>NuvemBase Tecnologia</x:v>
      </x:c>
      <x:c r="G441" s="13" t="str">
        <x:v>Tecnologia</x:v>
      </x:c>
      <x:c r="H441" s="13" t="str">
        <x:v>Baixo</x:v>
      </x:c>
      <x:c r="I441" s="13" t="str">
        <x:v>Enterprise</x:v>
      </x:c>
      <x:c r="J441" s="17" t="n">
        <x:v>17936.7</x:v>
      </x:c>
      <x:c r="K441" s="17" t="n">
        <x:v>0</x:v>
      </x:c>
      <x:c r="L441" s="17" t="n">
        <x:v>0</x:v>
      </x:c>
      <x:c r="M441" s="13" t="str">
        <x:v>Pago</x:v>
      </x:c>
      <x:c r="N441" s="13" t="str">
        <x:v>Sem cobrança</x:v>
      </x:c>
      <x:c r="O441" s="13" t="str">
        <x:v>Crescimento sem escala</x:v>
      </x:c>
      <x:c r="P441" s="17" t="n">
        <x:f>IF(D441="",0,J441-K441+L441)</x:f>
        <x:v>17936.7</x:v>
      </x:c>
      <x:c r="Q441" s="17" t="n">
        <x:f>MAX(J441-P441-K441,0)</x:f>
        <x:v>0</x:v>
      </x:c>
      <x:c r="R441" s="13" t="n">
        <x:f>IF(D441="",MAX(TODAY()-C441,0),MAX(D441-C441,0))</x:f>
        <x:v>0</x:v>
      </x:c>
      <x:c r="S441" s="13" t="str">
        <x:f>IF(R441=0,"Em dia",IF(R441&lt;=15,"1-15 dias",IF(R441&lt;=30,"16-30 dias",IF(R441&lt;=60,"31-60 dias","Acima de 60 dias"))))</x:f>
        <x:v>Em dia</x:v>
      </x:c>
    </x:row>
    <x:row r="442">
      <x:c r="A442" s="13" t="str">
        <x:v>REC-000441</x:v>
      </x:c>
      <x:c r="B442" s="23" t="n">
        <x:v>45521</x:v>
      </x:c>
      <x:c r="C442" s="23" t="n">
        <x:v>45549</x:v>
      </x:c>
      <x:c r="D442" s="23" t="n">
        <x:v>45547</x:v>
      </x:c>
      <x:c r="E442" s="13" t="str">
        <x:v>VAL-009</x:v>
      </x:c>
      <x:c r="F442" s="13" t="str">
        <x:v>Odonto Prime</x:v>
      </x:c>
      <x:c r="G442" s="13" t="str">
        <x:v>Clínicas e Saúde</x:v>
      </x:c>
      <x:c r="H442" s="13" t="str">
        <x:v>Médio</x:v>
      </x:c>
      <x:c r="I442" s="13" t="str">
        <x:v>Essencial</x:v>
      </x:c>
      <x:c r="J442" s="17" t="n">
        <x:v>11777.35</x:v>
      </x:c>
      <x:c r="K442" s="17" t="n">
        <x:v>0</x:v>
      </x:c>
      <x:c r="L442" s="17" t="n">
        <x:v>0</x:v>
      </x:c>
      <x:c r="M442" s="13" t="str">
        <x:v>Pago</x:v>
      </x:c>
      <x:c r="N442" s="13" t="str">
        <x:v>Sem cobrança</x:v>
      </x:c>
      <x:c r="O442" s="13" t="str">
        <x:v>Crescimento sem escala</x:v>
      </x:c>
      <x:c r="P442" s="17" t="n">
        <x:f>IF(D442="",0,J442-K442+L442)</x:f>
        <x:v>11777.35</x:v>
      </x:c>
      <x:c r="Q442" s="17" t="n">
        <x:f>MAX(J442-P442-K442,0)</x:f>
        <x:v>0</x:v>
      </x:c>
      <x:c r="R442" s="13" t="n">
        <x:f>IF(D442="",MAX(TODAY()-C442,0),MAX(D442-C442,0))</x:f>
        <x:v>0</x:v>
      </x:c>
      <x:c r="S442" s="13" t="str">
        <x:f>IF(R442=0,"Em dia",IF(R442&lt;=15,"1-15 dias",IF(R442&lt;=30,"16-30 dias",IF(R442&lt;=60,"31-60 dias","Acima de 60 dias"))))</x:f>
        <x:v>Em dia</x:v>
      </x:c>
    </x:row>
    <x:row r="443">
      <x:c r="A443" s="13" t="str">
        <x:v>REC-000442</x:v>
      </x:c>
      <x:c r="B443" s="23" t="n">
        <x:v>45507</x:v>
      </x:c>
      <x:c r="C443" s="23" t="n">
        <x:v>45514</x:v>
      </x:c>
      <x:c r="D443" s="23" t="n">
        <x:v>45513</x:v>
      </x:c>
      <x:c r="E443" s="13" t="str">
        <x:v>VAL-013</x:v>
      </x:c>
      <x:c r="F443" s="13" t="str">
        <x:v>Engenharia Vértice</x:v>
      </x:c>
      <x:c r="G443" s="13" t="str">
        <x:v>Construção</x:v>
      </x:c>
      <x:c r="H443" s="13" t="str">
        <x:v>Baixo</x:v>
      </x:c>
      <x:c r="I443" s="13" t="str">
        <x:v>Essencial</x:v>
      </x:c>
      <x:c r="J443" s="17" t="n">
        <x:v>6314.77</x:v>
      </x:c>
      <x:c r="K443" s="17" t="n">
        <x:v>0</x:v>
      </x:c>
      <x:c r="L443" s="17" t="n">
        <x:v>0</x:v>
      </x:c>
      <x:c r="M443" s="13" t="str">
        <x:v>Pago</x:v>
      </x:c>
      <x:c r="N443" s="13" t="str">
        <x:v>Sem cobrança</x:v>
      </x:c>
      <x:c r="O443" s="13" t="str">
        <x:v>Crescimento sem escala</x:v>
      </x:c>
      <x:c r="P443" s="17" t="n">
        <x:f>IF(D443="",0,J443-K443+L443)</x:f>
        <x:v>6314.77</x:v>
      </x:c>
      <x:c r="Q443" s="17" t="n">
        <x:f>MAX(J443-P443-K443,0)</x:f>
        <x:v>0</x:v>
      </x:c>
      <x:c r="R443" s="13" t="n">
        <x:f>IF(D443="",MAX(TODAY()-C443,0),MAX(D443-C443,0))</x:f>
        <x:v>0</x:v>
      </x:c>
      <x:c r="S443" s="13" t="str">
        <x:f>IF(R443=0,"Em dia",IF(R443&lt;=15,"1-15 dias",IF(R443&lt;=30,"16-30 dias",IF(R443&lt;=60,"31-60 dias","Acima de 60 dias"))))</x:f>
        <x:v>Em dia</x:v>
      </x:c>
    </x:row>
    <x:row r="444">
      <x:c r="A444" s="13" t="str">
        <x:v>REC-000443</x:v>
      </x:c>
      <x:c r="B444" s="23" t="n">
        <x:v>45522</x:v>
      </x:c>
      <x:c r="C444" s="23" t="n">
        <x:v>45550</x:v>
      </x:c>
      <x:c r="D444" s="23" t="n">
        <x:v>45546</x:v>
      </x:c>
      <x:c r="E444" s="13" t="str">
        <x:v>VAL-015</x:v>
      </x:c>
      <x:c r="F444" s="13" t="str">
        <x:v>Mercado Click</x:v>
      </x:c>
      <x:c r="G444" s="13" t="str">
        <x:v>E-commerce</x:v>
      </x:c>
      <x:c r="H444" s="13" t="str">
        <x:v>Baixo</x:v>
      </x:c>
      <x:c r="I444" s="13" t="str">
        <x:v>Performance</x:v>
      </x:c>
      <x:c r="J444" s="17" t="n">
        <x:v>1717.23</x:v>
      </x:c>
      <x:c r="K444" s="17" t="n">
        <x:v>0</x:v>
      </x:c>
      <x:c r="L444" s="17" t="n">
        <x:v>0</x:v>
      </x:c>
      <x:c r="M444" s="13" t="str">
        <x:v>Pago</x:v>
      </x:c>
      <x:c r="N444" s="13" t="str">
        <x:v>Sem cobrança</x:v>
      </x:c>
      <x:c r="O444" s="13" t="str">
        <x:v>Crescimento sem escala</x:v>
      </x:c>
      <x:c r="P444" s="17" t="n">
        <x:f>IF(D444="",0,J444-K444+L444)</x:f>
        <x:v>1717.23</x:v>
      </x:c>
      <x:c r="Q444" s="17" t="n">
        <x:f>MAX(J444-P444-K444,0)</x:f>
        <x:v>0</x:v>
      </x:c>
      <x:c r="R444" s="13" t="n">
        <x:f>IF(D444="",MAX(TODAY()-C444,0),MAX(D444-C444,0))</x:f>
        <x:v>0</x:v>
      </x:c>
      <x:c r="S444" s="13" t="str">
        <x:f>IF(R444=0,"Em dia",IF(R444&lt;=15,"1-15 dias",IF(R444&lt;=30,"16-30 dias",IF(R444&lt;=60,"31-60 dias","Acima de 60 dias"))))</x:f>
        <x:v>Em dia</x:v>
      </x:c>
    </x:row>
    <x:row r="445">
      <x:c r="A445" s="13" t="str">
        <x:v>REC-000444</x:v>
      </x:c>
      <x:c r="B445" s="23" t="n">
        <x:v>45515</x:v>
      </x:c>
      <x:c r="C445" s="23" t="n">
        <x:v>45545</x:v>
      </x:c>
      <x:c r="D445" s="23" t="n">
        <x:v>45544</x:v>
      </x:c>
      <x:c r="E445" s="13" t="str">
        <x:v>VAL-012</x:v>
      </x:c>
      <x:c r="F445" s="13" t="str">
        <x:v>DataFlow Sistemas</x:v>
      </x:c>
      <x:c r="G445" s="13" t="str">
        <x:v>Tecnologia</x:v>
      </x:c>
      <x:c r="H445" s="13" t="str">
        <x:v>Médio</x:v>
      </x:c>
      <x:c r="I445" s="13" t="str">
        <x:v>Enterprise</x:v>
      </x:c>
      <x:c r="J445" s="17" t="n">
        <x:v>19624.11</x:v>
      </x:c>
      <x:c r="K445" s="17" t="n">
        <x:v>0</x:v>
      </x:c>
      <x:c r="L445" s="17" t="n">
        <x:v>0</x:v>
      </x:c>
      <x:c r="M445" s="13" t="str">
        <x:v>Pago</x:v>
      </x:c>
      <x:c r="N445" s="13" t="str">
        <x:v>Sem cobrança</x:v>
      </x:c>
      <x:c r="O445" s="13" t="str">
        <x:v>Crescimento sem escala</x:v>
      </x:c>
      <x:c r="P445" s="17" t="n">
        <x:f>IF(D445="",0,J445-K445+L445)</x:f>
        <x:v>19624.11</x:v>
      </x:c>
      <x:c r="Q445" s="17" t="n">
        <x:f>MAX(J445-P445-K445,0)</x:f>
        <x:v>0</x:v>
      </x:c>
      <x:c r="R445" s="13" t="n">
        <x:f>IF(D445="",MAX(TODAY()-C445,0),MAX(D445-C445,0))</x:f>
        <x:v>0</x:v>
      </x:c>
      <x:c r="S445" s="13" t="str">
        <x:f>IF(R445=0,"Em dia",IF(R445&lt;=15,"1-15 dias",IF(R445&lt;=30,"16-30 dias",IF(R445&lt;=60,"31-60 dias","Acima de 60 dias"))))</x:f>
        <x:v>Em dia</x:v>
      </x:c>
    </x:row>
    <x:row r="446">
      <x:c r="A446" s="13" t="str">
        <x:v>REC-000445</x:v>
      </x:c>
      <x:c r="B446" s="23" t="n">
        <x:v>45511</x:v>
      </x:c>
      <x:c r="C446" s="23" t="n">
        <x:v>45518</x:v>
      </x:c>
      <x:c r="D446" s="23" t="n">
        <x:v>45515</x:v>
      </x:c>
      <x:c r="E446" s="13" t="str">
        <x:v>VAL-026</x:v>
      </x:c>
      <x:c r="F446" s="13" t="str">
        <x:v>Ribeiro Arquitetura</x:v>
      </x:c>
      <x:c r="G446" s="13" t="str">
        <x:v>Serviços Profissionais</x:v>
      </x:c>
      <x:c r="H446" s="13" t="str">
        <x:v>Baixo</x:v>
      </x:c>
      <x:c r="I446" s="13" t="str">
        <x:v>Gestão</x:v>
      </x:c>
      <x:c r="J446" s="17" t="n">
        <x:v>27780.04</x:v>
      </x:c>
      <x:c r="K446" s="17" t="n">
        <x:v>357.31</x:v>
      </x:c>
      <x:c r="L446" s="17" t="n">
        <x:v>0</x:v>
      </x:c>
      <x:c r="M446" s="13" t="str">
        <x:v>Pago</x:v>
      </x:c>
      <x:c r="N446" s="13" t="str">
        <x:v>Sem cobrança</x:v>
      </x:c>
      <x:c r="O446" s="13" t="str">
        <x:v>Crescimento sem escala</x:v>
      </x:c>
      <x:c r="P446" s="17" t="n">
        <x:f>IF(D446="",0,J446-K446+L446)</x:f>
        <x:v>27422.73</x:v>
      </x:c>
      <x:c r="Q446" s="17" t="n">
        <x:f>MAX(J446-P446-K446,0)</x:f>
        <x:v>1.3073986337985843e-12</x:v>
      </x:c>
      <x:c r="R446" s="13" t="n">
        <x:f>IF(D446="",MAX(TODAY()-C446,0),MAX(D446-C446,0))</x:f>
        <x:v>0</x:v>
      </x:c>
      <x:c r="S446" s="13" t="str">
        <x:f>IF(R446=0,"Em dia",IF(R446&lt;=15,"1-15 dias",IF(R446&lt;=30,"16-30 dias",IF(R446&lt;=60,"31-60 dias","Acima de 60 dias"))))</x:f>
        <x:v>Em dia</x:v>
      </x:c>
    </x:row>
    <x:row r="447">
      <x:c r="A447" s="13" t="str">
        <x:v>REC-000446</x:v>
      </x:c>
      <x:c r="B447" s="23" t="n">
        <x:v>45511</x:v>
      </x:c>
      <x:c r="C447" s="23" t="n">
        <x:v>45541</x:v>
      </x:c>
      <x:c r="D447" s="23" t="n">
        <x:v>45537</x:v>
      </x:c>
      <x:c r="E447" s="13" t="str">
        <x:v>VAL-001</x:v>
      </x:c>
      <x:c r="F447" s="13" t="str">
        <x:v>Clínica Horizonte</x:v>
      </x:c>
      <x:c r="G447" s="13" t="str">
        <x:v>Clínicas e Saúde</x:v>
      </x:c>
      <x:c r="H447" s="13" t="str">
        <x:v>Baixo</x:v>
      </x:c>
      <x:c r="I447" s="13" t="str">
        <x:v>Essencial</x:v>
      </x:c>
      <x:c r="J447" s="17" t="n">
        <x:v>9244.93</x:v>
      </x:c>
      <x:c r="K447" s="17" t="n">
        <x:v>0</x:v>
      </x:c>
      <x:c r="L447" s="17" t="n">
        <x:v>0</x:v>
      </x:c>
      <x:c r="M447" s="13" t="str">
        <x:v>Pago</x:v>
      </x:c>
      <x:c r="N447" s="13" t="str">
        <x:v>Sem cobrança</x:v>
      </x:c>
      <x:c r="O447" s="13" t="str">
        <x:v>Crescimento sem escala</x:v>
      </x:c>
      <x:c r="P447" s="17" t="n">
        <x:f>IF(D447="",0,J447-K447+L447)</x:f>
        <x:v>9244.93</x:v>
      </x:c>
      <x:c r="Q447" s="17" t="n">
        <x:f>MAX(J447-P447-K447,0)</x:f>
        <x:v>0</x:v>
      </x:c>
      <x:c r="R447" s="13" t="n">
        <x:f>IF(D447="",MAX(TODAY()-C447,0),MAX(D447-C447,0))</x:f>
        <x:v>0</x:v>
      </x:c>
      <x:c r="S447" s="13" t="str">
        <x:f>IF(R447=0,"Em dia",IF(R447&lt;=15,"1-15 dias",IF(R447&lt;=30,"16-30 dias",IF(R447&lt;=60,"31-60 dias","Acima de 60 dias"))))</x:f>
        <x:v>Em dia</x:v>
      </x:c>
    </x:row>
    <x:row r="448">
      <x:c r="A448" s="13" t="str">
        <x:v>REC-000447</x:v>
      </x:c>
      <x:c r="B448" s="23" t="n">
        <x:v>45517</x:v>
      </x:c>
      <x:c r="C448" s="23" t="n">
        <x:v>45524</x:v>
      </x:c>
      <x:c r="D448" s="23" t="n">
        <x:v>45523</x:v>
      </x:c>
      <x:c r="E448" s="13" t="str">
        <x:v>VAL-007</x:v>
      </x:c>
      <x:c r="F448" s="13" t="str">
        <x:v>Loja Prisma Online</x:v>
      </x:c>
      <x:c r="G448" s="13" t="str">
        <x:v>E-commerce</x:v>
      </x:c>
      <x:c r="H448" s="13" t="str">
        <x:v>Médio</x:v>
      </x:c>
      <x:c r="I448" s="13" t="str">
        <x:v>Performance</x:v>
      </x:c>
      <x:c r="J448" s="17" t="n">
        <x:v>3905.98</x:v>
      </x:c>
      <x:c r="K448" s="17" t="n">
        <x:v>0</x:v>
      </x:c>
      <x:c r="L448" s="17" t="n">
        <x:v>0</x:v>
      </x:c>
      <x:c r="M448" s="13" t="str">
        <x:v>Pago</x:v>
      </x:c>
      <x:c r="N448" s="13" t="str">
        <x:v>Sem cobrança</x:v>
      </x:c>
      <x:c r="O448" s="13" t="str">
        <x:v>Crescimento sem escala</x:v>
      </x:c>
      <x:c r="P448" s="17" t="n">
        <x:f>IF(D448="",0,J448-K448+L448)</x:f>
        <x:v>3905.98</x:v>
      </x:c>
      <x:c r="Q448" s="17" t="n">
        <x:f>MAX(J448-P448-K448,0)</x:f>
        <x:v>0</x:v>
      </x:c>
      <x:c r="R448" s="13" t="n">
        <x:f>IF(D448="",MAX(TODAY()-C448,0),MAX(D448-C448,0))</x:f>
        <x:v>0</x:v>
      </x:c>
      <x:c r="S448" s="13" t="str">
        <x:f>IF(R448=0,"Em dia",IF(R448&lt;=15,"1-15 dias",IF(R448&lt;=30,"16-30 dias",IF(R448&lt;=60,"31-60 dias","Acima de 60 dias"))))</x:f>
        <x:v>Em dia</x:v>
      </x:c>
    </x:row>
    <x:row r="449">
      <x:c r="A449" s="13" t="str">
        <x:v>REC-000448</x:v>
      </x:c>
      <x:c r="B449" s="23" t="n">
        <x:v>45509</x:v>
      </x:c>
      <x:c r="C449" s="23" t="n">
        <x:v>45516</x:v>
      </x:c>
      <x:c r="D449" s="23" t="n">
        <x:v>45513</x:v>
      </x:c>
      <x:c r="E449" s="13" t="str">
        <x:v>VAL-029</x:v>
      </x:c>
      <x:c r="F449" s="13" t="str">
        <x:v>Planobra Serviços</x:v>
      </x:c>
      <x:c r="G449" s="13" t="str">
        <x:v>Construção</x:v>
      </x:c>
      <x:c r="H449" s="13" t="str">
        <x:v>Baixo</x:v>
      </x:c>
      <x:c r="I449" s="13" t="str">
        <x:v>Essencial</x:v>
      </x:c>
      <x:c r="J449" s="17" t="n">
        <x:v>26618.84</x:v>
      </x:c>
      <x:c r="K449" s="17" t="n">
        <x:v>0</x:v>
      </x:c>
      <x:c r="L449" s="17" t="n">
        <x:v>0</x:v>
      </x:c>
      <x:c r="M449" s="13" t="str">
        <x:v>Pago</x:v>
      </x:c>
      <x:c r="N449" s="13" t="str">
        <x:v>Sem cobrança</x:v>
      </x:c>
      <x:c r="O449" s="13" t="str">
        <x:v>Crescimento sem escala</x:v>
      </x:c>
      <x:c r="P449" s="17" t="n">
        <x:f>IF(D449="",0,J449-K449+L449)</x:f>
        <x:v>26618.84</x:v>
      </x:c>
      <x:c r="Q449" s="17" t="n">
        <x:f>MAX(J449-P449-K449,0)</x:f>
        <x:v>0</x:v>
      </x:c>
      <x:c r="R449" s="13" t="n">
        <x:f>IF(D449="",MAX(TODAY()-C449,0),MAX(D449-C449,0))</x:f>
        <x:v>0</x:v>
      </x:c>
      <x:c r="S449" s="13" t="str">
        <x:f>IF(R449=0,"Em dia",IF(R449&lt;=15,"1-15 dias",IF(R449&lt;=30,"16-30 dias",IF(R449&lt;=60,"31-60 dias","Acima de 60 dias"))))</x:f>
        <x:v>Em dia</x:v>
      </x:c>
    </x:row>
    <x:row r="450">
      <x:c r="A450" s="13" t="str">
        <x:v>REC-000449</x:v>
      </x:c>
      <x:c r="B450" s="23" t="n">
        <x:v>45523</x:v>
      </x:c>
      <x:c r="C450" s="23" t="n">
        <x:v>45530</x:v>
      </x:c>
      <x:c r="D450" s="23" t="n">
        <x:v>45529</x:v>
      </x:c>
      <x:c r="E450" s="13" t="str">
        <x:v>VAL-025</x:v>
      </x:c>
      <x:c r="F450" s="13" t="str">
        <x:v>Bem-Estar Terapias</x:v>
      </x:c>
      <x:c r="G450" s="13" t="str">
        <x:v>Clínicas e Saúde</x:v>
      </x:c>
      <x:c r="H450" s="13" t="str">
        <x:v>Baixo</x:v>
      </x:c>
      <x:c r="I450" s="13" t="str">
        <x:v>Essencial</x:v>
      </x:c>
      <x:c r="J450" s="17" t="n">
        <x:v>16989.26</x:v>
      </x:c>
      <x:c r="K450" s="17" t="n">
        <x:v>0</x:v>
      </x:c>
      <x:c r="L450" s="17" t="n">
        <x:v>0</x:v>
      </x:c>
      <x:c r="M450" s="13" t="str">
        <x:v>Pago</x:v>
      </x:c>
      <x:c r="N450" s="13" t="str">
        <x:v>Sem cobrança</x:v>
      </x:c>
      <x:c r="O450" s="13" t="str">
        <x:v>Crescimento sem escala</x:v>
      </x:c>
      <x:c r="P450" s="17" t="n">
        <x:f>IF(D450="",0,J450-K450+L450)</x:f>
        <x:v>16989.26</x:v>
      </x:c>
      <x:c r="Q450" s="17" t="n">
        <x:f>MAX(J450-P450-K450,0)</x:f>
        <x:v>0</x:v>
      </x:c>
      <x:c r="R450" s="13" t="n">
        <x:f>IF(D450="",MAX(TODAY()-C450,0),MAX(D450-C450,0))</x:f>
        <x:v>0</x:v>
      </x:c>
      <x:c r="S450" s="13" t="str">
        <x:f>IF(R450=0,"Em dia",IF(R450&lt;=15,"1-15 dias",IF(R450&lt;=30,"16-30 dias",IF(R450&lt;=60,"31-60 dias","Acima de 60 dias"))))</x:f>
        <x:v>Em dia</x:v>
      </x:c>
    </x:row>
    <x:row r="451">
      <x:c r="A451" s="13" t="str">
        <x:v>REC-000450</x:v>
      </x:c>
      <x:c r="B451" s="23" t="n">
        <x:v>45524</x:v>
      </x:c>
      <x:c r="C451" s="23" t="n">
        <x:v>45554</x:v>
      </x:c>
      <x:c r="D451" s="23" t="n">
        <x:v>45553</x:v>
      </x:c>
      <x:c r="E451" s="13" t="str">
        <x:v>VAL-001</x:v>
      </x:c>
      <x:c r="F451" s="13" t="str">
        <x:v>Clínica Horizonte</x:v>
      </x:c>
      <x:c r="G451" s="13" t="str">
        <x:v>Clínicas e Saúde</x:v>
      </x:c>
      <x:c r="H451" s="13" t="str">
        <x:v>Baixo</x:v>
      </x:c>
      <x:c r="I451" s="13" t="str">
        <x:v>Essencial</x:v>
      </x:c>
      <x:c r="J451" s="17" t="n">
        <x:v>9883.05</x:v>
      </x:c>
      <x:c r="K451" s="17" t="n">
        <x:v>0</x:v>
      </x:c>
      <x:c r="L451" s="17" t="n">
        <x:v>0</x:v>
      </x:c>
      <x:c r="M451" s="13" t="str">
        <x:v>Pago</x:v>
      </x:c>
      <x:c r="N451" s="13" t="str">
        <x:v>Sem cobrança</x:v>
      </x:c>
      <x:c r="O451" s="13" t="str">
        <x:v>Crescimento sem escala</x:v>
      </x:c>
      <x:c r="P451" s="17" t="n">
        <x:f>IF(D451="",0,J451-K451+L451)</x:f>
        <x:v>9883.05</x:v>
      </x:c>
      <x:c r="Q451" s="17" t="n">
        <x:f>MAX(J451-P451-K451,0)</x:f>
        <x:v>0</x:v>
      </x:c>
      <x:c r="R451" s="13" t="n">
        <x:f>IF(D451="",MAX(TODAY()-C451,0),MAX(D451-C451,0))</x:f>
        <x:v>0</x:v>
      </x:c>
      <x:c r="S451" s="13" t="str">
        <x:f>IF(R451=0,"Em dia",IF(R451&lt;=15,"1-15 dias",IF(R451&lt;=30,"16-30 dias",IF(R451&lt;=60,"31-60 dias","Acima de 60 dias"))))</x:f>
        <x:v>Em dia</x:v>
      </x:c>
    </x:row>
    <x:row r="452">
      <x:c r="A452" s="13" t="str">
        <x:v>REC-000451</x:v>
      </x:c>
      <x:c r="B452" s="23" t="n">
        <x:v>45513</x:v>
      </x:c>
      <x:c r="C452" s="23" t="n">
        <x:v>45534</x:v>
      </x:c>
      <x:c r="D452" s="23" t="n">
        <x:v>45532</x:v>
      </x:c>
      <x:c r="E452" s="13" t="str">
        <x:v>VAL-018</x:v>
      </x:c>
      <x:c r="F452" s="13" t="str">
        <x:v>Ponto Legal Advocacia</x:v>
      </x:c>
      <x:c r="G452" s="13" t="str">
        <x:v>Serviços Profissionais</x:v>
      </x:c>
      <x:c r="H452" s="13" t="str">
        <x:v>Baixo</x:v>
      </x:c>
      <x:c r="I452" s="13" t="str">
        <x:v>Gestão</x:v>
      </x:c>
      <x:c r="J452" s="17" t="n">
        <x:v>2106.86</x:v>
      </x:c>
      <x:c r="K452" s="17" t="n">
        <x:v>0</x:v>
      </x:c>
      <x:c r="L452" s="17" t="n">
        <x:v>0</x:v>
      </x:c>
      <x:c r="M452" s="13" t="str">
        <x:v>Pago</x:v>
      </x:c>
      <x:c r="N452" s="13" t="str">
        <x:v>Sem cobrança</x:v>
      </x:c>
      <x:c r="O452" s="13" t="str">
        <x:v>Crescimento sem escala</x:v>
      </x:c>
      <x:c r="P452" s="17" t="n">
        <x:f>IF(D452="",0,J452-K452+L452)</x:f>
        <x:v>2106.86</x:v>
      </x:c>
      <x:c r="Q452" s="17" t="n">
        <x:f>MAX(J452-P452-K452,0)</x:f>
        <x:v>0</x:v>
      </x:c>
      <x:c r="R452" s="13" t="n">
        <x:f>IF(D452="",MAX(TODAY()-C452,0),MAX(D452-C452,0))</x:f>
        <x:v>0</x:v>
      </x:c>
      <x:c r="S452" s="13" t="str">
        <x:f>IF(R452=0,"Em dia",IF(R452&lt;=15,"1-15 dias",IF(R452&lt;=30,"16-30 dias",IF(R452&lt;=60,"31-60 dias","Acima de 60 dias"))))</x:f>
        <x:v>Em dia</x:v>
      </x:c>
    </x:row>
    <x:row r="453">
      <x:c r="A453" s="13" t="str">
        <x:v>REC-000452</x:v>
      </x:c>
      <x:c r="B453" s="23" t="n">
        <x:v>45523</x:v>
      </x:c>
      <x:c r="C453" s="23" t="n">
        <x:v>45553</x:v>
      </x:c>
      <x:c r="D453" s="23" t="n">
        <x:v>45549</x:v>
      </x:c>
      <x:c r="E453" s="13" t="str">
        <x:v>VAL-016</x:v>
      </x:c>
      <x:c r="F453" s="13" t="str">
        <x:v>Lumina Embalagens</x:v>
      </x:c>
      <x:c r="G453" s="13" t="str">
        <x:v>Indústria Leve</x:v>
      </x:c>
      <x:c r="H453" s="13" t="str">
        <x:v>Baixo</x:v>
      </x:c>
      <x:c r="I453" s="13" t="str">
        <x:v>Enterprise</x:v>
      </x:c>
      <x:c r="J453" s="17" t="n">
        <x:v>13770.52</x:v>
      </x:c>
      <x:c r="K453" s="17" t="n">
        <x:v>0</x:v>
      </x:c>
      <x:c r="L453" s="17" t="n">
        <x:v>0</x:v>
      </x:c>
      <x:c r="M453" s="13" t="str">
        <x:v>Pago</x:v>
      </x:c>
      <x:c r="N453" s="13" t="str">
        <x:v>Sem cobrança</x:v>
      </x:c>
      <x:c r="O453" s="13" t="str">
        <x:v>Crescimento sem escala</x:v>
      </x:c>
      <x:c r="P453" s="17" t="n">
        <x:f>IF(D453="",0,J453-K453+L453)</x:f>
        <x:v>13770.52</x:v>
      </x:c>
      <x:c r="Q453" s="17" t="n">
        <x:f>MAX(J453-P453-K453,0)</x:f>
        <x:v>0</x:v>
      </x:c>
      <x:c r="R453" s="13" t="n">
        <x:f>IF(D453="",MAX(TODAY()-C453,0),MAX(D453-C453,0))</x:f>
        <x:v>0</x:v>
      </x:c>
      <x:c r="S453" s="13" t="str">
        <x:f>IF(R453=0,"Em dia",IF(R453&lt;=15,"1-15 dias",IF(R453&lt;=30,"16-30 dias",IF(R453&lt;=60,"31-60 dias","Acima de 60 dias"))))</x:f>
        <x:v>Em dia</x:v>
      </x:c>
    </x:row>
    <x:row r="454">
      <x:c r="A454" s="13" t="str">
        <x:v>REC-000453</x:v>
      </x:c>
      <x:c r="B454" s="23" t="n">
        <x:v>45510</x:v>
      </x:c>
      <x:c r="C454" s="23" t="n">
        <x:v>45540</x:v>
      </x:c>
      <x:c r="D454" s="23" t="n">
        <x:v>45538</x:v>
      </x:c>
      <x:c r="E454" s="13" t="str">
        <x:v>VAL-024</x:v>
      </x:c>
      <x:c r="F454" s="13" t="str">
        <x:v>NovaForma Móveis</x:v>
      </x:c>
      <x:c r="G454" s="13" t="str">
        <x:v>Indústria Leve</x:v>
      </x:c>
      <x:c r="H454" s="13" t="str">
        <x:v>Baixo</x:v>
      </x:c>
      <x:c r="I454" s="13" t="str">
        <x:v>Enterprise</x:v>
      </x:c>
      <x:c r="J454" s="17" t="n">
        <x:v>5351.8</x:v>
      </x:c>
      <x:c r="K454" s="17" t="n">
        <x:v>0</x:v>
      </x:c>
      <x:c r="L454" s="17" t="n">
        <x:v>0</x:v>
      </x:c>
      <x:c r="M454" s="13" t="str">
        <x:v>Pago</x:v>
      </x:c>
      <x:c r="N454" s="13" t="str">
        <x:v>Sem cobrança</x:v>
      </x:c>
      <x:c r="O454" s="13" t="str">
        <x:v>Crescimento sem escala</x:v>
      </x:c>
      <x:c r="P454" s="17" t="n">
        <x:f>IF(D454="",0,J454-K454+L454)</x:f>
        <x:v>5351.8</x:v>
      </x:c>
      <x:c r="Q454" s="17" t="n">
        <x:f>MAX(J454-P454-K454,0)</x:f>
        <x:v>0</x:v>
      </x:c>
      <x:c r="R454" s="13" t="n">
        <x:f>IF(D454="",MAX(TODAY()-C454,0),MAX(D454-C454,0))</x:f>
        <x:v>0</x:v>
      </x:c>
      <x:c r="S454" s="13" t="str">
        <x:f>IF(R454=0,"Em dia",IF(R454&lt;=15,"1-15 dias",IF(R454&lt;=30,"16-30 dias",IF(R454&lt;=60,"31-60 dias","Acima de 60 dias"))))</x:f>
        <x:v>Em dia</x:v>
      </x:c>
    </x:row>
    <x:row r="455">
      <x:c r="A455" s="13" t="str">
        <x:v>REC-000454</x:v>
      </x:c>
      <x:c r="B455" s="23" t="n">
        <x:v>45506</x:v>
      </x:c>
      <x:c r="C455" s="23" t="n">
        <x:v>45521</x:v>
      </x:c>
      <x:c r="D455" s="23" t="n">
        <x:v>45518</x:v>
      </x:c>
      <x:c r="E455" s="13" t="str">
        <x:v>VAL-023</x:v>
      </x:c>
      <x:c r="F455" s="13" t="str">
        <x:v>ShopMix Brasil</x:v>
      </x:c>
      <x:c r="G455" s="13" t="str">
        <x:v>E-commerce</x:v>
      </x:c>
      <x:c r="H455" s="13" t="str">
        <x:v>Baixo</x:v>
      </x:c>
      <x:c r="I455" s="13" t="str">
        <x:v>Performance</x:v>
      </x:c>
      <x:c r="J455" s="17" t="n">
        <x:v>12515.66</x:v>
      </x:c>
      <x:c r="K455" s="17" t="n">
        <x:v>219.72</x:v>
      </x:c>
      <x:c r="L455" s="17" t="n">
        <x:v>0</x:v>
      </x:c>
      <x:c r="M455" s="13" t="str">
        <x:v>Pago</x:v>
      </x:c>
      <x:c r="N455" s="13" t="str">
        <x:v>Sem cobrança</x:v>
      </x:c>
      <x:c r="O455" s="13" t="str">
        <x:v>Crescimento sem escala</x:v>
      </x:c>
      <x:c r="P455" s="17" t="n">
        <x:f>IF(D455="",0,J455-K455+L455)</x:f>
        <x:v>12295.94</x:v>
      </x:c>
      <x:c r="Q455" s="17" t="n">
        <x:f>MAX(J455-P455-K455,0)</x:f>
        <x:v>0</x:v>
      </x:c>
      <x:c r="R455" s="13" t="n">
        <x:f>IF(D455="",MAX(TODAY()-C455,0),MAX(D455-C455,0))</x:f>
        <x:v>0</x:v>
      </x:c>
      <x:c r="S455" s="13" t="str">
        <x:f>IF(R455=0,"Em dia",IF(R455&lt;=15,"1-15 dias",IF(R455&lt;=30,"16-30 dias",IF(R455&lt;=60,"31-60 dias","Acima de 60 dias"))))</x:f>
        <x:v>Em dia</x:v>
      </x:c>
    </x:row>
    <x:row r="456">
      <x:c r="A456" s="13" t="str">
        <x:v>REC-000455</x:v>
      </x:c>
      <x:c r="B456" s="23" t="n">
        <x:v>45507</x:v>
      </x:c>
      <x:c r="C456" s="23" t="n">
        <x:v>45522</x:v>
      </x:c>
      <x:c r="D456" s="23" t="n">
        <x:v>45520</x:v>
      </x:c>
      <x:c r="E456" s="13" t="str">
        <x:v>VAL-022</x:v>
      </x:c>
      <x:c r="F456" s="13" t="str">
        <x:v>Academia Evoluir</x:v>
      </x:c>
      <x:c r="G456" s="13" t="str">
        <x:v>Educação</x:v>
      </x:c>
      <x:c r="H456" s="13" t="str">
        <x:v>Alto</x:v>
      </x:c>
      <x:c r="I456" s="13" t="str">
        <x:v>Gestão</x:v>
      </x:c>
      <x:c r="J456" s="17" t="n">
        <x:v>7142.35</x:v>
      </x:c>
      <x:c r="K456" s="17" t="n">
        <x:v>0</x:v>
      </x:c>
      <x:c r="L456" s="17" t="n">
        <x:v>0</x:v>
      </x:c>
      <x:c r="M456" s="13" t="str">
        <x:v>Pago</x:v>
      </x:c>
      <x:c r="N456" s="13" t="str">
        <x:v>Sem cobrança</x:v>
      </x:c>
      <x:c r="O456" s="13" t="str">
        <x:v>Crescimento sem escala</x:v>
      </x:c>
      <x:c r="P456" s="17" t="n">
        <x:f>IF(D456="",0,J456-K456+L456)</x:f>
        <x:v>7142.35</x:v>
      </x:c>
      <x:c r="Q456" s="17" t="n">
        <x:f>MAX(J456-P456-K456,0)</x:f>
        <x:v>0</x:v>
      </x:c>
      <x:c r="R456" s="13" t="n">
        <x:f>IF(D456="",MAX(TODAY()-C456,0),MAX(D456-C456,0))</x:f>
        <x:v>0</x:v>
      </x:c>
      <x:c r="S456" s="13" t="str">
        <x:f>IF(R456=0,"Em dia",IF(R456&lt;=15,"1-15 dias",IF(R456&lt;=30,"16-30 dias",IF(R456&lt;=60,"31-60 dias","Acima de 60 dias"))))</x:f>
        <x:v>Em dia</x:v>
      </x:c>
    </x:row>
    <x:row r="457">
      <x:c r="A457" s="13" t="str">
        <x:v>REC-000456</x:v>
      </x:c>
      <x:c r="B457" s="23" t="n">
        <x:v>45511</x:v>
      </x:c>
      <x:c r="C457" s="23" t="n">
        <x:v>45532</x:v>
      </x:c>
      <x:c r="D457" s="23" t="n">
        <x:v>45529</x:v>
      </x:c>
      <x:c r="E457" s="13" t="str">
        <x:v>VAL-016</x:v>
      </x:c>
      <x:c r="F457" s="13" t="str">
        <x:v>Lumina Embalagens</x:v>
      </x:c>
      <x:c r="G457" s="13" t="str">
        <x:v>Indústria Leve</x:v>
      </x:c>
      <x:c r="H457" s="13" t="str">
        <x:v>Baixo</x:v>
      </x:c>
      <x:c r="I457" s="13" t="str">
        <x:v>Enterprise</x:v>
      </x:c>
      <x:c r="J457" s="17" t="n">
        <x:v>24096.33</x:v>
      </x:c>
      <x:c r="K457" s="17" t="n">
        <x:v>0</x:v>
      </x:c>
      <x:c r="L457" s="17" t="n">
        <x:v>0</x:v>
      </x:c>
      <x:c r="M457" s="13" t="str">
        <x:v>Pago</x:v>
      </x:c>
      <x:c r="N457" s="13" t="str">
        <x:v>Sem cobrança</x:v>
      </x:c>
      <x:c r="O457" s="13" t="str">
        <x:v>Crescimento sem escala</x:v>
      </x:c>
      <x:c r="P457" s="17" t="n">
        <x:f>IF(D457="",0,J457-K457+L457)</x:f>
        <x:v>24096.33</x:v>
      </x:c>
      <x:c r="Q457" s="17" t="n">
        <x:f>MAX(J457-P457-K457,0)</x:f>
        <x:v>0</x:v>
      </x:c>
      <x:c r="R457" s="13" t="n">
        <x:f>IF(D457="",MAX(TODAY()-C457,0),MAX(D457-C457,0))</x:f>
        <x:v>0</x:v>
      </x:c>
      <x:c r="S457" s="13" t="str">
        <x:f>IF(R457=0,"Em dia",IF(R457&lt;=15,"1-15 dias",IF(R457&lt;=30,"16-30 dias",IF(R457&lt;=60,"31-60 dias","Acima de 60 dias"))))</x:f>
        <x:v>Em dia</x:v>
      </x:c>
    </x:row>
    <x:row r="458">
      <x:c r="A458" s="13" t="str">
        <x:v>REC-000457</x:v>
      </x:c>
      <x:c r="B458" s="23" t="n">
        <x:v>45505</x:v>
      </x:c>
      <x:c r="C458" s="23" t="n">
        <x:v>45535</x:v>
      </x:c>
      <x:c r="D458" s="23" t="n">
        <x:v>45531</x:v>
      </x:c>
      <x:c r="E458" s="13" t="str">
        <x:v>VAL-022</x:v>
      </x:c>
      <x:c r="F458" s="13" t="str">
        <x:v>Academia Evoluir</x:v>
      </x:c>
      <x:c r="G458" s="13" t="str">
        <x:v>Educação</x:v>
      </x:c>
      <x:c r="H458" s="13" t="str">
        <x:v>Alto</x:v>
      </x:c>
      <x:c r="I458" s="13" t="str">
        <x:v>Gestão</x:v>
      </x:c>
      <x:c r="J458" s="17" t="n">
        <x:v>4616.06</x:v>
      </x:c>
      <x:c r="K458" s="17" t="n">
        <x:v>0</x:v>
      </x:c>
      <x:c r="L458" s="17" t="n">
        <x:v>0</x:v>
      </x:c>
      <x:c r="M458" s="13" t="str">
        <x:v>Pago</x:v>
      </x:c>
      <x:c r="N458" s="13" t="str">
        <x:v>Sem cobrança</x:v>
      </x:c>
      <x:c r="O458" s="13" t="str">
        <x:v>Crescimento sem escala</x:v>
      </x:c>
      <x:c r="P458" s="17" t="n">
        <x:f>IF(D458="",0,J458-K458+L458)</x:f>
        <x:v>4616.06</x:v>
      </x:c>
      <x:c r="Q458" s="17" t="n">
        <x:f>MAX(J458-P458-K458,0)</x:f>
        <x:v>0</x:v>
      </x:c>
      <x:c r="R458" s="13" t="n">
        <x:f>IF(D458="",MAX(TODAY()-C458,0),MAX(D458-C458,0))</x:f>
        <x:v>0</x:v>
      </x:c>
      <x:c r="S458" s="13" t="str">
        <x:f>IF(R458=0,"Em dia",IF(R458&lt;=15,"1-15 dias",IF(R458&lt;=30,"16-30 dias",IF(R458&lt;=60,"31-60 dias","Acima de 60 dias"))))</x:f>
        <x:v>Em dia</x:v>
      </x:c>
    </x:row>
    <x:row r="459">
      <x:c r="A459" s="13" t="str">
        <x:v>REC-000458</x:v>
      </x:c>
      <x:c r="B459" s="23" t="n">
        <x:v>45520</x:v>
      </x:c>
      <x:c r="C459" s="23" t="n">
        <x:v>45527</x:v>
      </x:c>
      <x:c r="D459" s="23" t="n">
        <x:v>45525</x:v>
      </x:c>
      <x:c r="E459" s="13" t="str">
        <x:v>VAL-028</x:v>
      </x:c>
      <x:c r="F459" s="13" t="str">
        <x:v>Pixel Norte</x:v>
      </x:c>
      <x:c r="G459" s="13" t="str">
        <x:v>Tecnologia</x:v>
      </x:c>
      <x:c r="H459" s="13" t="str">
        <x:v>Alto</x:v>
      </x:c>
      <x:c r="I459" s="13" t="str">
        <x:v>Enterprise</x:v>
      </x:c>
      <x:c r="J459" s="17" t="n">
        <x:v>3095.93</x:v>
      </x:c>
      <x:c r="K459" s="17" t="n">
        <x:v>0</x:v>
      </x:c>
      <x:c r="L459" s="17" t="n">
        <x:v>0</x:v>
      </x:c>
      <x:c r="M459" s="13" t="str">
        <x:v>Pago</x:v>
      </x:c>
      <x:c r="N459" s="13" t="str">
        <x:v>Sem cobrança</x:v>
      </x:c>
      <x:c r="O459" s="13" t="str">
        <x:v>Crescimento sem escala</x:v>
      </x:c>
      <x:c r="P459" s="17" t="n">
        <x:f>IF(D459="",0,J459-K459+L459)</x:f>
        <x:v>3095.93</x:v>
      </x:c>
      <x:c r="Q459" s="17" t="n">
        <x:f>MAX(J459-P459-K459,0)</x:f>
        <x:v>0</x:v>
      </x:c>
      <x:c r="R459" s="13" t="n">
        <x:f>IF(D459="",MAX(TODAY()-C459,0),MAX(D459-C459,0))</x:f>
        <x:v>0</x:v>
      </x:c>
      <x:c r="S459" s="13" t="str">
        <x:f>IF(R459=0,"Em dia",IF(R459&lt;=15,"1-15 dias",IF(R459&lt;=30,"16-30 dias",IF(R459&lt;=60,"31-60 dias","Acima de 60 dias"))))</x:f>
        <x:v>Em dia</x:v>
      </x:c>
    </x:row>
    <x:row r="460">
      <x:c r="A460" s="13" t="str">
        <x:v>REC-000459</x:v>
      </x:c>
      <x:c r="B460" s="23" t="n">
        <x:v>45508</x:v>
      </x:c>
      <x:c r="C460" s="23" t="n">
        <x:v>45523</x:v>
      </x:c>
      <x:c r="D460" s="23" t="n">
        <x:v>45521</x:v>
      </x:c>
      <x:c r="E460" s="13" t="str">
        <x:v>VAL-029</x:v>
      </x:c>
      <x:c r="F460" s="13" t="str">
        <x:v>Planobra Serviços</x:v>
      </x:c>
      <x:c r="G460" s="13" t="str">
        <x:v>Construção</x:v>
      </x:c>
      <x:c r="H460" s="13" t="str">
        <x:v>Baixo</x:v>
      </x:c>
      <x:c r="I460" s="13" t="str">
        <x:v>Essencial</x:v>
      </x:c>
      <x:c r="J460" s="17" t="n">
        <x:v>6659.43</x:v>
      </x:c>
      <x:c r="K460" s="17" t="n">
        <x:v>0</x:v>
      </x:c>
      <x:c r="L460" s="17" t="n">
        <x:v>0</x:v>
      </x:c>
      <x:c r="M460" s="13" t="str">
        <x:v>Pago</x:v>
      </x:c>
      <x:c r="N460" s="13" t="str">
        <x:v>Sem cobrança</x:v>
      </x:c>
      <x:c r="O460" s="13" t="str">
        <x:v>Crescimento sem escala</x:v>
      </x:c>
      <x:c r="P460" s="17" t="n">
        <x:f>IF(D460="",0,J460-K460+L460)</x:f>
        <x:v>6659.43</x:v>
      </x:c>
      <x:c r="Q460" s="17" t="n">
        <x:f>MAX(J460-P460-K460,0)</x:f>
        <x:v>0</x:v>
      </x:c>
      <x:c r="R460" s="13" t="n">
        <x:f>IF(D460="",MAX(TODAY()-C460,0),MAX(D460-C460,0))</x:f>
        <x:v>0</x:v>
      </x:c>
      <x:c r="S460" s="13" t="str">
        <x:f>IF(R460=0,"Em dia",IF(R460&lt;=15,"1-15 dias",IF(R460&lt;=30,"16-30 dias",IF(R460&lt;=60,"31-60 dias","Acima de 60 dias"))))</x:f>
        <x:v>Em dia</x:v>
      </x:c>
    </x:row>
    <x:row r="461">
      <x:c r="A461" s="13" t="str">
        <x:v>REC-000460</x:v>
      </x:c>
      <x:c r="B461" s="23" t="n">
        <x:v>45511</x:v>
      </x:c>
      <x:c r="C461" s="23" t="n">
        <x:v>45532</x:v>
      </x:c>
      <x:c r="D461" s="23" t="n">
        <x:v>45528</x:v>
      </x:c>
      <x:c r="E461" s="13" t="str">
        <x:v>VAL-020</x:v>
      </x:c>
      <x:c r="F461" s="13" t="str">
        <x:v>Corelink Digital</x:v>
      </x:c>
      <x:c r="G461" s="13" t="str">
        <x:v>Tecnologia</x:v>
      </x:c>
      <x:c r="H461" s="13" t="str">
        <x:v>Baixo</x:v>
      </x:c>
      <x:c r="I461" s="13" t="str">
        <x:v>Enterprise</x:v>
      </x:c>
      <x:c r="J461" s="17" t="n">
        <x:v>29997.83</x:v>
      </x:c>
      <x:c r="K461" s="17" t="n">
        <x:v>0</x:v>
      </x:c>
      <x:c r="L461" s="17" t="n">
        <x:v>0</x:v>
      </x:c>
      <x:c r="M461" s="13" t="str">
        <x:v>Pago</x:v>
      </x:c>
      <x:c r="N461" s="13" t="str">
        <x:v>Sem cobrança</x:v>
      </x:c>
      <x:c r="O461" s="13" t="str">
        <x:v>Crescimento sem escala</x:v>
      </x:c>
      <x:c r="P461" s="17" t="n">
        <x:f>IF(D461="",0,J461-K461+L461)</x:f>
        <x:v>29997.83</x:v>
      </x:c>
      <x:c r="Q461" s="17" t="n">
        <x:f>MAX(J461-P461-K461,0)</x:f>
        <x:v>0</x:v>
      </x:c>
      <x:c r="R461" s="13" t="n">
        <x:f>IF(D461="",MAX(TODAY()-C461,0),MAX(D461-C461,0))</x:f>
        <x:v>0</x:v>
      </x:c>
      <x:c r="S461" s="13" t="str">
        <x:f>IF(R461=0,"Em dia",IF(R461&lt;=15,"1-15 dias",IF(R461&lt;=30,"16-30 dias",IF(R461&lt;=60,"31-60 dias","Acima de 60 dias"))))</x:f>
        <x:v>Em dia</x:v>
      </x:c>
    </x:row>
    <x:row r="462">
      <x:c r="A462" s="13" t="str">
        <x:v>REC-000461</x:v>
      </x:c>
      <x:c r="B462" s="23" t="n">
        <x:v>45507</x:v>
      </x:c>
      <x:c r="C462" s="23" t="n">
        <x:v>45535</x:v>
      </x:c>
      <x:c r="D462" s="23" t="n">
        <x:v>45531</x:v>
      </x:c>
      <x:c r="E462" s="13" t="str">
        <x:v>VAL-027</x:v>
      </x:c>
      <x:c r="F462" s="13" t="str">
        <x:v>Mais Lar Utilidades</x:v>
      </x:c>
      <x:c r="G462" s="13" t="str">
        <x:v>Varejo</x:v>
      </x:c>
      <x:c r="H462" s="13" t="str">
        <x:v>Baixo</x:v>
      </x:c>
      <x:c r="I462" s="13" t="str">
        <x:v>Performance</x:v>
      </x:c>
      <x:c r="J462" s="17" t="n">
        <x:v>32863.78</x:v>
      </x:c>
      <x:c r="K462" s="17" t="n">
        <x:v>0</x:v>
      </x:c>
      <x:c r="L462" s="17" t="n">
        <x:v>0</x:v>
      </x:c>
      <x:c r="M462" s="13" t="str">
        <x:v>Pago</x:v>
      </x:c>
      <x:c r="N462" s="13" t="str">
        <x:v>Sem cobrança</x:v>
      </x:c>
      <x:c r="O462" s="13" t="str">
        <x:v>Crescimento sem escala</x:v>
      </x:c>
      <x:c r="P462" s="17" t="n">
        <x:f>IF(D462="",0,J462-K462+L462)</x:f>
        <x:v>32863.78</x:v>
      </x:c>
      <x:c r="Q462" s="17" t="n">
        <x:f>MAX(J462-P462-K462,0)</x:f>
        <x:v>0</x:v>
      </x:c>
      <x:c r="R462" s="13" t="n">
        <x:f>IF(D462="",MAX(TODAY()-C462,0),MAX(D462-C462,0))</x:f>
        <x:v>0</x:v>
      </x:c>
      <x:c r="S462" s="13" t="str">
        <x:f>IF(R462=0,"Em dia",IF(R462&lt;=15,"1-15 dias",IF(R462&lt;=30,"16-30 dias",IF(R462&lt;=60,"31-60 dias","Acima de 60 dias"))))</x:f>
        <x:v>Em dia</x:v>
      </x:c>
    </x:row>
    <x:row r="463">
      <x:c r="A463" s="13" t="str">
        <x:v>REC-000462</x:v>
      </x:c>
      <x:c r="B463" s="23" t="n">
        <x:v>45505</x:v>
      </x:c>
      <x:c r="C463" s="23" t="n">
        <x:v>45526</x:v>
      </x:c>
      <x:c r="D463" s="23" t="n">
        <x:v>45524</x:v>
      </x:c>
      <x:c r="E463" s="13" t="str">
        <x:v>VAL-026</x:v>
      </x:c>
      <x:c r="F463" s="13" t="str">
        <x:v>Ribeiro Arquitetura</x:v>
      </x:c>
      <x:c r="G463" s="13" t="str">
        <x:v>Serviços Profissionais</x:v>
      </x:c>
      <x:c r="H463" s="13" t="str">
        <x:v>Baixo</x:v>
      </x:c>
      <x:c r="I463" s="13" t="str">
        <x:v>Gestão</x:v>
      </x:c>
      <x:c r="J463" s="17" t="n">
        <x:v>18512.27</x:v>
      </x:c>
      <x:c r="K463" s="17" t="n">
        <x:v>0</x:v>
      </x:c>
      <x:c r="L463" s="17" t="n">
        <x:v>0</x:v>
      </x:c>
      <x:c r="M463" s="13" t="str">
        <x:v>Pago</x:v>
      </x:c>
      <x:c r="N463" s="13" t="str">
        <x:v>Sem cobrança</x:v>
      </x:c>
      <x:c r="O463" s="13" t="str">
        <x:v>Crescimento sem escala</x:v>
      </x:c>
      <x:c r="P463" s="17" t="n">
        <x:f>IF(D463="",0,J463-K463+L463)</x:f>
        <x:v>18512.27</x:v>
      </x:c>
      <x:c r="Q463" s="17" t="n">
        <x:f>MAX(J463-P463-K463,0)</x:f>
        <x:v>0</x:v>
      </x:c>
      <x:c r="R463" s="13" t="n">
        <x:f>IF(D463="",MAX(TODAY()-C463,0),MAX(D463-C463,0))</x:f>
        <x:v>0</x:v>
      </x:c>
      <x:c r="S463" s="13" t="str">
        <x:f>IF(R463=0,"Em dia",IF(R463&lt;=15,"1-15 dias",IF(R463&lt;=30,"16-30 dias",IF(R463&lt;=60,"31-60 dias","Acima de 60 dias"))))</x:f>
        <x:v>Em dia</x:v>
      </x:c>
    </x:row>
    <x:row r="464">
      <x:c r="A464" s="13" t="str">
        <x:v>REC-000463</x:v>
      </x:c>
      <x:c r="B464" s="23" t="n">
        <x:v>45524</x:v>
      </x:c>
      <x:c r="C464" s="23" t="n">
        <x:v>45554</x:v>
      </x:c>
      <x:c r="D464" s="23" t="n">
        <x:v>45571</x:v>
      </x:c>
      <x:c r="E464" s="13" t="str">
        <x:v>VAL-018</x:v>
      </x:c>
      <x:c r="F464" s="13" t="str">
        <x:v>Ponto Legal Advocacia</x:v>
      </x:c>
      <x:c r="G464" s="13" t="str">
        <x:v>Serviços Profissionais</x:v>
      </x:c>
      <x:c r="H464" s="13" t="str">
        <x:v>Baixo</x:v>
      </x:c>
      <x:c r="I464" s="13" t="str">
        <x:v>Gestão</x:v>
      </x:c>
      <x:c r="J464" s="17" t="n">
        <x:v>24376.62</x:v>
      </x:c>
      <x:c r="K464" s="17" t="n">
        <x:v>0</x:v>
      </x:c>
      <x:c r="L464" s="17" t="n">
        <x:v>269.36</x:v>
      </x:c>
      <x:c r="M464" s="13" t="str">
        <x:v>Pago com atraso</x:v>
      </x:c>
      <x:c r="N464" s="13" t="str">
        <x:v>E-mail</x:v>
      </x:c>
      <x:c r="O464" s="13" t="str">
        <x:v>Crescimento sem escala</x:v>
      </x:c>
      <x:c r="P464" s="17" t="n">
        <x:f>IF(D464="",0,J464-K464+L464)</x:f>
        <x:v>24645.98</x:v>
      </x:c>
      <x:c r="Q464" s="17" t="n">
        <x:f>MAX(J464-P464-K464,0)</x:f>
        <x:v>0</x:v>
      </x:c>
      <x:c r="R464" s="13" t="n">
        <x:f>IF(D464="",MAX(TODAY()-C464,0),MAX(D464-C464,0))</x:f>
        <x:v>17</x:v>
      </x:c>
      <x:c r="S464" s="13" t="str">
        <x:f>IF(R464=0,"Em dia",IF(R464&lt;=15,"1-15 dias",IF(R464&lt;=30,"16-30 dias",IF(R464&lt;=60,"31-60 dias","Acima de 60 dias"))))</x:f>
        <x:v>16-30 dias</x:v>
      </x:c>
    </x:row>
    <x:row r="465">
      <x:c r="A465" s="13" t="str">
        <x:v>REC-000464</x:v>
      </x:c>
      <x:c r="B465" s="23" t="n">
        <x:v>45510</x:v>
      </x:c>
      <x:c r="C465" s="23" t="n">
        <x:v>45540</x:v>
      </x:c>
      <x:c r="D465" s="23" t="n">
        <x:v>45539</x:v>
      </x:c>
      <x:c r="E465" s="13" t="str">
        <x:v>VAL-006</x:v>
      </x:c>
      <x:c r="F465" s="13" t="str">
        <x:v>Instituto Saber Mais</x:v>
      </x:c>
      <x:c r="G465" s="13" t="str">
        <x:v>Educação</x:v>
      </x:c>
      <x:c r="H465" s="13" t="str">
        <x:v>Médio</x:v>
      </x:c>
      <x:c r="I465" s="13" t="str">
        <x:v>Gestão</x:v>
      </x:c>
      <x:c r="J465" s="17" t="n">
        <x:v>22061.46</x:v>
      </x:c>
      <x:c r="K465" s="17" t="n">
        <x:v>220.43</x:v>
      </x:c>
      <x:c r="L465" s="17" t="n">
        <x:v>0</x:v>
      </x:c>
      <x:c r="M465" s="13" t="str">
        <x:v>Pago</x:v>
      </x:c>
      <x:c r="N465" s="13" t="str">
        <x:v>Sem cobrança</x:v>
      </x:c>
      <x:c r="O465" s="13" t="str">
        <x:v>Crescimento sem escala</x:v>
      </x:c>
      <x:c r="P465" s="17" t="n">
        <x:f>IF(D465="",0,J465-K465+L465)</x:f>
        <x:v>21841.03</x:v>
      </x:c>
      <x:c r="Q465" s="17" t="n">
        <x:f>MAX(J465-P465-K465,0)</x:f>
        <x:v>2.8421709430404007e-13</x:v>
      </x:c>
      <x:c r="R465" s="13" t="n">
        <x:f>IF(D465="",MAX(TODAY()-C465,0),MAX(D465-C465,0))</x:f>
        <x:v>0</x:v>
      </x:c>
      <x:c r="S465" s="13" t="str">
        <x:f>IF(R465=0,"Em dia",IF(R465&lt;=15,"1-15 dias",IF(R465&lt;=30,"16-30 dias",IF(R465&lt;=60,"31-60 dias","Acima de 60 dias"))))</x:f>
        <x:v>Em dia</x:v>
      </x:c>
    </x:row>
    <x:row r="466">
      <x:c r="A466" s="13" t="str">
        <x:v>REC-000465</x:v>
      </x:c>
      <x:c r="B466" s="23" t="n">
        <x:v>45521</x:v>
      </x:c>
      <x:c r="C466" s="23" t="n">
        <x:v>45536</x:v>
      </x:c>
      <x:c r="D466" s="23" t="n">
        <x:v>45536</x:v>
      </x:c>
      <x:c r="E466" s="13" t="str">
        <x:v>VAL-002</x:v>
      </x:c>
      <x:c r="F466" s="13" t="str">
        <x:v>Mendes &amp; Prado Consultoria</x:v>
      </x:c>
      <x:c r="G466" s="13" t="str">
        <x:v>Serviços Profissionais</x:v>
      </x:c>
      <x:c r="H466" s="13" t="str">
        <x:v>Baixo</x:v>
      </x:c>
      <x:c r="I466" s="13" t="str">
        <x:v>Gestão</x:v>
      </x:c>
      <x:c r="J466" s="17" t="n">
        <x:v>6445.2</x:v>
      </x:c>
      <x:c r="K466" s="17" t="n">
        <x:v>0</x:v>
      </x:c>
      <x:c r="L466" s="17" t="n">
        <x:v>0</x:v>
      </x:c>
      <x:c r="M466" s="13" t="str">
        <x:v>Pago</x:v>
      </x:c>
      <x:c r="N466" s="13" t="str">
        <x:v>Sem cobrança</x:v>
      </x:c>
      <x:c r="O466" s="13" t="str">
        <x:v>Crescimento sem escala</x:v>
      </x:c>
      <x:c r="P466" s="17" t="n">
        <x:f>IF(D466="",0,J466-K466+L466)</x:f>
        <x:v>6445.2</x:v>
      </x:c>
      <x:c r="Q466" s="17" t="n">
        <x:f>MAX(J466-P466-K466,0)</x:f>
        <x:v>0</x:v>
      </x:c>
      <x:c r="R466" s="13" t="n">
        <x:f>IF(D466="",MAX(TODAY()-C466,0),MAX(D466-C466,0))</x:f>
        <x:v>0</x:v>
      </x:c>
      <x:c r="S466" s="13" t="str">
        <x:f>IF(R466=0,"Em dia",IF(R466&lt;=15,"1-15 dias",IF(R466&lt;=30,"16-30 dias",IF(R466&lt;=60,"31-60 dias","Acima de 60 dias"))))</x:f>
        <x:v>Em dia</x:v>
      </x:c>
    </x:row>
    <x:row r="467">
      <x:c r="A467" s="13" t="str">
        <x:v>REC-000466</x:v>
      </x:c>
      <x:c r="B467" s="23" t="n">
        <x:v>45524</x:v>
      </x:c>
      <x:c r="C467" s="23" t="n">
        <x:v>45552</x:v>
      </x:c>
      <x:c r="D467" s="23" t="n">
        <x:v>45550</x:v>
      </x:c>
      <x:c r="E467" s="13" t="str">
        <x:v>VAL-004</x:v>
      </x:c>
      <x:c r="F467" s="13" t="str">
        <x:v>NuvemBase Tecnologia</x:v>
      </x:c>
      <x:c r="G467" s="13" t="str">
        <x:v>Tecnologia</x:v>
      </x:c>
      <x:c r="H467" s="13" t="str">
        <x:v>Baixo</x:v>
      </x:c>
      <x:c r="I467" s="13" t="str">
        <x:v>Enterprise</x:v>
      </x:c>
      <x:c r="J467" s="17" t="n">
        <x:v>30354.86</x:v>
      </x:c>
      <x:c r="K467" s="17" t="n">
        <x:v>476.53</x:v>
      </x:c>
      <x:c r="L467" s="17" t="n">
        <x:v>0</x:v>
      </x:c>
      <x:c r="M467" s="13" t="str">
        <x:v>Pago</x:v>
      </x:c>
      <x:c r="N467" s="13" t="str">
        <x:v>Sem cobrança</x:v>
      </x:c>
      <x:c r="O467" s="13" t="str">
        <x:v>Crescimento sem escala</x:v>
      </x:c>
      <x:c r="P467" s="17" t="n">
        <x:f>IF(D467="",0,J467-K467+L467)</x:f>
        <x:v>29878.33</x:v>
      </x:c>
      <x:c r="Q467" s="17" t="n">
        <x:f>MAX(J467-P467-K467,0)</x:f>
        <x:v>0</x:v>
      </x:c>
      <x:c r="R467" s="13" t="n">
        <x:f>IF(D467="",MAX(TODAY()-C467,0),MAX(D467-C467,0))</x:f>
        <x:v>0</x:v>
      </x:c>
      <x:c r="S467" s="13" t="str">
        <x:f>IF(R467=0,"Em dia",IF(R467&lt;=15,"1-15 dias",IF(R467&lt;=30,"16-30 dias",IF(R467&lt;=60,"31-60 dias","Acima de 60 dias"))))</x:f>
        <x:v>Em dia</x:v>
      </x:c>
    </x:row>
    <x:row r="468">
      <x:c r="A468" s="13" t="str">
        <x:v>REC-000467</x:v>
      </x:c>
      <x:c r="B468" s="23" t="n">
        <x:v>45510</x:v>
      </x:c>
      <x:c r="C468" s="23" t="n">
        <x:v>45531</x:v>
      </x:c>
      <x:c r="D468" s="23" t="n">
        <x:v>45529</x:v>
      </x:c>
      <x:c r="E468" s="13" t="str">
        <x:v>VAL-013</x:v>
      </x:c>
      <x:c r="F468" s="13" t="str">
        <x:v>Engenharia Vértice</x:v>
      </x:c>
      <x:c r="G468" s="13" t="str">
        <x:v>Construção</x:v>
      </x:c>
      <x:c r="H468" s="13" t="str">
        <x:v>Baixo</x:v>
      </x:c>
      <x:c r="I468" s="13" t="str">
        <x:v>Essencial</x:v>
      </x:c>
      <x:c r="J468" s="17" t="n">
        <x:v>26093.02</x:v>
      </x:c>
      <x:c r="K468" s="17" t="n">
        <x:v>0</x:v>
      </x:c>
      <x:c r="L468" s="17" t="n">
        <x:v>0</x:v>
      </x:c>
      <x:c r="M468" s="13" t="str">
        <x:v>Pago</x:v>
      </x:c>
      <x:c r="N468" s="13" t="str">
        <x:v>Sem cobrança</x:v>
      </x:c>
      <x:c r="O468" s="13" t="str">
        <x:v>Crescimento sem escala</x:v>
      </x:c>
      <x:c r="P468" s="17" t="n">
        <x:f>IF(D468="",0,J468-K468+L468)</x:f>
        <x:v>26093.02</x:v>
      </x:c>
      <x:c r="Q468" s="17" t="n">
        <x:f>MAX(J468-P468-K468,0)</x:f>
        <x:v>0</x:v>
      </x:c>
      <x:c r="R468" s="13" t="n">
        <x:f>IF(D468="",MAX(TODAY()-C468,0),MAX(D468-C468,0))</x:f>
        <x:v>0</x:v>
      </x:c>
      <x:c r="S468" s="13" t="str">
        <x:f>IF(R468=0,"Em dia",IF(R468&lt;=15,"1-15 dias",IF(R468&lt;=30,"16-30 dias",IF(R468&lt;=60,"31-60 dias","Acima de 60 dias"))))</x:f>
        <x:v>Em dia</x:v>
      </x:c>
    </x:row>
    <x:row r="469">
      <x:c r="A469" s="13" t="str">
        <x:v>REC-000468</x:v>
      </x:c>
      <x:c r="B469" s="23" t="n">
        <x:v>45506</x:v>
      </x:c>
      <x:c r="C469" s="23" t="n">
        <x:v>45521</x:v>
      </x:c>
      <x:c r="D469" s="23" t="n">
        <x:v>45519</x:v>
      </x:c>
      <x:c r="E469" s="13" t="str">
        <x:v>VAL-001</x:v>
      </x:c>
      <x:c r="F469" s="13" t="str">
        <x:v>Clínica Horizonte</x:v>
      </x:c>
      <x:c r="G469" s="13" t="str">
        <x:v>Clínicas e Saúde</x:v>
      </x:c>
      <x:c r="H469" s="13" t="str">
        <x:v>Baixo</x:v>
      </x:c>
      <x:c r="I469" s="13" t="str">
        <x:v>Essencial</x:v>
      </x:c>
      <x:c r="J469" s="17" t="n">
        <x:v>4619.56</x:v>
      </x:c>
      <x:c r="K469" s="17" t="n">
        <x:v>0</x:v>
      </x:c>
      <x:c r="L469" s="17" t="n">
        <x:v>0</x:v>
      </x:c>
      <x:c r="M469" s="13" t="str">
        <x:v>Pago</x:v>
      </x:c>
      <x:c r="N469" s="13" t="str">
        <x:v>Sem cobrança</x:v>
      </x:c>
      <x:c r="O469" s="13" t="str">
        <x:v>Crescimento sem escala</x:v>
      </x:c>
      <x:c r="P469" s="17" t="n">
        <x:f>IF(D469="",0,J469-K469+L469)</x:f>
        <x:v>4619.56</x:v>
      </x:c>
      <x:c r="Q469" s="17" t="n">
        <x:f>MAX(J469-P469-K469,0)</x:f>
        <x:v>0</x:v>
      </x:c>
      <x:c r="R469" s="13" t="n">
        <x:f>IF(D469="",MAX(TODAY()-C469,0),MAX(D469-C469,0))</x:f>
        <x:v>0</x:v>
      </x:c>
      <x:c r="S469" s="13" t="str">
        <x:f>IF(R469=0,"Em dia",IF(R469&lt;=15,"1-15 dias",IF(R469&lt;=30,"16-30 dias",IF(R469&lt;=60,"31-60 dias","Acima de 60 dias"))))</x:f>
        <x:v>Em dia</x:v>
      </x:c>
    </x:row>
    <x:row r="470">
      <x:c r="A470" s="13" t="str">
        <x:v>REC-000469</x:v>
      </x:c>
      <x:c r="B470" s="23" t="n">
        <x:v>45521</x:v>
      </x:c>
      <x:c r="C470" s="23" t="n">
        <x:v>45551</x:v>
      </x:c>
      <x:c r="D470" s="23" t="n">
        <x:v>45550</x:v>
      </x:c>
      <x:c r="E470" s="13" t="str">
        <x:v>VAL-009</x:v>
      </x:c>
      <x:c r="F470" s="13" t="str">
        <x:v>Odonto Prime</x:v>
      </x:c>
      <x:c r="G470" s="13" t="str">
        <x:v>Clínicas e Saúde</x:v>
      </x:c>
      <x:c r="H470" s="13" t="str">
        <x:v>Médio</x:v>
      </x:c>
      <x:c r="I470" s="13" t="str">
        <x:v>Essencial</x:v>
      </x:c>
      <x:c r="J470" s="17" t="n">
        <x:v>7355.26</x:v>
      </x:c>
      <x:c r="K470" s="17" t="n">
        <x:v>57.82</x:v>
      </x:c>
      <x:c r="L470" s="17" t="n">
        <x:v>0</x:v>
      </x:c>
      <x:c r="M470" s="13" t="str">
        <x:v>Pago</x:v>
      </x:c>
      <x:c r="N470" s="13" t="str">
        <x:v>Sem cobrança</x:v>
      </x:c>
      <x:c r="O470" s="13" t="str">
        <x:v>Crescimento sem escala</x:v>
      </x:c>
      <x:c r="P470" s="17" t="n">
        <x:f>IF(D470="",0,J470-K470+L470)</x:f>
        <x:v>7297.4400000000005</x:v>
      </x:c>
      <x:c r="Q470" s="17" t="n">
        <x:f>MAX(J470-P470-K470,0)</x:f>
        <x:v>0</x:v>
      </x:c>
      <x:c r="R470" s="13" t="n">
        <x:f>IF(D470="",MAX(TODAY()-C470,0),MAX(D470-C470,0))</x:f>
        <x:v>0</x:v>
      </x:c>
      <x:c r="S470" s="13" t="str">
        <x:f>IF(R470=0,"Em dia",IF(R470&lt;=15,"1-15 dias",IF(R470&lt;=30,"16-30 dias",IF(R470&lt;=60,"31-60 dias","Acima de 60 dias"))))</x:f>
        <x:v>Em dia</x:v>
      </x:c>
    </x:row>
    <x:row r="471">
      <x:c r="A471" s="13" t="str">
        <x:v>REC-000470</x:v>
      </x:c>
      <x:c r="B471" s="23" t="n">
        <x:v>45509</x:v>
      </x:c>
      <x:c r="C471" s="23" t="n">
        <x:v>45539</x:v>
      </x:c>
      <x:c r="D471" s="23" t="n">
        <x:v>45538</x:v>
      </x:c>
      <x:c r="E471" s="13" t="str">
        <x:v>VAL-014</x:v>
      </x:c>
      <x:c r="F471" s="13" t="str">
        <x:v>Colégio Caminhos</x:v>
      </x:c>
      <x:c r="G471" s="13" t="str">
        <x:v>Educação</x:v>
      </x:c>
      <x:c r="H471" s="13" t="str">
        <x:v>Médio</x:v>
      </x:c>
      <x:c r="I471" s="13" t="str">
        <x:v>Gestão</x:v>
      </x:c>
      <x:c r="J471" s="17" t="n">
        <x:v>15548.42</x:v>
      </x:c>
      <x:c r="K471" s="17" t="n">
        <x:v>231.84</x:v>
      </x:c>
      <x:c r="L471" s="17" t="n">
        <x:v>0</x:v>
      </x:c>
      <x:c r="M471" s="13" t="str">
        <x:v>Pago</x:v>
      </x:c>
      <x:c r="N471" s="13" t="str">
        <x:v>Sem cobrança</x:v>
      </x:c>
      <x:c r="O471" s="13" t="str">
        <x:v>Crescimento sem escala</x:v>
      </x:c>
      <x:c r="P471" s="17" t="n">
        <x:f>IF(D471="",0,J471-K471+L471)</x:f>
        <x:v>15316.58</x:v>
      </x:c>
      <x:c r="Q471" s="17" t="n">
        <x:f>MAX(J471-P471-K471,0)</x:f>
        <x:v>1.4210854715202004e-13</x:v>
      </x:c>
      <x:c r="R471" s="13" t="n">
        <x:f>IF(D471="",MAX(TODAY()-C471,0),MAX(D471-C471,0))</x:f>
        <x:v>0</x:v>
      </x:c>
      <x:c r="S471" s="13" t="str">
        <x:f>IF(R471=0,"Em dia",IF(R471&lt;=15,"1-15 dias",IF(R471&lt;=30,"16-30 dias",IF(R471&lt;=60,"31-60 dias","Acima de 60 dias"))))</x:f>
        <x:v>Em dia</x:v>
      </x:c>
    </x:row>
    <x:row r="472">
      <x:c r="A472" s="13" t="str">
        <x:v>REC-000471</x:v>
      </x:c>
      <x:c r="B472" s="23" t="n">
        <x:v>45509</x:v>
      </x:c>
      <x:c r="C472" s="23" t="n">
        <x:v>45516</x:v>
      </x:c>
      <x:c r="D472" s="23" t="n">
        <x:v>45516</x:v>
      </x:c>
      <x:c r="E472" s="13" t="str">
        <x:v>VAL-011</x:v>
      </x:c>
      <x:c r="F472" s="13" t="str">
        <x:v>Rede Essencial</x:v>
      </x:c>
      <x:c r="G472" s="13" t="str">
        <x:v>Varejo</x:v>
      </x:c>
      <x:c r="H472" s="13" t="str">
        <x:v>Médio</x:v>
      </x:c>
      <x:c r="I472" s="13" t="str">
        <x:v>Performance</x:v>
      </x:c>
      <x:c r="J472" s="17" t="n">
        <x:v>25958.26</x:v>
      </x:c>
      <x:c r="K472" s="17" t="n">
        <x:v>0</x:v>
      </x:c>
      <x:c r="L472" s="17" t="n">
        <x:v>0</x:v>
      </x:c>
      <x:c r="M472" s="13" t="str">
        <x:v>Pago</x:v>
      </x:c>
      <x:c r="N472" s="13" t="str">
        <x:v>Sem cobrança</x:v>
      </x:c>
      <x:c r="O472" s="13" t="str">
        <x:v>Crescimento sem escala</x:v>
      </x:c>
      <x:c r="P472" s="17" t="n">
        <x:f>IF(D472="",0,J472-K472+L472)</x:f>
        <x:v>25958.26</x:v>
      </x:c>
      <x:c r="Q472" s="17" t="n">
        <x:f>MAX(J472-P472-K472,0)</x:f>
        <x:v>0</x:v>
      </x:c>
      <x:c r="R472" s="13" t="n">
        <x:f>IF(D472="",MAX(TODAY()-C472,0),MAX(D472-C472,0))</x:f>
        <x:v>0</x:v>
      </x:c>
      <x:c r="S472" s="13" t="str">
        <x:f>IF(R472=0,"Em dia",IF(R472&lt;=15,"1-15 dias",IF(R472&lt;=30,"16-30 dias",IF(R472&lt;=60,"31-60 dias","Acima de 60 dias"))))</x:f>
        <x:v>Em dia</x:v>
      </x:c>
    </x:row>
    <x:row r="473">
      <x:c r="A473" s="13" t="str">
        <x:v>REC-000472</x:v>
      </x:c>
      <x:c r="B473" s="23" t="n">
        <x:v>45520</x:v>
      </x:c>
      <x:c r="C473" s="23" t="n">
        <x:v>45550</x:v>
      </x:c>
      <x:c r="D473" s="23" t="n">
        <x:v>45546</x:v>
      </x:c>
      <x:c r="E473" s="13" t="str">
        <x:v>VAL-001</x:v>
      </x:c>
      <x:c r="F473" s="13" t="str">
        <x:v>Clínica Horizonte</x:v>
      </x:c>
      <x:c r="G473" s="13" t="str">
        <x:v>Clínicas e Saúde</x:v>
      </x:c>
      <x:c r="H473" s="13" t="str">
        <x:v>Baixo</x:v>
      </x:c>
      <x:c r="I473" s="13" t="str">
        <x:v>Essencial</x:v>
      </x:c>
      <x:c r="J473" s="17" t="n">
        <x:v>11342.63</x:v>
      </x:c>
      <x:c r="K473" s="17" t="n">
        <x:v>0</x:v>
      </x:c>
      <x:c r="L473" s="17" t="n">
        <x:v>0</x:v>
      </x:c>
      <x:c r="M473" s="13" t="str">
        <x:v>Pago</x:v>
      </x:c>
      <x:c r="N473" s="13" t="str">
        <x:v>Sem cobrança</x:v>
      </x:c>
      <x:c r="O473" s="13" t="str">
        <x:v>Crescimento sem escala</x:v>
      </x:c>
      <x:c r="P473" s="17" t="n">
        <x:f>IF(D473="",0,J473-K473+L473)</x:f>
        <x:v>11342.63</x:v>
      </x:c>
      <x:c r="Q473" s="17" t="n">
        <x:f>MAX(J473-P473-K473,0)</x:f>
        <x:v>0</x:v>
      </x:c>
      <x:c r="R473" s="13" t="n">
        <x:f>IF(D473="",MAX(TODAY()-C473,0),MAX(D473-C473,0))</x:f>
        <x:v>0</x:v>
      </x:c>
      <x:c r="S473" s="13" t="str">
        <x:f>IF(R473=0,"Em dia",IF(R473&lt;=15,"1-15 dias",IF(R473&lt;=30,"16-30 dias",IF(R473&lt;=60,"31-60 dias","Acima de 60 dias"))))</x:f>
        <x:v>Em dia</x:v>
      </x:c>
    </x:row>
    <x:row r="474">
      <x:c r="A474" s="13" t="str">
        <x:v>REC-000473</x:v>
      </x:c>
      <x:c r="B474" s="23" t="n">
        <x:v>45510</x:v>
      </x:c>
      <x:c r="C474" s="23" t="n">
        <x:v>45540</x:v>
      </x:c>
      <x:c r="D474" s="23" t="n">
        <x:v>45558</x:v>
      </x:c>
      <x:c r="E474" s="13" t="str">
        <x:v>VAL-010</x:v>
      </x:c>
      <x:c r="F474" s="13" t="str">
        <x:v>Atlas Contabilidade</x:v>
      </x:c>
      <x:c r="G474" s="13" t="str">
        <x:v>Serviços Profissionais</x:v>
      </x:c>
      <x:c r="H474" s="13" t="str">
        <x:v>Baixo</x:v>
      </x:c>
      <x:c r="I474" s="13" t="str">
        <x:v>Gestão</x:v>
      </x:c>
      <x:c r="J474" s="17" t="n">
        <x:v>24627.72</x:v>
      </x:c>
      <x:c r="K474" s="17" t="n">
        <x:v>0</x:v>
      </x:c>
      <x:c r="L474" s="17" t="n">
        <x:v>288.14</x:v>
      </x:c>
      <x:c r="M474" s="13" t="str">
        <x:v>Pago com atraso</x:v>
      </x:c>
      <x:c r="N474" s="13" t="str">
        <x:v>E-mail</x:v>
      </x:c>
      <x:c r="O474" s="13" t="str">
        <x:v>Crescimento sem escala</x:v>
      </x:c>
      <x:c r="P474" s="17" t="n">
        <x:f>IF(D474="",0,J474-K474+L474)</x:f>
        <x:v>24915.86</x:v>
      </x:c>
      <x:c r="Q474" s="17" t="n">
        <x:f>MAX(J474-P474-K474,0)</x:f>
        <x:v>0</x:v>
      </x:c>
      <x:c r="R474" s="13" t="n">
        <x:f>IF(D474="",MAX(TODAY()-C474,0),MAX(D474-C474,0))</x:f>
        <x:v>18</x:v>
      </x:c>
      <x:c r="S474" s="13" t="str">
        <x:f>IF(R474=0,"Em dia",IF(R474&lt;=15,"1-15 dias",IF(R474&lt;=30,"16-30 dias",IF(R474&lt;=60,"31-60 dias","Acima de 60 dias"))))</x:f>
        <x:v>16-30 dias</x:v>
      </x:c>
    </x:row>
    <x:row r="475">
      <x:c r="A475" s="13" t="str">
        <x:v>REC-000474</x:v>
      </x:c>
      <x:c r="B475" s="23" t="n">
        <x:v>45509</x:v>
      </x:c>
      <x:c r="C475" s="23" t="n">
        <x:v>45524</x:v>
      </x:c>
      <x:c r="D475" s="23" t="n">
        <x:v>45524</x:v>
      </x:c>
      <x:c r="E475" s="13" t="str">
        <x:v>VAL-001</x:v>
      </x:c>
      <x:c r="F475" s="13" t="str">
        <x:v>Clínica Horizonte</x:v>
      </x:c>
      <x:c r="G475" s="13" t="str">
        <x:v>Clínicas e Saúde</x:v>
      </x:c>
      <x:c r="H475" s="13" t="str">
        <x:v>Baixo</x:v>
      </x:c>
      <x:c r="I475" s="13" t="str">
        <x:v>Essencial</x:v>
      </x:c>
      <x:c r="J475" s="17" t="n">
        <x:v>27113.78</x:v>
      </x:c>
      <x:c r="K475" s="17" t="n">
        <x:v>0</x:v>
      </x:c>
      <x:c r="L475" s="17" t="n">
        <x:v>0</x:v>
      </x:c>
      <x:c r="M475" s="13" t="str">
        <x:v>Pago</x:v>
      </x:c>
      <x:c r="N475" s="13" t="str">
        <x:v>Sem cobrança</x:v>
      </x:c>
      <x:c r="O475" s="13" t="str">
        <x:v>Crescimento sem escala</x:v>
      </x:c>
      <x:c r="P475" s="17" t="n">
        <x:f>IF(D475="",0,J475-K475+L475)</x:f>
        <x:v>27113.78</x:v>
      </x:c>
      <x:c r="Q475" s="17" t="n">
        <x:f>MAX(J475-P475-K475,0)</x:f>
        <x:v>0</x:v>
      </x:c>
      <x:c r="R475" s="13" t="n">
        <x:f>IF(D475="",MAX(TODAY()-C475,0),MAX(D475-C475,0))</x:f>
        <x:v>0</x:v>
      </x:c>
      <x:c r="S475" s="13" t="str">
        <x:f>IF(R475=0,"Em dia",IF(R475&lt;=15,"1-15 dias",IF(R475&lt;=30,"16-30 dias",IF(R475&lt;=60,"31-60 dias","Acima de 60 dias"))))</x:f>
        <x:v>Em dia</x:v>
      </x:c>
    </x:row>
    <x:row r="476">
      <x:c r="A476" s="13" t="str">
        <x:v>REC-000475</x:v>
      </x:c>
      <x:c r="B476" s="23" t="n">
        <x:v>45517</x:v>
      </x:c>
      <x:c r="C476" s="23" t="n">
        <x:v>45538</x:v>
      </x:c>
      <x:c r="D476" s="23" t="n">
        <x:v>45536</x:v>
      </x:c>
      <x:c r="E476" s="13" t="str">
        <x:v>VAL-013</x:v>
      </x:c>
      <x:c r="F476" s="13" t="str">
        <x:v>Engenharia Vértice</x:v>
      </x:c>
      <x:c r="G476" s="13" t="str">
        <x:v>Construção</x:v>
      </x:c>
      <x:c r="H476" s="13" t="str">
        <x:v>Baixo</x:v>
      </x:c>
      <x:c r="I476" s="13" t="str">
        <x:v>Essencial</x:v>
      </x:c>
      <x:c r="J476" s="17" t="n">
        <x:v>24694.24</x:v>
      </x:c>
      <x:c r="K476" s="17" t="n">
        <x:v>0</x:v>
      </x:c>
      <x:c r="L476" s="17" t="n">
        <x:v>0</x:v>
      </x:c>
      <x:c r="M476" s="13" t="str">
        <x:v>Pago</x:v>
      </x:c>
      <x:c r="N476" s="13" t="str">
        <x:v>Sem cobrança</x:v>
      </x:c>
      <x:c r="O476" s="13" t="str">
        <x:v>Crescimento sem escala</x:v>
      </x:c>
      <x:c r="P476" s="17" t="n">
        <x:f>IF(D476="",0,J476-K476+L476)</x:f>
        <x:v>24694.24</x:v>
      </x:c>
      <x:c r="Q476" s="17" t="n">
        <x:f>MAX(J476-P476-K476,0)</x:f>
        <x:v>0</x:v>
      </x:c>
      <x:c r="R476" s="13" t="n">
        <x:f>IF(D476="",MAX(TODAY()-C476,0),MAX(D476-C476,0))</x:f>
        <x:v>0</x:v>
      </x:c>
      <x:c r="S476" s="13" t="str">
        <x:f>IF(R476=0,"Em dia",IF(R476&lt;=15,"1-15 dias",IF(R476&lt;=30,"16-30 dias",IF(R476&lt;=60,"31-60 dias","Acima de 60 dias"))))</x:f>
        <x:v>Em dia</x:v>
      </x:c>
    </x:row>
    <x:row r="477">
      <x:c r="A477" s="13" t="str">
        <x:v>REC-000476</x:v>
      </x:c>
      <x:c r="B477" s="23" t="n">
        <x:v>45510</x:v>
      </x:c>
      <x:c r="C477" s="23" t="n">
        <x:v>45517</x:v>
      </x:c>
      <x:c r="D477" s="23" t="n">
        <x:v>45515</x:v>
      </x:c>
      <x:c r="E477" s="13" t="str">
        <x:v>VAL-011</x:v>
      </x:c>
      <x:c r="F477" s="13" t="str">
        <x:v>Rede Essencial</x:v>
      </x:c>
      <x:c r="G477" s="13" t="str">
        <x:v>Varejo</x:v>
      </x:c>
      <x:c r="H477" s="13" t="str">
        <x:v>Médio</x:v>
      </x:c>
      <x:c r="I477" s="13" t="str">
        <x:v>Performance</x:v>
      </x:c>
      <x:c r="J477" s="17" t="n">
        <x:v>30304.91</x:v>
      </x:c>
      <x:c r="K477" s="17" t="n">
        <x:v>0</x:v>
      </x:c>
      <x:c r="L477" s="17" t="n">
        <x:v>0</x:v>
      </x:c>
      <x:c r="M477" s="13" t="str">
        <x:v>Pago</x:v>
      </x:c>
      <x:c r="N477" s="13" t="str">
        <x:v>Sem cobrança</x:v>
      </x:c>
      <x:c r="O477" s="13" t="str">
        <x:v>Crescimento sem escala</x:v>
      </x:c>
      <x:c r="P477" s="17" t="n">
        <x:f>IF(D477="",0,J477-K477+L477)</x:f>
        <x:v>30304.91</x:v>
      </x:c>
      <x:c r="Q477" s="17" t="n">
        <x:f>MAX(J477-P477-K477,0)</x:f>
        <x:v>0</x:v>
      </x:c>
      <x:c r="R477" s="13" t="n">
        <x:f>IF(D477="",MAX(TODAY()-C477,0),MAX(D477-C477,0))</x:f>
        <x:v>0</x:v>
      </x:c>
      <x:c r="S477" s="13" t="str">
        <x:f>IF(R477=0,"Em dia",IF(R477&lt;=15,"1-15 dias",IF(R477&lt;=30,"16-30 dias",IF(R477&lt;=60,"31-60 dias","Acima de 60 dias"))))</x:f>
        <x:v>Em dia</x:v>
      </x:c>
    </x:row>
    <x:row r="478">
      <x:c r="A478" s="13" t="str">
        <x:v>REC-000477</x:v>
      </x:c>
      <x:c r="B478" s="23" t="n">
        <x:v>45522</x:v>
      </x:c>
      <x:c r="C478" s="23" t="n">
        <x:v>45537</x:v>
      </x:c>
      <x:c r="D478" s="23" t="n">
        <x:v>45536</x:v>
      </x:c>
      <x:c r="E478" s="13" t="str">
        <x:v>VAL-021</x:v>
      </x:c>
      <x:c r="F478" s="13" t="str">
        <x:v>Base Forte Obras</x:v>
      </x:c>
      <x:c r="G478" s="13" t="str">
        <x:v>Construção</x:v>
      </x:c>
      <x:c r="H478" s="13" t="str">
        <x:v>Médio</x:v>
      </x:c>
      <x:c r="I478" s="13" t="str">
        <x:v>Essencial</x:v>
      </x:c>
      <x:c r="J478" s="17" t="n">
        <x:v>25414.02</x:v>
      </x:c>
      <x:c r="K478" s="17" t="n">
        <x:v>0</x:v>
      </x:c>
      <x:c r="L478" s="17" t="n">
        <x:v>0</x:v>
      </x:c>
      <x:c r="M478" s="13" t="str">
        <x:v>Pago</x:v>
      </x:c>
      <x:c r="N478" s="13" t="str">
        <x:v>Sem cobrança</x:v>
      </x:c>
      <x:c r="O478" s="13" t="str">
        <x:v>Crescimento sem escala</x:v>
      </x:c>
      <x:c r="P478" s="17" t="n">
        <x:f>IF(D478="",0,J478-K478+L478)</x:f>
        <x:v>25414.02</x:v>
      </x:c>
      <x:c r="Q478" s="17" t="n">
        <x:f>MAX(J478-P478-K478,0)</x:f>
        <x:v>0</x:v>
      </x:c>
      <x:c r="R478" s="13" t="n">
        <x:f>IF(D478="",MAX(TODAY()-C478,0),MAX(D478-C478,0))</x:f>
        <x:v>0</x:v>
      </x:c>
      <x:c r="S478" s="13" t="str">
        <x:f>IF(R478=0,"Em dia",IF(R478&lt;=15,"1-15 dias",IF(R478&lt;=30,"16-30 dias",IF(R478&lt;=60,"31-60 dias","Acima de 60 dias"))))</x:f>
        <x:v>Em dia</x:v>
      </x:c>
    </x:row>
    <x:row r="479">
      <x:c r="A479" s="13" t="str">
        <x:v>REC-000478</x:v>
      </x:c>
      <x:c r="B479" s="23" t="n">
        <x:v>45507</x:v>
      </x:c>
      <x:c r="C479" s="23" t="n">
        <x:v>45537</x:v>
      </x:c>
      <x:c r="D479" s="23" t="n">
        <x:v>45535</x:v>
      </x:c>
      <x:c r="E479" s="13" t="str">
        <x:v>VAL-002</x:v>
      </x:c>
      <x:c r="F479" s="13" t="str">
        <x:v>Mendes &amp; Prado Consultoria</x:v>
      </x:c>
      <x:c r="G479" s="13" t="str">
        <x:v>Serviços Profissionais</x:v>
      </x:c>
      <x:c r="H479" s="13" t="str">
        <x:v>Baixo</x:v>
      </x:c>
      <x:c r="I479" s="13" t="str">
        <x:v>Gestão</x:v>
      </x:c>
      <x:c r="J479" s="17" t="n">
        <x:v>24475.16</x:v>
      </x:c>
      <x:c r="K479" s="17" t="n">
        <x:v>0</x:v>
      </x:c>
      <x:c r="L479" s="17" t="n">
        <x:v>0</x:v>
      </x:c>
      <x:c r="M479" s="13" t="str">
        <x:v>Pago</x:v>
      </x:c>
      <x:c r="N479" s="13" t="str">
        <x:v>Sem cobrança</x:v>
      </x:c>
      <x:c r="O479" s="13" t="str">
        <x:v>Crescimento sem escala</x:v>
      </x:c>
      <x:c r="P479" s="17" t="n">
        <x:f>IF(D479="",0,J479-K479+L479)</x:f>
        <x:v>24475.16</x:v>
      </x:c>
      <x:c r="Q479" s="17" t="n">
        <x:f>MAX(J479-P479-K479,0)</x:f>
        <x:v>0</x:v>
      </x:c>
      <x:c r="R479" s="13" t="n">
        <x:f>IF(D479="",MAX(TODAY()-C479,0),MAX(D479-C479,0))</x:f>
        <x:v>0</x:v>
      </x:c>
      <x:c r="S479" s="13" t="str">
        <x:f>IF(R479=0,"Em dia",IF(R479&lt;=15,"1-15 dias",IF(R479&lt;=30,"16-30 dias",IF(R479&lt;=60,"31-60 dias","Acima de 60 dias"))))</x:f>
        <x:v>Em dia</x:v>
      </x:c>
    </x:row>
    <x:row r="480">
      <x:c r="A480" s="13" t="str">
        <x:v>REC-000479</x:v>
      </x:c>
      <x:c r="B480" s="23" t="n">
        <x:v>45522</x:v>
      </x:c>
      <x:c r="C480" s="23" t="n">
        <x:v>45550</x:v>
      </x:c>
      <x:c r="D480" s="23" t="n">
        <x:v>45547</x:v>
      </x:c>
      <x:c r="E480" s="13" t="str">
        <x:v>VAL-017</x:v>
      </x:c>
      <x:c r="F480" s="13" t="str">
        <x:v>Centro Médico Vida</x:v>
      </x:c>
      <x:c r="G480" s="13" t="str">
        <x:v>Clínicas e Saúde</x:v>
      </x:c>
      <x:c r="H480" s="13" t="str">
        <x:v>Baixo</x:v>
      </x:c>
      <x:c r="I480" s="13" t="str">
        <x:v>Essencial</x:v>
      </x:c>
      <x:c r="J480" s="17" t="n">
        <x:v>16156</x:v>
      </x:c>
      <x:c r="K480" s="17" t="n">
        <x:v>0</x:v>
      </x:c>
      <x:c r="L480" s="17" t="n">
        <x:v>0</x:v>
      </x:c>
      <x:c r="M480" s="13" t="str">
        <x:v>Pago</x:v>
      </x:c>
      <x:c r="N480" s="13" t="str">
        <x:v>Sem cobrança</x:v>
      </x:c>
      <x:c r="O480" s="13" t="str">
        <x:v>Crescimento sem escala</x:v>
      </x:c>
      <x:c r="P480" s="17" t="n">
        <x:f>IF(D480="",0,J480-K480+L480)</x:f>
        <x:v>16156</x:v>
      </x:c>
      <x:c r="Q480" s="17" t="n">
        <x:f>MAX(J480-P480-K480,0)</x:f>
        <x:v>0</x:v>
      </x:c>
      <x:c r="R480" s="13" t="n">
        <x:f>IF(D480="",MAX(TODAY()-C480,0),MAX(D480-C480,0))</x:f>
        <x:v>0</x:v>
      </x:c>
      <x:c r="S480" s="13" t="str">
        <x:f>IF(R480=0,"Em dia",IF(R480&lt;=15,"1-15 dias",IF(R480&lt;=30,"16-30 dias",IF(R480&lt;=60,"31-60 dias","Acima de 60 dias"))))</x:f>
        <x:v>Em dia</x:v>
      </x:c>
    </x:row>
    <x:row r="481">
      <x:c r="A481" s="13" t="str">
        <x:v>REC-000480</x:v>
      </x:c>
      <x:c r="B481" s="23" t="n">
        <x:v>45511</x:v>
      </x:c>
      <x:c r="C481" s="23" t="n">
        <x:v>45541</x:v>
      </x:c>
      <x:c r="D481" s="23" t="n">
        <x:v>45539</x:v>
      </x:c>
      <x:c r="E481" s="13" t="str">
        <x:v>VAL-022</x:v>
      </x:c>
      <x:c r="F481" s="13" t="str">
        <x:v>Academia Evoluir</x:v>
      </x:c>
      <x:c r="G481" s="13" t="str">
        <x:v>Educação</x:v>
      </x:c>
      <x:c r="H481" s="13" t="str">
        <x:v>Alto</x:v>
      </x:c>
      <x:c r="I481" s="13" t="str">
        <x:v>Gestão</x:v>
      </x:c>
      <x:c r="J481" s="17" t="n">
        <x:v>14107.45</x:v>
      </x:c>
      <x:c r="K481" s="17" t="n">
        <x:v>0</x:v>
      </x:c>
      <x:c r="L481" s="17" t="n">
        <x:v>0</x:v>
      </x:c>
      <x:c r="M481" s="13" t="str">
        <x:v>Pago</x:v>
      </x:c>
      <x:c r="N481" s="13" t="str">
        <x:v>Sem cobrança</x:v>
      </x:c>
      <x:c r="O481" s="13" t="str">
        <x:v>Crescimento sem escala</x:v>
      </x:c>
      <x:c r="P481" s="17" t="n">
        <x:f>IF(D481="",0,J481-K481+L481)</x:f>
        <x:v>14107.45</x:v>
      </x:c>
      <x:c r="Q481" s="17" t="n">
        <x:f>MAX(J481-P481-K481,0)</x:f>
        <x:v>0</x:v>
      </x:c>
      <x:c r="R481" s="13" t="n">
        <x:f>IF(D481="",MAX(TODAY()-C481,0),MAX(D481-C481,0))</x:f>
        <x:v>0</x:v>
      </x:c>
      <x:c r="S481" s="13" t="str">
        <x:f>IF(R481=0,"Em dia",IF(R481&lt;=15,"1-15 dias",IF(R481&lt;=30,"16-30 dias",IF(R481&lt;=60,"31-60 dias","Acima de 60 dias"))))</x:f>
        <x:v>Em dia</x:v>
      </x:c>
    </x:row>
    <x:row r="482">
      <x:c r="A482" s="13" t="str">
        <x:v>REC-000481</x:v>
      </x:c>
      <x:c r="B482" s="23" t="n">
        <x:v>45540</x:v>
      </x:c>
      <x:c r="C482" s="23" t="n">
        <x:v>45568</x:v>
      </x:c>
      <x:c r="D482" s="23" t="n">
        <x:v>45565</x:v>
      </x:c>
      <x:c r="E482" s="13" t="str">
        <x:v>VAL-014</x:v>
      </x:c>
      <x:c r="F482" s="13" t="str">
        <x:v>Colégio Caminhos</x:v>
      </x:c>
      <x:c r="G482" s="13" t="str">
        <x:v>Educação</x:v>
      </x:c>
      <x:c r="H482" s="13" t="str">
        <x:v>Médio</x:v>
      </x:c>
      <x:c r="I482" s="13" t="str">
        <x:v>Gestão</x:v>
      </x:c>
      <x:c r="J482" s="17" t="n">
        <x:v>23472.15</x:v>
      </x:c>
      <x:c r="K482" s="17" t="n">
        <x:v>0</x:v>
      </x:c>
      <x:c r="L482" s="17" t="n">
        <x:v>0</x:v>
      </x:c>
      <x:c r="M482" s="13" t="str">
        <x:v>Pago</x:v>
      </x:c>
      <x:c r="N482" s="13" t="str">
        <x:v>Sem cobrança</x:v>
      </x:c>
      <x:c r="O482" s="13" t="str">
        <x:v>Crescimento sem escala</x:v>
      </x:c>
      <x:c r="P482" s="17" t="n">
        <x:f>IF(D482="",0,J482-K482+L482)</x:f>
        <x:v>23472.15</x:v>
      </x:c>
      <x:c r="Q482" s="17" t="n">
        <x:f>MAX(J482-P482-K482,0)</x:f>
        <x:v>0</x:v>
      </x:c>
      <x:c r="R482" s="13" t="n">
        <x:f>IF(D482="",MAX(TODAY()-C482,0),MAX(D482-C482,0))</x:f>
        <x:v>0</x:v>
      </x:c>
      <x:c r="S482" s="13" t="str">
        <x:f>IF(R482=0,"Em dia",IF(R482&lt;=15,"1-15 dias",IF(R482&lt;=30,"16-30 dias",IF(R482&lt;=60,"31-60 dias","Acima de 60 dias"))))</x:f>
        <x:v>Em dia</x:v>
      </x:c>
    </x:row>
    <x:row r="483">
      <x:c r="A483" s="13" t="str">
        <x:v>REC-000482</x:v>
      </x:c>
      <x:c r="B483" s="23" t="n">
        <x:v>45551</x:v>
      </x:c>
      <x:c r="C483" s="23" t="n">
        <x:v>45581</x:v>
      </x:c>
      <x:c r="D483" s="23" t="n">
        <x:v>45577</x:v>
      </x:c>
      <x:c r="E483" s="13" t="str">
        <x:v>VAL-009</x:v>
      </x:c>
      <x:c r="F483" s="13" t="str">
        <x:v>Odonto Prime</x:v>
      </x:c>
      <x:c r="G483" s="13" t="str">
        <x:v>Clínicas e Saúde</x:v>
      </x:c>
      <x:c r="H483" s="13" t="str">
        <x:v>Médio</x:v>
      </x:c>
      <x:c r="I483" s="13" t="str">
        <x:v>Essencial</x:v>
      </x:c>
      <x:c r="J483" s="17" t="n">
        <x:v>5117</x:v>
      </x:c>
      <x:c r="K483" s="17" t="n">
        <x:v>74.54</x:v>
      </x:c>
      <x:c r="L483" s="17" t="n">
        <x:v>0</x:v>
      </x:c>
      <x:c r="M483" s="13" t="str">
        <x:v>Pago</x:v>
      </x:c>
      <x:c r="N483" s="13" t="str">
        <x:v>Sem cobrança</x:v>
      </x:c>
      <x:c r="O483" s="13" t="str">
        <x:v>Crescimento sem escala</x:v>
      </x:c>
      <x:c r="P483" s="17" t="n">
        <x:f>IF(D483="",0,J483-K483+L483)</x:f>
        <x:v>5042.46</x:v>
      </x:c>
      <x:c r="Q483" s="17" t="n">
        <x:f>MAX(J483-P483-K483,0)</x:f>
        <x:v>0</x:v>
      </x:c>
      <x:c r="R483" s="13" t="n">
        <x:f>IF(D483="",MAX(TODAY()-C483,0),MAX(D483-C483,0))</x:f>
        <x:v>0</x:v>
      </x:c>
      <x:c r="S483" s="13" t="str">
        <x:f>IF(R483=0,"Em dia",IF(R483&lt;=15,"1-15 dias",IF(R483&lt;=30,"16-30 dias",IF(R483&lt;=60,"31-60 dias","Acima de 60 dias"))))</x:f>
        <x:v>Em dia</x:v>
      </x:c>
    </x:row>
    <x:row r="484">
      <x:c r="A484" s="13" t="str">
        <x:v>REC-000483</x:v>
      </x:c>
      <x:c r="B484" s="23" t="n">
        <x:v>45553</x:v>
      </x:c>
      <x:c r="C484" s="23" t="n">
        <x:v>45560</x:v>
      </x:c>
      <x:c r="D484" s="23" t="n">
        <x:v>45560</x:v>
      </x:c>
      <x:c r="E484" s="13" t="str">
        <x:v>VAL-001</x:v>
      </x:c>
      <x:c r="F484" s="13" t="str">
        <x:v>Clínica Horizonte</x:v>
      </x:c>
      <x:c r="G484" s="13" t="str">
        <x:v>Clínicas e Saúde</x:v>
      </x:c>
      <x:c r="H484" s="13" t="str">
        <x:v>Baixo</x:v>
      </x:c>
      <x:c r="I484" s="13" t="str">
        <x:v>Essencial</x:v>
      </x:c>
      <x:c r="J484" s="17" t="n">
        <x:v>2256.7</x:v>
      </x:c>
      <x:c r="K484" s="17" t="n">
        <x:v>0</x:v>
      </x:c>
      <x:c r="L484" s="17" t="n">
        <x:v>0</x:v>
      </x:c>
      <x:c r="M484" s="13" t="str">
        <x:v>Pago</x:v>
      </x:c>
      <x:c r="N484" s="13" t="str">
        <x:v>Sem cobrança</x:v>
      </x:c>
      <x:c r="O484" s="13" t="str">
        <x:v>Crescimento sem escala</x:v>
      </x:c>
      <x:c r="P484" s="17" t="n">
        <x:f>IF(D484="",0,J484-K484+L484)</x:f>
        <x:v>2256.7</x:v>
      </x:c>
      <x:c r="Q484" s="17" t="n">
        <x:f>MAX(J484-P484-K484,0)</x:f>
        <x:v>0</x:v>
      </x:c>
      <x:c r="R484" s="13" t="n">
        <x:f>IF(D484="",MAX(TODAY()-C484,0),MAX(D484-C484,0))</x:f>
        <x:v>0</x:v>
      </x:c>
      <x:c r="S484" s="13" t="str">
        <x:f>IF(R484=0,"Em dia",IF(R484&lt;=15,"1-15 dias",IF(R484&lt;=30,"16-30 dias",IF(R484&lt;=60,"31-60 dias","Acima de 60 dias"))))</x:f>
        <x:v>Em dia</x:v>
      </x:c>
    </x:row>
    <x:row r="485">
      <x:c r="A485" s="13" t="str">
        <x:v>REC-000484</x:v>
      </x:c>
      <x:c r="B485" s="23" t="n">
        <x:v>45536</x:v>
      </x:c>
      <x:c r="C485" s="23" t="n">
        <x:v>45564</x:v>
      </x:c>
      <x:c r="D485" s="23" t="n">
        <x:v>45563</x:v>
      </x:c>
      <x:c r="E485" s="13" t="str">
        <x:v>VAL-009</x:v>
      </x:c>
      <x:c r="F485" s="13" t="str">
        <x:v>Odonto Prime</x:v>
      </x:c>
      <x:c r="G485" s="13" t="str">
        <x:v>Clínicas e Saúde</x:v>
      </x:c>
      <x:c r="H485" s="13" t="str">
        <x:v>Médio</x:v>
      </x:c>
      <x:c r="I485" s="13" t="str">
        <x:v>Essencial</x:v>
      </x:c>
      <x:c r="J485" s="17" t="n">
        <x:v>12613.88</x:v>
      </x:c>
      <x:c r="K485" s="17" t="n">
        <x:v>0</x:v>
      </x:c>
      <x:c r="L485" s="17" t="n">
        <x:v>0</x:v>
      </x:c>
      <x:c r="M485" s="13" t="str">
        <x:v>Pago</x:v>
      </x:c>
      <x:c r="N485" s="13" t="str">
        <x:v>Sem cobrança</x:v>
      </x:c>
      <x:c r="O485" s="13" t="str">
        <x:v>Crescimento sem escala</x:v>
      </x:c>
      <x:c r="P485" s="17" t="n">
        <x:f>IF(D485="",0,J485-K485+L485)</x:f>
        <x:v>12613.88</x:v>
      </x:c>
      <x:c r="Q485" s="17" t="n">
        <x:f>MAX(J485-P485-K485,0)</x:f>
        <x:v>0</x:v>
      </x:c>
      <x:c r="R485" s="13" t="n">
        <x:f>IF(D485="",MAX(TODAY()-C485,0),MAX(D485-C485,0))</x:f>
        <x:v>0</x:v>
      </x:c>
      <x:c r="S485" s="13" t="str">
        <x:f>IF(R485=0,"Em dia",IF(R485&lt;=15,"1-15 dias",IF(R485&lt;=30,"16-30 dias",IF(R485&lt;=60,"31-60 dias","Acima de 60 dias"))))</x:f>
        <x:v>Em dia</x:v>
      </x:c>
    </x:row>
    <x:row r="486">
      <x:c r="A486" s="13" t="str">
        <x:v>REC-000485</x:v>
      </x:c>
      <x:c r="B486" s="23" t="n">
        <x:v>45554</x:v>
      </x:c>
      <x:c r="C486" s="23" t="n">
        <x:v>45584</x:v>
      </x:c>
      <x:c r="D486" s="23" t="n">
        <x:v>45615</x:v>
      </x:c>
      <x:c r="E486" s="13" t="str">
        <x:v>VAL-021</x:v>
      </x:c>
      <x:c r="F486" s="13" t="str">
        <x:v>Base Forte Obras</x:v>
      </x:c>
      <x:c r="G486" s="13" t="str">
        <x:v>Construção</x:v>
      </x:c>
      <x:c r="H486" s="13" t="str">
        <x:v>Médio</x:v>
      </x:c>
      <x:c r="I486" s="13" t="str">
        <x:v>Essencial</x:v>
      </x:c>
      <x:c r="J486" s="17" t="n">
        <x:v>13143.14</x:v>
      </x:c>
      <x:c r="K486" s="17" t="n">
        <x:v>0</x:v>
      </x:c>
      <x:c r="L486" s="17" t="n">
        <x:v>264.83</x:v>
      </x:c>
      <x:c r="M486" s="13" t="str">
        <x:v>Pago com atraso</x:v>
      </x:c>
      <x:c r="N486" s="13" t="str">
        <x:v>Régua automática</x:v>
      </x:c>
      <x:c r="O486" s="13" t="str">
        <x:v>Crescimento sem escala</x:v>
      </x:c>
      <x:c r="P486" s="17" t="n">
        <x:f>IF(D486="",0,J486-K486+L486)</x:f>
        <x:v>13407.97</x:v>
      </x:c>
      <x:c r="Q486" s="17" t="n">
        <x:f>MAX(J486-P486-K486,0)</x:f>
        <x:v>0</x:v>
      </x:c>
      <x:c r="R486" s="13" t="n">
        <x:f>IF(D486="",MAX(TODAY()-C486,0),MAX(D486-C486,0))</x:f>
        <x:v>31</x:v>
      </x:c>
      <x:c r="S486" s="13" t="str">
        <x:f>IF(R486=0,"Em dia",IF(R486&lt;=15,"1-15 dias",IF(R486&lt;=30,"16-30 dias",IF(R486&lt;=60,"31-60 dias","Acima de 60 dias"))))</x:f>
        <x:v>31-60 dias</x:v>
      </x:c>
    </x:row>
    <x:row r="487">
      <x:c r="A487" s="13" t="str">
        <x:v>REC-000486</x:v>
      </x:c>
      <x:c r="B487" s="23" t="n">
        <x:v>45536</x:v>
      </x:c>
      <x:c r="C487" s="23" t="n">
        <x:v>45566</x:v>
      </x:c>
      <x:c r="D487" s="23" t="n">
        <x:v>45565</x:v>
      </x:c>
      <x:c r="E487" s="13" t="str">
        <x:v>VAL-025</x:v>
      </x:c>
      <x:c r="F487" s="13" t="str">
        <x:v>Bem-Estar Terapias</x:v>
      </x:c>
      <x:c r="G487" s="13" t="str">
        <x:v>Clínicas e Saúde</x:v>
      </x:c>
      <x:c r="H487" s="13" t="str">
        <x:v>Baixo</x:v>
      </x:c>
      <x:c r="I487" s="13" t="str">
        <x:v>Essencial</x:v>
      </x:c>
      <x:c r="J487" s="17" t="n">
        <x:v>13598.54</x:v>
      </x:c>
      <x:c r="K487" s="17" t="n">
        <x:v>0</x:v>
      </x:c>
      <x:c r="L487" s="17" t="n">
        <x:v>0</x:v>
      </x:c>
      <x:c r="M487" s="13" t="str">
        <x:v>Pago</x:v>
      </x:c>
      <x:c r="N487" s="13" t="str">
        <x:v>Sem cobrança</x:v>
      </x:c>
      <x:c r="O487" s="13" t="str">
        <x:v>Crescimento sem escala</x:v>
      </x:c>
      <x:c r="P487" s="17" t="n">
        <x:f>IF(D487="",0,J487-K487+L487)</x:f>
        <x:v>13598.54</x:v>
      </x:c>
      <x:c r="Q487" s="17" t="n">
        <x:f>MAX(J487-P487-K487,0)</x:f>
        <x:v>0</x:v>
      </x:c>
      <x:c r="R487" s="13" t="n">
        <x:f>IF(D487="",MAX(TODAY()-C487,0),MAX(D487-C487,0))</x:f>
        <x:v>0</x:v>
      </x:c>
      <x:c r="S487" s="13" t="str">
        <x:f>IF(R487=0,"Em dia",IF(R487&lt;=15,"1-15 dias",IF(R487&lt;=30,"16-30 dias",IF(R487&lt;=60,"31-60 dias","Acima de 60 dias"))))</x:f>
        <x:v>Em dia</x:v>
      </x:c>
    </x:row>
    <x:row r="488">
      <x:c r="A488" s="13" t="str">
        <x:v>REC-000487</x:v>
      </x:c>
      <x:c r="B488" s="23" t="n">
        <x:v>45551</x:v>
      </x:c>
      <x:c r="C488" s="23" t="n">
        <x:v>45581</x:v>
      </x:c>
      <x:c r="D488" s="23" t="n">
        <x:v>45581</x:v>
      </x:c>
      <x:c r="E488" s="13" t="str">
        <x:v>VAL-013</x:v>
      </x:c>
      <x:c r="F488" s="13" t="str">
        <x:v>Engenharia Vértice</x:v>
      </x:c>
      <x:c r="G488" s="13" t="str">
        <x:v>Construção</x:v>
      </x:c>
      <x:c r="H488" s="13" t="str">
        <x:v>Baixo</x:v>
      </x:c>
      <x:c r="I488" s="13" t="str">
        <x:v>Essencial</x:v>
      </x:c>
      <x:c r="J488" s="17" t="n">
        <x:v>16923.92</x:v>
      </x:c>
      <x:c r="K488" s="17" t="n">
        <x:v>0</x:v>
      </x:c>
      <x:c r="L488" s="17" t="n">
        <x:v>0</x:v>
      </x:c>
      <x:c r="M488" s="13" t="str">
        <x:v>Pago</x:v>
      </x:c>
      <x:c r="N488" s="13" t="str">
        <x:v>Sem cobrança</x:v>
      </x:c>
      <x:c r="O488" s="13" t="str">
        <x:v>Crescimento sem escala</x:v>
      </x:c>
      <x:c r="P488" s="17" t="n">
        <x:f>IF(D488="",0,J488-K488+L488)</x:f>
        <x:v>16923.92</x:v>
      </x:c>
      <x:c r="Q488" s="17" t="n">
        <x:f>MAX(J488-P488-K488,0)</x:f>
        <x:v>0</x:v>
      </x:c>
      <x:c r="R488" s="13" t="n">
        <x:f>IF(D488="",MAX(TODAY()-C488,0),MAX(D488-C488,0))</x:f>
        <x:v>0</x:v>
      </x:c>
      <x:c r="S488" s="13" t="str">
        <x:f>IF(R488=0,"Em dia",IF(R488&lt;=15,"1-15 dias",IF(R488&lt;=30,"16-30 dias",IF(R488&lt;=60,"31-60 dias","Acima de 60 dias"))))</x:f>
        <x:v>Em dia</x:v>
      </x:c>
    </x:row>
    <x:row r="489">
      <x:c r="A489" s="13" t="str">
        <x:v>REC-000488</x:v>
      </x:c>
      <x:c r="B489" s="23" t="n">
        <x:v>45548</x:v>
      </x:c>
      <x:c r="C489" s="23" t="n">
        <x:v>45563</x:v>
      </x:c>
      <x:c r="D489" s="23" t="n">
        <x:v>45560</x:v>
      </x:c>
      <x:c r="E489" s="13" t="str">
        <x:v>VAL-013</x:v>
      </x:c>
      <x:c r="F489" s="13" t="str">
        <x:v>Engenharia Vértice</x:v>
      </x:c>
      <x:c r="G489" s="13" t="str">
        <x:v>Construção</x:v>
      </x:c>
      <x:c r="H489" s="13" t="str">
        <x:v>Baixo</x:v>
      </x:c>
      <x:c r="I489" s="13" t="str">
        <x:v>Essencial</x:v>
      </x:c>
      <x:c r="J489" s="17" t="n">
        <x:v>13096.06</x:v>
      </x:c>
      <x:c r="K489" s="17" t="n">
        <x:v>0</x:v>
      </x:c>
      <x:c r="L489" s="17" t="n">
        <x:v>0</x:v>
      </x:c>
      <x:c r="M489" s="13" t="str">
        <x:v>Pago</x:v>
      </x:c>
      <x:c r="N489" s="13" t="str">
        <x:v>Sem cobrança</x:v>
      </x:c>
      <x:c r="O489" s="13" t="str">
        <x:v>Crescimento sem escala</x:v>
      </x:c>
      <x:c r="P489" s="17" t="n">
        <x:f>IF(D489="",0,J489-K489+L489)</x:f>
        <x:v>13096.06</x:v>
      </x:c>
      <x:c r="Q489" s="17" t="n">
        <x:f>MAX(J489-P489-K489,0)</x:f>
        <x:v>0</x:v>
      </x:c>
      <x:c r="R489" s="13" t="n">
        <x:f>IF(D489="",MAX(TODAY()-C489,0),MAX(D489-C489,0))</x:f>
        <x:v>0</x:v>
      </x:c>
      <x:c r="S489" s="13" t="str">
        <x:f>IF(R489=0,"Em dia",IF(R489&lt;=15,"1-15 dias",IF(R489&lt;=30,"16-30 dias",IF(R489&lt;=60,"31-60 dias","Acima de 60 dias"))))</x:f>
        <x:v>Em dia</x:v>
      </x:c>
    </x:row>
    <x:row r="490">
      <x:c r="A490" s="13" t="str">
        <x:v>REC-000489</x:v>
      </x:c>
      <x:c r="B490" s="23" t="n">
        <x:v>45545</x:v>
      </x:c>
      <x:c r="C490" s="23" t="n">
        <x:v>45573</x:v>
      </x:c>
      <x:c r="D490" s="23" t="n">
        <x:v>45570</x:v>
      </x:c>
      <x:c r="E490" s="13" t="str">
        <x:v>VAL-023</x:v>
      </x:c>
      <x:c r="F490" s="13" t="str">
        <x:v>ShopMix Brasil</x:v>
      </x:c>
      <x:c r="G490" s="13" t="str">
        <x:v>E-commerce</x:v>
      </x:c>
      <x:c r="H490" s="13" t="str">
        <x:v>Baixo</x:v>
      </x:c>
      <x:c r="I490" s="13" t="str">
        <x:v>Performance</x:v>
      </x:c>
      <x:c r="J490" s="17" t="n">
        <x:v>24921.58</x:v>
      </x:c>
      <x:c r="K490" s="17" t="n">
        <x:v>0</x:v>
      </x:c>
      <x:c r="L490" s="17" t="n">
        <x:v>0</x:v>
      </x:c>
      <x:c r="M490" s="13" t="str">
        <x:v>Pago</x:v>
      </x:c>
      <x:c r="N490" s="13" t="str">
        <x:v>Sem cobrança</x:v>
      </x:c>
      <x:c r="O490" s="13" t="str">
        <x:v>Crescimento sem escala</x:v>
      </x:c>
      <x:c r="P490" s="17" t="n">
        <x:f>IF(D490="",0,J490-K490+L490)</x:f>
        <x:v>24921.58</x:v>
      </x:c>
      <x:c r="Q490" s="17" t="n">
        <x:f>MAX(J490-P490-K490,0)</x:f>
        <x:v>0</x:v>
      </x:c>
      <x:c r="R490" s="13" t="n">
        <x:f>IF(D490="",MAX(TODAY()-C490,0),MAX(D490-C490,0))</x:f>
        <x:v>0</x:v>
      </x:c>
      <x:c r="S490" s="13" t="str">
        <x:f>IF(R490=0,"Em dia",IF(R490&lt;=15,"1-15 dias",IF(R490&lt;=30,"16-30 dias",IF(R490&lt;=60,"31-60 dias","Acima de 60 dias"))))</x:f>
        <x:v>Em dia</x:v>
      </x:c>
    </x:row>
    <x:row r="491">
      <x:c r="A491" s="13" t="str">
        <x:v>REC-000490</x:v>
      </x:c>
      <x:c r="B491" s="23" t="n">
        <x:v>45539</x:v>
      </x:c>
      <x:c r="C491" s="23" t="n">
        <x:v>45560</x:v>
      </x:c>
      <x:c r="D491" s="23" t="n">
        <x:v>45560</x:v>
      </x:c>
      <x:c r="E491" s="13" t="str">
        <x:v>VAL-020</x:v>
      </x:c>
      <x:c r="F491" s="13" t="str">
        <x:v>Corelink Digital</x:v>
      </x:c>
      <x:c r="G491" s="13" t="str">
        <x:v>Tecnologia</x:v>
      </x:c>
      <x:c r="H491" s="13" t="str">
        <x:v>Baixo</x:v>
      </x:c>
      <x:c r="I491" s="13" t="str">
        <x:v>Enterprise</x:v>
      </x:c>
      <x:c r="J491" s="17" t="n">
        <x:v>1780.1</x:v>
      </x:c>
      <x:c r="K491" s="17" t="n">
        <x:v>0</x:v>
      </x:c>
      <x:c r="L491" s="17" t="n">
        <x:v>0</x:v>
      </x:c>
      <x:c r="M491" s="13" t="str">
        <x:v>Pago</x:v>
      </x:c>
      <x:c r="N491" s="13" t="str">
        <x:v>Sem cobrança</x:v>
      </x:c>
      <x:c r="O491" s="13" t="str">
        <x:v>Crescimento sem escala</x:v>
      </x:c>
      <x:c r="P491" s="17" t="n">
        <x:f>IF(D491="",0,J491-K491+L491)</x:f>
        <x:v>1780.1</x:v>
      </x:c>
      <x:c r="Q491" s="17" t="n">
        <x:f>MAX(J491-P491-K491,0)</x:f>
        <x:v>0</x:v>
      </x:c>
      <x:c r="R491" s="13" t="n">
        <x:f>IF(D491="",MAX(TODAY()-C491,0),MAX(D491-C491,0))</x:f>
        <x:v>0</x:v>
      </x:c>
      <x:c r="S491" s="13" t="str">
        <x:f>IF(R491=0,"Em dia",IF(R491&lt;=15,"1-15 dias",IF(R491&lt;=30,"16-30 dias",IF(R491&lt;=60,"31-60 dias","Acima de 60 dias"))))</x:f>
        <x:v>Em dia</x:v>
      </x:c>
    </x:row>
    <x:row r="492">
      <x:c r="A492" s="13" t="str">
        <x:v>REC-000491</x:v>
      </x:c>
      <x:c r="B492" s="23" t="n">
        <x:v>45548</x:v>
      </x:c>
      <x:c r="C492" s="23" t="n">
        <x:v>45555</x:v>
      </x:c>
      <x:c r="D492" s="23" t="n">
        <x:v>45552</x:v>
      </x:c>
      <x:c r="E492" s="13" t="str">
        <x:v>VAL-007</x:v>
      </x:c>
      <x:c r="F492" s="13" t="str">
        <x:v>Loja Prisma Online</x:v>
      </x:c>
      <x:c r="G492" s="13" t="str">
        <x:v>E-commerce</x:v>
      </x:c>
      <x:c r="H492" s="13" t="str">
        <x:v>Médio</x:v>
      </x:c>
      <x:c r="I492" s="13" t="str">
        <x:v>Performance</x:v>
      </x:c>
      <x:c r="J492" s="17" t="n">
        <x:v>8358.87</x:v>
      </x:c>
      <x:c r="K492" s="17" t="n">
        <x:v>0</x:v>
      </x:c>
      <x:c r="L492" s="17" t="n">
        <x:v>0</x:v>
      </x:c>
      <x:c r="M492" s="13" t="str">
        <x:v>Pago</x:v>
      </x:c>
      <x:c r="N492" s="13" t="str">
        <x:v>Sem cobrança</x:v>
      </x:c>
      <x:c r="O492" s="13" t="str">
        <x:v>Crescimento sem escala</x:v>
      </x:c>
      <x:c r="P492" s="17" t="n">
        <x:f>IF(D492="",0,J492-K492+L492)</x:f>
        <x:v>8358.87</x:v>
      </x:c>
      <x:c r="Q492" s="17" t="n">
        <x:f>MAX(J492-P492-K492,0)</x:f>
        <x:v>0</x:v>
      </x:c>
      <x:c r="R492" s="13" t="n">
        <x:f>IF(D492="",MAX(TODAY()-C492,0),MAX(D492-C492,0))</x:f>
        <x:v>0</x:v>
      </x:c>
      <x:c r="S492" s="13" t="str">
        <x:f>IF(R492=0,"Em dia",IF(R492&lt;=15,"1-15 dias",IF(R492&lt;=30,"16-30 dias",IF(R492&lt;=60,"31-60 dias","Acima de 60 dias"))))</x:f>
        <x:v>Em dia</x:v>
      </x:c>
    </x:row>
    <x:row r="493">
      <x:c r="A493" s="13" t="str">
        <x:v>REC-000492</x:v>
      </x:c>
      <x:c r="B493" s="23" t="n">
        <x:v>45545</x:v>
      </x:c>
      <x:c r="C493" s="23" t="n">
        <x:v>45552</x:v>
      </x:c>
      <x:c r="D493" s="23" t="n">
        <x:v>45550</x:v>
      </x:c>
      <x:c r="E493" s="13" t="str">
        <x:v>VAL-023</x:v>
      </x:c>
      <x:c r="F493" s="13" t="str">
        <x:v>ShopMix Brasil</x:v>
      </x:c>
      <x:c r="G493" s="13" t="str">
        <x:v>E-commerce</x:v>
      </x:c>
      <x:c r="H493" s="13" t="str">
        <x:v>Baixo</x:v>
      </x:c>
      <x:c r="I493" s="13" t="str">
        <x:v>Performance</x:v>
      </x:c>
      <x:c r="J493" s="17" t="n">
        <x:v>3887.03</x:v>
      </x:c>
      <x:c r="K493" s="17" t="n">
        <x:v>0</x:v>
      </x:c>
      <x:c r="L493" s="17" t="n">
        <x:v>0</x:v>
      </x:c>
      <x:c r="M493" s="13" t="str">
        <x:v>Pago</x:v>
      </x:c>
      <x:c r="N493" s="13" t="str">
        <x:v>Sem cobrança</x:v>
      </x:c>
      <x:c r="O493" s="13" t="str">
        <x:v>Crescimento sem escala</x:v>
      </x:c>
      <x:c r="P493" s="17" t="n">
        <x:f>IF(D493="",0,J493-K493+L493)</x:f>
        <x:v>3887.03</x:v>
      </x:c>
      <x:c r="Q493" s="17" t="n">
        <x:f>MAX(J493-P493-K493,0)</x:f>
        <x:v>0</x:v>
      </x:c>
      <x:c r="R493" s="13" t="n">
        <x:f>IF(D493="",MAX(TODAY()-C493,0),MAX(D493-C493,0))</x:f>
        <x:v>0</x:v>
      </x:c>
      <x:c r="S493" s="13" t="str">
        <x:f>IF(R493=0,"Em dia",IF(R493&lt;=15,"1-15 dias",IF(R493&lt;=30,"16-30 dias",IF(R493&lt;=60,"31-60 dias","Acima de 60 dias"))))</x:f>
        <x:v>Em dia</x:v>
      </x:c>
    </x:row>
    <x:row r="494">
      <x:c r="A494" s="13" t="str">
        <x:v>REC-000493</x:v>
      </x:c>
      <x:c r="B494" s="23" t="n">
        <x:v>45541</x:v>
      </x:c>
      <x:c r="C494" s="23" t="n">
        <x:v>45562</x:v>
      </x:c>
      <x:c r="D494" s="23" t="n">
        <x:v>45559</x:v>
      </x:c>
      <x:c r="E494" s="13" t="str">
        <x:v>VAL-014</x:v>
      </x:c>
      <x:c r="F494" s="13" t="str">
        <x:v>Colégio Caminhos</x:v>
      </x:c>
      <x:c r="G494" s="13" t="str">
        <x:v>Educação</x:v>
      </x:c>
      <x:c r="H494" s="13" t="str">
        <x:v>Médio</x:v>
      </x:c>
      <x:c r="I494" s="13" t="str">
        <x:v>Gestão</x:v>
      </x:c>
      <x:c r="J494" s="17" t="n">
        <x:v>5297.8</x:v>
      </x:c>
      <x:c r="K494" s="17" t="n">
        <x:v>29.31</x:v>
      </x:c>
      <x:c r="L494" s="17" t="n">
        <x:v>0</x:v>
      </x:c>
      <x:c r="M494" s="13" t="str">
        <x:v>Pago</x:v>
      </x:c>
      <x:c r="N494" s="13" t="str">
        <x:v>Sem cobrança</x:v>
      </x:c>
      <x:c r="O494" s="13" t="str">
        <x:v>Crescimento sem escala</x:v>
      </x:c>
      <x:c r="P494" s="17" t="n">
        <x:f>IF(D494="",0,J494-K494+L494)</x:f>
        <x:v>5268.49</x:v>
      </x:c>
      <x:c r="Q494" s="17" t="n">
        <x:f>MAX(J494-P494-K494,0)</x:f>
        <x:v>4.014566457044566e-13</x:v>
      </x:c>
      <x:c r="R494" s="13" t="n">
        <x:f>IF(D494="",MAX(TODAY()-C494,0),MAX(D494-C494,0))</x:f>
        <x:v>0</x:v>
      </x:c>
      <x:c r="S494" s="13" t="str">
        <x:f>IF(R494=0,"Em dia",IF(R494&lt;=15,"1-15 dias",IF(R494&lt;=30,"16-30 dias",IF(R494&lt;=60,"31-60 dias","Acima de 60 dias"))))</x:f>
        <x:v>Em dia</x:v>
      </x:c>
    </x:row>
    <x:row r="495">
      <x:c r="A495" s="13" t="str">
        <x:v>REC-000494</x:v>
      </x:c>
      <x:c r="B495" s="23" t="n">
        <x:v>45551</x:v>
      </x:c>
      <x:c r="C495" s="23" t="n">
        <x:v>45572</x:v>
      </x:c>
      <x:c r="D495" s="23" t="n">
        <x:v>45568</x:v>
      </x:c>
      <x:c r="E495" s="13" t="str">
        <x:v>VAL-009</x:v>
      </x:c>
      <x:c r="F495" s="13" t="str">
        <x:v>Odonto Prime</x:v>
      </x:c>
      <x:c r="G495" s="13" t="str">
        <x:v>Clínicas e Saúde</x:v>
      </x:c>
      <x:c r="H495" s="13" t="str">
        <x:v>Médio</x:v>
      </x:c>
      <x:c r="I495" s="13" t="str">
        <x:v>Essencial</x:v>
      </x:c>
      <x:c r="J495" s="17" t="n">
        <x:v>2762.64</x:v>
      </x:c>
      <x:c r="K495" s="17" t="n">
        <x:v>25.76</x:v>
      </x:c>
      <x:c r="L495" s="17" t="n">
        <x:v>0</x:v>
      </x:c>
      <x:c r="M495" s="13" t="str">
        <x:v>Pago</x:v>
      </x:c>
      <x:c r="N495" s="13" t="str">
        <x:v>Sem cobrança</x:v>
      </x:c>
      <x:c r="O495" s="13" t="str">
        <x:v>Crescimento sem escala</x:v>
      </x:c>
      <x:c r="P495" s="17" t="n">
        <x:f>IF(D495="",0,J495-K495+L495)</x:f>
        <x:v>2736.8799999999997</x:v>
      </x:c>
      <x:c r="Q495" s="17" t="n">
        <x:f>MAX(J495-P495-K495,0)</x:f>
        <x:v>2.1671553440683056e-13</x:v>
      </x:c>
      <x:c r="R495" s="13" t="n">
        <x:f>IF(D495="",MAX(TODAY()-C495,0),MAX(D495-C495,0))</x:f>
        <x:v>0</x:v>
      </x:c>
      <x:c r="S495" s="13" t="str">
        <x:f>IF(R495=0,"Em dia",IF(R495&lt;=15,"1-15 dias",IF(R495&lt;=30,"16-30 dias",IF(R495&lt;=60,"31-60 dias","Acima de 60 dias"))))</x:f>
        <x:v>Em dia</x:v>
      </x:c>
    </x:row>
    <x:row r="496">
      <x:c r="A496" s="13" t="str">
        <x:v>REC-000495</x:v>
      </x:c>
      <x:c r="B496" s="23" t="n">
        <x:v>45546</x:v>
      </x:c>
      <x:c r="C496" s="23" t="n">
        <x:v>45567</x:v>
      </x:c>
      <x:c r="D496" s="23" t="n">
        <x:v>45563</x:v>
      </x:c>
      <x:c r="E496" s="13" t="str">
        <x:v>VAL-020</x:v>
      </x:c>
      <x:c r="F496" s="13" t="str">
        <x:v>Corelink Digital</x:v>
      </x:c>
      <x:c r="G496" s="13" t="str">
        <x:v>Tecnologia</x:v>
      </x:c>
      <x:c r="H496" s="13" t="str">
        <x:v>Baixo</x:v>
      </x:c>
      <x:c r="I496" s="13" t="str">
        <x:v>Enterprise</x:v>
      </x:c>
      <x:c r="J496" s="17" t="n">
        <x:v>11776.71</x:v>
      </x:c>
      <x:c r="K496" s="17" t="n">
        <x:v>0</x:v>
      </x:c>
      <x:c r="L496" s="17" t="n">
        <x:v>0</x:v>
      </x:c>
      <x:c r="M496" s="13" t="str">
        <x:v>Pago</x:v>
      </x:c>
      <x:c r="N496" s="13" t="str">
        <x:v>Sem cobrança</x:v>
      </x:c>
      <x:c r="O496" s="13" t="str">
        <x:v>Crescimento sem escala</x:v>
      </x:c>
      <x:c r="P496" s="17" t="n">
        <x:f>IF(D496="",0,J496-K496+L496)</x:f>
        <x:v>11776.71</x:v>
      </x:c>
      <x:c r="Q496" s="17" t="n">
        <x:f>MAX(J496-P496-K496,0)</x:f>
        <x:v>0</x:v>
      </x:c>
      <x:c r="R496" s="13" t="n">
        <x:f>IF(D496="",MAX(TODAY()-C496,0),MAX(D496-C496,0))</x:f>
        <x:v>0</x:v>
      </x:c>
      <x:c r="S496" s="13" t="str">
        <x:f>IF(R496=0,"Em dia",IF(R496&lt;=15,"1-15 dias",IF(R496&lt;=30,"16-30 dias",IF(R496&lt;=60,"31-60 dias","Acima de 60 dias"))))</x:f>
        <x:v>Em dia</x:v>
      </x:c>
    </x:row>
    <x:row r="497">
      <x:c r="A497" s="13" t="str">
        <x:v>REC-000496</x:v>
      </x:c>
      <x:c r="B497" s="23" t="n">
        <x:v>45548</x:v>
      </x:c>
      <x:c r="C497" s="23" t="n">
        <x:v>45578</x:v>
      </x:c>
      <x:c r="D497" s="23" t="n">
        <x:v>45575</x:v>
      </x:c>
      <x:c r="E497" s="13" t="str">
        <x:v>VAL-030</x:v>
      </x:c>
      <x:c r="F497" s="13" t="str">
        <x:v>Mundo Kids Cursos</x:v>
      </x:c>
      <x:c r="G497" s="13" t="str">
        <x:v>Educação</x:v>
      </x:c>
      <x:c r="H497" s="13" t="str">
        <x:v>Alto</x:v>
      </x:c>
      <x:c r="I497" s="13" t="str">
        <x:v>Gestão</x:v>
      </x:c>
      <x:c r="J497" s="17" t="n">
        <x:v>5972.31</x:v>
      </x:c>
      <x:c r="K497" s="17" t="n">
        <x:v>0</x:v>
      </x:c>
      <x:c r="L497" s="17" t="n">
        <x:v>0</x:v>
      </x:c>
      <x:c r="M497" s="13" t="str">
        <x:v>Pago</x:v>
      </x:c>
      <x:c r="N497" s="13" t="str">
        <x:v>Sem cobrança</x:v>
      </x:c>
      <x:c r="O497" s="13" t="str">
        <x:v>Crescimento sem escala</x:v>
      </x:c>
      <x:c r="P497" s="17" t="n">
        <x:f>IF(D497="",0,J497-K497+L497)</x:f>
        <x:v>5972.31</x:v>
      </x:c>
      <x:c r="Q497" s="17" t="n">
        <x:f>MAX(J497-P497-K497,0)</x:f>
        <x:v>0</x:v>
      </x:c>
      <x:c r="R497" s="13" t="n">
        <x:f>IF(D497="",MAX(TODAY()-C497,0),MAX(D497-C497,0))</x:f>
        <x:v>0</x:v>
      </x:c>
      <x:c r="S497" s="13" t="str">
        <x:f>IF(R497=0,"Em dia",IF(R497&lt;=15,"1-15 dias",IF(R497&lt;=30,"16-30 dias",IF(R497&lt;=60,"31-60 dias","Acima de 60 dias"))))</x:f>
        <x:v>Em dia</x:v>
      </x:c>
    </x:row>
    <x:row r="498">
      <x:c r="A498" s="13" t="str">
        <x:v>REC-000497</x:v>
      </x:c>
      <x:c r="B498" s="23" t="n">
        <x:v>45551</x:v>
      </x:c>
      <x:c r="C498" s="23" t="n">
        <x:v>45566</x:v>
      </x:c>
      <x:c r="D498" s="23" t="n">
        <x:v>45563</x:v>
      </x:c>
      <x:c r="E498" s="13" t="str">
        <x:v>VAL-006</x:v>
      </x:c>
      <x:c r="F498" s="13" t="str">
        <x:v>Instituto Saber Mais</x:v>
      </x:c>
      <x:c r="G498" s="13" t="str">
        <x:v>Educação</x:v>
      </x:c>
      <x:c r="H498" s="13" t="str">
        <x:v>Médio</x:v>
      </x:c>
      <x:c r="I498" s="13" t="str">
        <x:v>Gestão</x:v>
      </x:c>
      <x:c r="J498" s="17" t="n">
        <x:v>17791.63</x:v>
      </x:c>
      <x:c r="K498" s="17" t="n">
        <x:v>0</x:v>
      </x:c>
      <x:c r="L498" s="17" t="n">
        <x:v>0</x:v>
      </x:c>
      <x:c r="M498" s="13" t="str">
        <x:v>Pago</x:v>
      </x:c>
      <x:c r="N498" s="13" t="str">
        <x:v>Sem cobrança</x:v>
      </x:c>
      <x:c r="O498" s="13" t="str">
        <x:v>Crescimento sem escala</x:v>
      </x:c>
      <x:c r="P498" s="17" t="n">
        <x:f>IF(D498="",0,J498-K498+L498)</x:f>
        <x:v>17791.63</x:v>
      </x:c>
      <x:c r="Q498" s="17" t="n">
        <x:f>MAX(J498-P498-K498,0)</x:f>
        <x:v>0</x:v>
      </x:c>
      <x:c r="R498" s="13" t="n">
        <x:f>IF(D498="",MAX(TODAY()-C498,0),MAX(D498-C498,0))</x:f>
        <x:v>0</x:v>
      </x:c>
      <x:c r="S498" s="13" t="str">
        <x:f>IF(R498=0,"Em dia",IF(R498&lt;=15,"1-15 dias",IF(R498&lt;=30,"16-30 dias",IF(R498&lt;=60,"31-60 dias","Acima de 60 dias"))))</x:f>
        <x:v>Em dia</x:v>
      </x:c>
    </x:row>
    <x:row r="499">
      <x:c r="A499" s="13" t="str">
        <x:v>REC-000498</x:v>
      </x:c>
      <x:c r="B499" s="23" t="n">
        <x:v>45537</x:v>
      </x:c>
      <x:c r="C499" s="23" t="n">
        <x:v>45558</x:v>
      </x:c>
      <x:c r="D499" s="23" t="n">
        <x:v>45557</x:v>
      </x:c>
      <x:c r="E499" s="13" t="str">
        <x:v>VAL-016</x:v>
      </x:c>
      <x:c r="F499" s="13" t="str">
        <x:v>Lumina Embalagens</x:v>
      </x:c>
      <x:c r="G499" s="13" t="str">
        <x:v>Indústria Leve</x:v>
      </x:c>
      <x:c r="H499" s="13" t="str">
        <x:v>Baixo</x:v>
      </x:c>
      <x:c r="I499" s="13" t="str">
        <x:v>Enterprise</x:v>
      </x:c>
      <x:c r="J499" s="17" t="n">
        <x:v>2175.26</x:v>
      </x:c>
      <x:c r="K499" s="17" t="n">
        <x:v>0</x:v>
      </x:c>
      <x:c r="L499" s="17" t="n">
        <x:v>0</x:v>
      </x:c>
      <x:c r="M499" s="13" t="str">
        <x:v>Pago</x:v>
      </x:c>
      <x:c r="N499" s="13" t="str">
        <x:v>Sem cobrança</x:v>
      </x:c>
      <x:c r="O499" s="13" t="str">
        <x:v>Crescimento sem escala</x:v>
      </x:c>
      <x:c r="P499" s="17" t="n">
        <x:f>IF(D499="",0,J499-K499+L499)</x:f>
        <x:v>2175.26</x:v>
      </x:c>
      <x:c r="Q499" s="17" t="n">
        <x:f>MAX(J499-P499-K499,0)</x:f>
        <x:v>0</x:v>
      </x:c>
      <x:c r="R499" s="13" t="n">
        <x:f>IF(D499="",MAX(TODAY()-C499,0),MAX(D499-C499,0))</x:f>
        <x:v>0</x:v>
      </x:c>
      <x:c r="S499" s="13" t="str">
        <x:f>IF(R499=0,"Em dia",IF(R499&lt;=15,"1-15 dias",IF(R499&lt;=30,"16-30 dias",IF(R499&lt;=60,"31-60 dias","Acima de 60 dias"))))</x:f>
        <x:v>Em dia</x:v>
      </x:c>
    </x:row>
    <x:row r="500">
      <x:c r="A500" s="13" t="str">
        <x:v>REC-000499</x:v>
      </x:c>
      <x:c r="B500" s="23" t="n">
        <x:v>45553</x:v>
      </x:c>
      <x:c r="C500" s="23" t="n">
        <x:v>45574</x:v>
      </x:c>
      <x:c r="D500" s="23" t="n">
        <x:v>45599</x:v>
      </x:c>
      <x:c r="E500" s="13" t="str">
        <x:v>VAL-017</x:v>
      </x:c>
      <x:c r="F500" s="13" t="str">
        <x:v>Centro Médico Vida</x:v>
      </x:c>
      <x:c r="G500" s="13" t="str">
        <x:v>Clínicas e Saúde</x:v>
      </x:c>
      <x:c r="H500" s="13" t="str">
        <x:v>Baixo</x:v>
      </x:c>
      <x:c r="I500" s="13" t="str">
        <x:v>Essencial</x:v>
      </x:c>
      <x:c r="J500" s="17" t="n">
        <x:v>19245.01</x:v>
      </x:c>
      <x:c r="K500" s="17" t="n">
        <x:v>0</x:v>
      </x:c>
      <x:c r="L500" s="17" t="n">
        <x:v>312.73</x:v>
      </x:c>
      <x:c r="M500" s="13" t="str">
        <x:v>Pago com atraso</x:v>
      </x:c>
      <x:c r="N500" s="13" t="str">
        <x:v>Telefone</x:v>
      </x:c>
      <x:c r="O500" s="13" t="str">
        <x:v>Crescimento sem escala</x:v>
      </x:c>
      <x:c r="P500" s="17" t="n">
        <x:f>IF(D500="",0,J500-K500+L500)</x:f>
        <x:v>19557.739999999998</x:v>
      </x:c>
      <x:c r="Q500" s="17" t="n">
        <x:f>MAX(J500-P500-K500,0)</x:f>
        <x:v>0</x:v>
      </x:c>
      <x:c r="R500" s="13" t="n">
        <x:f>IF(D500="",MAX(TODAY()-C500,0),MAX(D500-C500,0))</x:f>
        <x:v>25</x:v>
      </x:c>
      <x:c r="S500" s="13" t="str">
        <x:f>IF(R500=0,"Em dia",IF(R500&lt;=15,"1-15 dias",IF(R500&lt;=30,"16-30 dias",IF(R500&lt;=60,"31-60 dias","Acima de 60 dias"))))</x:f>
        <x:v>16-30 dias</x:v>
      </x:c>
    </x:row>
    <x:row r="501">
      <x:c r="A501" s="13" t="str">
        <x:v>REC-000500</x:v>
      </x:c>
      <x:c r="B501" s="23" t="n">
        <x:v>45555</x:v>
      </x:c>
      <x:c r="C501" s="23" t="n">
        <x:v>45570</x:v>
      </x:c>
      <x:c r="D501" s="23" t="n">
        <x:v>45566</x:v>
      </x:c>
      <x:c r="E501" s="13" t="str">
        <x:v>VAL-001</x:v>
      </x:c>
      <x:c r="F501" s="13" t="str">
        <x:v>Clínica Horizonte</x:v>
      </x:c>
      <x:c r="G501" s="13" t="str">
        <x:v>Clínicas e Saúde</x:v>
      </x:c>
      <x:c r="H501" s="13" t="str">
        <x:v>Baixo</x:v>
      </x:c>
      <x:c r="I501" s="13" t="str">
        <x:v>Essencial</x:v>
      </x:c>
      <x:c r="J501" s="17" t="n">
        <x:v>6082.78</x:v>
      </x:c>
      <x:c r="K501" s="17" t="n">
        <x:v>0</x:v>
      </x:c>
      <x:c r="L501" s="17" t="n">
        <x:v>0</x:v>
      </x:c>
      <x:c r="M501" s="13" t="str">
        <x:v>Pago</x:v>
      </x:c>
      <x:c r="N501" s="13" t="str">
        <x:v>Sem cobrança</x:v>
      </x:c>
      <x:c r="O501" s="13" t="str">
        <x:v>Crescimento sem escala</x:v>
      </x:c>
      <x:c r="P501" s="17" t="n">
        <x:f>IF(D501="",0,J501-K501+L501)</x:f>
        <x:v>6082.78</x:v>
      </x:c>
      <x:c r="Q501" s="17" t="n">
        <x:f>MAX(J501-P501-K501,0)</x:f>
        <x:v>0</x:v>
      </x:c>
      <x:c r="R501" s="13" t="n">
        <x:f>IF(D501="",MAX(TODAY()-C501,0),MAX(D501-C501,0))</x:f>
        <x:v>0</x:v>
      </x:c>
      <x:c r="S501" s="13" t="str">
        <x:f>IF(R501=0,"Em dia",IF(R501&lt;=15,"1-15 dias",IF(R501&lt;=30,"16-30 dias",IF(R501&lt;=60,"31-60 dias","Acima de 60 dias"))))</x:f>
        <x:v>Em dia</x:v>
      </x:c>
    </x:row>
    <x:row r="502">
      <x:c r="A502" s="13" t="str">
        <x:v>REC-000501</x:v>
      </x:c>
      <x:c r="B502" s="23" t="n">
        <x:v>45540</x:v>
      </x:c>
      <x:c r="C502" s="23" t="n">
        <x:v>45555</x:v>
      </x:c>
      <x:c r="D502" s="23" t="n">
        <x:v>45552</x:v>
      </x:c>
      <x:c r="E502" s="13" t="str">
        <x:v>VAL-018</x:v>
      </x:c>
      <x:c r="F502" s="13" t="str">
        <x:v>Ponto Legal Advocacia</x:v>
      </x:c>
      <x:c r="G502" s="13" t="str">
        <x:v>Serviços Profissionais</x:v>
      </x:c>
      <x:c r="H502" s="13" t="str">
        <x:v>Baixo</x:v>
      </x:c>
      <x:c r="I502" s="13" t="str">
        <x:v>Gestão</x:v>
      </x:c>
      <x:c r="J502" s="17" t="n">
        <x:v>6636.6</x:v>
      </x:c>
      <x:c r="K502" s="17" t="n">
        <x:v>0</x:v>
      </x:c>
      <x:c r="L502" s="17" t="n">
        <x:v>0</x:v>
      </x:c>
      <x:c r="M502" s="13" t="str">
        <x:v>Pago</x:v>
      </x:c>
      <x:c r="N502" s="13" t="str">
        <x:v>Sem cobrança</x:v>
      </x:c>
      <x:c r="O502" s="13" t="str">
        <x:v>Crescimento sem escala</x:v>
      </x:c>
      <x:c r="P502" s="17" t="n">
        <x:f>IF(D502="",0,J502-K502+L502)</x:f>
        <x:v>6636.6</x:v>
      </x:c>
      <x:c r="Q502" s="17" t="n">
        <x:f>MAX(J502-P502-K502,0)</x:f>
        <x:v>0</x:v>
      </x:c>
      <x:c r="R502" s="13" t="n">
        <x:f>IF(D502="",MAX(TODAY()-C502,0),MAX(D502-C502,0))</x:f>
        <x:v>0</x:v>
      </x:c>
      <x:c r="S502" s="13" t="str">
        <x:f>IF(R502=0,"Em dia",IF(R502&lt;=15,"1-15 dias",IF(R502&lt;=30,"16-30 dias",IF(R502&lt;=60,"31-60 dias","Acima de 60 dias"))))</x:f>
        <x:v>Em dia</x:v>
      </x:c>
    </x:row>
    <x:row r="503">
      <x:c r="A503" s="13" t="str">
        <x:v>REC-000502</x:v>
      </x:c>
      <x:c r="B503" s="23" t="n">
        <x:v>45552</x:v>
      </x:c>
      <x:c r="C503" s="23" t="n">
        <x:v>45567</x:v>
      </x:c>
      <x:c r="D503" s="23" t="n">
        <x:v>45564</x:v>
      </x:c>
      <x:c r="E503" s="13" t="str">
        <x:v>VAL-025</x:v>
      </x:c>
      <x:c r="F503" s="13" t="str">
        <x:v>Bem-Estar Terapias</x:v>
      </x:c>
      <x:c r="G503" s="13" t="str">
        <x:v>Clínicas e Saúde</x:v>
      </x:c>
      <x:c r="H503" s="13" t="str">
        <x:v>Baixo</x:v>
      </x:c>
      <x:c r="I503" s="13" t="str">
        <x:v>Essencial</x:v>
      </x:c>
      <x:c r="J503" s="17" t="n">
        <x:v>10026.36</x:v>
      </x:c>
      <x:c r="K503" s="17" t="n">
        <x:v>0</x:v>
      </x:c>
      <x:c r="L503" s="17" t="n">
        <x:v>0</x:v>
      </x:c>
      <x:c r="M503" s="13" t="str">
        <x:v>Pago</x:v>
      </x:c>
      <x:c r="N503" s="13" t="str">
        <x:v>Sem cobrança</x:v>
      </x:c>
      <x:c r="O503" s="13" t="str">
        <x:v>Crescimento sem escala</x:v>
      </x:c>
      <x:c r="P503" s="17" t="n">
        <x:f>IF(D503="",0,J503-K503+L503)</x:f>
        <x:v>10026.36</x:v>
      </x:c>
      <x:c r="Q503" s="17" t="n">
        <x:f>MAX(J503-P503-K503,0)</x:f>
        <x:v>0</x:v>
      </x:c>
      <x:c r="R503" s="13" t="n">
        <x:f>IF(D503="",MAX(TODAY()-C503,0),MAX(D503-C503,0))</x:f>
        <x:v>0</x:v>
      </x:c>
      <x:c r="S503" s="13" t="str">
        <x:f>IF(R503=0,"Em dia",IF(R503&lt;=15,"1-15 dias",IF(R503&lt;=30,"16-30 dias",IF(R503&lt;=60,"31-60 dias","Acima de 60 dias"))))</x:f>
        <x:v>Em dia</x:v>
      </x:c>
    </x:row>
    <x:row r="504">
      <x:c r="A504" s="13" t="str">
        <x:v>REC-000503</x:v>
      </x:c>
      <x:c r="B504" s="23" t="n">
        <x:v>45555</x:v>
      </x:c>
      <x:c r="C504" s="23" t="n">
        <x:v>45570</x:v>
      </x:c>
      <x:c r="D504" s="23" t="n">
        <x:v>45568</x:v>
      </x:c>
      <x:c r="E504" s="13" t="str">
        <x:v>VAL-016</x:v>
      </x:c>
      <x:c r="F504" s="13" t="str">
        <x:v>Lumina Embalagens</x:v>
      </x:c>
      <x:c r="G504" s="13" t="str">
        <x:v>Indústria Leve</x:v>
      </x:c>
      <x:c r="H504" s="13" t="str">
        <x:v>Baixo</x:v>
      </x:c>
      <x:c r="I504" s="13" t="str">
        <x:v>Enterprise</x:v>
      </x:c>
      <x:c r="J504" s="17" t="n">
        <x:v>15388.93</x:v>
      </x:c>
      <x:c r="K504" s="17" t="n">
        <x:v>0</x:v>
      </x:c>
      <x:c r="L504" s="17" t="n">
        <x:v>0</x:v>
      </x:c>
      <x:c r="M504" s="13" t="str">
        <x:v>Pago</x:v>
      </x:c>
      <x:c r="N504" s="13" t="str">
        <x:v>Sem cobrança</x:v>
      </x:c>
      <x:c r="O504" s="13" t="str">
        <x:v>Crescimento sem escala</x:v>
      </x:c>
      <x:c r="P504" s="17" t="n">
        <x:f>IF(D504="",0,J504-K504+L504)</x:f>
        <x:v>15388.93</x:v>
      </x:c>
      <x:c r="Q504" s="17" t="n">
        <x:f>MAX(J504-P504-K504,0)</x:f>
        <x:v>0</x:v>
      </x:c>
      <x:c r="R504" s="13" t="n">
        <x:f>IF(D504="",MAX(TODAY()-C504,0),MAX(D504-C504,0))</x:f>
        <x:v>0</x:v>
      </x:c>
      <x:c r="S504" s="13" t="str">
        <x:f>IF(R504=0,"Em dia",IF(R504&lt;=15,"1-15 dias",IF(R504&lt;=30,"16-30 dias",IF(R504&lt;=60,"31-60 dias","Acima de 60 dias"))))</x:f>
        <x:v>Em dia</x:v>
      </x:c>
    </x:row>
    <x:row r="505">
      <x:c r="A505" s="13" t="str">
        <x:v>REC-000504</x:v>
      </x:c>
      <x:c r="B505" s="23" t="n">
        <x:v>45547</x:v>
      </x:c>
      <x:c r="C505" s="23" t="n">
        <x:v>45568</x:v>
      </x:c>
      <x:c r="D505" s="23" t="n">
        <x:v>45564</x:v>
      </x:c>
      <x:c r="E505" s="13" t="str">
        <x:v>VAL-001</x:v>
      </x:c>
      <x:c r="F505" s="13" t="str">
        <x:v>Clínica Horizonte</x:v>
      </x:c>
      <x:c r="G505" s="13" t="str">
        <x:v>Clínicas e Saúde</x:v>
      </x:c>
      <x:c r="H505" s="13" t="str">
        <x:v>Baixo</x:v>
      </x:c>
      <x:c r="I505" s="13" t="str">
        <x:v>Essencial</x:v>
      </x:c>
      <x:c r="J505" s="17" t="n">
        <x:v>2309.9</x:v>
      </x:c>
      <x:c r="K505" s="17" t="n">
        <x:v>0</x:v>
      </x:c>
      <x:c r="L505" s="17" t="n">
        <x:v>0</x:v>
      </x:c>
      <x:c r="M505" s="13" t="str">
        <x:v>Pago</x:v>
      </x:c>
      <x:c r="N505" s="13" t="str">
        <x:v>Sem cobrança</x:v>
      </x:c>
      <x:c r="O505" s="13" t="str">
        <x:v>Crescimento sem escala</x:v>
      </x:c>
      <x:c r="P505" s="17" t="n">
        <x:f>IF(D505="",0,J505-K505+L505)</x:f>
        <x:v>2309.9</x:v>
      </x:c>
      <x:c r="Q505" s="17" t="n">
        <x:f>MAX(J505-P505-K505,0)</x:f>
        <x:v>0</x:v>
      </x:c>
      <x:c r="R505" s="13" t="n">
        <x:f>IF(D505="",MAX(TODAY()-C505,0),MAX(D505-C505,0))</x:f>
        <x:v>0</x:v>
      </x:c>
      <x:c r="S505" s="13" t="str">
        <x:f>IF(R505=0,"Em dia",IF(R505&lt;=15,"1-15 dias",IF(R505&lt;=30,"16-30 dias",IF(R505&lt;=60,"31-60 dias","Acima de 60 dias"))))</x:f>
        <x:v>Em dia</x:v>
      </x:c>
    </x:row>
    <x:row r="506">
      <x:c r="A506" s="13" t="str">
        <x:v>REC-000505</x:v>
      </x:c>
      <x:c r="B506" s="23" t="n">
        <x:v>45550</x:v>
      </x:c>
      <x:c r="C506" s="23" t="n">
        <x:v>45571</x:v>
      </x:c>
      <x:c r="D506" s="23" t="n">
        <x:v>45570</x:v>
      </x:c>
      <x:c r="E506" s="13" t="str">
        <x:v>VAL-023</x:v>
      </x:c>
      <x:c r="F506" s="13" t="str">
        <x:v>ShopMix Brasil</x:v>
      </x:c>
      <x:c r="G506" s="13" t="str">
        <x:v>E-commerce</x:v>
      </x:c>
      <x:c r="H506" s="13" t="str">
        <x:v>Baixo</x:v>
      </x:c>
      <x:c r="I506" s="13" t="str">
        <x:v>Performance</x:v>
      </x:c>
      <x:c r="J506" s="17" t="n">
        <x:v>4742.23</x:v>
      </x:c>
      <x:c r="K506" s="17" t="n">
        <x:v>0</x:v>
      </x:c>
      <x:c r="L506" s="17" t="n">
        <x:v>0</x:v>
      </x:c>
      <x:c r="M506" s="13" t="str">
        <x:v>Pago</x:v>
      </x:c>
      <x:c r="N506" s="13" t="str">
        <x:v>Sem cobrança</x:v>
      </x:c>
      <x:c r="O506" s="13" t="str">
        <x:v>Crescimento sem escala</x:v>
      </x:c>
      <x:c r="P506" s="17" t="n">
        <x:f>IF(D506="",0,J506-K506+L506)</x:f>
        <x:v>4742.23</x:v>
      </x:c>
      <x:c r="Q506" s="17" t="n">
        <x:f>MAX(J506-P506-K506,0)</x:f>
        <x:v>0</x:v>
      </x:c>
      <x:c r="R506" s="13" t="n">
        <x:f>IF(D506="",MAX(TODAY()-C506,0),MAX(D506-C506,0))</x:f>
        <x:v>0</x:v>
      </x:c>
      <x:c r="S506" s="13" t="str">
        <x:f>IF(R506=0,"Em dia",IF(R506&lt;=15,"1-15 dias",IF(R506&lt;=30,"16-30 dias",IF(R506&lt;=60,"31-60 dias","Acima de 60 dias"))))</x:f>
        <x:v>Em dia</x:v>
      </x:c>
    </x:row>
    <x:row r="507">
      <x:c r="A507" s="13" t="str">
        <x:v>REC-000506</x:v>
      </x:c>
      <x:c r="B507" s="23" t="n">
        <x:v>45545</x:v>
      </x:c>
      <x:c r="C507" s="23" t="n">
        <x:v>45573</x:v>
      </x:c>
      <x:c r="D507" s="23" t="n">
        <x:v>45572</x:v>
      </x:c>
      <x:c r="E507" s="13" t="str">
        <x:v>VAL-011</x:v>
      </x:c>
      <x:c r="F507" s="13" t="str">
        <x:v>Rede Essencial</x:v>
      </x:c>
      <x:c r="G507" s="13" t="str">
        <x:v>Varejo</x:v>
      </x:c>
      <x:c r="H507" s="13" t="str">
        <x:v>Médio</x:v>
      </x:c>
      <x:c r="I507" s="13" t="str">
        <x:v>Performance</x:v>
      </x:c>
      <x:c r="J507" s="17" t="n">
        <x:v>19515.42</x:v>
      </x:c>
      <x:c r="K507" s="17" t="n">
        <x:v>0</x:v>
      </x:c>
      <x:c r="L507" s="17" t="n">
        <x:v>0</x:v>
      </x:c>
      <x:c r="M507" s="13" t="str">
        <x:v>Pago</x:v>
      </x:c>
      <x:c r="N507" s="13" t="str">
        <x:v>Sem cobrança</x:v>
      </x:c>
      <x:c r="O507" s="13" t="str">
        <x:v>Crescimento sem escala</x:v>
      </x:c>
      <x:c r="P507" s="17" t="n">
        <x:f>IF(D507="",0,J507-K507+L507)</x:f>
        <x:v>19515.42</x:v>
      </x:c>
      <x:c r="Q507" s="17" t="n">
        <x:f>MAX(J507-P507-K507,0)</x:f>
        <x:v>0</x:v>
      </x:c>
      <x:c r="R507" s="13" t="n">
        <x:f>IF(D507="",MAX(TODAY()-C507,0),MAX(D507-C507,0))</x:f>
        <x:v>0</x:v>
      </x:c>
      <x:c r="S507" s="13" t="str">
        <x:f>IF(R507=0,"Em dia",IF(R507&lt;=15,"1-15 dias",IF(R507&lt;=30,"16-30 dias",IF(R507&lt;=60,"31-60 dias","Acima de 60 dias"))))</x:f>
        <x:v>Em dia</x:v>
      </x:c>
    </x:row>
    <x:row r="508">
      <x:c r="A508" s="13" t="str">
        <x:v>REC-000507</x:v>
      </x:c>
      <x:c r="B508" s="23" t="n">
        <x:v>45549</x:v>
      </x:c>
      <x:c r="C508" s="23" t="n">
        <x:v>45556</x:v>
      </x:c>
      <x:c r="D508" s="23" t="n">
        <x:v>45552</x:v>
      </x:c>
      <x:c r="E508" s="13" t="str">
        <x:v>VAL-011</x:v>
      </x:c>
      <x:c r="F508" s="13" t="str">
        <x:v>Rede Essencial</x:v>
      </x:c>
      <x:c r="G508" s="13" t="str">
        <x:v>Varejo</x:v>
      </x:c>
      <x:c r="H508" s="13" t="str">
        <x:v>Médio</x:v>
      </x:c>
      <x:c r="I508" s="13" t="str">
        <x:v>Performance</x:v>
      </x:c>
      <x:c r="J508" s="17" t="n">
        <x:v>2548.96</x:v>
      </x:c>
      <x:c r="K508" s="17" t="n">
        <x:v>0</x:v>
      </x:c>
      <x:c r="L508" s="17" t="n">
        <x:v>0</x:v>
      </x:c>
      <x:c r="M508" s="13" t="str">
        <x:v>Pago</x:v>
      </x:c>
      <x:c r="N508" s="13" t="str">
        <x:v>Sem cobrança</x:v>
      </x:c>
      <x:c r="O508" s="13" t="str">
        <x:v>Crescimento sem escala</x:v>
      </x:c>
      <x:c r="P508" s="17" t="n">
        <x:f>IF(D508="",0,J508-K508+L508)</x:f>
        <x:v>2548.96</x:v>
      </x:c>
      <x:c r="Q508" s="17" t="n">
        <x:f>MAX(J508-P508-K508,0)</x:f>
        <x:v>0</x:v>
      </x:c>
      <x:c r="R508" s="13" t="n">
        <x:f>IF(D508="",MAX(TODAY()-C508,0),MAX(D508-C508,0))</x:f>
        <x:v>0</x:v>
      </x:c>
      <x:c r="S508" s="13" t="str">
        <x:f>IF(R508=0,"Em dia",IF(R508&lt;=15,"1-15 dias",IF(R508&lt;=30,"16-30 dias",IF(R508&lt;=60,"31-60 dias","Acima de 60 dias"))))</x:f>
        <x:v>Em dia</x:v>
      </x:c>
    </x:row>
    <x:row r="509">
      <x:c r="A509" s="13" t="str">
        <x:v>REC-000508</x:v>
      </x:c>
      <x:c r="B509" s="23" t="n">
        <x:v>45537</x:v>
      </x:c>
      <x:c r="C509" s="23" t="n">
        <x:v>45552</x:v>
      </x:c>
      <x:c r="D509" s="23" t="n">
        <x:v>45550</x:v>
      </x:c>
      <x:c r="E509" s="13" t="str">
        <x:v>VAL-025</x:v>
      </x:c>
      <x:c r="F509" s="13" t="str">
        <x:v>Bem-Estar Terapias</x:v>
      </x:c>
      <x:c r="G509" s="13" t="str">
        <x:v>Clínicas e Saúde</x:v>
      </x:c>
      <x:c r="H509" s="13" t="str">
        <x:v>Baixo</x:v>
      </x:c>
      <x:c r="I509" s="13" t="str">
        <x:v>Essencial</x:v>
      </x:c>
      <x:c r="J509" s="17" t="n">
        <x:v>13482.07</x:v>
      </x:c>
      <x:c r="K509" s="17" t="n">
        <x:v>0</x:v>
      </x:c>
      <x:c r="L509" s="17" t="n">
        <x:v>0</x:v>
      </x:c>
      <x:c r="M509" s="13" t="str">
        <x:v>Pago</x:v>
      </x:c>
      <x:c r="N509" s="13" t="str">
        <x:v>Sem cobrança</x:v>
      </x:c>
      <x:c r="O509" s="13" t="str">
        <x:v>Crescimento sem escala</x:v>
      </x:c>
      <x:c r="P509" s="17" t="n">
        <x:f>IF(D509="",0,J509-K509+L509)</x:f>
        <x:v>13482.07</x:v>
      </x:c>
      <x:c r="Q509" s="17" t="n">
        <x:f>MAX(J509-P509-K509,0)</x:f>
        <x:v>0</x:v>
      </x:c>
      <x:c r="R509" s="13" t="n">
        <x:f>IF(D509="",MAX(TODAY()-C509,0),MAX(D509-C509,0))</x:f>
        <x:v>0</x:v>
      </x:c>
      <x:c r="S509" s="13" t="str">
        <x:f>IF(R509=0,"Em dia",IF(R509&lt;=15,"1-15 dias",IF(R509&lt;=30,"16-30 dias",IF(R509&lt;=60,"31-60 dias","Acima de 60 dias"))))</x:f>
        <x:v>Em dia</x:v>
      </x:c>
    </x:row>
    <x:row r="510">
      <x:c r="A510" s="13" t="str">
        <x:v>REC-000509</x:v>
      </x:c>
      <x:c r="B510" s="23" t="n">
        <x:v>45555</x:v>
      </x:c>
      <x:c r="C510" s="23" t="n">
        <x:v>45576</x:v>
      </x:c>
      <x:c r="D510" s="23" t="n">
        <x:v>45575</x:v>
      </x:c>
      <x:c r="E510" s="13" t="str">
        <x:v>VAL-024</x:v>
      </x:c>
      <x:c r="F510" s="13" t="str">
        <x:v>NovaForma Móveis</x:v>
      </x:c>
      <x:c r="G510" s="13" t="str">
        <x:v>Indústria Leve</x:v>
      </x:c>
      <x:c r="H510" s="13" t="str">
        <x:v>Baixo</x:v>
      </x:c>
      <x:c r="I510" s="13" t="str">
        <x:v>Enterprise</x:v>
      </x:c>
      <x:c r="J510" s="17" t="n">
        <x:v>3553.95</x:v>
      </x:c>
      <x:c r="K510" s="17" t="n">
        <x:v>0</x:v>
      </x:c>
      <x:c r="L510" s="17" t="n">
        <x:v>0</x:v>
      </x:c>
      <x:c r="M510" s="13" t="str">
        <x:v>Pago</x:v>
      </x:c>
      <x:c r="N510" s="13" t="str">
        <x:v>Sem cobrança</x:v>
      </x:c>
      <x:c r="O510" s="13" t="str">
        <x:v>Crescimento sem escala</x:v>
      </x:c>
      <x:c r="P510" s="17" t="n">
        <x:f>IF(D510="",0,J510-K510+L510)</x:f>
        <x:v>3553.95</x:v>
      </x:c>
      <x:c r="Q510" s="17" t="n">
        <x:f>MAX(J510-P510-K510,0)</x:f>
        <x:v>0</x:v>
      </x:c>
      <x:c r="R510" s="13" t="n">
        <x:f>IF(D510="",MAX(TODAY()-C510,0),MAX(D510-C510,0))</x:f>
        <x:v>0</x:v>
      </x:c>
      <x:c r="S510" s="13" t="str">
        <x:f>IF(R510=0,"Em dia",IF(R510&lt;=15,"1-15 dias",IF(R510&lt;=30,"16-30 dias",IF(R510&lt;=60,"31-60 dias","Acima de 60 dias"))))</x:f>
        <x:v>Em dia</x:v>
      </x:c>
    </x:row>
    <x:row r="511">
      <x:c r="A511" s="13" t="str">
        <x:v>REC-000510</x:v>
      </x:c>
      <x:c r="B511" s="23" t="n">
        <x:v>45540</x:v>
      </x:c>
      <x:c r="C511" s="23" t="n">
        <x:v>45570</x:v>
      </x:c>
      <x:c r="D511" s="23" t="n">
        <x:v>45567</x:v>
      </x:c>
      <x:c r="E511" s="13" t="str">
        <x:v>VAL-014</x:v>
      </x:c>
      <x:c r="F511" s="13" t="str">
        <x:v>Colégio Caminhos</x:v>
      </x:c>
      <x:c r="G511" s="13" t="str">
        <x:v>Educação</x:v>
      </x:c>
      <x:c r="H511" s="13" t="str">
        <x:v>Médio</x:v>
      </x:c>
      <x:c r="I511" s="13" t="str">
        <x:v>Gestão</x:v>
      </x:c>
      <x:c r="J511" s="17" t="n">
        <x:v>24812.39</x:v>
      </x:c>
      <x:c r="K511" s="17" t="n">
        <x:v>0</x:v>
      </x:c>
      <x:c r="L511" s="17" t="n">
        <x:v>0</x:v>
      </x:c>
      <x:c r="M511" s="13" t="str">
        <x:v>Pago</x:v>
      </x:c>
      <x:c r="N511" s="13" t="str">
        <x:v>Sem cobrança</x:v>
      </x:c>
      <x:c r="O511" s="13" t="str">
        <x:v>Crescimento sem escala</x:v>
      </x:c>
      <x:c r="P511" s="17" t="n">
        <x:f>IF(D511="",0,J511-K511+L511)</x:f>
        <x:v>24812.39</x:v>
      </x:c>
      <x:c r="Q511" s="17" t="n">
        <x:f>MAX(J511-P511-K511,0)</x:f>
        <x:v>0</x:v>
      </x:c>
      <x:c r="R511" s="13" t="n">
        <x:f>IF(D511="",MAX(TODAY()-C511,0),MAX(D511-C511,0))</x:f>
        <x:v>0</x:v>
      </x:c>
      <x:c r="S511" s="13" t="str">
        <x:f>IF(R511=0,"Em dia",IF(R511&lt;=15,"1-15 dias",IF(R511&lt;=30,"16-30 dias",IF(R511&lt;=60,"31-60 dias","Acima de 60 dias"))))</x:f>
        <x:v>Em dia</x:v>
      </x:c>
    </x:row>
    <x:row r="512">
      <x:c r="A512" s="13" t="str">
        <x:v>REC-000511</x:v>
      </x:c>
      <x:c r="B512" s="23" t="n">
        <x:v>45543</x:v>
      </x:c>
      <x:c r="C512" s="23" t="n">
        <x:v>45558</x:v>
      </x:c>
      <x:c r="D512" s="23" t="n">
        <x:v>45567</x:v>
      </x:c>
      <x:c r="E512" s="13" t="str">
        <x:v>VAL-014</x:v>
      </x:c>
      <x:c r="F512" s="13" t="str">
        <x:v>Colégio Caminhos</x:v>
      </x:c>
      <x:c r="G512" s="13" t="str">
        <x:v>Educação</x:v>
      </x:c>
      <x:c r="H512" s="13" t="str">
        <x:v>Médio</x:v>
      </x:c>
      <x:c r="I512" s="13" t="str">
        <x:v>Gestão</x:v>
      </x:c>
      <x:c r="J512" s="17" t="n">
        <x:v>1204.3</x:v>
      </x:c>
      <x:c r="K512" s="17" t="n">
        <x:v>0</x:v>
      </x:c>
      <x:c r="L512" s="17" t="n">
        <x:v>7.05</x:v>
      </x:c>
      <x:c r="M512" s="13" t="str">
        <x:v>Pago com atraso</x:v>
      </x:c>
      <x:c r="N512" s="13" t="str">
        <x:v>Régua automática</x:v>
      </x:c>
      <x:c r="O512" s="13" t="str">
        <x:v>Crescimento sem escala</x:v>
      </x:c>
      <x:c r="P512" s="17" t="n">
        <x:f>IF(D512="",0,J512-K512+L512)</x:f>
        <x:v>1211.35</x:v>
      </x:c>
      <x:c r="Q512" s="17" t="n">
        <x:f>MAX(J512-P512-K512,0)</x:f>
        <x:v>0</x:v>
      </x:c>
      <x:c r="R512" s="13" t="n">
        <x:f>IF(D512="",MAX(TODAY()-C512,0),MAX(D512-C512,0))</x:f>
        <x:v>9</x:v>
      </x:c>
      <x:c r="S512" s="13" t="str">
        <x:f>IF(R512=0,"Em dia",IF(R512&lt;=15,"1-15 dias",IF(R512&lt;=30,"16-30 dias",IF(R512&lt;=60,"31-60 dias","Acima de 60 dias"))))</x:f>
        <x:v>1-15 dias</x:v>
      </x:c>
    </x:row>
    <x:row r="513">
      <x:c r="A513" s="13" t="str">
        <x:v>REC-000512</x:v>
      </x:c>
      <x:c r="B513" s="23" t="n">
        <x:v>45549</x:v>
      </x:c>
      <x:c r="C513" s="23" t="n">
        <x:v>45579</x:v>
      </x:c>
      <x:c r="D513" s="23" t="n">
        <x:v>45576</x:v>
      </x:c>
      <x:c r="E513" s="13" t="str">
        <x:v>VAL-017</x:v>
      </x:c>
      <x:c r="F513" s="13" t="str">
        <x:v>Centro Médico Vida</x:v>
      </x:c>
      <x:c r="G513" s="13" t="str">
        <x:v>Clínicas e Saúde</x:v>
      </x:c>
      <x:c r="H513" s="13" t="str">
        <x:v>Baixo</x:v>
      </x:c>
      <x:c r="I513" s="13" t="str">
        <x:v>Essencial</x:v>
      </x:c>
      <x:c r="J513" s="17" t="n">
        <x:v>20758.87</x:v>
      </x:c>
      <x:c r="K513" s="17" t="n">
        <x:v>0</x:v>
      </x:c>
      <x:c r="L513" s="17" t="n">
        <x:v>0</x:v>
      </x:c>
      <x:c r="M513" s="13" t="str">
        <x:v>Pago</x:v>
      </x:c>
      <x:c r="N513" s="13" t="str">
        <x:v>Sem cobrança</x:v>
      </x:c>
      <x:c r="O513" s="13" t="str">
        <x:v>Crescimento sem escala</x:v>
      </x:c>
      <x:c r="P513" s="17" t="n">
        <x:f>IF(D513="",0,J513-K513+L513)</x:f>
        <x:v>20758.87</x:v>
      </x:c>
      <x:c r="Q513" s="17" t="n">
        <x:f>MAX(J513-P513-K513,0)</x:f>
        <x:v>0</x:v>
      </x:c>
      <x:c r="R513" s="13" t="n">
        <x:f>IF(D513="",MAX(TODAY()-C513,0),MAX(D513-C513,0))</x:f>
        <x:v>0</x:v>
      </x:c>
      <x:c r="S513" s="13" t="str">
        <x:f>IF(R513=0,"Em dia",IF(R513&lt;=15,"1-15 dias",IF(R513&lt;=30,"16-30 dias",IF(R513&lt;=60,"31-60 dias","Acima de 60 dias"))))</x:f>
        <x:v>Em dia</x:v>
      </x:c>
    </x:row>
    <x:row r="514">
      <x:c r="A514" s="13" t="str">
        <x:v>REC-000513</x:v>
      </x:c>
      <x:c r="B514" s="23" t="n">
        <x:v>45551</x:v>
      </x:c>
      <x:c r="C514" s="23" t="n">
        <x:v>45558</x:v>
      </x:c>
      <x:c r="D514" s="23" t="n">
        <x:v>45561</x:v>
      </x:c>
      <x:c r="E514" s="13" t="str">
        <x:v>VAL-006</x:v>
      </x:c>
      <x:c r="F514" s="13" t="str">
        <x:v>Instituto Saber Mais</x:v>
      </x:c>
      <x:c r="G514" s="13" t="str">
        <x:v>Educação</x:v>
      </x:c>
      <x:c r="H514" s="13" t="str">
        <x:v>Médio</x:v>
      </x:c>
      <x:c r="I514" s="13" t="str">
        <x:v>Gestão</x:v>
      </x:c>
      <x:c r="J514" s="17" t="n">
        <x:v>1616.77</x:v>
      </x:c>
      <x:c r="K514" s="17" t="n">
        <x:v>0</x:v>
      </x:c>
      <x:c r="L514" s="17" t="n">
        <x:v>3.15</x:v>
      </x:c>
      <x:c r="M514" s="13" t="str">
        <x:v>Pago com atraso</x:v>
      </x:c>
      <x:c r="N514" s="13" t="str">
        <x:v>Régua automática</x:v>
      </x:c>
      <x:c r="O514" s="13" t="str">
        <x:v>Crescimento sem escala</x:v>
      </x:c>
      <x:c r="P514" s="17" t="n">
        <x:f>IF(D514="",0,J514-K514+L514)</x:f>
        <x:v>1619.92</x:v>
      </x:c>
      <x:c r="Q514" s="17" t="n">
        <x:f>MAX(J514-P514-K514,0)</x:f>
        <x:v>0</x:v>
      </x:c>
      <x:c r="R514" s="13" t="n">
        <x:f>IF(D514="",MAX(TODAY()-C514,0),MAX(D514-C514,0))</x:f>
        <x:v>3</x:v>
      </x:c>
      <x:c r="S514" s="13" t="str">
        <x:f>IF(R514=0,"Em dia",IF(R514&lt;=15,"1-15 dias",IF(R514&lt;=30,"16-30 dias",IF(R514&lt;=60,"31-60 dias","Acima de 60 dias"))))</x:f>
        <x:v>1-15 dias</x:v>
      </x:c>
    </x:row>
    <x:row r="515">
      <x:c r="A515" s="13" t="str">
        <x:v>REC-000514</x:v>
      </x:c>
      <x:c r="B515" s="23" t="n">
        <x:v>45547</x:v>
      </x:c>
      <x:c r="C515" s="23" t="n">
        <x:v>45577</x:v>
      </x:c>
      <x:c r="D515" s="23" t="n">
        <x:v>45574</x:v>
      </x:c>
      <x:c r="E515" s="13" t="str">
        <x:v>VAL-020</x:v>
      </x:c>
      <x:c r="F515" s="13" t="str">
        <x:v>Corelink Digital</x:v>
      </x:c>
      <x:c r="G515" s="13" t="str">
        <x:v>Tecnologia</x:v>
      </x:c>
      <x:c r="H515" s="13" t="str">
        <x:v>Baixo</x:v>
      </x:c>
      <x:c r="I515" s="13" t="str">
        <x:v>Enterprise</x:v>
      </x:c>
      <x:c r="J515" s="17" t="n">
        <x:v>25119.28</x:v>
      </x:c>
      <x:c r="K515" s="17" t="n">
        <x:v>0</x:v>
      </x:c>
      <x:c r="L515" s="17" t="n">
        <x:v>0</x:v>
      </x:c>
      <x:c r="M515" s="13" t="str">
        <x:v>Pago</x:v>
      </x:c>
      <x:c r="N515" s="13" t="str">
        <x:v>Sem cobrança</x:v>
      </x:c>
      <x:c r="O515" s="13" t="str">
        <x:v>Crescimento sem escala</x:v>
      </x:c>
      <x:c r="P515" s="17" t="n">
        <x:f>IF(D515="",0,J515-K515+L515)</x:f>
        <x:v>25119.28</x:v>
      </x:c>
      <x:c r="Q515" s="17" t="n">
        <x:f>MAX(J515-P515-K515,0)</x:f>
        <x:v>0</x:v>
      </x:c>
      <x:c r="R515" s="13" t="n">
        <x:f>IF(D515="",MAX(TODAY()-C515,0),MAX(D515-C515,0))</x:f>
        <x:v>0</x:v>
      </x:c>
      <x:c r="S515" s="13" t="str">
        <x:f>IF(R515=0,"Em dia",IF(R515&lt;=15,"1-15 dias",IF(R515&lt;=30,"16-30 dias",IF(R515&lt;=60,"31-60 dias","Acima de 60 dias"))))</x:f>
        <x:v>Em dia</x:v>
      </x:c>
    </x:row>
    <x:row r="516">
      <x:c r="A516" s="13" t="str">
        <x:v>REC-000515</x:v>
      </x:c>
      <x:c r="B516" s="23" t="n">
        <x:v>45543</x:v>
      </x:c>
      <x:c r="C516" s="23" t="n">
        <x:v>45550</x:v>
      </x:c>
      <x:c r="D516" s="23" t="n">
        <x:v>45546</x:v>
      </x:c>
      <x:c r="E516" s="13" t="str">
        <x:v>VAL-002</x:v>
      </x:c>
      <x:c r="F516" s="13" t="str">
        <x:v>Mendes &amp; Prado Consultoria</x:v>
      </x:c>
      <x:c r="G516" s="13" t="str">
        <x:v>Serviços Profissionais</x:v>
      </x:c>
      <x:c r="H516" s="13" t="str">
        <x:v>Baixo</x:v>
      </x:c>
      <x:c r="I516" s="13" t="str">
        <x:v>Gestão</x:v>
      </x:c>
      <x:c r="J516" s="17" t="n">
        <x:v>25107.21</x:v>
      </x:c>
      <x:c r="K516" s="17" t="n">
        <x:v>0</x:v>
      </x:c>
      <x:c r="L516" s="17" t="n">
        <x:v>0</x:v>
      </x:c>
      <x:c r="M516" s="13" t="str">
        <x:v>Pago</x:v>
      </x:c>
      <x:c r="N516" s="13" t="str">
        <x:v>Sem cobrança</x:v>
      </x:c>
      <x:c r="O516" s="13" t="str">
        <x:v>Crescimento sem escala</x:v>
      </x:c>
      <x:c r="P516" s="17" t="n">
        <x:f>IF(D516="",0,J516-K516+L516)</x:f>
        <x:v>25107.21</x:v>
      </x:c>
      <x:c r="Q516" s="17" t="n">
        <x:f>MAX(J516-P516-K516,0)</x:f>
        <x:v>0</x:v>
      </x:c>
      <x:c r="R516" s="13" t="n">
        <x:f>IF(D516="",MAX(TODAY()-C516,0),MAX(D516-C516,0))</x:f>
        <x:v>0</x:v>
      </x:c>
      <x:c r="S516" s="13" t="str">
        <x:f>IF(R516=0,"Em dia",IF(R516&lt;=15,"1-15 dias",IF(R516&lt;=30,"16-30 dias",IF(R516&lt;=60,"31-60 dias","Acima de 60 dias"))))</x:f>
        <x:v>Em dia</x:v>
      </x:c>
    </x:row>
    <x:row r="517">
      <x:c r="A517" s="13" t="str">
        <x:v>REC-000516</x:v>
      </x:c>
      <x:c r="B517" s="23" t="n">
        <x:v>45537</x:v>
      </x:c>
      <x:c r="C517" s="23" t="n">
        <x:v>45565</x:v>
      </x:c>
      <x:c r="D517" s="23" t="n">
        <x:v>45565</x:v>
      </x:c>
      <x:c r="E517" s="13" t="str">
        <x:v>VAL-005</x:v>
      </x:c>
      <x:c r="F517" s="13" t="str">
        <x:v>Construtora Alameda</x:v>
      </x:c>
      <x:c r="G517" s="13" t="str">
        <x:v>Construção</x:v>
      </x:c>
      <x:c r="H517" s="13" t="str">
        <x:v>Médio</x:v>
      </x:c>
      <x:c r="I517" s="13" t="str">
        <x:v>Essencial</x:v>
      </x:c>
      <x:c r="J517" s="17" t="n">
        <x:v>25965.74</x:v>
      </x:c>
      <x:c r="K517" s="17" t="n">
        <x:v>0</x:v>
      </x:c>
      <x:c r="L517" s="17" t="n">
        <x:v>0</x:v>
      </x:c>
      <x:c r="M517" s="13" t="str">
        <x:v>Pago</x:v>
      </x:c>
      <x:c r="N517" s="13" t="str">
        <x:v>Sem cobrança</x:v>
      </x:c>
      <x:c r="O517" s="13" t="str">
        <x:v>Crescimento sem escala</x:v>
      </x:c>
      <x:c r="P517" s="17" t="n">
        <x:f>IF(D517="",0,J517-K517+L517)</x:f>
        <x:v>25965.74</x:v>
      </x:c>
      <x:c r="Q517" s="17" t="n">
        <x:f>MAX(J517-P517-K517,0)</x:f>
        <x:v>0</x:v>
      </x:c>
      <x:c r="R517" s="13" t="n">
        <x:f>IF(D517="",MAX(TODAY()-C517,0),MAX(D517-C517,0))</x:f>
        <x:v>0</x:v>
      </x:c>
      <x:c r="S517" s="13" t="str">
        <x:f>IF(R517=0,"Em dia",IF(R517&lt;=15,"1-15 dias",IF(R517&lt;=30,"16-30 dias",IF(R517&lt;=60,"31-60 dias","Acima de 60 dias"))))</x:f>
        <x:v>Em dia</x:v>
      </x:c>
    </x:row>
    <x:row r="518">
      <x:c r="A518" s="13" t="str">
        <x:v>REC-000517</x:v>
      </x:c>
      <x:c r="B518" s="23" t="n">
        <x:v>45540</x:v>
      </x:c>
      <x:c r="C518" s="23" t="n">
        <x:v>45570</x:v>
      </x:c>
      <x:c r="D518" s="23" t="n">
        <x:v>45568</x:v>
      </x:c>
      <x:c r="E518" s="13" t="str">
        <x:v>VAL-014</x:v>
      </x:c>
      <x:c r="F518" s="13" t="str">
        <x:v>Colégio Caminhos</x:v>
      </x:c>
      <x:c r="G518" s="13" t="str">
        <x:v>Educação</x:v>
      </x:c>
      <x:c r="H518" s="13" t="str">
        <x:v>Médio</x:v>
      </x:c>
      <x:c r="I518" s="13" t="str">
        <x:v>Gestão</x:v>
      </x:c>
      <x:c r="J518" s="17" t="n">
        <x:v>16708.01</x:v>
      </x:c>
      <x:c r="K518" s="17" t="n">
        <x:v>0</x:v>
      </x:c>
      <x:c r="L518" s="17" t="n">
        <x:v>0</x:v>
      </x:c>
      <x:c r="M518" s="13" t="str">
        <x:v>Pago</x:v>
      </x:c>
      <x:c r="N518" s="13" t="str">
        <x:v>Sem cobrança</x:v>
      </x:c>
      <x:c r="O518" s="13" t="str">
        <x:v>Crescimento sem escala</x:v>
      </x:c>
      <x:c r="P518" s="17" t="n">
        <x:f>IF(D518="",0,J518-K518+L518)</x:f>
        <x:v>16708.01</x:v>
      </x:c>
      <x:c r="Q518" s="17" t="n">
        <x:f>MAX(J518-P518-K518,0)</x:f>
        <x:v>0</x:v>
      </x:c>
      <x:c r="R518" s="13" t="n">
        <x:f>IF(D518="",MAX(TODAY()-C518,0),MAX(D518-C518,0))</x:f>
        <x:v>0</x:v>
      </x:c>
      <x:c r="S518" s="13" t="str">
        <x:f>IF(R518=0,"Em dia",IF(R518&lt;=15,"1-15 dias",IF(R518&lt;=30,"16-30 dias",IF(R518&lt;=60,"31-60 dias","Acima de 60 dias"))))</x:f>
        <x:v>Em dia</x:v>
      </x:c>
    </x:row>
    <x:row r="519">
      <x:c r="A519" s="13" t="str">
        <x:v>REC-000518</x:v>
      </x:c>
      <x:c r="B519" s="23" t="n">
        <x:v>45544</x:v>
      </x:c>
      <x:c r="C519" s="23" t="n">
        <x:v>45565</x:v>
      </x:c>
      <x:c r="D519" s="23" t="n">
        <x:v>45565</x:v>
      </x:c>
      <x:c r="E519" s="13" t="str">
        <x:v>VAL-003</x:v>
      </x:c>
      <x:c r="F519" s="13" t="str">
        <x:v>Casa Nova Varejo</x:v>
      </x:c>
      <x:c r="G519" s="13" t="str">
        <x:v>Varejo</x:v>
      </x:c>
      <x:c r="H519" s="13" t="str">
        <x:v>Baixo</x:v>
      </x:c>
      <x:c r="I519" s="13" t="str">
        <x:v>Performance</x:v>
      </x:c>
      <x:c r="J519" s="17" t="n">
        <x:v>11516.75</x:v>
      </x:c>
      <x:c r="K519" s="17" t="n">
        <x:v>0</x:v>
      </x:c>
      <x:c r="L519" s="17" t="n">
        <x:v>0</x:v>
      </x:c>
      <x:c r="M519" s="13" t="str">
        <x:v>Pago</x:v>
      </x:c>
      <x:c r="N519" s="13" t="str">
        <x:v>Sem cobrança</x:v>
      </x:c>
      <x:c r="O519" s="13" t="str">
        <x:v>Crescimento sem escala</x:v>
      </x:c>
      <x:c r="P519" s="17" t="n">
        <x:f>IF(D519="",0,J519-K519+L519)</x:f>
        <x:v>11516.75</x:v>
      </x:c>
      <x:c r="Q519" s="17" t="n">
        <x:f>MAX(J519-P519-K519,0)</x:f>
        <x:v>0</x:v>
      </x:c>
      <x:c r="R519" s="13" t="n">
        <x:f>IF(D519="",MAX(TODAY()-C519,0),MAX(D519-C519,0))</x:f>
        <x:v>0</x:v>
      </x:c>
      <x:c r="S519" s="13" t="str">
        <x:f>IF(R519=0,"Em dia",IF(R519&lt;=15,"1-15 dias",IF(R519&lt;=30,"16-30 dias",IF(R519&lt;=60,"31-60 dias","Acima de 60 dias"))))</x:f>
        <x:v>Em dia</x:v>
      </x:c>
    </x:row>
    <x:row r="520">
      <x:c r="A520" s="13" t="str">
        <x:v>REC-000519</x:v>
      </x:c>
      <x:c r="B520" s="23" t="n">
        <x:v>45551</x:v>
      </x:c>
      <x:c r="C520" s="23" t="n">
        <x:v>45581</x:v>
      </x:c>
      <x:c r="D520" s="23" t="n">
        <x:v>45580</x:v>
      </x:c>
      <x:c r="E520" s="13" t="str">
        <x:v>VAL-005</x:v>
      </x:c>
      <x:c r="F520" s="13" t="str">
        <x:v>Construtora Alameda</x:v>
      </x:c>
      <x:c r="G520" s="13" t="str">
        <x:v>Construção</x:v>
      </x:c>
      <x:c r="H520" s="13" t="str">
        <x:v>Médio</x:v>
      </x:c>
      <x:c r="I520" s="13" t="str">
        <x:v>Essencial</x:v>
      </x:c>
      <x:c r="J520" s="17" t="n">
        <x:v>24939.8</x:v>
      </x:c>
      <x:c r="K520" s="17" t="n">
        <x:v>289.68</x:v>
      </x:c>
      <x:c r="L520" s="17" t="n">
        <x:v>0</x:v>
      </x:c>
      <x:c r="M520" s="13" t="str">
        <x:v>Pago</x:v>
      </x:c>
      <x:c r="N520" s="13" t="str">
        <x:v>Sem cobrança</x:v>
      </x:c>
      <x:c r="O520" s="13" t="str">
        <x:v>Crescimento sem escala</x:v>
      </x:c>
      <x:c r="P520" s="17" t="n">
        <x:f>IF(D520="",0,J520-K520+L520)</x:f>
        <x:v>24650.12</x:v>
      </x:c>
      <x:c r="Q520" s="17" t="n">
        <x:f>MAX(J520-P520-K520,0)</x:f>
        <x:v>2.8421709430404007e-13</x:v>
      </x:c>
      <x:c r="R520" s="13" t="n">
        <x:f>IF(D520="",MAX(TODAY()-C520,0),MAX(D520-C520,0))</x:f>
        <x:v>0</x:v>
      </x:c>
      <x:c r="S520" s="13" t="str">
        <x:f>IF(R520=0,"Em dia",IF(R520&lt;=15,"1-15 dias",IF(R520&lt;=30,"16-30 dias",IF(R520&lt;=60,"31-60 dias","Acima de 60 dias"))))</x:f>
        <x:v>Em dia</x:v>
      </x:c>
    </x:row>
    <x:row r="521">
      <x:c r="A521" s="13" t="str">
        <x:v>REC-000520</x:v>
      </x:c>
      <x:c r="B521" s="23" t="n">
        <x:v>45542</x:v>
      </x:c>
      <x:c r="C521" s="23" t="n">
        <x:v>45563</x:v>
      </x:c>
      <x:c r="D521" s="23" t="n">
        <x:v>45577</x:v>
      </x:c>
      <x:c r="E521" s="13" t="str">
        <x:v>VAL-029</x:v>
      </x:c>
      <x:c r="F521" s="13" t="str">
        <x:v>Planobra Serviços</x:v>
      </x:c>
      <x:c r="G521" s="13" t="str">
        <x:v>Construção</x:v>
      </x:c>
      <x:c r="H521" s="13" t="str">
        <x:v>Baixo</x:v>
      </x:c>
      <x:c r="I521" s="13" t="str">
        <x:v>Essencial</x:v>
      </x:c>
      <x:c r="J521" s="17" t="n">
        <x:v>4637.94</x:v>
      </x:c>
      <x:c r="K521" s="17" t="n">
        <x:v>0</x:v>
      </x:c>
      <x:c r="L521" s="17" t="n">
        <x:v>42.21</x:v>
      </x:c>
      <x:c r="M521" s="13" t="str">
        <x:v>Pago com atraso</x:v>
      </x:c>
      <x:c r="N521" s="13" t="str">
        <x:v>WhatsApp</x:v>
      </x:c>
      <x:c r="O521" s="13" t="str">
        <x:v>Crescimento sem escala</x:v>
      </x:c>
      <x:c r="P521" s="17" t="n">
        <x:f>IF(D521="",0,J521-K521+L521)</x:f>
        <x:v>4680.15</x:v>
      </x:c>
      <x:c r="Q521" s="17" t="n">
        <x:f>MAX(J521-P521-K521,0)</x:f>
        <x:v>0</x:v>
      </x:c>
      <x:c r="R521" s="13" t="n">
        <x:f>IF(D521="",MAX(TODAY()-C521,0),MAX(D521-C521,0))</x:f>
        <x:v>14</x:v>
      </x:c>
      <x:c r="S521" s="13" t="str">
        <x:f>IF(R521=0,"Em dia",IF(R521&lt;=15,"1-15 dias",IF(R521&lt;=30,"16-30 dias",IF(R521&lt;=60,"31-60 dias","Acima de 60 dias"))))</x:f>
        <x:v>1-15 dias</x:v>
      </x:c>
    </x:row>
    <x:row r="522">
      <x:c r="A522" s="13" t="str">
        <x:v>REC-000521</x:v>
      </x:c>
      <x:c r="B522" s="23" t="n">
        <x:v>45547</x:v>
      </x:c>
      <x:c r="C522" s="23" t="n">
        <x:v>45568</x:v>
      </x:c>
      <x:c r="D522" s="23" t="n">
        <x:v>45567</x:v>
      </x:c>
      <x:c r="E522" s="13" t="str">
        <x:v>VAL-001</x:v>
      </x:c>
      <x:c r="F522" s="13" t="str">
        <x:v>Clínica Horizonte</x:v>
      </x:c>
      <x:c r="G522" s="13" t="str">
        <x:v>Clínicas e Saúde</x:v>
      </x:c>
      <x:c r="H522" s="13" t="str">
        <x:v>Baixo</x:v>
      </x:c>
      <x:c r="I522" s="13" t="str">
        <x:v>Essencial</x:v>
      </x:c>
      <x:c r="J522" s="17" t="n">
        <x:v>18404.08</x:v>
      </x:c>
      <x:c r="K522" s="17" t="n">
        <x:v>0</x:v>
      </x:c>
      <x:c r="L522" s="17" t="n">
        <x:v>0</x:v>
      </x:c>
      <x:c r="M522" s="13" t="str">
        <x:v>Pago</x:v>
      </x:c>
      <x:c r="N522" s="13" t="str">
        <x:v>Sem cobrança</x:v>
      </x:c>
      <x:c r="O522" s="13" t="str">
        <x:v>Crescimento sem escala</x:v>
      </x:c>
      <x:c r="P522" s="17" t="n">
        <x:f>IF(D522="",0,J522-K522+L522)</x:f>
        <x:v>18404.08</x:v>
      </x:c>
      <x:c r="Q522" s="17" t="n">
        <x:f>MAX(J522-P522-K522,0)</x:f>
        <x:v>0</x:v>
      </x:c>
      <x:c r="R522" s="13" t="n">
        <x:f>IF(D522="",MAX(TODAY()-C522,0),MAX(D522-C522,0))</x:f>
        <x:v>0</x:v>
      </x:c>
      <x:c r="S522" s="13" t="str">
        <x:f>IF(R522=0,"Em dia",IF(R522&lt;=15,"1-15 dias",IF(R522&lt;=30,"16-30 dias",IF(R522&lt;=60,"31-60 dias","Acima de 60 dias"))))</x:f>
        <x:v>Em dia</x:v>
      </x:c>
    </x:row>
    <x:row r="523">
      <x:c r="A523" s="13" t="str">
        <x:v>REC-000522</x:v>
      </x:c>
      <x:c r="B523" s="23" t="n">
        <x:v>45536</x:v>
      </x:c>
      <x:c r="C523" s="23" t="n">
        <x:v>45564</x:v>
      </x:c>
      <x:c r="D523" s="23" t="n">
        <x:v>45562</x:v>
      </x:c>
      <x:c r="E523" s="13" t="str">
        <x:v>VAL-018</x:v>
      </x:c>
      <x:c r="F523" s="13" t="str">
        <x:v>Ponto Legal Advocacia</x:v>
      </x:c>
      <x:c r="G523" s="13" t="str">
        <x:v>Serviços Profissionais</x:v>
      </x:c>
      <x:c r="H523" s="13" t="str">
        <x:v>Baixo</x:v>
      </x:c>
      <x:c r="I523" s="13" t="str">
        <x:v>Gestão</x:v>
      </x:c>
      <x:c r="J523" s="17" t="n">
        <x:v>12778.2</x:v>
      </x:c>
      <x:c r="K523" s="17" t="n">
        <x:v>0</x:v>
      </x:c>
      <x:c r="L523" s="17" t="n">
        <x:v>0</x:v>
      </x:c>
      <x:c r="M523" s="13" t="str">
        <x:v>Pago</x:v>
      </x:c>
      <x:c r="N523" s="13" t="str">
        <x:v>Sem cobrança</x:v>
      </x:c>
      <x:c r="O523" s="13" t="str">
        <x:v>Crescimento sem escala</x:v>
      </x:c>
      <x:c r="P523" s="17" t="n">
        <x:f>IF(D523="",0,J523-K523+L523)</x:f>
        <x:v>12778.2</x:v>
      </x:c>
      <x:c r="Q523" s="17" t="n">
        <x:f>MAX(J523-P523-K523,0)</x:f>
        <x:v>0</x:v>
      </x:c>
      <x:c r="R523" s="13" t="n">
        <x:f>IF(D523="",MAX(TODAY()-C523,0),MAX(D523-C523,0))</x:f>
        <x:v>0</x:v>
      </x:c>
      <x:c r="S523" s="13" t="str">
        <x:f>IF(R523=0,"Em dia",IF(R523&lt;=15,"1-15 dias",IF(R523&lt;=30,"16-30 dias",IF(R523&lt;=60,"31-60 dias","Acima de 60 dias"))))</x:f>
        <x:v>Em dia</x:v>
      </x:c>
    </x:row>
    <x:row r="524">
      <x:c r="A524" s="13" t="str">
        <x:v>REC-000523</x:v>
      </x:c>
      <x:c r="B524" s="23" t="n">
        <x:v>45540</x:v>
      </x:c>
      <x:c r="C524" s="23" t="n">
        <x:v>45555</x:v>
      </x:c>
      <x:c r="D524" s="23" t="n">
        <x:v>45553</x:v>
      </x:c>
      <x:c r="E524" s="13" t="str">
        <x:v>VAL-028</x:v>
      </x:c>
      <x:c r="F524" s="13" t="str">
        <x:v>Pixel Norte</x:v>
      </x:c>
      <x:c r="G524" s="13" t="str">
        <x:v>Tecnologia</x:v>
      </x:c>
      <x:c r="H524" s="13" t="str">
        <x:v>Alto</x:v>
      </x:c>
      <x:c r="I524" s="13" t="str">
        <x:v>Enterprise</x:v>
      </x:c>
      <x:c r="J524" s="17" t="n">
        <x:v>8328.72</x:v>
      </x:c>
      <x:c r="K524" s="17" t="n">
        <x:v>0</x:v>
      </x:c>
      <x:c r="L524" s="17" t="n">
        <x:v>0</x:v>
      </x:c>
      <x:c r="M524" s="13" t="str">
        <x:v>Pago</x:v>
      </x:c>
      <x:c r="N524" s="13" t="str">
        <x:v>Sem cobrança</x:v>
      </x:c>
      <x:c r="O524" s="13" t="str">
        <x:v>Crescimento sem escala</x:v>
      </x:c>
      <x:c r="P524" s="17" t="n">
        <x:f>IF(D524="",0,J524-K524+L524)</x:f>
        <x:v>8328.72</x:v>
      </x:c>
      <x:c r="Q524" s="17" t="n">
        <x:f>MAX(J524-P524-K524,0)</x:f>
        <x:v>0</x:v>
      </x:c>
      <x:c r="R524" s="13" t="n">
        <x:f>IF(D524="",MAX(TODAY()-C524,0),MAX(D524-C524,0))</x:f>
        <x:v>0</x:v>
      </x:c>
      <x:c r="S524" s="13" t="str">
        <x:f>IF(R524=0,"Em dia",IF(R524&lt;=15,"1-15 dias",IF(R524&lt;=30,"16-30 dias",IF(R524&lt;=60,"31-60 dias","Acima de 60 dias"))))</x:f>
        <x:v>Em dia</x:v>
      </x:c>
    </x:row>
    <x:row r="525">
      <x:c r="A525" s="13" t="str">
        <x:v>REC-000524</x:v>
      </x:c>
      <x:c r="B525" s="23" t="n">
        <x:v>45536</x:v>
      </x:c>
      <x:c r="C525" s="23" t="n">
        <x:v>45551</x:v>
      </x:c>
      <x:c r="D525" s="23" t="n">
        <x:v>45549</x:v>
      </x:c>
      <x:c r="E525" s="13" t="str">
        <x:v>VAL-030</x:v>
      </x:c>
      <x:c r="F525" s="13" t="str">
        <x:v>Mundo Kids Cursos</x:v>
      </x:c>
      <x:c r="G525" s="13" t="str">
        <x:v>Educação</x:v>
      </x:c>
      <x:c r="H525" s="13" t="str">
        <x:v>Alto</x:v>
      </x:c>
      <x:c r="I525" s="13" t="str">
        <x:v>Gestão</x:v>
      </x:c>
      <x:c r="J525" s="17" t="n">
        <x:v>21114.7</x:v>
      </x:c>
      <x:c r="K525" s="17" t="n">
        <x:v>0</x:v>
      </x:c>
      <x:c r="L525" s="17" t="n">
        <x:v>0</x:v>
      </x:c>
      <x:c r="M525" s="13" t="str">
        <x:v>Pago</x:v>
      </x:c>
      <x:c r="N525" s="13" t="str">
        <x:v>Sem cobrança</x:v>
      </x:c>
      <x:c r="O525" s="13" t="str">
        <x:v>Crescimento sem escala</x:v>
      </x:c>
      <x:c r="P525" s="17" t="n">
        <x:f>IF(D525="",0,J525-K525+L525)</x:f>
        <x:v>21114.7</x:v>
      </x:c>
      <x:c r="Q525" s="17" t="n">
        <x:f>MAX(J525-P525-K525,0)</x:f>
        <x:v>0</x:v>
      </x:c>
      <x:c r="R525" s="13" t="n">
        <x:f>IF(D525="",MAX(TODAY()-C525,0),MAX(D525-C525,0))</x:f>
        <x:v>0</x:v>
      </x:c>
      <x:c r="S525" s="13" t="str">
        <x:f>IF(R525=0,"Em dia",IF(R525&lt;=15,"1-15 dias",IF(R525&lt;=30,"16-30 dias",IF(R525&lt;=60,"31-60 dias","Acima de 60 dias"))))</x:f>
        <x:v>Em dia</x:v>
      </x:c>
    </x:row>
    <x:row r="526">
      <x:c r="A526" s="13" t="str">
        <x:v>REC-000525</x:v>
      </x:c>
      <x:c r="B526" s="23" t="n">
        <x:v>45545</x:v>
      </x:c>
      <x:c r="C526" s="23" t="n">
        <x:v>45560</x:v>
      </x:c>
      <x:c r="D526" s="23" t="n">
        <x:v>45560</x:v>
      </x:c>
      <x:c r="E526" s="13" t="str">
        <x:v>VAL-004</x:v>
      </x:c>
      <x:c r="F526" s="13" t="str">
        <x:v>NuvemBase Tecnologia</x:v>
      </x:c>
      <x:c r="G526" s="13" t="str">
        <x:v>Tecnologia</x:v>
      </x:c>
      <x:c r="H526" s="13" t="str">
        <x:v>Baixo</x:v>
      </x:c>
      <x:c r="I526" s="13" t="str">
        <x:v>Enterprise</x:v>
      </x:c>
      <x:c r="J526" s="17" t="n">
        <x:v>34348.31</x:v>
      </x:c>
      <x:c r="K526" s="17" t="n">
        <x:v>0</x:v>
      </x:c>
      <x:c r="L526" s="17" t="n">
        <x:v>0</x:v>
      </x:c>
      <x:c r="M526" s="13" t="str">
        <x:v>Pago</x:v>
      </x:c>
      <x:c r="N526" s="13" t="str">
        <x:v>Sem cobrança</x:v>
      </x:c>
      <x:c r="O526" s="13" t="str">
        <x:v>Crescimento sem escala</x:v>
      </x:c>
      <x:c r="P526" s="17" t="n">
        <x:f>IF(D526="",0,J526-K526+L526)</x:f>
        <x:v>34348.31</x:v>
      </x:c>
      <x:c r="Q526" s="17" t="n">
        <x:f>MAX(J526-P526-K526,0)</x:f>
        <x:v>0</x:v>
      </x:c>
      <x:c r="R526" s="13" t="n">
        <x:f>IF(D526="",MAX(TODAY()-C526,0),MAX(D526-C526,0))</x:f>
        <x:v>0</x:v>
      </x:c>
      <x:c r="S526" s="13" t="str">
        <x:f>IF(R526=0,"Em dia",IF(R526&lt;=15,"1-15 dias",IF(R526&lt;=30,"16-30 dias",IF(R526&lt;=60,"31-60 dias","Acima de 60 dias"))))</x:f>
        <x:v>Em dia</x:v>
      </x:c>
    </x:row>
    <x:row r="527">
      <x:c r="A527" s="13" t="str">
        <x:v>REC-000526</x:v>
      </x:c>
      <x:c r="B527" s="23" t="n">
        <x:v>45539</x:v>
      </x:c>
      <x:c r="C527" s="23" t="n">
        <x:v>45569</x:v>
      </x:c>
      <x:c r="D527" s="23" t="n">
        <x:v>45567</x:v>
      </x:c>
      <x:c r="E527" s="13" t="str">
        <x:v>VAL-003</x:v>
      </x:c>
      <x:c r="F527" s="13" t="str">
        <x:v>Casa Nova Varejo</x:v>
      </x:c>
      <x:c r="G527" s="13" t="str">
        <x:v>Varejo</x:v>
      </x:c>
      <x:c r="H527" s="13" t="str">
        <x:v>Baixo</x:v>
      </x:c>
      <x:c r="I527" s="13" t="str">
        <x:v>Performance</x:v>
      </x:c>
      <x:c r="J527" s="17" t="n">
        <x:v>9523.29</x:v>
      </x:c>
      <x:c r="K527" s="17" t="n">
        <x:v>0</x:v>
      </x:c>
      <x:c r="L527" s="17" t="n">
        <x:v>0</x:v>
      </x:c>
      <x:c r="M527" s="13" t="str">
        <x:v>Pago</x:v>
      </x:c>
      <x:c r="N527" s="13" t="str">
        <x:v>Sem cobrança</x:v>
      </x:c>
      <x:c r="O527" s="13" t="str">
        <x:v>Crescimento sem escala</x:v>
      </x:c>
      <x:c r="P527" s="17" t="n">
        <x:f>IF(D527="",0,J527-K527+L527)</x:f>
        <x:v>9523.29</x:v>
      </x:c>
      <x:c r="Q527" s="17" t="n">
        <x:f>MAX(J527-P527-K527,0)</x:f>
        <x:v>0</x:v>
      </x:c>
      <x:c r="R527" s="13" t="n">
        <x:f>IF(D527="",MAX(TODAY()-C527,0),MAX(D527-C527,0))</x:f>
        <x:v>0</x:v>
      </x:c>
      <x:c r="S527" s="13" t="str">
        <x:f>IF(R527=0,"Em dia",IF(R527&lt;=15,"1-15 dias",IF(R527&lt;=30,"16-30 dias",IF(R527&lt;=60,"31-60 dias","Acima de 60 dias"))))</x:f>
        <x:v>Em dia</x:v>
      </x:c>
    </x:row>
    <x:row r="528">
      <x:c r="A528" s="13" t="str">
        <x:v>REC-000527</x:v>
      </x:c>
      <x:c r="B528" s="23" t="n">
        <x:v>45551</x:v>
      </x:c>
      <x:c r="C528" s="23" t="n">
        <x:v>45581</x:v>
      </x:c>
      <x:c r="D528" s="23" t="n">
        <x:v>45577</x:v>
      </x:c>
      <x:c r="E528" s="13" t="str">
        <x:v>VAL-004</x:v>
      </x:c>
      <x:c r="F528" s="13" t="str">
        <x:v>NuvemBase Tecnologia</x:v>
      </x:c>
      <x:c r="G528" s="13" t="str">
        <x:v>Tecnologia</x:v>
      </x:c>
      <x:c r="H528" s="13" t="str">
        <x:v>Baixo</x:v>
      </x:c>
      <x:c r="I528" s="13" t="str">
        <x:v>Enterprise</x:v>
      </x:c>
      <x:c r="J528" s="17" t="n">
        <x:v>12349.94</x:v>
      </x:c>
      <x:c r="K528" s="17" t="n">
        <x:v>0</x:v>
      </x:c>
      <x:c r="L528" s="17" t="n">
        <x:v>0</x:v>
      </x:c>
      <x:c r="M528" s="13" t="str">
        <x:v>Pago</x:v>
      </x:c>
      <x:c r="N528" s="13" t="str">
        <x:v>Sem cobrança</x:v>
      </x:c>
      <x:c r="O528" s="13" t="str">
        <x:v>Crescimento sem escala</x:v>
      </x:c>
      <x:c r="P528" s="17" t="n">
        <x:f>IF(D528="",0,J528-K528+L528)</x:f>
        <x:v>12349.94</x:v>
      </x:c>
      <x:c r="Q528" s="17" t="n">
        <x:f>MAX(J528-P528-K528,0)</x:f>
        <x:v>0</x:v>
      </x:c>
      <x:c r="R528" s="13" t="n">
        <x:f>IF(D528="",MAX(TODAY()-C528,0),MAX(D528-C528,0))</x:f>
        <x:v>0</x:v>
      </x:c>
      <x:c r="S528" s="13" t="str">
        <x:f>IF(R528=0,"Em dia",IF(R528&lt;=15,"1-15 dias",IF(R528&lt;=30,"16-30 dias",IF(R528&lt;=60,"31-60 dias","Acima de 60 dias"))))</x:f>
        <x:v>Em dia</x:v>
      </x:c>
    </x:row>
    <x:row r="529">
      <x:c r="A529" s="13" t="str">
        <x:v>REC-000528</x:v>
      </x:c>
      <x:c r="B529" s="23" t="n">
        <x:v>45543</x:v>
      </x:c>
      <x:c r="C529" s="23" t="n">
        <x:v>45573</x:v>
      </x:c>
      <x:c r="D529" s="23" t="n">
        <x:v>45578</x:v>
      </x:c>
      <x:c r="E529" s="13" t="str">
        <x:v>VAL-025</x:v>
      </x:c>
      <x:c r="F529" s="13" t="str">
        <x:v>Bem-Estar Terapias</x:v>
      </x:c>
      <x:c r="G529" s="13" t="str">
        <x:v>Clínicas e Saúde</x:v>
      </x:c>
      <x:c r="H529" s="13" t="str">
        <x:v>Baixo</x:v>
      </x:c>
      <x:c r="I529" s="13" t="str">
        <x:v>Essencial</x:v>
      </x:c>
      <x:c r="J529" s="17" t="n">
        <x:v>1737.72</x:v>
      </x:c>
      <x:c r="K529" s="17" t="n">
        <x:v>0</x:v>
      </x:c>
      <x:c r="L529" s="17" t="n">
        <x:v>5.65</x:v>
      </x:c>
      <x:c r="M529" s="13" t="str">
        <x:v>Pago com atraso</x:v>
      </x:c>
      <x:c r="N529" s="13" t="str">
        <x:v>E-mail</x:v>
      </x:c>
      <x:c r="O529" s="13" t="str">
        <x:v>Crescimento sem escala</x:v>
      </x:c>
      <x:c r="P529" s="17" t="n">
        <x:f>IF(D529="",0,J529-K529+L529)</x:f>
        <x:v>1743.3700000000001</x:v>
      </x:c>
      <x:c r="Q529" s="17" t="n">
        <x:f>MAX(J529-P529-K529,0)</x:f>
        <x:v>0</x:v>
      </x:c>
      <x:c r="R529" s="13" t="n">
        <x:f>IF(D529="",MAX(TODAY()-C529,0),MAX(D529-C529,0))</x:f>
        <x:v>5</x:v>
      </x:c>
      <x:c r="S529" s="13" t="str">
        <x:f>IF(R529=0,"Em dia",IF(R529&lt;=15,"1-15 dias",IF(R529&lt;=30,"16-30 dias",IF(R529&lt;=60,"31-60 dias","Acima de 60 dias"))))</x:f>
        <x:v>1-15 dias</x:v>
      </x:c>
    </x:row>
    <x:row r="530">
      <x:c r="A530" s="13" t="str">
        <x:v>REC-000529</x:v>
      </x:c>
      <x:c r="B530" s="23" t="n">
        <x:v>45542</x:v>
      </x:c>
      <x:c r="C530" s="23" t="n">
        <x:v>45570</x:v>
      </x:c>
      <x:c r="D530" s="23" t="n">
        <x:v>45570</x:v>
      </x:c>
      <x:c r="E530" s="13" t="str">
        <x:v>VAL-027</x:v>
      </x:c>
      <x:c r="F530" s="13" t="str">
        <x:v>Mais Lar Utilidades</x:v>
      </x:c>
      <x:c r="G530" s="13" t="str">
        <x:v>Varejo</x:v>
      </x:c>
      <x:c r="H530" s="13" t="str">
        <x:v>Baixo</x:v>
      </x:c>
      <x:c r="I530" s="13" t="str">
        <x:v>Performance</x:v>
      </x:c>
      <x:c r="J530" s="17" t="n">
        <x:v>16551.81</x:v>
      </x:c>
      <x:c r="K530" s="17" t="n">
        <x:v>0</x:v>
      </x:c>
      <x:c r="L530" s="17" t="n">
        <x:v>0</x:v>
      </x:c>
      <x:c r="M530" s="13" t="str">
        <x:v>Pago</x:v>
      </x:c>
      <x:c r="N530" s="13" t="str">
        <x:v>Sem cobrança</x:v>
      </x:c>
      <x:c r="O530" s="13" t="str">
        <x:v>Crescimento sem escala</x:v>
      </x:c>
      <x:c r="P530" s="17" t="n">
        <x:f>IF(D530="",0,J530-K530+L530)</x:f>
        <x:v>16551.81</x:v>
      </x:c>
      <x:c r="Q530" s="17" t="n">
        <x:f>MAX(J530-P530-K530,0)</x:f>
        <x:v>0</x:v>
      </x:c>
      <x:c r="R530" s="13" t="n">
        <x:f>IF(D530="",MAX(TODAY()-C530,0),MAX(D530-C530,0))</x:f>
        <x:v>0</x:v>
      </x:c>
      <x:c r="S530" s="13" t="str">
        <x:f>IF(R530=0,"Em dia",IF(R530&lt;=15,"1-15 dias",IF(R530&lt;=30,"16-30 dias",IF(R530&lt;=60,"31-60 dias","Acima de 60 dias"))))</x:f>
        <x:v>Em dia</x:v>
      </x:c>
    </x:row>
    <x:row r="531">
      <x:c r="A531" s="13" t="str">
        <x:v>REC-000530</x:v>
      </x:c>
      <x:c r="B531" s="23" t="n">
        <x:v>45549</x:v>
      </x:c>
      <x:c r="C531" s="23" t="n">
        <x:v>45579</x:v>
      </x:c>
      <x:c r="D531" s="23" t="n">
        <x:v>45591</x:v>
      </x:c>
      <x:c r="E531" s="13" t="str">
        <x:v>VAL-011</x:v>
      </x:c>
      <x:c r="F531" s="13" t="str">
        <x:v>Rede Essencial</x:v>
      </x:c>
      <x:c r="G531" s="13" t="str">
        <x:v>Varejo</x:v>
      </x:c>
      <x:c r="H531" s="13" t="str">
        <x:v>Médio</x:v>
      </x:c>
      <x:c r="I531" s="13" t="str">
        <x:v>Performance</x:v>
      </x:c>
      <x:c r="J531" s="17" t="n">
        <x:v>6325.72</x:v>
      </x:c>
      <x:c r="K531" s="17" t="n">
        <x:v>0</x:v>
      </x:c>
      <x:c r="L531" s="17" t="n">
        <x:v>49.34</x:v>
      </x:c>
      <x:c r="M531" s="13" t="str">
        <x:v>Pago com atraso</x:v>
      </x:c>
      <x:c r="N531" s="13" t="str">
        <x:v>Telefone</x:v>
      </x:c>
      <x:c r="O531" s="13" t="str">
        <x:v>Crescimento sem escala</x:v>
      </x:c>
      <x:c r="P531" s="17" t="n">
        <x:f>IF(D531="",0,J531-K531+L531)</x:f>
        <x:v>6375.06</x:v>
      </x:c>
      <x:c r="Q531" s="17" t="n">
        <x:f>MAX(J531-P531-K531,0)</x:f>
        <x:v>0</x:v>
      </x:c>
      <x:c r="R531" s="13" t="n">
        <x:f>IF(D531="",MAX(TODAY()-C531,0),MAX(D531-C531,0))</x:f>
        <x:v>12</x:v>
      </x:c>
      <x:c r="S531" s="13" t="str">
        <x:f>IF(R531=0,"Em dia",IF(R531&lt;=15,"1-15 dias",IF(R531&lt;=30,"16-30 dias",IF(R531&lt;=60,"31-60 dias","Acima de 60 dias"))))</x:f>
        <x:v>1-15 dias</x:v>
      </x:c>
    </x:row>
    <x:row r="532">
      <x:c r="A532" s="13" t="str">
        <x:v>REC-000531</x:v>
      </x:c>
      <x:c r="B532" s="23" t="n">
        <x:v>45549</x:v>
      </x:c>
      <x:c r="C532" s="23" t="n">
        <x:v>45564</x:v>
      </x:c>
      <x:c r="D532" s="23" t="n">
        <x:v>45560</x:v>
      </x:c>
      <x:c r="E532" s="13" t="str">
        <x:v>VAL-011</x:v>
      </x:c>
      <x:c r="F532" s="13" t="str">
        <x:v>Rede Essencial</x:v>
      </x:c>
      <x:c r="G532" s="13" t="str">
        <x:v>Varejo</x:v>
      </x:c>
      <x:c r="H532" s="13" t="str">
        <x:v>Médio</x:v>
      </x:c>
      <x:c r="I532" s="13" t="str">
        <x:v>Performance</x:v>
      </x:c>
      <x:c r="J532" s="17" t="n">
        <x:v>3411.62</x:v>
      </x:c>
      <x:c r="K532" s="17" t="n">
        <x:v>0</x:v>
      </x:c>
      <x:c r="L532" s="17" t="n">
        <x:v>0</x:v>
      </x:c>
      <x:c r="M532" s="13" t="str">
        <x:v>Pago</x:v>
      </x:c>
      <x:c r="N532" s="13" t="str">
        <x:v>Sem cobrança</x:v>
      </x:c>
      <x:c r="O532" s="13" t="str">
        <x:v>Crescimento sem escala</x:v>
      </x:c>
      <x:c r="P532" s="17" t="n">
        <x:f>IF(D532="",0,J532-K532+L532)</x:f>
        <x:v>3411.62</x:v>
      </x:c>
      <x:c r="Q532" s="17" t="n">
        <x:f>MAX(J532-P532-K532,0)</x:f>
        <x:v>0</x:v>
      </x:c>
      <x:c r="R532" s="13" t="n">
        <x:f>IF(D532="",MAX(TODAY()-C532,0),MAX(D532-C532,0))</x:f>
        <x:v>0</x:v>
      </x:c>
      <x:c r="S532" s="13" t="str">
        <x:f>IF(R532=0,"Em dia",IF(R532&lt;=15,"1-15 dias",IF(R532&lt;=30,"16-30 dias",IF(R532&lt;=60,"31-60 dias","Acima de 60 dias"))))</x:f>
        <x:v>Em dia</x:v>
      </x:c>
    </x:row>
    <x:row r="533">
      <x:c r="A533" s="13" t="str">
        <x:v>REC-000532</x:v>
      </x:c>
      <x:c r="B533" s="23" t="n">
        <x:v>45544</x:v>
      </x:c>
      <x:c r="C533" s="23" t="n">
        <x:v>45565</x:v>
      </x:c>
      <x:c r="D533" s="23" t="n">
        <x:v>45564</x:v>
      </x:c>
      <x:c r="E533" s="13" t="str">
        <x:v>VAL-023</x:v>
      </x:c>
      <x:c r="F533" s="13" t="str">
        <x:v>ShopMix Brasil</x:v>
      </x:c>
      <x:c r="G533" s="13" t="str">
        <x:v>E-commerce</x:v>
      </x:c>
      <x:c r="H533" s="13" t="str">
        <x:v>Baixo</x:v>
      </x:c>
      <x:c r="I533" s="13" t="str">
        <x:v>Performance</x:v>
      </x:c>
      <x:c r="J533" s="17" t="n">
        <x:v>4883.8</x:v>
      </x:c>
      <x:c r="K533" s="17" t="n">
        <x:v>0</x:v>
      </x:c>
      <x:c r="L533" s="17" t="n">
        <x:v>0</x:v>
      </x:c>
      <x:c r="M533" s="13" t="str">
        <x:v>Pago</x:v>
      </x:c>
      <x:c r="N533" s="13" t="str">
        <x:v>Sem cobrança</x:v>
      </x:c>
      <x:c r="O533" s="13" t="str">
        <x:v>Crescimento sem escala</x:v>
      </x:c>
      <x:c r="P533" s="17" t="n">
        <x:f>IF(D533="",0,J533-K533+L533)</x:f>
        <x:v>4883.8</x:v>
      </x:c>
      <x:c r="Q533" s="17" t="n">
        <x:f>MAX(J533-P533-K533,0)</x:f>
        <x:v>0</x:v>
      </x:c>
      <x:c r="R533" s="13" t="n">
        <x:f>IF(D533="",MAX(TODAY()-C533,0),MAX(D533-C533,0))</x:f>
        <x:v>0</x:v>
      </x:c>
      <x:c r="S533" s="13" t="str">
        <x:f>IF(R533=0,"Em dia",IF(R533&lt;=15,"1-15 dias",IF(R533&lt;=30,"16-30 dias",IF(R533&lt;=60,"31-60 dias","Acima de 60 dias"))))</x:f>
        <x:v>Em dia</x:v>
      </x:c>
    </x:row>
    <x:row r="534">
      <x:c r="A534" s="13" t="str">
        <x:v>REC-000533</x:v>
      </x:c>
      <x:c r="B534" s="23" t="n">
        <x:v>45550</x:v>
      </x:c>
      <x:c r="C534" s="23" t="n">
        <x:v>45571</x:v>
      </x:c>
      <x:c r="D534" s="23" t="n">
        <x:v>45569</x:v>
      </x:c>
      <x:c r="E534" s="13" t="str">
        <x:v>VAL-016</x:v>
      </x:c>
      <x:c r="F534" s="13" t="str">
        <x:v>Lumina Embalagens</x:v>
      </x:c>
      <x:c r="G534" s="13" t="str">
        <x:v>Indústria Leve</x:v>
      </x:c>
      <x:c r="H534" s="13" t="str">
        <x:v>Baixo</x:v>
      </x:c>
      <x:c r="I534" s="13" t="str">
        <x:v>Enterprise</x:v>
      </x:c>
      <x:c r="J534" s="17" t="n">
        <x:v>34982.6</x:v>
      </x:c>
      <x:c r="K534" s="17" t="n">
        <x:v>0</x:v>
      </x:c>
      <x:c r="L534" s="17" t="n">
        <x:v>0</x:v>
      </x:c>
      <x:c r="M534" s="13" t="str">
        <x:v>Pago</x:v>
      </x:c>
      <x:c r="N534" s="13" t="str">
        <x:v>Sem cobrança</x:v>
      </x:c>
      <x:c r="O534" s="13" t="str">
        <x:v>Crescimento sem escala</x:v>
      </x:c>
      <x:c r="P534" s="17" t="n">
        <x:f>IF(D534="",0,J534-K534+L534)</x:f>
        <x:v>34982.6</x:v>
      </x:c>
      <x:c r="Q534" s="17" t="n">
        <x:f>MAX(J534-P534-K534,0)</x:f>
        <x:v>0</x:v>
      </x:c>
      <x:c r="R534" s="13" t="n">
        <x:f>IF(D534="",MAX(TODAY()-C534,0),MAX(D534-C534,0))</x:f>
        <x:v>0</x:v>
      </x:c>
      <x:c r="S534" s="13" t="str">
        <x:f>IF(R534=0,"Em dia",IF(R534&lt;=15,"1-15 dias",IF(R534&lt;=30,"16-30 dias",IF(R534&lt;=60,"31-60 dias","Acima de 60 dias"))))</x:f>
        <x:v>Em dia</x:v>
      </x:c>
    </x:row>
    <x:row r="535">
      <x:c r="A535" s="13" t="str">
        <x:v>REC-000534</x:v>
      </x:c>
      <x:c r="B535" s="23" t="n">
        <x:v>45541</x:v>
      </x:c>
      <x:c r="C535" s="23" t="n">
        <x:v>45562</x:v>
      </x:c>
      <x:c r="D535" s="23" t="n">
        <x:v>45558</x:v>
      </x:c>
      <x:c r="E535" s="13" t="str">
        <x:v>VAL-028</x:v>
      </x:c>
      <x:c r="F535" s="13" t="str">
        <x:v>Pixel Norte</x:v>
      </x:c>
      <x:c r="G535" s="13" t="str">
        <x:v>Tecnologia</x:v>
      </x:c>
      <x:c r="H535" s="13" t="str">
        <x:v>Alto</x:v>
      </x:c>
      <x:c r="I535" s="13" t="str">
        <x:v>Enterprise</x:v>
      </x:c>
      <x:c r="J535" s="17" t="n">
        <x:v>13636.88</x:v>
      </x:c>
      <x:c r="K535" s="17" t="n">
        <x:v>182.45</x:v>
      </x:c>
      <x:c r="L535" s="17" t="n">
        <x:v>0</x:v>
      </x:c>
      <x:c r="M535" s="13" t="str">
        <x:v>Pago</x:v>
      </x:c>
      <x:c r="N535" s="13" t="str">
        <x:v>Sem cobrança</x:v>
      </x:c>
      <x:c r="O535" s="13" t="str">
        <x:v>Crescimento sem escala</x:v>
      </x:c>
      <x:c r="P535" s="17" t="n">
        <x:f>IF(D535="",0,J535-K535+L535)</x:f>
        <x:v>13454.429999999998</x:v>
      </x:c>
      <x:c r="Q535" s="17" t="n">
        <x:f>MAX(J535-P535-K535,0)</x:f>
        <x:v>7.389644451905042e-13</x:v>
      </x:c>
      <x:c r="R535" s="13" t="n">
        <x:f>IF(D535="",MAX(TODAY()-C535,0),MAX(D535-C535,0))</x:f>
        <x:v>0</x:v>
      </x:c>
      <x:c r="S535" s="13" t="str">
        <x:f>IF(R535=0,"Em dia",IF(R535&lt;=15,"1-15 dias",IF(R535&lt;=30,"16-30 dias",IF(R535&lt;=60,"31-60 dias","Acima de 60 dias"))))</x:f>
        <x:v>Em dia</x:v>
      </x:c>
    </x:row>
    <x:row r="536">
      <x:c r="A536" s="13" t="str">
        <x:v>REC-000535</x:v>
      </x:c>
      <x:c r="B536" s="23" t="n">
        <x:v>45536</x:v>
      </x:c>
      <x:c r="C536" s="23" t="n">
        <x:v>45564</x:v>
      </x:c>
      <x:c r="D536" s="23" t="n">
        <x:v>45562</x:v>
      </x:c>
      <x:c r="E536" s="13" t="str">
        <x:v>VAL-012</x:v>
      </x:c>
      <x:c r="F536" s="13" t="str">
        <x:v>DataFlow Sistemas</x:v>
      </x:c>
      <x:c r="G536" s="13" t="str">
        <x:v>Tecnologia</x:v>
      </x:c>
      <x:c r="H536" s="13" t="str">
        <x:v>Médio</x:v>
      </x:c>
      <x:c r="I536" s="13" t="str">
        <x:v>Enterprise</x:v>
      </x:c>
      <x:c r="J536" s="17" t="n">
        <x:v>8328.03</x:v>
      </x:c>
      <x:c r="K536" s="17" t="n">
        <x:v>0</x:v>
      </x:c>
      <x:c r="L536" s="17" t="n">
        <x:v>0</x:v>
      </x:c>
      <x:c r="M536" s="13" t="str">
        <x:v>Pago</x:v>
      </x:c>
      <x:c r="N536" s="13" t="str">
        <x:v>Sem cobrança</x:v>
      </x:c>
      <x:c r="O536" s="13" t="str">
        <x:v>Crescimento sem escala</x:v>
      </x:c>
      <x:c r="P536" s="17" t="n">
        <x:f>IF(D536="",0,J536-K536+L536)</x:f>
        <x:v>8328.03</x:v>
      </x:c>
      <x:c r="Q536" s="17" t="n">
        <x:f>MAX(J536-P536-K536,0)</x:f>
        <x:v>0</x:v>
      </x:c>
      <x:c r="R536" s="13" t="n">
        <x:f>IF(D536="",MAX(TODAY()-C536,0),MAX(D536-C536,0))</x:f>
        <x:v>0</x:v>
      </x:c>
      <x:c r="S536" s="13" t="str">
        <x:f>IF(R536=0,"Em dia",IF(R536&lt;=15,"1-15 dias",IF(R536&lt;=30,"16-30 dias",IF(R536&lt;=60,"31-60 dias","Acima de 60 dias"))))</x:f>
        <x:v>Em dia</x:v>
      </x:c>
    </x:row>
    <x:row r="537">
      <x:c r="A537" s="13" t="str">
        <x:v>REC-000536</x:v>
      </x:c>
      <x:c r="B537" s="23" t="n">
        <x:v>45547</x:v>
      </x:c>
      <x:c r="C537" s="23" t="n">
        <x:v>45575</x:v>
      </x:c>
      <x:c r="D537" s="23" t="n">
        <x:v>45573</x:v>
      </x:c>
      <x:c r="E537" s="13" t="str">
        <x:v>VAL-011</x:v>
      </x:c>
      <x:c r="F537" s="13" t="str">
        <x:v>Rede Essencial</x:v>
      </x:c>
      <x:c r="G537" s="13" t="str">
        <x:v>Varejo</x:v>
      </x:c>
      <x:c r="H537" s="13" t="str">
        <x:v>Médio</x:v>
      </x:c>
      <x:c r="I537" s="13" t="str">
        <x:v>Performance</x:v>
      </x:c>
      <x:c r="J537" s="17" t="n">
        <x:v>1825.8</x:v>
      </x:c>
      <x:c r="K537" s="17" t="n">
        <x:v>0</x:v>
      </x:c>
      <x:c r="L537" s="17" t="n">
        <x:v>0</x:v>
      </x:c>
      <x:c r="M537" s="13" t="str">
        <x:v>Pago</x:v>
      </x:c>
      <x:c r="N537" s="13" t="str">
        <x:v>Sem cobrança</x:v>
      </x:c>
      <x:c r="O537" s="13" t="str">
        <x:v>Crescimento sem escala</x:v>
      </x:c>
      <x:c r="P537" s="17" t="n">
        <x:f>IF(D537="",0,J537-K537+L537)</x:f>
        <x:v>1825.8</x:v>
      </x:c>
      <x:c r="Q537" s="17" t="n">
        <x:f>MAX(J537-P537-K537,0)</x:f>
        <x:v>0</x:v>
      </x:c>
      <x:c r="R537" s="13" t="n">
        <x:f>IF(D537="",MAX(TODAY()-C537,0),MAX(D537-C537,0))</x:f>
        <x:v>0</x:v>
      </x:c>
      <x:c r="S537" s="13" t="str">
        <x:f>IF(R537=0,"Em dia",IF(R537&lt;=15,"1-15 dias",IF(R537&lt;=30,"16-30 dias",IF(R537&lt;=60,"31-60 dias","Acima de 60 dias"))))</x:f>
        <x:v>Em dia</x:v>
      </x:c>
    </x:row>
    <x:row r="538">
      <x:c r="A538" s="13" t="str">
        <x:v>REC-000537</x:v>
      </x:c>
      <x:c r="B538" s="23" t="n">
        <x:v>45553</x:v>
      </x:c>
      <x:c r="C538" s="23" t="n">
        <x:v>45560</x:v>
      </x:c>
      <x:c r="D538" s="23" t="n">
        <x:v>45560</x:v>
      </x:c>
      <x:c r="E538" s="13" t="str">
        <x:v>VAL-007</x:v>
      </x:c>
      <x:c r="F538" s="13" t="str">
        <x:v>Loja Prisma Online</x:v>
      </x:c>
      <x:c r="G538" s="13" t="str">
        <x:v>E-commerce</x:v>
      </x:c>
      <x:c r="H538" s="13" t="str">
        <x:v>Médio</x:v>
      </x:c>
      <x:c r="I538" s="13" t="str">
        <x:v>Performance</x:v>
      </x:c>
      <x:c r="J538" s="17" t="n">
        <x:v>17921.66</x:v>
      </x:c>
      <x:c r="K538" s="17" t="n">
        <x:v>0</x:v>
      </x:c>
      <x:c r="L538" s="17" t="n">
        <x:v>0</x:v>
      </x:c>
      <x:c r="M538" s="13" t="str">
        <x:v>Pago</x:v>
      </x:c>
      <x:c r="N538" s="13" t="str">
        <x:v>Sem cobrança</x:v>
      </x:c>
      <x:c r="O538" s="13" t="str">
        <x:v>Crescimento sem escala</x:v>
      </x:c>
      <x:c r="P538" s="17" t="n">
        <x:f>IF(D538="",0,J538-K538+L538)</x:f>
        <x:v>17921.66</x:v>
      </x:c>
      <x:c r="Q538" s="17" t="n">
        <x:f>MAX(J538-P538-K538,0)</x:f>
        <x:v>0</x:v>
      </x:c>
      <x:c r="R538" s="13" t="n">
        <x:f>IF(D538="",MAX(TODAY()-C538,0),MAX(D538-C538,0))</x:f>
        <x:v>0</x:v>
      </x:c>
      <x:c r="S538" s="13" t="str">
        <x:f>IF(R538=0,"Em dia",IF(R538&lt;=15,"1-15 dias",IF(R538&lt;=30,"16-30 dias",IF(R538&lt;=60,"31-60 dias","Acima de 60 dias"))))</x:f>
        <x:v>Em dia</x:v>
      </x:c>
    </x:row>
    <x:row r="539">
      <x:c r="A539" s="13" t="str">
        <x:v>REC-000538</x:v>
      </x:c>
      <x:c r="B539" s="23" t="n">
        <x:v>45554</x:v>
      </x:c>
      <x:c r="C539" s="23" t="n">
        <x:v>45561</x:v>
      </x:c>
      <x:c r="D539" s="23" t="n">
        <x:v>45557</x:v>
      </x:c>
      <x:c r="E539" s="13" t="str">
        <x:v>VAL-003</x:v>
      </x:c>
      <x:c r="F539" s="13" t="str">
        <x:v>Casa Nova Varejo</x:v>
      </x:c>
      <x:c r="G539" s="13" t="str">
        <x:v>Varejo</x:v>
      </x:c>
      <x:c r="H539" s="13" t="str">
        <x:v>Baixo</x:v>
      </x:c>
      <x:c r="I539" s="13" t="str">
        <x:v>Performance</x:v>
      </x:c>
      <x:c r="J539" s="17" t="n">
        <x:v>9727.41</x:v>
      </x:c>
      <x:c r="K539" s="17" t="n">
        <x:v>0</x:v>
      </x:c>
      <x:c r="L539" s="17" t="n">
        <x:v>0</x:v>
      </x:c>
      <x:c r="M539" s="13" t="str">
        <x:v>Pago</x:v>
      </x:c>
      <x:c r="N539" s="13" t="str">
        <x:v>Sem cobrança</x:v>
      </x:c>
      <x:c r="O539" s="13" t="str">
        <x:v>Crescimento sem escala</x:v>
      </x:c>
      <x:c r="P539" s="17" t="n">
        <x:f>IF(D539="",0,J539-K539+L539)</x:f>
        <x:v>9727.41</x:v>
      </x:c>
      <x:c r="Q539" s="17" t="n">
        <x:f>MAX(J539-P539-K539,0)</x:f>
        <x:v>0</x:v>
      </x:c>
      <x:c r="R539" s="13" t="n">
        <x:f>IF(D539="",MAX(TODAY()-C539,0),MAX(D539-C539,0))</x:f>
        <x:v>0</x:v>
      </x:c>
      <x:c r="S539" s="13" t="str">
        <x:f>IF(R539=0,"Em dia",IF(R539&lt;=15,"1-15 dias",IF(R539&lt;=30,"16-30 dias",IF(R539&lt;=60,"31-60 dias","Acima de 60 dias"))))</x:f>
        <x:v>Em dia</x:v>
      </x:c>
    </x:row>
    <x:row r="540">
      <x:c r="A540" s="13" t="str">
        <x:v>REC-000539</x:v>
      </x:c>
      <x:c r="B540" s="23" t="n">
        <x:v>45541</x:v>
      </x:c>
      <x:c r="C540" s="23" t="n">
        <x:v>45556</x:v>
      </x:c>
      <x:c r="D540" s="23" t="n">
        <x:v>45582</x:v>
      </x:c>
      <x:c r="E540" s="13" t="str">
        <x:v>VAL-003</x:v>
      </x:c>
      <x:c r="F540" s="13" t="str">
        <x:v>Casa Nova Varejo</x:v>
      </x:c>
      <x:c r="G540" s="13" t="str">
        <x:v>Varejo</x:v>
      </x:c>
      <x:c r="H540" s="13" t="str">
        <x:v>Baixo</x:v>
      </x:c>
      <x:c r="I540" s="13" t="str">
        <x:v>Performance</x:v>
      </x:c>
      <x:c r="J540" s="17" t="n">
        <x:v>24571.01</x:v>
      </x:c>
      <x:c r="K540" s="17" t="n">
        <x:v>0</x:v>
      </x:c>
      <x:c r="L540" s="17" t="n">
        <x:v>415.25</x:v>
      </x:c>
      <x:c r="M540" s="13" t="str">
        <x:v>Pago com atraso</x:v>
      </x:c>
      <x:c r="N540" s="13" t="str">
        <x:v>E-mail</x:v>
      </x:c>
      <x:c r="O540" s="13" t="str">
        <x:v>Crescimento sem escala</x:v>
      </x:c>
      <x:c r="P540" s="17" t="n">
        <x:f>IF(D540="",0,J540-K540+L540)</x:f>
        <x:v>24986.26</x:v>
      </x:c>
      <x:c r="Q540" s="17" t="n">
        <x:f>MAX(J540-P540-K540,0)</x:f>
        <x:v>0</x:v>
      </x:c>
      <x:c r="R540" s="13" t="n">
        <x:f>IF(D540="",MAX(TODAY()-C540,0),MAX(D540-C540,0))</x:f>
        <x:v>26</x:v>
      </x:c>
      <x:c r="S540" s="13" t="str">
        <x:f>IF(R540=0,"Em dia",IF(R540&lt;=15,"1-15 dias",IF(R540&lt;=30,"16-30 dias",IF(R540&lt;=60,"31-60 dias","Acima de 60 dias"))))</x:f>
        <x:v>16-30 dias</x:v>
      </x:c>
    </x:row>
    <x:row r="541">
      <x:c r="A541" s="13" t="str">
        <x:v>REC-000540</x:v>
      </x:c>
      <x:c r="B541" s="23" t="n">
        <x:v>45539</x:v>
      </x:c>
      <x:c r="C541" s="23" t="n">
        <x:v>45569</x:v>
      </x:c>
      <x:c r="D541" s="23" t="n">
        <x:v>45565</x:v>
      </x:c>
      <x:c r="E541" s="13" t="str">
        <x:v>VAL-005</x:v>
      </x:c>
      <x:c r="F541" s="13" t="str">
        <x:v>Construtora Alameda</x:v>
      </x:c>
      <x:c r="G541" s="13" t="str">
        <x:v>Construção</x:v>
      </x:c>
      <x:c r="H541" s="13" t="str">
        <x:v>Médio</x:v>
      </x:c>
      <x:c r="I541" s="13" t="str">
        <x:v>Essencial</x:v>
      </x:c>
      <x:c r="J541" s="17" t="n">
        <x:v>7260.11</x:v>
      </x:c>
      <x:c r="K541" s="17" t="n">
        <x:v>110.39</x:v>
      </x:c>
      <x:c r="L541" s="17" t="n">
        <x:v>0</x:v>
      </x:c>
      <x:c r="M541" s="13" t="str">
        <x:v>Pago</x:v>
      </x:c>
      <x:c r="N541" s="13" t="str">
        <x:v>Sem cobrança</x:v>
      </x:c>
      <x:c r="O541" s="13" t="str">
        <x:v>Crescimento sem escala</x:v>
      </x:c>
      <x:c r="P541" s="17" t="n">
        <x:f>IF(D541="",0,J541-K541+L541)</x:f>
        <x:v>7149.719999999999</x:v>
      </x:c>
      <x:c r="Q541" s="17" t="n">
        <x:f>MAX(J541-P541-K541,0)</x:f>
        <x:v>3.268496584496461e-13</x:v>
      </x:c>
      <x:c r="R541" s="13" t="n">
        <x:f>IF(D541="",MAX(TODAY()-C541,0),MAX(D541-C541,0))</x:f>
        <x:v>0</x:v>
      </x:c>
      <x:c r="S541" s="13" t="str">
        <x:f>IF(R541=0,"Em dia",IF(R541&lt;=15,"1-15 dias",IF(R541&lt;=30,"16-30 dias",IF(R541&lt;=60,"31-60 dias","Acima de 60 dias"))))</x:f>
        <x:v>Em dia</x:v>
      </x:c>
    </x:row>
    <x:row r="542">
      <x:c r="A542" s="13" t="str">
        <x:v>REC-000541</x:v>
      </x:c>
      <x:c r="B542" s="23" t="n">
        <x:v>45570</x:v>
      </x:c>
      <x:c r="C542" s="23" t="n">
        <x:v>45577</x:v>
      </x:c>
      <x:c r="D542" s="23" t="n">
        <x:v>45575</x:v>
      </x:c>
      <x:c r="E542" s="13" t="str">
        <x:v>VAL-005</x:v>
      </x:c>
      <x:c r="F542" s="13" t="str">
        <x:v>Construtora Alameda</x:v>
      </x:c>
      <x:c r="G542" s="13" t="str">
        <x:v>Construção</x:v>
      </x:c>
      <x:c r="H542" s="13" t="str">
        <x:v>Médio</x:v>
      </x:c>
      <x:c r="I542" s="13" t="str">
        <x:v>Essencial</x:v>
      </x:c>
      <x:c r="J542" s="17" t="n">
        <x:v>20886.29</x:v>
      </x:c>
      <x:c r="K542" s="17" t="n">
        <x:v>0</x:v>
      </x:c>
      <x:c r="L542" s="17" t="n">
        <x:v>0</x:v>
      </x:c>
      <x:c r="M542" s="13" t="str">
        <x:v>Pago</x:v>
      </x:c>
      <x:c r="N542" s="13" t="str">
        <x:v>Sem cobrança</x:v>
      </x:c>
      <x:c r="O542" s="13" t="str">
        <x:v>Crescimento sem escala</x:v>
      </x:c>
      <x:c r="P542" s="17" t="n">
        <x:f>IF(D542="",0,J542-K542+L542)</x:f>
        <x:v>20886.29</x:v>
      </x:c>
      <x:c r="Q542" s="17" t="n">
        <x:f>MAX(J542-P542-K542,0)</x:f>
        <x:v>0</x:v>
      </x:c>
      <x:c r="R542" s="13" t="n">
        <x:f>IF(D542="",MAX(TODAY()-C542,0),MAX(D542-C542,0))</x:f>
        <x:v>0</x:v>
      </x:c>
      <x:c r="S542" s="13" t="str">
        <x:f>IF(R542=0,"Em dia",IF(R542&lt;=15,"1-15 dias",IF(R542&lt;=30,"16-30 dias",IF(R542&lt;=60,"31-60 dias","Acima de 60 dias"))))</x:f>
        <x:v>Em dia</x:v>
      </x:c>
    </x:row>
    <x:row r="543">
      <x:c r="A543" s="13" t="str">
        <x:v>REC-000542</x:v>
      </x:c>
      <x:c r="B543" s="23" t="n">
        <x:v>45567</x:v>
      </x:c>
      <x:c r="C543" s="23" t="n">
        <x:v>45595</x:v>
      </x:c>
      <x:c r="D543" s="23" t="n">
        <x:v>45593</x:v>
      </x:c>
      <x:c r="E543" s="13" t="str">
        <x:v>VAL-001</x:v>
      </x:c>
      <x:c r="F543" s="13" t="str">
        <x:v>Clínica Horizonte</x:v>
      </x:c>
      <x:c r="G543" s="13" t="str">
        <x:v>Clínicas e Saúde</x:v>
      </x:c>
      <x:c r="H543" s="13" t="str">
        <x:v>Baixo</x:v>
      </x:c>
      <x:c r="I543" s="13" t="str">
        <x:v>Essencial</x:v>
      </x:c>
      <x:c r="J543" s="17" t="n">
        <x:v>5390.36</x:v>
      </x:c>
      <x:c r="K543" s="17" t="n">
        <x:v>0</x:v>
      </x:c>
      <x:c r="L543" s="17" t="n">
        <x:v>0</x:v>
      </x:c>
      <x:c r="M543" s="13" t="str">
        <x:v>Pago</x:v>
      </x:c>
      <x:c r="N543" s="13" t="str">
        <x:v>Sem cobrança</x:v>
      </x:c>
      <x:c r="O543" s="13" t="str">
        <x:v>Crescimento sem escala</x:v>
      </x:c>
      <x:c r="P543" s="17" t="n">
        <x:f>IF(D543="",0,J543-K543+L543)</x:f>
        <x:v>5390.36</x:v>
      </x:c>
      <x:c r="Q543" s="17" t="n">
        <x:f>MAX(J543-P543-K543,0)</x:f>
        <x:v>0</x:v>
      </x:c>
      <x:c r="R543" s="13" t="n">
        <x:f>IF(D543="",MAX(TODAY()-C543,0),MAX(D543-C543,0))</x:f>
        <x:v>0</x:v>
      </x:c>
      <x:c r="S543" s="13" t="str">
        <x:f>IF(R543=0,"Em dia",IF(R543&lt;=15,"1-15 dias",IF(R543&lt;=30,"16-30 dias",IF(R543&lt;=60,"31-60 dias","Acima de 60 dias"))))</x:f>
        <x:v>Em dia</x:v>
      </x:c>
    </x:row>
    <x:row r="544">
      <x:c r="A544" s="13" t="str">
        <x:v>REC-000543</x:v>
      </x:c>
      <x:c r="B544" s="23" t="n">
        <x:v>45572</x:v>
      </x:c>
      <x:c r="C544" s="23" t="n">
        <x:v>45587</x:v>
      </x:c>
      <x:c r="D544" s="23" t="n">
        <x:v>45584</x:v>
      </x:c>
      <x:c r="E544" s="13" t="str">
        <x:v>VAL-012</x:v>
      </x:c>
      <x:c r="F544" s="13" t="str">
        <x:v>DataFlow Sistemas</x:v>
      </x:c>
      <x:c r="G544" s="13" t="str">
        <x:v>Tecnologia</x:v>
      </x:c>
      <x:c r="H544" s="13" t="str">
        <x:v>Médio</x:v>
      </x:c>
      <x:c r="I544" s="13" t="str">
        <x:v>Enterprise</x:v>
      </x:c>
      <x:c r="J544" s="17" t="n">
        <x:v>27748.34</x:v>
      </x:c>
      <x:c r="K544" s="17" t="n">
        <x:v>0</x:v>
      </x:c>
      <x:c r="L544" s="17" t="n">
        <x:v>0</x:v>
      </x:c>
      <x:c r="M544" s="13" t="str">
        <x:v>Pago</x:v>
      </x:c>
      <x:c r="N544" s="13" t="str">
        <x:v>Sem cobrança</x:v>
      </x:c>
      <x:c r="O544" s="13" t="str">
        <x:v>Crescimento sem escala</x:v>
      </x:c>
      <x:c r="P544" s="17" t="n">
        <x:f>IF(D544="",0,J544-K544+L544)</x:f>
        <x:v>27748.34</x:v>
      </x:c>
      <x:c r="Q544" s="17" t="n">
        <x:f>MAX(J544-P544-K544,0)</x:f>
        <x:v>0</x:v>
      </x:c>
      <x:c r="R544" s="13" t="n">
        <x:f>IF(D544="",MAX(TODAY()-C544,0),MAX(D544-C544,0))</x:f>
        <x:v>0</x:v>
      </x:c>
      <x:c r="S544" s="13" t="str">
        <x:f>IF(R544=0,"Em dia",IF(R544&lt;=15,"1-15 dias",IF(R544&lt;=30,"16-30 dias",IF(R544&lt;=60,"31-60 dias","Acima de 60 dias"))))</x:f>
        <x:v>Em dia</x:v>
      </x:c>
    </x:row>
    <x:row r="545">
      <x:c r="A545" s="13" t="str">
        <x:v>REC-000544</x:v>
      </x:c>
      <x:c r="B545" s="23" t="n">
        <x:v>45567</x:v>
      </x:c>
      <x:c r="C545" s="23" t="n">
        <x:v>45588</x:v>
      </x:c>
      <x:c r="D545" s="23" t="n">
        <x:v>45584</x:v>
      </x:c>
      <x:c r="E545" s="13" t="str">
        <x:v>VAL-001</x:v>
      </x:c>
      <x:c r="F545" s="13" t="str">
        <x:v>Clínica Horizonte</x:v>
      </x:c>
      <x:c r="G545" s="13" t="str">
        <x:v>Clínicas e Saúde</x:v>
      </x:c>
      <x:c r="H545" s="13" t="str">
        <x:v>Baixo</x:v>
      </x:c>
      <x:c r="I545" s="13" t="str">
        <x:v>Essencial</x:v>
      </x:c>
      <x:c r="J545" s="17" t="n">
        <x:v>12912.02</x:v>
      </x:c>
      <x:c r="K545" s="17" t="n">
        <x:v>0</x:v>
      </x:c>
      <x:c r="L545" s="17" t="n">
        <x:v>0</x:v>
      </x:c>
      <x:c r="M545" s="13" t="str">
        <x:v>Pago</x:v>
      </x:c>
      <x:c r="N545" s="13" t="str">
        <x:v>Sem cobrança</x:v>
      </x:c>
      <x:c r="O545" s="13" t="str">
        <x:v>Crescimento sem escala</x:v>
      </x:c>
      <x:c r="P545" s="17" t="n">
        <x:f>IF(D545="",0,J545-K545+L545)</x:f>
        <x:v>12912.02</x:v>
      </x:c>
      <x:c r="Q545" s="17" t="n">
        <x:f>MAX(J545-P545-K545,0)</x:f>
        <x:v>0</x:v>
      </x:c>
      <x:c r="R545" s="13" t="n">
        <x:f>IF(D545="",MAX(TODAY()-C545,0),MAX(D545-C545,0))</x:f>
        <x:v>0</x:v>
      </x:c>
      <x:c r="S545" s="13" t="str">
        <x:f>IF(R545=0,"Em dia",IF(R545&lt;=15,"1-15 dias",IF(R545&lt;=30,"16-30 dias",IF(R545&lt;=60,"31-60 dias","Acima de 60 dias"))))</x:f>
        <x:v>Em dia</x:v>
      </x:c>
    </x:row>
    <x:row r="546">
      <x:c r="A546" s="13" t="str">
        <x:v>REC-000545</x:v>
      </x:c>
      <x:c r="B546" s="23" t="n">
        <x:v>45572</x:v>
      </x:c>
      <x:c r="C546" s="23" t="n">
        <x:v>45587</x:v>
      </x:c>
      <x:c r="D546" s="23" t="n">
        <x:v>45583</x:v>
      </x:c>
      <x:c r="E546" s="13" t="str">
        <x:v>VAL-026</x:v>
      </x:c>
      <x:c r="F546" s="13" t="str">
        <x:v>Ribeiro Arquitetura</x:v>
      </x:c>
      <x:c r="G546" s="13" t="str">
        <x:v>Serviços Profissionais</x:v>
      </x:c>
      <x:c r="H546" s="13" t="str">
        <x:v>Baixo</x:v>
      </x:c>
      <x:c r="I546" s="13" t="str">
        <x:v>Gestão</x:v>
      </x:c>
      <x:c r="J546" s="17" t="n">
        <x:v>12972.23</x:v>
      </x:c>
      <x:c r="K546" s="17" t="n">
        <x:v>0</x:v>
      </x:c>
      <x:c r="L546" s="17" t="n">
        <x:v>0</x:v>
      </x:c>
      <x:c r="M546" s="13" t="str">
        <x:v>Pago</x:v>
      </x:c>
      <x:c r="N546" s="13" t="str">
        <x:v>Sem cobrança</x:v>
      </x:c>
      <x:c r="O546" s="13" t="str">
        <x:v>Crescimento sem escala</x:v>
      </x:c>
      <x:c r="P546" s="17" t="n">
        <x:f>IF(D546="",0,J546-K546+L546)</x:f>
        <x:v>12972.23</x:v>
      </x:c>
      <x:c r="Q546" s="17" t="n">
        <x:f>MAX(J546-P546-K546,0)</x:f>
        <x:v>0</x:v>
      </x:c>
      <x:c r="R546" s="13" t="n">
        <x:f>IF(D546="",MAX(TODAY()-C546,0),MAX(D546-C546,0))</x:f>
        <x:v>0</x:v>
      </x:c>
      <x:c r="S546" s="13" t="str">
        <x:f>IF(R546=0,"Em dia",IF(R546&lt;=15,"1-15 dias",IF(R546&lt;=30,"16-30 dias",IF(R546&lt;=60,"31-60 dias","Acima de 60 dias"))))</x:f>
        <x:v>Em dia</x:v>
      </x:c>
    </x:row>
    <x:row r="547">
      <x:c r="A547" s="13" t="str">
        <x:v>REC-000546</x:v>
      </x:c>
      <x:c r="B547" s="23" t="n">
        <x:v>45574</x:v>
      </x:c>
      <x:c r="C547" s="23" t="n">
        <x:v>45581</x:v>
      </x:c>
      <x:c r="D547" s="23" t="n">
        <x:v>45601</x:v>
      </x:c>
      <x:c r="E547" s="13" t="str">
        <x:v>VAL-027</x:v>
      </x:c>
      <x:c r="F547" s="13" t="str">
        <x:v>Mais Lar Utilidades</x:v>
      </x:c>
      <x:c r="G547" s="13" t="str">
        <x:v>Varejo</x:v>
      </x:c>
      <x:c r="H547" s="13" t="str">
        <x:v>Baixo</x:v>
      </x:c>
      <x:c r="I547" s="13" t="str">
        <x:v>Performance</x:v>
      </x:c>
      <x:c r="J547" s="17" t="n">
        <x:v>22396.05</x:v>
      </x:c>
      <x:c r="K547" s="17" t="n">
        <x:v>0</x:v>
      </x:c>
      <x:c r="L547" s="17" t="n">
        <x:v>291.15</x:v>
      </x:c>
      <x:c r="M547" s="13" t="str">
        <x:v>Pago com atraso</x:v>
      </x:c>
      <x:c r="N547" s="13" t="str">
        <x:v>Telefone</x:v>
      </x:c>
      <x:c r="O547" s="13" t="str">
        <x:v>Crescimento sem escala</x:v>
      </x:c>
      <x:c r="P547" s="17" t="n">
        <x:f>IF(D547="",0,J547-K547+L547)</x:f>
        <x:v>22687.2</x:v>
      </x:c>
      <x:c r="Q547" s="17" t="n">
        <x:f>MAX(J547-P547-K547,0)</x:f>
        <x:v>0</x:v>
      </x:c>
      <x:c r="R547" s="13" t="n">
        <x:f>IF(D547="",MAX(TODAY()-C547,0),MAX(D547-C547,0))</x:f>
        <x:v>20</x:v>
      </x:c>
      <x:c r="S547" s="13" t="str">
        <x:f>IF(R547=0,"Em dia",IF(R547&lt;=15,"1-15 dias",IF(R547&lt;=30,"16-30 dias",IF(R547&lt;=60,"31-60 dias","Acima de 60 dias"))))</x:f>
        <x:v>16-30 dias</x:v>
      </x:c>
    </x:row>
    <x:row r="548">
      <x:c r="A548" s="13" t="str">
        <x:v>REC-000547</x:v>
      </x:c>
      <x:c r="B548" s="23" t="n">
        <x:v>45574</x:v>
      </x:c>
      <x:c r="C548" s="23" t="n">
        <x:v>45581</x:v>
      </x:c>
      <x:c r="D548" s="23" t="n">
        <x:v>45577</x:v>
      </x:c>
      <x:c r="E548" s="13" t="str">
        <x:v>VAL-011</x:v>
      </x:c>
      <x:c r="F548" s="13" t="str">
        <x:v>Rede Essencial</x:v>
      </x:c>
      <x:c r="G548" s="13" t="str">
        <x:v>Varejo</x:v>
      </x:c>
      <x:c r="H548" s="13" t="str">
        <x:v>Médio</x:v>
      </x:c>
      <x:c r="I548" s="13" t="str">
        <x:v>Performance</x:v>
      </x:c>
      <x:c r="J548" s="17" t="n">
        <x:v>16651.72</x:v>
      </x:c>
      <x:c r="K548" s="17" t="n">
        <x:v>0</x:v>
      </x:c>
      <x:c r="L548" s="17" t="n">
        <x:v>0</x:v>
      </x:c>
      <x:c r="M548" s="13" t="str">
        <x:v>Pago</x:v>
      </x:c>
      <x:c r="N548" s="13" t="str">
        <x:v>Sem cobrança</x:v>
      </x:c>
      <x:c r="O548" s="13" t="str">
        <x:v>Crescimento sem escala</x:v>
      </x:c>
      <x:c r="P548" s="17" t="n">
        <x:f>IF(D548="",0,J548-K548+L548)</x:f>
        <x:v>16651.72</x:v>
      </x:c>
      <x:c r="Q548" s="17" t="n">
        <x:f>MAX(J548-P548-K548,0)</x:f>
        <x:v>0</x:v>
      </x:c>
      <x:c r="R548" s="13" t="n">
        <x:f>IF(D548="",MAX(TODAY()-C548,0),MAX(D548-C548,0))</x:f>
        <x:v>0</x:v>
      </x:c>
      <x:c r="S548" s="13" t="str">
        <x:f>IF(R548=0,"Em dia",IF(R548&lt;=15,"1-15 dias",IF(R548&lt;=30,"16-30 dias",IF(R548&lt;=60,"31-60 dias","Acima de 60 dias"))))</x:f>
        <x:v>Em dia</x:v>
      </x:c>
    </x:row>
    <x:row r="549">
      <x:c r="A549" s="13" t="str">
        <x:v>REC-000548</x:v>
      </x:c>
      <x:c r="B549" s="23" t="n">
        <x:v>45566</x:v>
      </x:c>
      <x:c r="C549" s="23" t="n">
        <x:v>45594</x:v>
      </x:c>
      <x:c r="D549" s="23" t="n">
        <x:v>45591</x:v>
      </x:c>
      <x:c r="E549" s="13" t="str">
        <x:v>VAL-011</x:v>
      </x:c>
      <x:c r="F549" s="13" t="str">
        <x:v>Rede Essencial</x:v>
      </x:c>
      <x:c r="G549" s="13" t="str">
        <x:v>Varejo</x:v>
      </x:c>
      <x:c r="H549" s="13" t="str">
        <x:v>Médio</x:v>
      </x:c>
      <x:c r="I549" s="13" t="str">
        <x:v>Performance</x:v>
      </x:c>
      <x:c r="J549" s="17" t="n">
        <x:v>1615.36</x:v>
      </x:c>
      <x:c r="K549" s="17" t="n">
        <x:v>0</x:v>
      </x:c>
      <x:c r="L549" s="17" t="n">
        <x:v>0</x:v>
      </x:c>
      <x:c r="M549" s="13" t="str">
        <x:v>Pago</x:v>
      </x:c>
      <x:c r="N549" s="13" t="str">
        <x:v>Sem cobrança</x:v>
      </x:c>
      <x:c r="O549" s="13" t="str">
        <x:v>Crescimento sem escala</x:v>
      </x:c>
      <x:c r="P549" s="17" t="n">
        <x:f>IF(D549="",0,J549-K549+L549)</x:f>
        <x:v>1615.36</x:v>
      </x:c>
      <x:c r="Q549" s="17" t="n">
        <x:f>MAX(J549-P549-K549,0)</x:f>
        <x:v>0</x:v>
      </x:c>
      <x:c r="R549" s="13" t="n">
        <x:f>IF(D549="",MAX(TODAY()-C549,0),MAX(D549-C549,0))</x:f>
        <x:v>0</x:v>
      </x:c>
      <x:c r="S549" s="13" t="str">
        <x:f>IF(R549=0,"Em dia",IF(R549&lt;=15,"1-15 dias",IF(R549&lt;=30,"16-30 dias",IF(R549&lt;=60,"31-60 dias","Acima de 60 dias"))))</x:f>
        <x:v>Em dia</x:v>
      </x:c>
    </x:row>
    <x:row r="550">
      <x:c r="A550" s="13" t="str">
        <x:v>REC-000549</x:v>
      </x:c>
      <x:c r="B550" s="23" t="n">
        <x:v>45585</x:v>
      </x:c>
      <x:c r="C550" s="23" t="n">
        <x:v>45606</x:v>
      </x:c>
      <x:c r="D550" s="23" t="n">
        <x:v>45643</x:v>
      </x:c>
      <x:c r="E550" s="13" t="str">
        <x:v>VAL-006</x:v>
      </x:c>
      <x:c r="F550" s="13" t="str">
        <x:v>Instituto Saber Mais</x:v>
      </x:c>
      <x:c r="G550" s="13" t="str">
        <x:v>Educação</x:v>
      </x:c>
      <x:c r="H550" s="13" t="str">
        <x:v>Médio</x:v>
      </x:c>
      <x:c r="I550" s="13" t="str">
        <x:v>Gestão</x:v>
      </x:c>
      <x:c r="J550" s="17" t="n">
        <x:v>3171.08</x:v>
      </x:c>
      <x:c r="K550" s="17" t="n">
        <x:v>0</x:v>
      </x:c>
      <x:c r="L550" s="17" t="n">
        <x:v>76.26</x:v>
      </x:c>
      <x:c r="M550" s="13" t="str">
        <x:v>Pago com atraso</x:v>
      </x:c>
      <x:c r="N550" s="13" t="str">
        <x:v>Telefone</x:v>
      </x:c>
      <x:c r="O550" s="13" t="str">
        <x:v>Crescimento sem escala</x:v>
      </x:c>
      <x:c r="P550" s="17" t="n">
        <x:f>IF(D550="",0,J550-K550+L550)</x:f>
        <x:v>3247.34</x:v>
      </x:c>
      <x:c r="Q550" s="17" t="n">
        <x:f>MAX(J550-P550-K550,0)</x:f>
        <x:v>0</x:v>
      </x:c>
      <x:c r="R550" s="13" t="n">
        <x:f>IF(D550="",MAX(TODAY()-C550,0),MAX(D550-C550,0))</x:f>
        <x:v>37</x:v>
      </x:c>
      <x:c r="S550" s="13" t="str">
        <x:f>IF(R550=0,"Em dia",IF(R550&lt;=15,"1-15 dias",IF(R550&lt;=30,"16-30 dias",IF(R550&lt;=60,"31-60 dias","Acima de 60 dias"))))</x:f>
        <x:v>31-60 dias</x:v>
      </x:c>
    </x:row>
    <x:row r="551">
      <x:c r="A551" s="13" t="str">
        <x:v>REC-000550</x:v>
      </x:c>
      <x:c r="B551" s="23" t="n">
        <x:v>45569</x:v>
      </x:c>
      <x:c r="C551" s="23" t="n">
        <x:v>45590</x:v>
      </x:c>
      <x:c r="D551" s="23" t="n">
        <x:v>45588</x:v>
      </x:c>
      <x:c r="E551" s="13" t="str">
        <x:v>VAL-020</x:v>
      </x:c>
      <x:c r="F551" s="13" t="str">
        <x:v>Corelink Digital</x:v>
      </x:c>
      <x:c r="G551" s="13" t="str">
        <x:v>Tecnologia</x:v>
      </x:c>
      <x:c r="H551" s="13" t="str">
        <x:v>Baixo</x:v>
      </x:c>
      <x:c r="I551" s="13" t="str">
        <x:v>Enterprise</x:v>
      </x:c>
      <x:c r="J551" s="17" t="n">
        <x:v>2430.16</x:v>
      </x:c>
      <x:c r="K551" s="17" t="n">
        <x:v>0</x:v>
      </x:c>
      <x:c r="L551" s="17" t="n">
        <x:v>0</x:v>
      </x:c>
      <x:c r="M551" s="13" t="str">
        <x:v>Pago</x:v>
      </x:c>
      <x:c r="N551" s="13" t="str">
        <x:v>Sem cobrança</x:v>
      </x:c>
      <x:c r="O551" s="13" t="str">
        <x:v>Crescimento sem escala</x:v>
      </x:c>
      <x:c r="P551" s="17" t="n">
        <x:f>IF(D551="",0,J551-K551+L551)</x:f>
        <x:v>2430.16</x:v>
      </x:c>
      <x:c r="Q551" s="17" t="n">
        <x:f>MAX(J551-P551-K551,0)</x:f>
        <x:v>0</x:v>
      </x:c>
      <x:c r="R551" s="13" t="n">
        <x:f>IF(D551="",MAX(TODAY()-C551,0),MAX(D551-C551,0))</x:f>
        <x:v>0</x:v>
      </x:c>
      <x:c r="S551" s="13" t="str">
        <x:f>IF(R551=0,"Em dia",IF(R551&lt;=15,"1-15 dias",IF(R551&lt;=30,"16-30 dias",IF(R551&lt;=60,"31-60 dias","Acima de 60 dias"))))</x:f>
        <x:v>Em dia</x:v>
      </x:c>
    </x:row>
    <x:row r="552">
      <x:c r="A552" s="13" t="str">
        <x:v>REC-000551</x:v>
      </x:c>
      <x:c r="B552" s="23" t="n">
        <x:v>45585</x:v>
      </x:c>
      <x:c r="C552" s="23" t="n">
        <x:v>45592</x:v>
      </x:c>
      <x:c r="D552" s="23" t="n">
        <x:v>45589</x:v>
      </x:c>
      <x:c r="E552" s="13" t="str">
        <x:v>VAL-020</x:v>
      </x:c>
      <x:c r="F552" s="13" t="str">
        <x:v>Corelink Digital</x:v>
      </x:c>
      <x:c r="G552" s="13" t="str">
        <x:v>Tecnologia</x:v>
      </x:c>
      <x:c r="H552" s="13" t="str">
        <x:v>Baixo</x:v>
      </x:c>
      <x:c r="I552" s="13" t="str">
        <x:v>Enterprise</x:v>
      </x:c>
      <x:c r="J552" s="17" t="n">
        <x:v>1609.18</x:v>
      </x:c>
      <x:c r="K552" s="17" t="n">
        <x:v>0</x:v>
      </x:c>
      <x:c r="L552" s="17" t="n">
        <x:v>0</x:v>
      </x:c>
      <x:c r="M552" s="13" t="str">
        <x:v>Pago</x:v>
      </x:c>
      <x:c r="N552" s="13" t="str">
        <x:v>Sem cobrança</x:v>
      </x:c>
      <x:c r="O552" s="13" t="str">
        <x:v>Crescimento sem escala</x:v>
      </x:c>
      <x:c r="P552" s="17" t="n">
        <x:f>IF(D552="",0,J552-K552+L552)</x:f>
        <x:v>1609.18</x:v>
      </x:c>
      <x:c r="Q552" s="17" t="n">
        <x:f>MAX(J552-P552-K552,0)</x:f>
        <x:v>0</x:v>
      </x:c>
      <x:c r="R552" s="13" t="n">
        <x:f>IF(D552="",MAX(TODAY()-C552,0),MAX(D552-C552,0))</x:f>
        <x:v>0</x:v>
      </x:c>
      <x:c r="S552" s="13" t="str">
        <x:f>IF(R552=0,"Em dia",IF(R552&lt;=15,"1-15 dias",IF(R552&lt;=30,"16-30 dias",IF(R552&lt;=60,"31-60 dias","Acima de 60 dias"))))</x:f>
        <x:v>Em dia</x:v>
      </x:c>
    </x:row>
    <x:row r="553">
      <x:c r="A553" s="13" t="str">
        <x:v>REC-000552</x:v>
      </x:c>
      <x:c r="B553" s="23" t="n">
        <x:v>45575</x:v>
      </x:c>
      <x:c r="C553" s="23" t="n">
        <x:v>45605</x:v>
      </x:c>
      <x:c r="D553" s="23" t="n">
        <x:v>45601</x:v>
      </x:c>
      <x:c r="E553" s="13" t="str">
        <x:v>VAL-024</x:v>
      </x:c>
      <x:c r="F553" s="13" t="str">
        <x:v>NovaForma Móveis</x:v>
      </x:c>
      <x:c r="G553" s="13" t="str">
        <x:v>Indústria Leve</x:v>
      </x:c>
      <x:c r="H553" s="13" t="str">
        <x:v>Baixo</x:v>
      </x:c>
      <x:c r="I553" s="13" t="str">
        <x:v>Enterprise</x:v>
      </x:c>
      <x:c r="J553" s="17" t="n">
        <x:v>20753.04</x:v>
      </x:c>
      <x:c r="K553" s="17" t="n">
        <x:v>0</x:v>
      </x:c>
      <x:c r="L553" s="17" t="n">
        <x:v>0</x:v>
      </x:c>
      <x:c r="M553" s="13" t="str">
        <x:v>Pago</x:v>
      </x:c>
      <x:c r="N553" s="13" t="str">
        <x:v>Sem cobrança</x:v>
      </x:c>
      <x:c r="O553" s="13" t="str">
        <x:v>Crescimento sem escala</x:v>
      </x:c>
      <x:c r="P553" s="17" t="n">
        <x:f>IF(D553="",0,J553-K553+L553)</x:f>
        <x:v>20753.04</x:v>
      </x:c>
      <x:c r="Q553" s="17" t="n">
        <x:f>MAX(J553-P553-K553,0)</x:f>
        <x:v>0</x:v>
      </x:c>
      <x:c r="R553" s="13" t="n">
        <x:f>IF(D553="",MAX(TODAY()-C553,0),MAX(D553-C553,0))</x:f>
        <x:v>0</x:v>
      </x:c>
      <x:c r="S553" s="13" t="str">
        <x:f>IF(R553=0,"Em dia",IF(R553&lt;=15,"1-15 dias",IF(R553&lt;=30,"16-30 dias",IF(R553&lt;=60,"31-60 dias","Acima de 60 dias"))))</x:f>
        <x:v>Em dia</x:v>
      </x:c>
    </x:row>
    <x:row r="554">
      <x:c r="A554" s="13" t="str">
        <x:v>REC-000553</x:v>
      </x:c>
      <x:c r="B554" s="23" t="n">
        <x:v>45578</x:v>
      </x:c>
      <x:c r="C554" s="23" t="n">
        <x:v>45608</x:v>
      </x:c>
      <x:c r="D554" s="23" t="n">
        <x:v>45608</x:v>
      </x:c>
      <x:c r="E554" s="13" t="str">
        <x:v>VAL-007</x:v>
      </x:c>
      <x:c r="F554" s="13" t="str">
        <x:v>Loja Prisma Online</x:v>
      </x:c>
      <x:c r="G554" s="13" t="str">
        <x:v>E-commerce</x:v>
      </x:c>
      <x:c r="H554" s="13" t="str">
        <x:v>Médio</x:v>
      </x:c>
      <x:c r="I554" s="13" t="str">
        <x:v>Performance</x:v>
      </x:c>
      <x:c r="J554" s="17" t="n">
        <x:v>13465.76</x:v>
      </x:c>
      <x:c r="K554" s="17" t="n">
        <x:v>0</x:v>
      </x:c>
      <x:c r="L554" s="17" t="n">
        <x:v>0</x:v>
      </x:c>
      <x:c r="M554" s="13" t="str">
        <x:v>Pago</x:v>
      </x:c>
      <x:c r="N554" s="13" t="str">
        <x:v>Sem cobrança</x:v>
      </x:c>
      <x:c r="O554" s="13" t="str">
        <x:v>Crescimento sem escala</x:v>
      </x:c>
      <x:c r="P554" s="17" t="n">
        <x:f>IF(D554="",0,J554-K554+L554)</x:f>
        <x:v>13465.76</x:v>
      </x:c>
      <x:c r="Q554" s="17" t="n">
        <x:f>MAX(J554-P554-K554,0)</x:f>
        <x:v>0</x:v>
      </x:c>
      <x:c r="R554" s="13" t="n">
        <x:f>IF(D554="",MAX(TODAY()-C554,0),MAX(D554-C554,0))</x:f>
        <x:v>0</x:v>
      </x:c>
      <x:c r="S554" s="13" t="str">
        <x:f>IF(R554=0,"Em dia",IF(R554&lt;=15,"1-15 dias",IF(R554&lt;=30,"16-30 dias",IF(R554&lt;=60,"31-60 dias","Acima de 60 dias"))))</x:f>
        <x:v>Em dia</x:v>
      </x:c>
    </x:row>
    <x:row r="555">
      <x:c r="A555" s="13" t="str">
        <x:v>REC-000554</x:v>
      </x:c>
      <x:c r="B555" s="23" t="n">
        <x:v>45570</x:v>
      </x:c>
      <x:c r="C555" s="23" t="n">
        <x:v>45598</x:v>
      </x:c>
      <x:c r="D555" s="23" t="n">
        <x:v>45596</x:v>
      </x:c>
      <x:c r="E555" s="13" t="str">
        <x:v>VAL-022</x:v>
      </x:c>
      <x:c r="F555" s="13" t="str">
        <x:v>Academia Evoluir</x:v>
      </x:c>
      <x:c r="G555" s="13" t="str">
        <x:v>Educação</x:v>
      </x:c>
      <x:c r="H555" s="13" t="str">
        <x:v>Alto</x:v>
      </x:c>
      <x:c r="I555" s="13" t="str">
        <x:v>Gestão</x:v>
      </x:c>
      <x:c r="J555" s="17" t="n">
        <x:v>21211.28</x:v>
      </x:c>
      <x:c r="K555" s="17" t="n">
        <x:v>0</x:v>
      </x:c>
      <x:c r="L555" s="17" t="n">
        <x:v>0</x:v>
      </x:c>
      <x:c r="M555" s="13" t="str">
        <x:v>Pago</x:v>
      </x:c>
      <x:c r="N555" s="13" t="str">
        <x:v>Sem cobrança</x:v>
      </x:c>
      <x:c r="O555" s="13" t="str">
        <x:v>Crescimento sem escala</x:v>
      </x:c>
      <x:c r="P555" s="17" t="n">
        <x:f>IF(D555="",0,J555-K555+L555)</x:f>
        <x:v>21211.28</x:v>
      </x:c>
      <x:c r="Q555" s="17" t="n">
        <x:f>MAX(J555-P555-K555,0)</x:f>
        <x:v>0</x:v>
      </x:c>
      <x:c r="R555" s="13" t="n">
        <x:f>IF(D555="",MAX(TODAY()-C555,0),MAX(D555-C555,0))</x:f>
        <x:v>0</x:v>
      </x:c>
      <x:c r="S555" s="13" t="str">
        <x:f>IF(R555=0,"Em dia",IF(R555&lt;=15,"1-15 dias",IF(R555&lt;=30,"16-30 dias",IF(R555&lt;=60,"31-60 dias","Acima de 60 dias"))))</x:f>
        <x:v>Em dia</x:v>
      </x:c>
    </x:row>
    <x:row r="556">
      <x:c r="A556" s="13" t="str">
        <x:v>REC-000555</x:v>
      </x:c>
      <x:c r="B556" s="23" t="n">
        <x:v>45584</x:v>
      </x:c>
      <x:c r="C556" s="23" t="n">
        <x:v>45591</x:v>
      </x:c>
      <x:c r="D556" s="23" t="n">
        <x:v>45587</x:v>
      </x:c>
      <x:c r="E556" s="13" t="str">
        <x:v>VAL-009</x:v>
      </x:c>
      <x:c r="F556" s="13" t="str">
        <x:v>Odonto Prime</x:v>
      </x:c>
      <x:c r="G556" s="13" t="str">
        <x:v>Clínicas e Saúde</x:v>
      </x:c>
      <x:c r="H556" s="13" t="str">
        <x:v>Médio</x:v>
      </x:c>
      <x:c r="I556" s="13" t="str">
        <x:v>Essencial</x:v>
      </x:c>
      <x:c r="J556" s="17" t="n">
        <x:v>17341.48</x:v>
      </x:c>
      <x:c r="K556" s="17" t="n">
        <x:v>0</x:v>
      </x:c>
      <x:c r="L556" s="17" t="n">
        <x:v>0</x:v>
      </x:c>
      <x:c r="M556" s="13" t="str">
        <x:v>Pago</x:v>
      </x:c>
      <x:c r="N556" s="13" t="str">
        <x:v>Sem cobrança</x:v>
      </x:c>
      <x:c r="O556" s="13" t="str">
        <x:v>Crescimento sem escala</x:v>
      </x:c>
      <x:c r="P556" s="17" t="n">
        <x:f>IF(D556="",0,J556-K556+L556)</x:f>
        <x:v>17341.48</x:v>
      </x:c>
      <x:c r="Q556" s="17" t="n">
        <x:f>MAX(J556-P556-K556,0)</x:f>
        <x:v>0</x:v>
      </x:c>
      <x:c r="R556" s="13" t="n">
        <x:f>IF(D556="",MAX(TODAY()-C556,0),MAX(D556-C556,0))</x:f>
        <x:v>0</x:v>
      </x:c>
      <x:c r="S556" s="13" t="str">
        <x:f>IF(R556=0,"Em dia",IF(R556&lt;=15,"1-15 dias",IF(R556&lt;=30,"16-30 dias",IF(R556&lt;=60,"31-60 dias","Acima de 60 dias"))))</x:f>
        <x:v>Em dia</x:v>
      </x:c>
    </x:row>
    <x:row r="557">
      <x:c r="A557" s="13" t="str">
        <x:v>REC-000556</x:v>
      </x:c>
      <x:c r="B557" s="23" t="n">
        <x:v>45576</x:v>
      </x:c>
      <x:c r="C557" s="23" t="n">
        <x:v>45606</x:v>
      </x:c>
      <x:c r="D557" s="23" t="n">
        <x:v>45604</x:v>
      </x:c>
      <x:c r="E557" s="13" t="str">
        <x:v>VAL-027</x:v>
      </x:c>
      <x:c r="F557" s="13" t="str">
        <x:v>Mais Lar Utilidades</x:v>
      </x:c>
      <x:c r="G557" s="13" t="str">
        <x:v>Varejo</x:v>
      </x:c>
      <x:c r="H557" s="13" t="str">
        <x:v>Baixo</x:v>
      </x:c>
      <x:c r="I557" s="13" t="str">
        <x:v>Performance</x:v>
      </x:c>
      <x:c r="J557" s="17" t="n">
        <x:v>13496.42</x:v>
      </x:c>
      <x:c r="K557" s="17" t="n">
        <x:v>226.42</x:v>
      </x:c>
      <x:c r="L557" s="17" t="n">
        <x:v>0</x:v>
      </x:c>
      <x:c r="M557" s="13" t="str">
        <x:v>Pago</x:v>
      </x:c>
      <x:c r="N557" s="13" t="str">
        <x:v>Sem cobrança</x:v>
      </x:c>
      <x:c r="O557" s="13" t="str">
        <x:v>Crescimento sem escala</x:v>
      </x:c>
      <x:c r="P557" s="17" t="n">
        <x:f>IF(D557="",0,J557-K557+L557)</x:f>
        <x:v>13270</x:v>
      </x:c>
      <x:c r="Q557" s="17" t="n">
        <x:f>MAX(J557-P557-K557,0)</x:f>
        <x:v>8.526512829121202e-14</x:v>
      </x:c>
      <x:c r="R557" s="13" t="n">
        <x:f>IF(D557="",MAX(TODAY()-C557,0),MAX(D557-C557,0))</x:f>
        <x:v>0</x:v>
      </x:c>
      <x:c r="S557" s="13" t="str">
        <x:f>IF(R557=0,"Em dia",IF(R557&lt;=15,"1-15 dias",IF(R557&lt;=30,"16-30 dias",IF(R557&lt;=60,"31-60 dias","Acima de 60 dias"))))</x:f>
        <x:v>Em dia</x:v>
      </x:c>
    </x:row>
    <x:row r="558">
      <x:c r="A558" s="13" t="str">
        <x:v>REC-000557</x:v>
      </x:c>
      <x:c r="B558" s="23" t="n">
        <x:v>45570</x:v>
      </x:c>
      <x:c r="C558" s="23" t="n">
        <x:v>45600</x:v>
      </x:c>
      <x:c r="D558" s="23"/>
      <x:c r="E558" s="13" t="str">
        <x:v>VAL-016</x:v>
      </x:c>
      <x:c r="F558" s="13" t="str">
        <x:v>Lumina Embalagens</x:v>
      </x:c>
      <x:c r="G558" s="13" t="str">
        <x:v>Indústria Leve</x:v>
      </x:c>
      <x:c r="H558" s="13" t="str">
        <x:v>Baixo</x:v>
      </x:c>
      <x:c r="I558" s="13" t="str">
        <x:v>Enterprise</x:v>
      </x:c>
      <x:c r="J558" s="17" t="n">
        <x:v>8484.31</x:v>
      </x:c>
      <x:c r="K558" s="17" t="n">
        <x:v>0</x:v>
      </x:c>
      <x:c r="L558" s="17" t="n">
        <x:v>0</x:v>
      </x:c>
      <x:c r="M558" s="13" t="str">
        <x:v>Em aberto</x:v>
      </x:c>
      <x:c r="N558" s="13" t="str">
        <x:v>Negociação</x:v>
      </x:c>
      <x:c r="O558" s="13" t="str">
        <x:v>Crescimento sem escala</x:v>
      </x:c>
      <x:c r="P558" s="17" t="n">
        <x:f>IF(D558="",0,J558-K558+L558)</x:f>
        <x:v>0</x:v>
      </x:c>
      <x:c r="Q558" s="17" t="n">
        <x:f>MAX(J558-P558-K558,0)</x:f>
        <x:v>8484.31</x:v>
      </x:c>
      <x:c r="R558" s="13" t="n">
        <x:f>IF(D558="",MAX(TODAY()-C558,0),MAX(D558-C558,0))</x:f>
        <x:v>613</x:v>
      </x:c>
      <x:c r="S558" s="13" t="str">
        <x:f>IF(R558=0,"Em dia",IF(R558&lt;=15,"1-15 dias",IF(R558&lt;=30,"16-30 dias",IF(R558&lt;=60,"31-60 dias","Acima de 60 dias"))))</x:f>
        <x:v>Acima de 60 dias</x:v>
      </x:c>
    </x:row>
    <x:row r="559">
      <x:c r="A559" s="13" t="str">
        <x:v>REC-000558</x:v>
      </x:c>
      <x:c r="B559" s="23" t="n">
        <x:v>45576</x:v>
      </x:c>
      <x:c r="C559" s="23" t="n">
        <x:v>45606</x:v>
      </x:c>
      <x:c r="D559" s="23" t="n">
        <x:v>45603</x:v>
      </x:c>
      <x:c r="E559" s="13" t="str">
        <x:v>VAL-016</x:v>
      </x:c>
      <x:c r="F559" s="13" t="str">
        <x:v>Lumina Embalagens</x:v>
      </x:c>
      <x:c r="G559" s="13" t="str">
        <x:v>Indústria Leve</x:v>
      </x:c>
      <x:c r="H559" s="13" t="str">
        <x:v>Baixo</x:v>
      </x:c>
      <x:c r="I559" s="13" t="str">
        <x:v>Enterprise</x:v>
      </x:c>
      <x:c r="J559" s="17" t="n">
        <x:v>5559.54</x:v>
      </x:c>
      <x:c r="K559" s="17" t="n">
        <x:v>0</x:v>
      </x:c>
      <x:c r="L559" s="17" t="n">
        <x:v>0</x:v>
      </x:c>
      <x:c r="M559" s="13" t="str">
        <x:v>Pago</x:v>
      </x:c>
      <x:c r="N559" s="13" t="str">
        <x:v>Sem cobrança</x:v>
      </x:c>
      <x:c r="O559" s="13" t="str">
        <x:v>Crescimento sem escala</x:v>
      </x:c>
      <x:c r="P559" s="17" t="n">
        <x:f>IF(D559="",0,J559-K559+L559)</x:f>
        <x:v>5559.54</x:v>
      </x:c>
      <x:c r="Q559" s="17" t="n">
        <x:f>MAX(J559-P559-K559,0)</x:f>
        <x:v>0</x:v>
      </x:c>
      <x:c r="R559" s="13" t="n">
        <x:f>IF(D559="",MAX(TODAY()-C559,0),MAX(D559-C559,0))</x:f>
        <x:v>0</x:v>
      </x:c>
      <x:c r="S559" s="13" t="str">
        <x:f>IF(R559=0,"Em dia",IF(R559&lt;=15,"1-15 dias",IF(R559&lt;=30,"16-30 dias",IF(R559&lt;=60,"31-60 dias","Acima de 60 dias"))))</x:f>
        <x:v>Em dia</x:v>
      </x:c>
    </x:row>
    <x:row r="560">
      <x:c r="A560" s="13" t="str">
        <x:v>REC-000559</x:v>
      </x:c>
      <x:c r="B560" s="23" t="n">
        <x:v>45584</x:v>
      </x:c>
      <x:c r="C560" s="23" t="n">
        <x:v>45599</x:v>
      </x:c>
      <x:c r="D560" s="23" t="n">
        <x:v>45595</x:v>
      </x:c>
      <x:c r="E560" s="13" t="str">
        <x:v>VAL-016</x:v>
      </x:c>
      <x:c r="F560" s="13" t="str">
        <x:v>Lumina Embalagens</x:v>
      </x:c>
      <x:c r="G560" s="13" t="str">
        <x:v>Indústria Leve</x:v>
      </x:c>
      <x:c r="H560" s="13" t="str">
        <x:v>Baixo</x:v>
      </x:c>
      <x:c r="I560" s="13" t="str">
        <x:v>Enterprise</x:v>
      </x:c>
      <x:c r="J560" s="17" t="n">
        <x:v>29657.19</x:v>
      </x:c>
      <x:c r="K560" s="17" t="n">
        <x:v>0</x:v>
      </x:c>
      <x:c r="L560" s="17" t="n">
        <x:v>0</x:v>
      </x:c>
      <x:c r="M560" s="13" t="str">
        <x:v>Pago</x:v>
      </x:c>
      <x:c r="N560" s="13" t="str">
        <x:v>Sem cobrança</x:v>
      </x:c>
      <x:c r="O560" s="13" t="str">
        <x:v>Crescimento sem escala</x:v>
      </x:c>
      <x:c r="P560" s="17" t="n">
        <x:f>IF(D560="",0,J560-K560+L560)</x:f>
        <x:v>29657.19</x:v>
      </x:c>
      <x:c r="Q560" s="17" t="n">
        <x:f>MAX(J560-P560-K560,0)</x:f>
        <x:v>0</x:v>
      </x:c>
      <x:c r="R560" s="13" t="n">
        <x:f>IF(D560="",MAX(TODAY()-C560,0),MAX(D560-C560,0))</x:f>
        <x:v>0</x:v>
      </x:c>
      <x:c r="S560" s="13" t="str">
        <x:f>IF(R560=0,"Em dia",IF(R560&lt;=15,"1-15 dias",IF(R560&lt;=30,"16-30 dias",IF(R560&lt;=60,"31-60 dias","Acima de 60 dias"))))</x:f>
        <x:v>Em dia</x:v>
      </x:c>
    </x:row>
    <x:row r="561">
      <x:c r="A561" s="13" t="str">
        <x:v>REC-000560</x:v>
      </x:c>
      <x:c r="B561" s="23" t="n">
        <x:v>45582</x:v>
      </x:c>
      <x:c r="C561" s="23" t="n">
        <x:v>45597</x:v>
      </x:c>
      <x:c r="D561" s="23" t="n">
        <x:v>45595</x:v>
      </x:c>
      <x:c r="E561" s="13" t="str">
        <x:v>VAL-029</x:v>
      </x:c>
      <x:c r="F561" s="13" t="str">
        <x:v>Planobra Serviços</x:v>
      </x:c>
      <x:c r="G561" s="13" t="str">
        <x:v>Construção</x:v>
      </x:c>
      <x:c r="H561" s="13" t="str">
        <x:v>Baixo</x:v>
      </x:c>
      <x:c r="I561" s="13" t="str">
        <x:v>Essencial</x:v>
      </x:c>
      <x:c r="J561" s="17" t="n">
        <x:v>6949.2</x:v>
      </x:c>
      <x:c r="K561" s="17" t="n">
        <x:v>0</x:v>
      </x:c>
      <x:c r="L561" s="17" t="n">
        <x:v>0</x:v>
      </x:c>
      <x:c r="M561" s="13" t="str">
        <x:v>Pago</x:v>
      </x:c>
      <x:c r="N561" s="13" t="str">
        <x:v>Sem cobrança</x:v>
      </x:c>
      <x:c r="O561" s="13" t="str">
        <x:v>Crescimento sem escala</x:v>
      </x:c>
      <x:c r="P561" s="17" t="n">
        <x:f>IF(D561="",0,J561-K561+L561)</x:f>
        <x:v>6949.2</x:v>
      </x:c>
      <x:c r="Q561" s="17" t="n">
        <x:f>MAX(J561-P561-K561,0)</x:f>
        <x:v>0</x:v>
      </x:c>
      <x:c r="R561" s="13" t="n">
        <x:f>IF(D561="",MAX(TODAY()-C561,0),MAX(D561-C561,0))</x:f>
        <x:v>0</x:v>
      </x:c>
      <x:c r="S561" s="13" t="str">
        <x:f>IF(R561=0,"Em dia",IF(R561&lt;=15,"1-15 dias",IF(R561&lt;=30,"16-30 dias",IF(R561&lt;=60,"31-60 dias","Acima de 60 dias"))))</x:f>
        <x:v>Em dia</x:v>
      </x:c>
    </x:row>
    <x:row r="562">
      <x:c r="A562" s="13" t="str">
        <x:v>REC-000561</x:v>
      </x:c>
      <x:c r="B562" s="23" t="n">
        <x:v>45583</x:v>
      </x:c>
      <x:c r="C562" s="23" t="n">
        <x:v>45598</x:v>
      </x:c>
      <x:c r="D562" s="23" t="n">
        <x:v>45595</x:v>
      </x:c>
      <x:c r="E562" s="13" t="str">
        <x:v>VAL-002</x:v>
      </x:c>
      <x:c r="F562" s="13" t="str">
        <x:v>Mendes &amp; Prado Consultoria</x:v>
      </x:c>
      <x:c r="G562" s="13" t="str">
        <x:v>Serviços Profissionais</x:v>
      </x:c>
      <x:c r="H562" s="13" t="str">
        <x:v>Baixo</x:v>
      </x:c>
      <x:c r="I562" s="13" t="str">
        <x:v>Gestão</x:v>
      </x:c>
      <x:c r="J562" s="17" t="n">
        <x:v>4860.11</x:v>
      </x:c>
      <x:c r="K562" s="17" t="n">
        <x:v>0</x:v>
      </x:c>
      <x:c r="L562" s="17" t="n">
        <x:v>0</x:v>
      </x:c>
      <x:c r="M562" s="13" t="str">
        <x:v>Pago</x:v>
      </x:c>
      <x:c r="N562" s="13" t="str">
        <x:v>Sem cobrança</x:v>
      </x:c>
      <x:c r="O562" s="13" t="str">
        <x:v>Crescimento sem escala</x:v>
      </x:c>
      <x:c r="P562" s="17" t="n">
        <x:f>IF(D562="",0,J562-K562+L562)</x:f>
        <x:v>4860.11</x:v>
      </x:c>
      <x:c r="Q562" s="17" t="n">
        <x:f>MAX(J562-P562-K562,0)</x:f>
        <x:v>0</x:v>
      </x:c>
      <x:c r="R562" s="13" t="n">
        <x:f>IF(D562="",MAX(TODAY()-C562,0),MAX(D562-C562,0))</x:f>
        <x:v>0</x:v>
      </x:c>
      <x:c r="S562" s="13" t="str">
        <x:f>IF(R562=0,"Em dia",IF(R562&lt;=15,"1-15 dias",IF(R562&lt;=30,"16-30 dias",IF(R562&lt;=60,"31-60 dias","Acima de 60 dias"))))</x:f>
        <x:v>Em dia</x:v>
      </x:c>
    </x:row>
    <x:row r="563">
      <x:c r="A563" s="13" t="str">
        <x:v>REC-000562</x:v>
      </x:c>
      <x:c r="B563" s="23" t="n">
        <x:v>45581</x:v>
      </x:c>
      <x:c r="C563" s="23" t="n">
        <x:v>45609</x:v>
      </x:c>
      <x:c r="D563" s="23" t="n">
        <x:v>45607</x:v>
      </x:c>
      <x:c r="E563" s="13" t="str">
        <x:v>VAL-007</x:v>
      </x:c>
      <x:c r="F563" s="13" t="str">
        <x:v>Loja Prisma Online</x:v>
      </x:c>
      <x:c r="G563" s="13" t="str">
        <x:v>E-commerce</x:v>
      </x:c>
      <x:c r="H563" s="13" t="str">
        <x:v>Médio</x:v>
      </x:c>
      <x:c r="I563" s="13" t="str">
        <x:v>Performance</x:v>
      </x:c>
      <x:c r="J563" s="17" t="n">
        <x:v>8178.78</x:v>
      </x:c>
      <x:c r="K563" s="17" t="n">
        <x:v>0</x:v>
      </x:c>
      <x:c r="L563" s="17" t="n">
        <x:v>0</x:v>
      </x:c>
      <x:c r="M563" s="13" t="str">
        <x:v>Pago</x:v>
      </x:c>
      <x:c r="N563" s="13" t="str">
        <x:v>Sem cobrança</x:v>
      </x:c>
      <x:c r="O563" s="13" t="str">
        <x:v>Crescimento sem escala</x:v>
      </x:c>
      <x:c r="P563" s="17" t="n">
        <x:f>IF(D563="",0,J563-K563+L563)</x:f>
        <x:v>8178.78</x:v>
      </x:c>
      <x:c r="Q563" s="17" t="n">
        <x:f>MAX(J563-P563-K563,0)</x:f>
        <x:v>0</x:v>
      </x:c>
      <x:c r="R563" s="13" t="n">
        <x:f>IF(D563="",MAX(TODAY()-C563,0),MAX(D563-C563,0))</x:f>
        <x:v>0</x:v>
      </x:c>
      <x:c r="S563" s="13" t="str">
        <x:f>IF(R563=0,"Em dia",IF(R563&lt;=15,"1-15 dias",IF(R563&lt;=30,"16-30 dias",IF(R563&lt;=60,"31-60 dias","Acima de 60 dias"))))</x:f>
        <x:v>Em dia</x:v>
      </x:c>
    </x:row>
    <x:row r="564">
      <x:c r="A564" s="13" t="str">
        <x:v>REC-000563</x:v>
      </x:c>
      <x:c r="B564" s="23" t="n">
        <x:v>45575</x:v>
      </x:c>
      <x:c r="C564" s="23" t="n">
        <x:v>45590</x:v>
      </x:c>
      <x:c r="D564" s="23" t="n">
        <x:v>45589</x:v>
      </x:c>
      <x:c r="E564" s="13" t="str">
        <x:v>VAL-029</x:v>
      </x:c>
      <x:c r="F564" s="13" t="str">
        <x:v>Planobra Serviços</x:v>
      </x:c>
      <x:c r="G564" s="13" t="str">
        <x:v>Construção</x:v>
      </x:c>
      <x:c r="H564" s="13" t="str">
        <x:v>Baixo</x:v>
      </x:c>
      <x:c r="I564" s="13" t="str">
        <x:v>Essencial</x:v>
      </x:c>
      <x:c r="J564" s="17" t="n">
        <x:v>12434.75</x:v>
      </x:c>
      <x:c r="K564" s="17" t="n">
        <x:v>0</x:v>
      </x:c>
      <x:c r="L564" s="17" t="n">
        <x:v>0</x:v>
      </x:c>
      <x:c r="M564" s="13" t="str">
        <x:v>Pago</x:v>
      </x:c>
      <x:c r="N564" s="13" t="str">
        <x:v>Sem cobrança</x:v>
      </x:c>
      <x:c r="O564" s="13" t="str">
        <x:v>Crescimento sem escala</x:v>
      </x:c>
      <x:c r="P564" s="17" t="n">
        <x:f>IF(D564="",0,J564-K564+L564)</x:f>
        <x:v>12434.75</x:v>
      </x:c>
      <x:c r="Q564" s="17" t="n">
        <x:f>MAX(J564-P564-K564,0)</x:f>
        <x:v>0</x:v>
      </x:c>
      <x:c r="R564" s="13" t="n">
        <x:f>IF(D564="",MAX(TODAY()-C564,0),MAX(D564-C564,0))</x:f>
        <x:v>0</x:v>
      </x:c>
      <x:c r="S564" s="13" t="str">
        <x:f>IF(R564=0,"Em dia",IF(R564&lt;=15,"1-15 dias",IF(R564&lt;=30,"16-30 dias",IF(R564&lt;=60,"31-60 dias","Acima de 60 dias"))))</x:f>
        <x:v>Em dia</x:v>
      </x:c>
    </x:row>
    <x:row r="565">
      <x:c r="A565" s="13" t="str">
        <x:v>REC-000564</x:v>
      </x:c>
      <x:c r="B565" s="23" t="n">
        <x:v>45583</x:v>
      </x:c>
      <x:c r="C565" s="23" t="n">
        <x:v>45590</x:v>
      </x:c>
      <x:c r="D565" s="23" t="n">
        <x:v>45587</x:v>
      </x:c>
      <x:c r="E565" s="13" t="str">
        <x:v>VAL-004</x:v>
      </x:c>
      <x:c r="F565" s="13" t="str">
        <x:v>NuvemBase Tecnologia</x:v>
      </x:c>
      <x:c r="G565" s="13" t="str">
        <x:v>Tecnologia</x:v>
      </x:c>
      <x:c r="H565" s="13" t="str">
        <x:v>Baixo</x:v>
      </x:c>
      <x:c r="I565" s="13" t="str">
        <x:v>Enterprise</x:v>
      </x:c>
      <x:c r="J565" s="17" t="n">
        <x:v>6007.5</x:v>
      </x:c>
      <x:c r="K565" s="17" t="n">
        <x:v>0</x:v>
      </x:c>
      <x:c r="L565" s="17" t="n">
        <x:v>0</x:v>
      </x:c>
      <x:c r="M565" s="13" t="str">
        <x:v>Pago</x:v>
      </x:c>
      <x:c r="N565" s="13" t="str">
        <x:v>Sem cobrança</x:v>
      </x:c>
      <x:c r="O565" s="13" t="str">
        <x:v>Crescimento sem escala</x:v>
      </x:c>
      <x:c r="P565" s="17" t="n">
        <x:f>IF(D565="",0,J565-K565+L565)</x:f>
        <x:v>6007.5</x:v>
      </x:c>
      <x:c r="Q565" s="17" t="n">
        <x:f>MAX(J565-P565-K565,0)</x:f>
        <x:v>0</x:v>
      </x:c>
      <x:c r="R565" s="13" t="n">
        <x:f>IF(D565="",MAX(TODAY()-C565,0),MAX(D565-C565,0))</x:f>
        <x:v>0</x:v>
      </x:c>
      <x:c r="S565" s="13" t="str">
        <x:f>IF(R565=0,"Em dia",IF(R565&lt;=15,"1-15 dias",IF(R565&lt;=30,"16-30 dias",IF(R565&lt;=60,"31-60 dias","Acima de 60 dias"))))</x:f>
        <x:v>Em dia</x:v>
      </x:c>
    </x:row>
    <x:row r="566">
      <x:c r="A566" s="13" t="str">
        <x:v>REC-000565</x:v>
      </x:c>
      <x:c r="B566" s="23" t="n">
        <x:v>45572</x:v>
      </x:c>
      <x:c r="C566" s="23" t="n">
        <x:v>45602</x:v>
      </x:c>
      <x:c r="D566" s="23" t="n">
        <x:v>45600</x:v>
      </x:c>
      <x:c r="E566" s="13" t="str">
        <x:v>VAL-010</x:v>
      </x:c>
      <x:c r="F566" s="13" t="str">
        <x:v>Atlas Contabilidade</x:v>
      </x:c>
      <x:c r="G566" s="13" t="str">
        <x:v>Serviços Profissionais</x:v>
      </x:c>
      <x:c r="H566" s="13" t="str">
        <x:v>Baixo</x:v>
      </x:c>
      <x:c r="I566" s="13" t="str">
        <x:v>Gestão</x:v>
      </x:c>
      <x:c r="J566" s="17" t="n">
        <x:v>6937.95</x:v>
      </x:c>
      <x:c r="K566" s="17" t="n">
        <x:v>0</x:v>
      </x:c>
      <x:c r="L566" s="17" t="n">
        <x:v>0</x:v>
      </x:c>
      <x:c r="M566" s="13" t="str">
        <x:v>Pago</x:v>
      </x:c>
      <x:c r="N566" s="13" t="str">
        <x:v>Sem cobrança</x:v>
      </x:c>
      <x:c r="O566" s="13" t="str">
        <x:v>Crescimento sem escala</x:v>
      </x:c>
      <x:c r="P566" s="17" t="n">
        <x:f>IF(D566="",0,J566-K566+L566)</x:f>
        <x:v>6937.95</x:v>
      </x:c>
      <x:c r="Q566" s="17" t="n">
        <x:f>MAX(J566-P566-K566,0)</x:f>
        <x:v>0</x:v>
      </x:c>
      <x:c r="R566" s="13" t="n">
        <x:f>IF(D566="",MAX(TODAY()-C566,0),MAX(D566-C566,0))</x:f>
        <x:v>0</x:v>
      </x:c>
      <x:c r="S566" s="13" t="str">
        <x:f>IF(R566=0,"Em dia",IF(R566&lt;=15,"1-15 dias",IF(R566&lt;=30,"16-30 dias",IF(R566&lt;=60,"31-60 dias","Acima de 60 dias"))))</x:f>
        <x:v>Em dia</x:v>
      </x:c>
    </x:row>
    <x:row r="567">
      <x:c r="A567" s="13" t="str">
        <x:v>REC-000566</x:v>
      </x:c>
      <x:c r="B567" s="23" t="n">
        <x:v>45568</x:v>
      </x:c>
      <x:c r="C567" s="23" t="n">
        <x:v>45583</x:v>
      </x:c>
      <x:c r="D567" s="23" t="n">
        <x:v>45582</x:v>
      </x:c>
      <x:c r="E567" s="13" t="str">
        <x:v>VAL-014</x:v>
      </x:c>
      <x:c r="F567" s="13" t="str">
        <x:v>Colégio Caminhos</x:v>
      </x:c>
      <x:c r="G567" s="13" t="str">
        <x:v>Educação</x:v>
      </x:c>
      <x:c r="H567" s="13" t="str">
        <x:v>Médio</x:v>
      </x:c>
      <x:c r="I567" s="13" t="str">
        <x:v>Gestão</x:v>
      </x:c>
      <x:c r="J567" s="17" t="n">
        <x:v>22704.78</x:v>
      </x:c>
      <x:c r="K567" s="17" t="n">
        <x:v>0</x:v>
      </x:c>
      <x:c r="L567" s="17" t="n">
        <x:v>0</x:v>
      </x:c>
      <x:c r="M567" s="13" t="str">
        <x:v>Pago</x:v>
      </x:c>
      <x:c r="N567" s="13" t="str">
        <x:v>Sem cobrança</x:v>
      </x:c>
      <x:c r="O567" s="13" t="str">
        <x:v>Crescimento sem escala</x:v>
      </x:c>
      <x:c r="P567" s="17" t="n">
        <x:f>IF(D567="",0,J567-K567+L567)</x:f>
        <x:v>22704.78</x:v>
      </x:c>
      <x:c r="Q567" s="17" t="n">
        <x:f>MAX(J567-P567-K567,0)</x:f>
        <x:v>0</x:v>
      </x:c>
      <x:c r="R567" s="13" t="n">
        <x:f>IF(D567="",MAX(TODAY()-C567,0),MAX(D567-C567,0))</x:f>
        <x:v>0</x:v>
      </x:c>
      <x:c r="S567" s="13" t="str">
        <x:f>IF(R567=0,"Em dia",IF(R567&lt;=15,"1-15 dias",IF(R567&lt;=30,"16-30 dias",IF(R567&lt;=60,"31-60 dias","Acima de 60 dias"))))</x:f>
        <x:v>Em dia</x:v>
      </x:c>
    </x:row>
    <x:row r="568">
      <x:c r="A568" s="13" t="str">
        <x:v>REC-000567</x:v>
      </x:c>
      <x:c r="B568" s="23" t="n">
        <x:v>45579</x:v>
      </x:c>
      <x:c r="C568" s="23" t="n">
        <x:v>45600</x:v>
      </x:c>
      <x:c r="D568" s="23" t="n">
        <x:v>45598</x:v>
      </x:c>
      <x:c r="E568" s="13" t="str">
        <x:v>VAL-013</x:v>
      </x:c>
      <x:c r="F568" s="13" t="str">
        <x:v>Engenharia Vértice</x:v>
      </x:c>
      <x:c r="G568" s="13" t="str">
        <x:v>Construção</x:v>
      </x:c>
      <x:c r="H568" s="13" t="str">
        <x:v>Baixo</x:v>
      </x:c>
      <x:c r="I568" s="13" t="str">
        <x:v>Essencial</x:v>
      </x:c>
      <x:c r="J568" s="17" t="n">
        <x:v>7174.36</x:v>
      </x:c>
      <x:c r="K568" s="17" t="n">
        <x:v>0</x:v>
      </x:c>
      <x:c r="L568" s="17" t="n">
        <x:v>0</x:v>
      </x:c>
      <x:c r="M568" s="13" t="str">
        <x:v>Pago</x:v>
      </x:c>
      <x:c r="N568" s="13" t="str">
        <x:v>Sem cobrança</x:v>
      </x:c>
      <x:c r="O568" s="13" t="str">
        <x:v>Crescimento sem escala</x:v>
      </x:c>
      <x:c r="P568" s="17" t="n">
        <x:f>IF(D568="",0,J568-K568+L568)</x:f>
        <x:v>7174.36</x:v>
      </x:c>
      <x:c r="Q568" s="17" t="n">
        <x:f>MAX(J568-P568-K568,0)</x:f>
        <x:v>0</x:v>
      </x:c>
      <x:c r="R568" s="13" t="n">
        <x:f>IF(D568="",MAX(TODAY()-C568,0),MAX(D568-C568,0))</x:f>
        <x:v>0</x:v>
      </x:c>
      <x:c r="S568" s="13" t="str">
        <x:f>IF(R568=0,"Em dia",IF(R568&lt;=15,"1-15 dias",IF(R568&lt;=30,"16-30 dias",IF(R568&lt;=60,"31-60 dias","Acima de 60 dias"))))</x:f>
        <x:v>Em dia</x:v>
      </x:c>
    </x:row>
    <x:row r="569">
      <x:c r="A569" s="13" t="str">
        <x:v>REC-000568</x:v>
      </x:c>
      <x:c r="B569" s="23" t="n">
        <x:v>45584</x:v>
      </x:c>
      <x:c r="C569" s="23" t="n">
        <x:v>45599</x:v>
      </x:c>
      <x:c r="D569" s="23" t="n">
        <x:v>45599</x:v>
      </x:c>
      <x:c r="E569" s="13" t="str">
        <x:v>VAL-025</x:v>
      </x:c>
      <x:c r="F569" s="13" t="str">
        <x:v>Bem-Estar Terapias</x:v>
      </x:c>
      <x:c r="G569" s="13" t="str">
        <x:v>Clínicas e Saúde</x:v>
      </x:c>
      <x:c r="H569" s="13" t="str">
        <x:v>Baixo</x:v>
      </x:c>
      <x:c r="I569" s="13" t="str">
        <x:v>Essencial</x:v>
      </x:c>
      <x:c r="J569" s="17" t="n">
        <x:v>22926.27</x:v>
      </x:c>
      <x:c r="K569" s="17" t="n">
        <x:v>0</x:v>
      </x:c>
      <x:c r="L569" s="17" t="n">
        <x:v>0</x:v>
      </x:c>
      <x:c r="M569" s="13" t="str">
        <x:v>Pago</x:v>
      </x:c>
      <x:c r="N569" s="13" t="str">
        <x:v>Sem cobrança</x:v>
      </x:c>
      <x:c r="O569" s="13" t="str">
        <x:v>Crescimento sem escala</x:v>
      </x:c>
      <x:c r="P569" s="17" t="n">
        <x:f>IF(D569="",0,J569-K569+L569)</x:f>
        <x:v>22926.27</x:v>
      </x:c>
      <x:c r="Q569" s="17" t="n">
        <x:f>MAX(J569-P569-K569,0)</x:f>
        <x:v>0</x:v>
      </x:c>
      <x:c r="R569" s="13" t="n">
        <x:f>IF(D569="",MAX(TODAY()-C569,0),MAX(D569-C569,0))</x:f>
        <x:v>0</x:v>
      </x:c>
      <x:c r="S569" s="13" t="str">
        <x:f>IF(R569=0,"Em dia",IF(R569&lt;=15,"1-15 dias",IF(R569&lt;=30,"16-30 dias",IF(R569&lt;=60,"31-60 dias","Acima de 60 dias"))))</x:f>
        <x:v>Em dia</x:v>
      </x:c>
    </x:row>
    <x:row r="570">
      <x:c r="A570" s="13" t="str">
        <x:v>REC-000569</x:v>
      </x:c>
      <x:c r="B570" s="23" t="n">
        <x:v>45567</x:v>
      </x:c>
      <x:c r="C570" s="23" t="n">
        <x:v>45582</x:v>
      </x:c>
      <x:c r="D570" s="23" t="n">
        <x:v>45579</x:v>
      </x:c>
      <x:c r="E570" s="13" t="str">
        <x:v>VAL-012</x:v>
      </x:c>
      <x:c r="F570" s="13" t="str">
        <x:v>DataFlow Sistemas</x:v>
      </x:c>
      <x:c r="G570" s="13" t="str">
        <x:v>Tecnologia</x:v>
      </x:c>
      <x:c r="H570" s="13" t="str">
        <x:v>Médio</x:v>
      </x:c>
      <x:c r="I570" s="13" t="str">
        <x:v>Enterprise</x:v>
      </x:c>
      <x:c r="J570" s="17" t="n">
        <x:v>11511.2</x:v>
      </x:c>
      <x:c r="K570" s="17" t="n">
        <x:v>0</x:v>
      </x:c>
      <x:c r="L570" s="17" t="n">
        <x:v>0</x:v>
      </x:c>
      <x:c r="M570" s="13" t="str">
        <x:v>Pago</x:v>
      </x:c>
      <x:c r="N570" s="13" t="str">
        <x:v>Sem cobrança</x:v>
      </x:c>
      <x:c r="O570" s="13" t="str">
        <x:v>Crescimento sem escala</x:v>
      </x:c>
      <x:c r="P570" s="17" t="n">
        <x:f>IF(D570="",0,J570-K570+L570)</x:f>
        <x:v>11511.2</x:v>
      </x:c>
      <x:c r="Q570" s="17" t="n">
        <x:f>MAX(J570-P570-K570,0)</x:f>
        <x:v>0</x:v>
      </x:c>
      <x:c r="R570" s="13" t="n">
        <x:f>IF(D570="",MAX(TODAY()-C570,0),MAX(D570-C570,0))</x:f>
        <x:v>0</x:v>
      </x:c>
      <x:c r="S570" s="13" t="str">
        <x:f>IF(R570=0,"Em dia",IF(R570&lt;=15,"1-15 dias",IF(R570&lt;=30,"16-30 dias",IF(R570&lt;=60,"31-60 dias","Acima de 60 dias"))))</x:f>
        <x:v>Em dia</x:v>
      </x:c>
    </x:row>
    <x:row r="571">
      <x:c r="A571" s="13" t="str">
        <x:v>REC-000570</x:v>
      </x:c>
      <x:c r="B571" s="23" t="n">
        <x:v>45573</x:v>
      </x:c>
      <x:c r="C571" s="23" t="n">
        <x:v>45594</x:v>
      </x:c>
      <x:c r="D571" s="23" t="n">
        <x:v>45593</x:v>
      </x:c>
      <x:c r="E571" s="13" t="str">
        <x:v>VAL-011</x:v>
      </x:c>
      <x:c r="F571" s="13" t="str">
        <x:v>Rede Essencial</x:v>
      </x:c>
      <x:c r="G571" s="13" t="str">
        <x:v>Varejo</x:v>
      </x:c>
      <x:c r="H571" s="13" t="str">
        <x:v>Médio</x:v>
      </x:c>
      <x:c r="I571" s="13" t="str">
        <x:v>Performance</x:v>
      </x:c>
      <x:c r="J571" s="17" t="n">
        <x:v>16778.53</x:v>
      </x:c>
      <x:c r="K571" s="17" t="n">
        <x:v>0</x:v>
      </x:c>
      <x:c r="L571" s="17" t="n">
        <x:v>0</x:v>
      </x:c>
      <x:c r="M571" s="13" t="str">
        <x:v>Pago</x:v>
      </x:c>
      <x:c r="N571" s="13" t="str">
        <x:v>Sem cobrança</x:v>
      </x:c>
      <x:c r="O571" s="13" t="str">
        <x:v>Crescimento sem escala</x:v>
      </x:c>
      <x:c r="P571" s="17" t="n">
        <x:f>IF(D571="",0,J571-K571+L571)</x:f>
        <x:v>16778.53</x:v>
      </x:c>
      <x:c r="Q571" s="17" t="n">
        <x:f>MAX(J571-P571-K571,0)</x:f>
        <x:v>0</x:v>
      </x:c>
      <x:c r="R571" s="13" t="n">
        <x:f>IF(D571="",MAX(TODAY()-C571,0),MAX(D571-C571,0))</x:f>
        <x:v>0</x:v>
      </x:c>
      <x:c r="S571" s="13" t="str">
        <x:f>IF(R571=0,"Em dia",IF(R571&lt;=15,"1-15 dias",IF(R571&lt;=30,"16-30 dias",IF(R571&lt;=60,"31-60 dias","Acima de 60 dias"))))</x:f>
        <x:v>Em dia</x:v>
      </x:c>
    </x:row>
    <x:row r="572">
      <x:c r="A572" s="13" t="str">
        <x:v>REC-000571</x:v>
      </x:c>
      <x:c r="B572" s="23" t="n">
        <x:v>45573</x:v>
      </x:c>
      <x:c r="C572" s="23" t="n">
        <x:v>45594</x:v>
      </x:c>
      <x:c r="D572" s="23" t="n">
        <x:v>45592</x:v>
      </x:c>
      <x:c r="E572" s="13" t="str">
        <x:v>VAL-004</x:v>
      </x:c>
      <x:c r="F572" s="13" t="str">
        <x:v>NuvemBase Tecnologia</x:v>
      </x:c>
      <x:c r="G572" s="13" t="str">
        <x:v>Tecnologia</x:v>
      </x:c>
      <x:c r="H572" s="13" t="str">
        <x:v>Baixo</x:v>
      </x:c>
      <x:c r="I572" s="13" t="str">
        <x:v>Enterprise</x:v>
      </x:c>
      <x:c r="J572" s="17" t="n">
        <x:v>3404.8</x:v>
      </x:c>
      <x:c r="K572" s="17" t="n">
        <x:v>0</x:v>
      </x:c>
      <x:c r="L572" s="17" t="n">
        <x:v>0</x:v>
      </x:c>
      <x:c r="M572" s="13" t="str">
        <x:v>Pago</x:v>
      </x:c>
      <x:c r="N572" s="13" t="str">
        <x:v>Sem cobrança</x:v>
      </x:c>
      <x:c r="O572" s="13" t="str">
        <x:v>Crescimento sem escala</x:v>
      </x:c>
      <x:c r="P572" s="17" t="n">
        <x:f>IF(D572="",0,J572-K572+L572)</x:f>
        <x:v>3404.8</x:v>
      </x:c>
      <x:c r="Q572" s="17" t="n">
        <x:f>MAX(J572-P572-K572,0)</x:f>
        <x:v>0</x:v>
      </x:c>
      <x:c r="R572" s="13" t="n">
        <x:f>IF(D572="",MAX(TODAY()-C572,0),MAX(D572-C572,0))</x:f>
        <x:v>0</x:v>
      </x:c>
      <x:c r="S572" s="13" t="str">
        <x:f>IF(R572=0,"Em dia",IF(R572&lt;=15,"1-15 dias",IF(R572&lt;=30,"16-30 dias",IF(R572&lt;=60,"31-60 dias","Acima de 60 dias"))))</x:f>
        <x:v>Em dia</x:v>
      </x:c>
    </x:row>
    <x:row r="573">
      <x:c r="A573" s="13" t="str">
        <x:v>REC-000572</x:v>
      </x:c>
      <x:c r="B573" s="23" t="n">
        <x:v>45574</x:v>
      </x:c>
      <x:c r="C573" s="23" t="n">
        <x:v>45595</x:v>
      </x:c>
      <x:c r="D573" s="23" t="n">
        <x:v>45593</x:v>
      </x:c>
      <x:c r="E573" s="13" t="str">
        <x:v>VAL-002</x:v>
      </x:c>
      <x:c r="F573" s="13" t="str">
        <x:v>Mendes &amp; Prado Consultoria</x:v>
      </x:c>
      <x:c r="G573" s="13" t="str">
        <x:v>Serviços Profissionais</x:v>
      </x:c>
      <x:c r="H573" s="13" t="str">
        <x:v>Baixo</x:v>
      </x:c>
      <x:c r="I573" s="13" t="str">
        <x:v>Gestão</x:v>
      </x:c>
      <x:c r="J573" s="17" t="n">
        <x:v>18515.22</x:v>
      </x:c>
      <x:c r="K573" s="17" t="n">
        <x:v>0</x:v>
      </x:c>
      <x:c r="L573" s="17" t="n">
        <x:v>0</x:v>
      </x:c>
      <x:c r="M573" s="13" t="str">
        <x:v>Pago</x:v>
      </x:c>
      <x:c r="N573" s="13" t="str">
        <x:v>Sem cobrança</x:v>
      </x:c>
      <x:c r="O573" s="13" t="str">
        <x:v>Crescimento sem escala</x:v>
      </x:c>
      <x:c r="P573" s="17" t="n">
        <x:f>IF(D573="",0,J573-K573+L573)</x:f>
        <x:v>18515.22</x:v>
      </x:c>
      <x:c r="Q573" s="17" t="n">
        <x:f>MAX(J573-P573-K573,0)</x:f>
        <x:v>0</x:v>
      </x:c>
      <x:c r="R573" s="13" t="n">
        <x:f>IF(D573="",MAX(TODAY()-C573,0),MAX(D573-C573,0))</x:f>
        <x:v>0</x:v>
      </x:c>
      <x:c r="S573" s="13" t="str">
        <x:f>IF(R573=0,"Em dia",IF(R573&lt;=15,"1-15 dias",IF(R573&lt;=30,"16-30 dias",IF(R573&lt;=60,"31-60 dias","Acima de 60 dias"))))</x:f>
        <x:v>Em dia</x:v>
      </x:c>
    </x:row>
    <x:row r="574">
      <x:c r="A574" s="13" t="str">
        <x:v>REC-000573</x:v>
      </x:c>
      <x:c r="B574" s="23" t="n">
        <x:v>45569</x:v>
      </x:c>
      <x:c r="C574" s="23" t="n">
        <x:v>45590</x:v>
      </x:c>
      <x:c r="D574" s="23" t="n">
        <x:v>45586</x:v>
      </x:c>
      <x:c r="E574" s="13" t="str">
        <x:v>VAL-020</x:v>
      </x:c>
      <x:c r="F574" s="13" t="str">
        <x:v>Corelink Digital</x:v>
      </x:c>
      <x:c r="G574" s="13" t="str">
        <x:v>Tecnologia</x:v>
      </x:c>
      <x:c r="H574" s="13" t="str">
        <x:v>Baixo</x:v>
      </x:c>
      <x:c r="I574" s="13" t="str">
        <x:v>Enterprise</x:v>
      </x:c>
      <x:c r="J574" s="17" t="n">
        <x:v>2224.17</x:v>
      </x:c>
      <x:c r="K574" s="17" t="n">
        <x:v>0</x:v>
      </x:c>
      <x:c r="L574" s="17" t="n">
        <x:v>0</x:v>
      </x:c>
      <x:c r="M574" s="13" t="str">
        <x:v>Pago</x:v>
      </x:c>
      <x:c r="N574" s="13" t="str">
        <x:v>Sem cobrança</x:v>
      </x:c>
      <x:c r="O574" s="13" t="str">
        <x:v>Crescimento sem escala</x:v>
      </x:c>
      <x:c r="P574" s="17" t="n">
        <x:f>IF(D574="",0,J574-K574+L574)</x:f>
        <x:v>2224.17</x:v>
      </x:c>
      <x:c r="Q574" s="17" t="n">
        <x:f>MAX(J574-P574-K574,0)</x:f>
        <x:v>0</x:v>
      </x:c>
      <x:c r="R574" s="13" t="n">
        <x:f>IF(D574="",MAX(TODAY()-C574,0),MAX(D574-C574,0))</x:f>
        <x:v>0</x:v>
      </x:c>
      <x:c r="S574" s="13" t="str">
        <x:f>IF(R574=0,"Em dia",IF(R574&lt;=15,"1-15 dias",IF(R574&lt;=30,"16-30 dias",IF(R574&lt;=60,"31-60 dias","Acima de 60 dias"))))</x:f>
        <x:v>Em dia</x:v>
      </x:c>
    </x:row>
    <x:row r="575">
      <x:c r="A575" s="13" t="str">
        <x:v>REC-000574</x:v>
      </x:c>
      <x:c r="B575" s="23" t="n">
        <x:v>45580</x:v>
      </x:c>
      <x:c r="C575" s="23" t="n">
        <x:v>45608</x:v>
      </x:c>
      <x:c r="D575" s="23" t="n">
        <x:v>45604</x:v>
      </x:c>
      <x:c r="E575" s="13" t="str">
        <x:v>VAL-003</x:v>
      </x:c>
      <x:c r="F575" s="13" t="str">
        <x:v>Casa Nova Varejo</x:v>
      </x:c>
      <x:c r="G575" s="13" t="str">
        <x:v>Varejo</x:v>
      </x:c>
      <x:c r="H575" s="13" t="str">
        <x:v>Baixo</x:v>
      </x:c>
      <x:c r="I575" s="13" t="str">
        <x:v>Performance</x:v>
      </x:c>
      <x:c r="J575" s="17" t="n">
        <x:v>19422.9</x:v>
      </x:c>
      <x:c r="K575" s="17" t="n">
        <x:v>0</x:v>
      </x:c>
      <x:c r="L575" s="17" t="n">
        <x:v>0</x:v>
      </x:c>
      <x:c r="M575" s="13" t="str">
        <x:v>Pago</x:v>
      </x:c>
      <x:c r="N575" s="13" t="str">
        <x:v>Sem cobrança</x:v>
      </x:c>
      <x:c r="O575" s="13" t="str">
        <x:v>Crescimento sem escala</x:v>
      </x:c>
      <x:c r="P575" s="17" t="n">
        <x:f>IF(D575="",0,J575-K575+L575)</x:f>
        <x:v>19422.9</x:v>
      </x:c>
      <x:c r="Q575" s="17" t="n">
        <x:f>MAX(J575-P575-K575,0)</x:f>
        <x:v>0</x:v>
      </x:c>
      <x:c r="R575" s="13" t="n">
        <x:f>IF(D575="",MAX(TODAY()-C575,0),MAX(D575-C575,0))</x:f>
        <x:v>0</x:v>
      </x:c>
      <x:c r="S575" s="13" t="str">
        <x:f>IF(R575=0,"Em dia",IF(R575&lt;=15,"1-15 dias",IF(R575&lt;=30,"16-30 dias",IF(R575&lt;=60,"31-60 dias","Acima de 60 dias"))))</x:f>
        <x:v>Em dia</x:v>
      </x:c>
    </x:row>
    <x:row r="576">
      <x:c r="A576" s="13" t="str">
        <x:v>REC-000575</x:v>
      </x:c>
      <x:c r="B576" s="23" t="n">
        <x:v>45581</x:v>
      </x:c>
      <x:c r="C576" s="23" t="n">
        <x:v>45602</x:v>
      </x:c>
      <x:c r="D576" s="23" t="n">
        <x:v>45598</x:v>
      </x:c>
      <x:c r="E576" s="13" t="str">
        <x:v>VAL-013</x:v>
      </x:c>
      <x:c r="F576" s="13" t="str">
        <x:v>Engenharia Vértice</x:v>
      </x:c>
      <x:c r="G576" s="13" t="str">
        <x:v>Construção</x:v>
      </x:c>
      <x:c r="H576" s="13" t="str">
        <x:v>Baixo</x:v>
      </x:c>
      <x:c r="I576" s="13" t="str">
        <x:v>Essencial</x:v>
      </x:c>
      <x:c r="J576" s="17" t="n">
        <x:v>11555.41</x:v>
      </x:c>
      <x:c r="K576" s="17" t="n">
        <x:v>0</x:v>
      </x:c>
      <x:c r="L576" s="17" t="n">
        <x:v>0</x:v>
      </x:c>
      <x:c r="M576" s="13" t="str">
        <x:v>Pago</x:v>
      </x:c>
      <x:c r="N576" s="13" t="str">
        <x:v>Sem cobrança</x:v>
      </x:c>
      <x:c r="O576" s="13" t="str">
        <x:v>Crescimento sem escala</x:v>
      </x:c>
      <x:c r="P576" s="17" t="n">
        <x:f>IF(D576="",0,J576-K576+L576)</x:f>
        <x:v>11555.41</x:v>
      </x:c>
      <x:c r="Q576" s="17" t="n">
        <x:f>MAX(J576-P576-K576,0)</x:f>
        <x:v>0</x:v>
      </x:c>
      <x:c r="R576" s="13" t="n">
        <x:f>IF(D576="",MAX(TODAY()-C576,0),MAX(D576-C576,0))</x:f>
        <x:v>0</x:v>
      </x:c>
      <x:c r="S576" s="13" t="str">
        <x:f>IF(R576=0,"Em dia",IF(R576&lt;=15,"1-15 dias",IF(R576&lt;=30,"16-30 dias",IF(R576&lt;=60,"31-60 dias","Acima de 60 dias"))))</x:f>
        <x:v>Em dia</x:v>
      </x:c>
    </x:row>
    <x:row r="577">
      <x:c r="A577" s="13" t="str">
        <x:v>REC-000576</x:v>
      </x:c>
      <x:c r="B577" s="23" t="n">
        <x:v>45575</x:v>
      </x:c>
      <x:c r="C577" s="23" t="n">
        <x:v>45596</x:v>
      </x:c>
      <x:c r="D577" s="23" t="n">
        <x:v>45596</x:v>
      </x:c>
      <x:c r="E577" s="13" t="str">
        <x:v>VAL-024</x:v>
      </x:c>
      <x:c r="F577" s="13" t="str">
        <x:v>NovaForma Móveis</x:v>
      </x:c>
      <x:c r="G577" s="13" t="str">
        <x:v>Indústria Leve</x:v>
      </x:c>
      <x:c r="H577" s="13" t="str">
        <x:v>Baixo</x:v>
      </x:c>
      <x:c r="I577" s="13" t="str">
        <x:v>Enterprise</x:v>
      </x:c>
      <x:c r="J577" s="17" t="n">
        <x:v>28322.54</x:v>
      </x:c>
      <x:c r="K577" s="17" t="n">
        <x:v>315.03</x:v>
      </x:c>
      <x:c r="L577" s="17" t="n">
        <x:v>0</x:v>
      </x:c>
      <x:c r="M577" s="13" t="str">
        <x:v>Pago</x:v>
      </x:c>
      <x:c r="N577" s="13" t="str">
        <x:v>Sem cobrança</x:v>
      </x:c>
      <x:c r="O577" s="13" t="str">
        <x:v>Crescimento sem escala</x:v>
      </x:c>
      <x:c r="P577" s="17" t="n">
        <x:f>IF(D577="",0,J577-K577+L577)</x:f>
        <x:v>28007.510000000002</x:v>
      </x:c>
      <x:c r="Q577" s="17" t="n">
        <x:f>MAX(J577-P577-K577,0)</x:f>
        <x:v>0</x:v>
      </x:c>
      <x:c r="R577" s="13" t="n">
        <x:f>IF(D577="",MAX(TODAY()-C577,0),MAX(D577-C577,0))</x:f>
        <x:v>0</x:v>
      </x:c>
      <x:c r="S577" s="13" t="str">
        <x:f>IF(R577=0,"Em dia",IF(R577&lt;=15,"1-15 dias",IF(R577&lt;=30,"16-30 dias",IF(R577&lt;=60,"31-60 dias","Acima de 60 dias"))))</x:f>
        <x:v>Em dia</x:v>
      </x:c>
    </x:row>
    <x:row r="578">
      <x:c r="A578" s="13" t="str">
        <x:v>REC-000577</x:v>
      </x:c>
      <x:c r="B578" s="23" t="n">
        <x:v>45567</x:v>
      </x:c>
      <x:c r="C578" s="23" t="n">
        <x:v>45597</x:v>
      </x:c>
      <x:c r="D578" s="23" t="n">
        <x:v>45595</x:v>
      </x:c>
      <x:c r="E578" s="13" t="str">
        <x:v>VAL-022</x:v>
      </x:c>
      <x:c r="F578" s="13" t="str">
        <x:v>Academia Evoluir</x:v>
      </x:c>
      <x:c r="G578" s="13" t="str">
        <x:v>Educação</x:v>
      </x:c>
      <x:c r="H578" s="13" t="str">
        <x:v>Alto</x:v>
      </x:c>
      <x:c r="I578" s="13" t="str">
        <x:v>Gestão</x:v>
      </x:c>
      <x:c r="J578" s="17" t="n">
        <x:v>1526.7</x:v>
      </x:c>
      <x:c r="K578" s="17" t="n">
        <x:v>0</x:v>
      </x:c>
      <x:c r="L578" s="17" t="n">
        <x:v>0</x:v>
      </x:c>
      <x:c r="M578" s="13" t="str">
        <x:v>Pago</x:v>
      </x:c>
      <x:c r="N578" s="13" t="str">
        <x:v>Sem cobrança</x:v>
      </x:c>
      <x:c r="O578" s="13" t="str">
        <x:v>Crescimento sem escala</x:v>
      </x:c>
      <x:c r="P578" s="17" t="n">
        <x:f>IF(D578="",0,J578-K578+L578)</x:f>
        <x:v>1526.7</x:v>
      </x:c>
      <x:c r="Q578" s="17" t="n">
        <x:f>MAX(J578-P578-K578,0)</x:f>
        <x:v>0</x:v>
      </x:c>
      <x:c r="R578" s="13" t="n">
        <x:f>IF(D578="",MAX(TODAY()-C578,0),MAX(D578-C578,0))</x:f>
        <x:v>0</x:v>
      </x:c>
      <x:c r="S578" s="13" t="str">
        <x:f>IF(R578=0,"Em dia",IF(R578&lt;=15,"1-15 dias",IF(R578&lt;=30,"16-30 dias",IF(R578&lt;=60,"31-60 dias","Acima de 60 dias"))))</x:f>
        <x:v>Em dia</x:v>
      </x:c>
    </x:row>
    <x:row r="579">
      <x:c r="A579" s="13" t="str">
        <x:v>REC-000578</x:v>
      </x:c>
      <x:c r="B579" s="23" t="n">
        <x:v>45570</x:v>
      </x:c>
      <x:c r="C579" s="23" t="n">
        <x:v>45585</x:v>
      </x:c>
      <x:c r="D579" s="23" t="n">
        <x:v>45582</x:v>
      </x:c>
      <x:c r="E579" s="13" t="str">
        <x:v>VAL-017</x:v>
      </x:c>
      <x:c r="F579" s="13" t="str">
        <x:v>Centro Médico Vida</x:v>
      </x:c>
      <x:c r="G579" s="13" t="str">
        <x:v>Clínicas e Saúde</x:v>
      </x:c>
      <x:c r="H579" s="13" t="str">
        <x:v>Baixo</x:v>
      </x:c>
      <x:c r="I579" s="13" t="str">
        <x:v>Essencial</x:v>
      </x:c>
      <x:c r="J579" s="17" t="n">
        <x:v>11731.04</x:v>
      </x:c>
      <x:c r="K579" s="17" t="n">
        <x:v>0</x:v>
      </x:c>
      <x:c r="L579" s="17" t="n">
        <x:v>0</x:v>
      </x:c>
      <x:c r="M579" s="13" t="str">
        <x:v>Pago</x:v>
      </x:c>
      <x:c r="N579" s="13" t="str">
        <x:v>Sem cobrança</x:v>
      </x:c>
      <x:c r="O579" s="13" t="str">
        <x:v>Crescimento sem escala</x:v>
      </x:c>
      <x:c r="P579" s="17" t="n">
        <x:f>IF(D579="",0,J579-K579+L579)</x:f>
        <x:v>11731.04</x:v>
      </x:c>
      <x:c r="Q579" s="17" t="n">
        <x:f>MAX(J579-P579-K579,0)</x:f>
        <x:v>0</x:v>
      </x:c>
      <x:c r="R579" s="13" t="n">
        <x:f>IF(D579="",MAX(TODAY()-C579,0),MAX(D579-C579,0))</x:f>
        <x:v>0</x:v>
      </x:c>
      <x:c r="S579" s="13" t="str">
        <x:f>IF(R579=0,"Em dia",IF(R579&lt;=15,"1-15 dias",IF(R579&lt;=30,"16-30 dias",IF(R579&lt;=60,"31-60 dias","Acima de 60 dias"))))</x:f>
        <x:v>Em dia</x:v>
      </x:c>
    </x:row>
    <x:row r="580">
      <x:c r="A580" s="13" t="str">
        <x:v>REC-000579</x:v>
      </x:c>
      <x:c r="B580" s="23" t="n">
        <x:v>45568</x:v>
      </x:c>
      <x:c r="C580" s="23" t="n">
        <x:v>45589</x:v>
      </x:c>
      <x:c r="D580" s="23" t="n">
        <x:v>45587</x:v>
      </x:c>
      <x:c r="E580" s="13" t="str">
        <x:v>VAL-026</x:v>
      </x:c>
      <x:c r="F580" s="13" t="str">
        <x:v>Ribeiro Arquitetura</x:v>
      </x:c>
      <x:c r="G580" s="13" t="str">
        <x:v>Serviços Profissionais</x:v>
      </x:c>
      <x:c r="H580" s="13" t="str">
        <x:v>Baixo</x:v>
      </x:c>
      <x:c r="I580" s="13" t="str">
        <x:v>Gestão</x:v>
      </x:c>
      <x:c r="J580" s="17" t="n">
        <x:v>14806.96</x:v>
      </x:c>
      <x:c r="K580" s="17" t="n">
        <x:v>0</x:v>
      </x:c>
      <x:c r="L580" s="17" t="n">
        <x:v>0</x:v>
      </x:c>
      <x:c r="M580" s="13" t="str">
        <x:v>Pago</x:v>
      </x:c>
      <x:c r="N580" s="13" t="str">
        <x:v>Sem cobrança</x:v>
      </x:c>
      <x:c r="O580" s="13" t="str">
        <x:v>Crescimento sem escala</x:v>
      </x:c>
      <x:c r="P580" s="17" t="n">
        <x:f>IF(D580="",0,J580-K580+L580)</x:f>
        <x:v>14806.96</x:v>
      </x:c>
      <x:c r="Q580" s="17" t="n">
        <x:f>MAX(J580-P580-K580,0)</x:f>
        <x:v>0</x:v>
      </x:c>
      <x:c r="R580" s="13" t="n">
        <x:f>IF(D580="",MAX(TODAY()-C580,0),MAX(D580-C580,0))</x:f>
        <x:v>0</x:v>
      </x:c>
      <x:c r="S580" s="13" t="str">
        <x:f>IF(R580=0,"Em dia",IF(R580&lt;=15,"1-15 dias",IF(R580&lt;=30,"16-30 dias",IF(R580&lt;=60,"31-60 dias","Acima de 60 dias"))))</x:f>
        <x:v>Em dia</x:v>
      </x:c>
    </x:row>
    <x:row r="581">
      <x:c r="A581" s="13" t="str">
        <x:v>REC-000580</x:v>
      </x:c>
      <x:c r="B581" s="23" t="n">
        <x:v>45579</x:v>
      </x:c>
      <x:c r="C581" s="23" t="n">
        <x:v>45594</x:v>
      </x:c>
      <x:c r="D581" s="23" t="n">
        <x:v>45617</x:v>
      </x:c>
      <x:c r="E581" s="13" t="str">
        <x:v>VAL-002</x:v>
      </x:c>
      <x:c r="F581" s="13" t="str">
        <x:v>Mendes &amp; Prado Consultoria</x:v>
      </x:c>
      <x:c r="G581" s="13" t="str">
        <x:v>Serviços Profissionais</x:v>
      </x:c>
      <x:c r="H581" s="13" t="str">
        <x:v>Baixo</x:v>
      </x:c>
      <x:c r="I581" s="13" t="str">
        <x:v>Gestão</x:v>
      </x:c>
      <x:c r="J581" s="17" t="n">
        <x:v>23348.82</x:v>
      </x:c>
      <x:c r="K581" s="17" t="n">
        <x:v>0</x:v>
      </x:c>
      <x:c r="L581" s="17" t="n">
        <x:v>349.06</x:v>
      </x:c>
      <x:c r="M581" s="13" t="str">
        <x:v>Pago com atraso</x:v>
      </x:c>
      <x:c r="N581" s="13" t="str">
        <x:v>E-mail</x:v>
      </x:c>
      <x:c r="O581" s="13" t="str">
        <x:v>Crescimento sem escala</x:v>
      </x:c>
      <x:c r="P581" s="17" t="n">
        <x:f>IF(D581="",0,J581-K581+L581)</x:f>
        <x:v>23697.88</x:v>
      </x:c>
      <x:c r="Q581" s="17" t="n">
        <x:f>MAX(J581-P581-K581,0)</x:f>
        <x:v>0</x:v>
      </x:c>
      <x:c r="R581" s="13" t="n">
        <x:f>IF(D581="",MAX(TODAY()-C581,0),MAX(D581-C581,0))</x:f>
        <x:v>23</x:v>
      </x:c>
      <x:c r="S581" s="13" t="str">
        <x:f>IF(R581=0,"Em dia",IF(R581&lt;=15,"1-15 dias",IF(R581&lt;=30,"16-30 dias",IF(R581&lt;=60,"31-60 dias","Acima de 60 dias"))))</x:f>
        <x:v>16-30 dias</x:v>
      </x:c>
    </x:row>
    <x:row r="582">
      <x:c r="A582" s="13" t="str">
        <x:v>REC-000581</x:v>
      </x:c>
      <x:c r="B582" s="23" t="n">
        <x:v>45571</x:v>
      </x:c>
      <x:c r="C582" s="23" t="n">
        <x:v>45578</x:v>
      </x:c>
      <x:c r="D582" s="23" t="n">
        <x:v>45577</x:v>
      </x:c>
      <x:c r="E582" s="13" t="str">
        <x:v>VAL-004</x:v>
      </x:c>
      <x:c r="F582" s="13" t="str">
        <x:v>NuvemBase Tecnologia</x:v>
      </x:c>
      <x:c r="G582" s="13" t="str">
        <x:v>Tecnologia</x:v>
      </x:c>
      <x:c r="H582" s="13" t="str">
        <x:v>Baixo</x:v>
      </x:c>
      <x:c r="I582" s="13" t="str">
        <x:v>Enterprise</x:v>
      </x:c>
      <x:c r="J582" s="17" t="n">
        <x:v>7431.51</x:v>
      </x:c>
      <x:c r="K582" s="17" t="n">
        <x:v>0</x:v>
      </x:c>
      <x:c r="L582" s="17" t="n">
        <x:v>0</x:v>
      </x:c>
      <x:c r="M582" s="13" t="str">
        <x:v>Pago</x:v>
      </x:c>
      <x:c r="N582" s="13" t="str">
        <x:v>Sem cobrança</x:v>
      </x:c>
      <x:c r="O582" s="13" t="str">
        <x:v>Crescimento sem escala</x:v>
      </x:c>
      <x:c r="P582" s="17" t="n">
        <x:f>IF(D582="",0,J582-K582+L582)</x:f>
        <x:v>7431.51</x:v>
      </x:c>
      <x:c r="Q582" s="17" t="n">
        <x:f>MAX(J582-P582-K582,0)</x:f>
        <x:v>0</x:v>
      </x:c>
      <x:c r="R582" s="13" t="n">
        <x:f>IF(D582="",MAX(TODAY()-C582,0),MAX(D582-C582,0))</x:f>
        <x:v>0</x:v>
      </x:c>
      <x:c r="S582" s="13" t="str">
        <x:f>IF(R582=0,"Em dia",IF(R582&lt;=15,"1-15 dias",IF(R582&lt;=30,"16-30 dias",IF(R582&lt;=60,"31-60 dias","Acima de 60 dias"))))</x:f>
        <x:v>Em dia</x:v>
      </x:c>
    </x:row>
    <x:row r="583">
      <x:c r="A583" s="13" t="str">
        <x:v>REC-000582</x:v>
      </x:c>
      <x:c r="B583" s="23" t="n">
        <x:v>45579</x:v>
      </x:c>
      <x:c r="C583" s="23" t="n">
        <x:v>45594</x:v>
      </x:c>
      <x:c r="D583" s="23" t="n">
        <x:v>45592</x:v>
      </x:c>
      <x:c r="E583" s="13" t="str">
        <x:v>VAL-002</x:v>
      </x:c>
      <x:c r="F583" s="13" t="str">
        <x:v>Mendes &amp; Prado Consultoria</x:v>
      </x:c>
      <x:c r="G583" s="13" t="str">
        <x:v>Serviços Profissionais</x:v>
      </x:c>
      <x:c r="H583" s="13" t="str">
        <x:v>Baixo</x:v>
      </x:c>
      <x:c r="I583" s="13" t="str">
        <x:v>Gestão</x:v>
      </x:c>
      <x:c r="J583" s="17" t="n">
        <x:v>17526.49</x:v>
      </x:c>
      <x:c r="K583" s="17" t="n">
        <x:v>0</x:v>
      </x:c>
      <x:c r="L583" s="17" t="n">
        <x:v>0</x:v>
      </x:c>
      <x:c r="M583" s="13" t="str">
        <x:v>Pago</x:v>
      </x:c>
      <x:c r="N583" s="13" t="str">
        <x:v>Sem cobrança</x:v>
      </x:c>
      <x:c r="O583" s="13" t="str">
        <x:v>Crescimento sem escala</x:v>
      </x:c>
      <x:c r="P583" s="17" t="n">
        <x:f>IF(D583="",0,J583-K583+L583)</x:f>
        <x:v>17526.49</x:v>
      </x:c>
      <x:c r="Q583" s="17" t="n">
        <x:f>MAX(J583-P583-K583,0)</x:f>
        <x:v>0</x:v>
      </x:c>
      <x:c r="R583" s="13" t="n">
        <x:f>IF(D583="",MAX(TODAY()-C583,0),MAX(D583-C583,0))</x:f>
        <x:v>0</x:v>
      </x:c>
      <x:c r="S583" s="13" t="str">
        <x:f>IF(R583=0,"Em dia",IF(R583&lt;=15,"1-15 dias",IF(R583&lt;=30,"16-30 dias",IF(R583&lt;=60,"31-60 dias","Acima de 60 dias"))))</x:f>
        <x:v>Em dia</x:v>
      </x:c>
    </x:row>
    <x:row r="584">
      <x:c r="A584" s="13" t="str">
        <x:v>REC-000583</x:v>
      </x:c>
      <x:c r="B584" s="23" t="n">
        <x:v>45583</x:v>
      </x:c>
      <x:c r="C584" s="23" t="n">
        <x:v>45598</x:v>
      </x:c>
      <x:c r="D584" s="23" t="n">
        <x:v>45609</x:v>
      </x:c>
      <x:c r="E584" s="13" t="str">
        <x:v>VAL-024</x:v>
      </x:c>
      <x:c r="F584" s="13" t="str">
        <x:v>NovaForma Móveis</x:v>
      </x:c>
      <x:c r="G584" s="13" t="str">
        <x:v>Indústria Leve</x:v>
      </x:c>
      <x:c r="H584" s="13" t="str">
        <x:v>Baixo</x:v>
      </x:c>
      <x:c r="I584" s="13" t="str">
        <x:v>Enterprise</x:v>
      </x:c>
      <x:c r="J584" s="17" t="n">
        <x:v>9665.28</x:v>
      </x:c>
      <x:c r="K584" s="17" t="n">
        <x:v>0</x:v>
      </x:c>
      <x:c r="L584" s="17" t="n">
        <x:v>69.11</x:v>
      </x:c>
      <x:c r="M584" s="13" t="str">
        <x:v>Pago com atraso</x:v>
      </x:c>
      <x:c r="N584" s="13" t="str">
        <x:v>E-mail</x:v>
      </x:c>
      <x:c r="O584" s="13" t="str">
        <x:v>Crescimento sem escala</x:v>
      </x:c>
      <x:c r="P584" s="17" t="n">
        <x:f>IF(D584="",0,J584-K584+L584)</x:f>
        <x:v>9734.390000000001</x:v>
      </x:c>
      <x:c r="Q584" s="17" t="n">
        <x:f>MAX(J584-P584-K584,0)</x:f>
        <x:v>0</x:v>
      </x:c>
      <x:c r="R584" s="13" t="n">
        <x:f>IF(D584="",MAX(TODAY()-C584,0),MAX(D584-C584,0))</x:f>
        <x:v>11</x:v>
      </x:c>
      <x:c r="S584" s="13" t="str">
        <x:f>IF(R584=0,"Em dia",IF(R584&lt;=15,"1-15 dias",IF(R584&lt;=30,"16-30 dias",IF(R584&lt;=60,"31-60 dias","Acima de 60 dias"))))</x:f>
        <x:v>1-15 dias</x:v>
      </x:c>
    </x:row>
    <x:row r="585">
      <x:c r="A585" s="13" t="str">
        <x:v>REC-000584</x:v>
      </x:c>
      <x:c r="B585" s="23" t="n">
        <x:v>45575</x:v>
      </x:c>
      <x:c r="C585" s="23" t="n">
        <x:v>45582</x:v>
      </x:c>
      <x:c r="D585" s="23" t="n">
        <x:v>45581</x:v>
      </x:c>
      <x:c r="E585" s="13" t="str">
        <x:v>VAL-006</x:v>
      </x:c>
      <x:c r="F585" s="13" t="str">
        <x:v>Instituto Saber Mais</x:v>
      </x:c>
      <x:c r="G585" s="13" t="str">
        <x:v>Educação</x:v>
      </x:c>
      <x:c r="H585" s="13" t="str">
        <x:v>Médio</x:v>
      </x:c>
      <x:c r="I585" s="13" t="str">
        <x:v>Gestão</x:v>
      </x:c>
      <x:c r="J585" s="17" t="n">
        <x:v>27378.19</x:v>
      </x:c>
      <x:c r="K585" s="17" t="n">
        <x:v>0</x:v>
      </x:c>
      <x:c r="L585" s="17" t="n">
        <x:v>0</x:v>
      </x:c>
      <x:c r="M585" s="13" t="str">
        <x:v>Pago</x:v>
      </x:c>
      <x:c r="N585" s="13" t="str">
        <x:v>Sem cobrança</x:v>
      </x:c>
      <x:c r="O585" s="13" t="str">
        <x:v>Crescimento sem escala</x:v>
      </x:c>
      <x:c r="P585" s="17" t="n">
        <x:f>IF(D585="",0,J585-K585+L585)</x:f>
        <x:v>27378.19</x:v>
      </x:c>
      <x:c r="Q585" s="17" t="n">
        <x:f>MAX(J585-P585-K585,0)</x:f>
        <x:v>0</x:v>
      </x:c>
      <x:c r="R585" s="13" t="n">
        <x:f>IF(D585="",MAX(TODAY()-C585,0),MAX(D585-C585,0))</x:f>
        <x:v>0</x:v>
      </x:c>
      <x:c r="S585" s="13" t="str">
        <x:f>IF(R585=0,"Em dia",IF(R585&lt;=15,"1-15 dias",IF(R585&lt;=30,"16-30 dias",IF(R585&lt;=60,"31-60 dias","Acima de 60 dias"))))</x:f>
        <x:v>Em dia</x:v>
      </x:c>
    </x:row>
    <x:row r="586">
      <x:c r="A586" s="13" t="str">
        <x:v>REC-000585</x:v>
      </x:c>
      <x:c r="B586" s="23" t="n">
        <x:v>45576</x:v>
      </x:c>
      <x:c r="C586" s="23" t="n">
        <x:v>45606</x:v>
      </x:c>
      <x:c r="D586" s="23" t="n">
        <x:v>45605</x:v>
      </x:c>
      <x:c r="E586" s="13" t="str">
        <x:v>VAL-017</x:v>
      </x:c>
      <x:c r="F586" s="13" t="str">
        <x:v>Centro Médico Vida</x:v>
      </x:c>
      <x:c r="G586" s="13" t="str">
        <x:v>Clínicas e Saúde</x:v>
      </x:c>
      <x:c r="H586" s="13" t="str">
        <x:v>Baixo</x:v>
      </x:c>
      <x:c r="I586" s="13" t="str">
        <x:v>Essencial</x:v>
      </x:c>
      <x:c r="J586" s="17" t="n">
        <x:v>6241.68</x:v>
      </x:c>
      <x:c r="K586" s="17" t="n">
        <x:v>0</x:v>
      </x:c>
      <x:c r="L586" s="17" t="n">
        <x:v>0</x:v>
      </x:c>
      <x:c r="M586" s="13" t="str">
        <x:v>Pago</x:v>
      </x:c>
      <x:c r="N586" s="13" t="str">
        <x:v>Sem cobrança</x:v>
      </x:c>
      <x:c r="O586" s="13" t="str">
        <x:v>Crescimento sem escala</x:v>
      </x:c>
      <x:c r="P586" s="17" t="n">
        <x:f>IF(D586="",0,J586-K586+L586)</x:f>
        <x:v>6241.68</x:v>
      </x:c>
      <x:c r="Q586" s="17" t="n">
        <x:f>MAX(J586-P586-K586,0)</x:f>
        <x:v>0</x:v>
      </x:c>
      <x:c r="R586" s="13" t="n">
        <x:f>IF(D586="",MAX(TODAY()-C586,0),MAX(D586-C586,0))</x:f>
        <x:v>0</x:v>
      </x:c>
      <x:c r="S586" s="13" t="str">
        <x:f>IF(R586=0,"Em dia",IF(R586&lt;=15,"1-15 dias",IF(R586&lt;=30,"16-30 dias",IF(R586&lt;=60,"31-60 dias","Acima de 60 dias"))))</x:f>
        <x:v>Em dia</x:v>
      </x:c>
    </x:row>
    <x:row r="587">
      <x:c r="A587" s="13" t="str">
        <x:v>REC-000586</x:v>
      </x:c>
      <x:c r="B587" s="23" t="n">
        <x:v>45575</x:v>
      </x:c>
      <x:c r="C587" s="23" t="n">
        <x:v>45605</x:v>
      </x:c>
      <x:c r="D587" s="23" t="n">
        <x:v>45605</x:v>
      </x:c>
      <x:c r="E587" s="13" t="str">
        <x:v>VAL-011</x:v>
      </x:c>
      <x:c r="F587" s="13" t="str">
        <x:v>Rede Essencial</x:v>
      </x:c>
      <x:c r="G587" s="13" t="str">
        <x:v>Varejo</x:v>
      </x:c>
      <x:c r="H587" s="13" t="str">
        <x:v>Médio</x:v>
      </x:c>
      <x:c r="I587" s="13" t="str">
        <x:v>Performance</x:v>
      </x:c>
      <x:c r="J587" s="17" t="n">
        <x:v>9823.06</x:v>
      </x:c>
      <x:c r="K587" s="17" t="n">
        <x:v>0</x:v>
      </x:c>
      <x:c r="L587" s="17" t="n">
        <x:v>0</x:v>
      </x:c>
      <x:c r="M587" s="13" t="str">
        <x:v>Pago</x:v>
      </x:c>
      <x:c r="N587" s="13" t="str">
        <x:v>Sem cobrança</x:v>
      </x:c>
      <x:c r="O587" s="13" t="str">
        <x:v>Crescimento sem escala</x:v>
      </x:c>
      <x:c r="P587" s="17" t="n">
        <x:f>IF(D587="",0,J587-K587+L587)</x:f>
        <x:v>9823.06</x:v>
      </x:c>
      <x:c r="Q587" s="17" t="n">
        <x:f>MAX(J587-P587-K587,0)</x:f>
        <x:v>0</x:v>
      </x:c>
      <x:c r="R587" s="13" t="n">
        <x:f>IF(D587="",MAX(TODAY()-C587,0),MAX(D587-C587,0))</x:f>
        <x:v>0</x:v>
      </x:c>
      <x:c r="S587" s="13" t="str">
        <x:f>IF(R587=0,"Em dia",IF(R587&lt;=15,"1-15 dias",IF(R587&lt;=30,"16-30 dias",IF(R587&lt;=60,"31-60 dias","Acima de 60 dias"))))</x:f>
        <x:v>Em dia</x:v>
      </x:c>
    </x:row>
    <x:row r="588">
      <x:c r="A588" s="13" t="str">
        <x:v>REC-000587</x:v>
      </x:c>
      <x:c r="B588" s="23" t="n">
        <x:v>45574</x:v>
      </x:c>
      <x:c r="C588" s="23" t="n">
        <x:v>45595</x:v>
      </x:c>
      <x:c r="D588" s="23"/>
      <x:c r="E588" s="13" t="str">
        <x:v>VAL-004</x:v>
      </x:c>
      <x:c r="F588" s="13" t="str">
        <x:v>NuvemBase Tecnologia</x:v>
      </x:c>
      <x:c r="G588" s="13" t="str">
        <x:v>Tecnologia</x:v>
      </x:c>
      <x:c r="H588" s="13" t="str">
        <x:v>Baixo</x:v>
      </x:c>
      <x:c r="I588" s="13" t="str">
        <x:v>Enterprise</x:v>
      </x:c>
      <x:c r="J588" s="17" t="n">
        <x:v>17184.33</x:v>
      </x:c>
      <x:c r="K588" s="17" t="n">
        <x:v>0</x:v>
      </x:c>
      <x:c r="L588" s="17" t="n">
        <x:v>0</x:v>
      </x:c>
      <x:c r="M588" s="13" t="str">
        <x:v>Em aberto</x:v>
      </x:c>
      <x:c r="N588" s="13" t="str">
        <x:v>WhatsApp</x:v>
      </x:c>
      <x:c r="O588" s="13" t="str">
        <x:v>Crescimento sem escala</x:v>
      </x:c>
      <x:c r="P588" s="17" t="n">
        <x:f>IF(D588="",0,J588-K588+L588)</x:f>
        <x:v>0</x:v>
      </x:c>
      <x:c r="Q588" s="17" t="n">
        <x:f>MAX(J588-P588-K588,0)</x:f>
        <x:v>17184.33</x:v>
      </x:c>
      <x:c r="R588" s="13" t="n">
        <x:f>IF(D588="",MAX(TODAY()-C588,0),MAX(D588-C588,0))</x:f>
        <x:v>618</x:v>
      </x:c>
      <x:c r="S588" s="13" t="str">
        <x:f>IF(R588=0,"Em dia",IF(R588&lt;=15,"1-15 dias",IF(R588&lt;=30,"16-30 dias",IF(R588&lt;=60,"31-60 dias","Acima de 60 dias"))))</x:f>
        <x:v>Acima de 60 dias</x:v>
      </x:c>
    </x:row>
    <x:row r="589">
      <x:c r="A589" s="13" t="str">
        <x:v>REC-000588</x:v>
      </x:c>
      <x:c r="B589" s="23" t="n">
        <x:v>45583</x:v>
      </x:c>
      <x:c r="C589" s="23" t="n">
        <x:v>45613</x:v>
      </x:c>
      <x:c r="D589" s="23" t="n">
        <x:v>45613</x:v>
      </x:c>
      <x:c r="E589" s="13" t="str">
        <x:v>VAL-001</x:v>
      </x:c>
      <x:c r="F589" s="13" t="str">
        <x:v>Clínica Horizonte</x:v>
      </x:c>
      <x:c r="G589" s="13" t="str">
        <x:v>Clínicas e Saúde</x:v>
      </x:c>
      <x:c r="H589" s="13" t="str">
        <x:v>Baixo</x:v>
      </x:c>
      <x:c r="I589" s="13" t="str">
        <x:v>Essencial</x:v>
      </x:c>
      <x:c r="J589" s="17" t="n">
        <x:v>26764.55</x:v>
      </x:c>
      <x:c r="K589" s="17" t="n">
        <x:v>0</x:v>
      </x:c>
      <x:c r="L589" s="17" t="n">
        <x:v>0</x:v>
      </x:c>
      <x:c r="M589" s="13" t="str">
        <x:v>Pago</x:v>
      </x:c>
      <x:c r="N589" s="13" t="str">
        <x:v>Sem cobrança</x:v>
      </x:c>
      <x:c r="O589" s="13" t="str">
        <x:v>Crescimento sem escala</x:v>
      </x:c>
      <x:c r="P589" s="17" t="n">
        <x:f>IF(D589="",0,J589-K589+L589)</x:f>
        <x:v>26764.55</x:v>
      </x:c>
      <x:c r="Q589" s="17" t="n">
        <x:f>MAX(J589-P589-K589,0)</x:f>
        <x:v>0</x:v>
      </x:c>
      <x:c r="R589" s="13" t="n">
        <x:f>IF(D589="",MAX(TODAY()-C589,0),MAX(D589-C589,0))</x:f>
        <x:v>0</x:v>
      </x:c>
      <x:c r="S589" s="13" t="str">
        <x:f>IF(R589=0,"Em dia",IF(R589&lt;=15,"1-15 dias",IF(R589&lt;=30,"16-30 dias",IF(R589&lt;=60,"31-60 dias","Acima de 60 dias"))))</x:f>
        <x:v>Em dia</x:v>
      </x:c>
    </x:row>
    <x:row r="590">
      <x:c r="A590" s="13" t="str">
        <x:v>REC-000589</x:v>
      </x:c>
      <x:c r="B590" s="23" t="n">
        <x:v>45583</x:v>
      </x:c>
      <x:c r="C590" s="23" t="n">
        <x:v>45590</x:v>
      </x:c>
      <x:c r="D590" s="23" t="n">
        <x:v>45587</x:v>
      </x:c>
      <x:c r="E590" s="13" t="str">
        <x:v>VAL-022</x:v>
      </x:c>
      <x:c r="F590" s="13" t="str">
        <x:v>Academia Evoluir</x:v>
      </x:c>
      <x:c r="G590" s="13" t="str">
        <x:v>Educação</x:v>
      </x:c>
      <x:c r="H590" s="13" t="str">
        <x:v>Alto</x:v>
      </x:c>
      <x:c r="I590" s="13" t="str">
        <x:v>Gestão</x:v>
      </x:c>
      <x:c r="J590" s="17" t="n">
        <x:v>18516.1</x:v>
      </x:c>
      <x:c r="K590" s="17" t="n">
        <x:v>0</x:v>
      </x:c>
      <x:c r="L590" s="17" t="n">
        <x:v>0</x:v>
      </x:c>
      <x:c r="M590" s="13" t="str">
        <x:v>Pago</x:v>
      </x:c>
      <x:c r="N590" s="13" t="str">
        <x:v>Sem cobrança</x:v>
      </x:c>
      <x:c r="O590" s="13" t="str">
        <x:v>Crescimento sem escala</x:v>
      </x:c>
      <x:c r="P590" s="17" t="n">
        <x:f>IF(D590="",0,J590-K590+L590)</x:f>
        <x:v>18516.1</x:v>
      </x:c>
      <x:c r="Q590" s="17" t="n">
        <x:f>MAX(J590-P590-K590,0)</x:f>
        <x:v>0</x:v>
      </x:c>
      <x:c r="R590" s="13" t="n">
        <x:f>IF(D590="",MAX(TODAY()-C590,0),MAX(D590-C590,0))</x:f>
        <x:v>0</x:v>
      </x:c>
      <x:c r="S590" s="13" t="str">
        <x:f>IF(R590=0,"Em dia",IF(R590&lt;=15,"1-15 dias",IF(R590&lt;=30,"16-30 dias",IF(R590&lt;=60,"31-60 dias","Acima de 60 dias"))))</x:f>
        <x:v>Em dia</x:v>
      </x:c>
    </x:row>
    <x:row r="591">
      <x:c r="A591" s="13" t="str">
        <x:v>REC-000590</x:v>
      </x:c>
      <x:c r="B591" s="23" t="n">
        <x:v>45580</x:v>
      </x:c>
      <x:c r="C591" s="23" t="n">
        <x:v>45601</x:v>
      </x:c>
      <x:c r="D591" s="23" t="n">
        <x:v>45597</x:v>
      </x:c>
      <x:c r="E591" s="13" t="str">
        <x:v>VAL-023</x:v>
      </x:c>
      <x:c r="F591" s="13" t="str">
        <x:v>ShopMix Brasil</x:v>
      </x:c>
      <x:c r="G591" s="13" t="str">
        <x:v>E-commerce</x:v>
      </x:c>
      <x:c r="H591" s="13" t="str">
        <x:v>Baixo</x:v>
      </x:c>
      <x:c r="I591" s="13" t="str">
        <x:v>Performance</x:v>
      </x:c>
      <x:c r="J591" s="17" t="n">
        <x:v>11193.04</x:v>
      </x:c>
      <x:c r="K591" s="17" t="n">
        <x:v>0</x:v>
      </x:c>
      <x:c r="L591" s="17" t="n">
        <x:v>0</x:v>
      </x:c>
      <x:c r="M591" s="13" t="str">
        <x:v>Pago</x:v>
      </x:c>
      <x:c r="N591" s="13" t="str">
        <x:v>Sem cobrança</x:v>
      </x:c>
      <x:c r="O591" s="13" t="str">
        <x:v>Crescimento sem escala</x:v>
      </x:c>
      <x:c r="P591" s="17" t="n">
        <x:f>IF(D591="",0,J591-K591+L591)</x:f>
        <x:v>11193.04</x:v>
      </x:c>
      <x:c r="Q591" s="17" t="n">
        <x:f>MAX(J591-P591-K591,0)</x:f>
        <x:v>0</x:v>
      </x:c>
      <x:c r="R591" s="13" t="n">
        <x:f>IF(D591="",MAX(TODAY()-C591,0),MAX(D591-C591,0))</x:f>
        <x:v>0</x:v>
      </x:c>
      <x:c r="S591" s="13" t="str">
        <x:f>IF(R591=0,"Em dia",IF(R591&lt;=15,"1-15 dias",IF(R591&lt;=30,"16-30 dias",IF(R591&lt;=60,"31-60 dias","Acima de 60 dias"))))</x:f>
        <x:v>Em dia</x:v>
      </x:c>
    </x:row>
    <x:row r="592">
      <x:c r="A592" s="13" t="str">
        <x:v>REC-000591</x:v>
      </x:c>
      <x:c r="B592" s="23" t="n">
        <x:v>45571</x:v>
      </x:c>
      <x:c r="C592" s="23" t="n">
        <x:v>45578</x:v>
      </x:c>
      <x:c r="D592" s="23" t="n">
        <x:v>45576</x:v>
      </x:c>
      <x:c r="E592" s="13" t="str">
        <x:v>VAL-013</x:v>
      </x:c>
      <x:c r="F592" s="13" t="str">
        <x:v>Engenharia Vértice</x:v>
      </x:c>
      <x:c r="G592" s="13" t="str">
        <x:v>Construção</x:v>
      </x:c>
      <x:c r="H592" s="13" t="str">
        <x:v>Baixo</x:v>
      </x:c>
      <x:c r="I592" s="13" t="str">
        <x:v>Essencial</x:v>
      </x:c>
      <x:c r="J592" s="17" t="n">
        <x:v>8213.81</x:v>
      </x:c>
      <x:c r="K592" s="17" t="n">
        <x:v>0</x:v>
      </x:c>
      <x:c r="L592" s="17" t="n">
        <x:v>0</x:v>
      </x:c>
      <x:c r="M592" s="13" t="str">
        <x:v>Pago</x:v>
      </x:c>
      <x:c r="N592" s="13" t="str">
        <x:v>Sem cobrança</x:v>
      </x:c>
      <x:c r="O592" s="13" t="str">
        <x:v>Crescimento sem escala</x:v>
      </x:c>
      <x:c r="P592" s="17" t="n">
        <x:f>IF(D592="",0,J592-K592+L592)</x:f>
        <x:v>8213.81</x:v>
      </x:c>
      <x:c r="Q592" s="17" t="n">
        <x:f>MAX(J592-P592-K592,0)</x:f>
        <x:v>0</x:v>
      </x:c>
      <x:c r="R592" s="13" t="n">
        <x:f>IF(D592="",MAX(TODAY()-C592,0),MAX(D592-C592,0))</x:f>
        <x:v>0</x:v>
      </x:c>
      <x:c r="S592" s="13" t="str">
        <x:f>IF(R592=0,"Em dia",IF(R592&lt;=15,"1-15 dias",IF(R592&lt;=30,"16-30 dias",IF(R592&lt;=60,"31-60 dias","Acima de 60 dias"))))</x:f>
        <x:v>Em dia</x:v>
      </x:c>
    </x:row>
    <x:row r="593">
      <x:c r="A593" s="13" t="str">
        <x:v>REC-000592</x:v>
      </x:c>
      <x:c r="B593" s="23" t="n">
        <x:v>45581</x:v>
      </x:c>
      <x:c r="C593" s="23" t="n">
        <x:v>45602</x:v>
      </x:c>
      <x:c r="D593" s="23" t="n">
        <x:v>45628</x:v>
      </x:c>
      <x:c r="E593" s="13" t="str">
        <x:v>VAL-011</x:v>
      </x:c>
      <x:c r="F593" s="13" t="str">
        <x:v>Rede Essencial</x:v>
      </x:c>
      <x:c r="G593" s="13" t="str">
        <x:v>Varejo</x:v>
      </x:c>
      <x:c r="H593" s="13" t="str">
        <x:v>Médio</x:v>
      </x:c>
      <x:c r="I593" s="13" t="str">
        <x:v>Performance</x:v>
      </x:c>
      <x:c r="J593" s="17" t="n">
        <x:v>29240.94</x:v>
      </x:c>
      <x:c r="K593" s="17" t="n">
        <x:v>0</x:v>
      </x:c>
      <x:c r="L593" s="17" t="n">
        <x:v>494.17</x:v>
      </x:c>
      <x:c r="M593" s="13" t="str">
        <x:v>Pago com atraso</x:v>
      </x:c>
      <x:c r="N593" s="13" t="str">
        <x:v>Régua automática</x:v>
      </x:c>
      <x:c r="O593" s="13" t="str">
        <x:v>Crescimento sem escala</x:v>
      </x:c>
      <x:c r="P593" s="17" t="n">
        <x:f>IF(D593="",0,J593-K593+L593)</x:f>
        <x:v>29735.109999999997</x:v>
      </x:c>
      <x:c r="Q593" s="17" t="n">
        <x:f>MAX(J593-P593-K593,0)</x:f>
        <x:v>0</x:v>
      </x:c>
      <x:c r="R593" s="13" t="n">
        <x:f>IF(D593="",MAX(TODAY()-C593,0),MAX(D593-C593,0))</x:f>
        <x:v>26</x:v>
      </x:c>
      <x:c r="S593" s="13" t="str">
        <x:f>IF(R593=0,"Em dia",IF(R593&lt;=15,"1-15 dias",IF(R593&lt;=30,"16-30 dias",IF(R593&lt;=60,"31-60 dias","Acima de 60 dias"))))</x:f>
        <x:v>16-30 dias</x:v>
      </x:c>
    </x:row>
    <x:row r="594">
      <x:c r="A594" s="13" t="str">
        <x:v>REC-000593</x:v>
      </x:c>
      <x:c r="B594" s="23" t="n">
        <x:v>45571</x:v>
      </x:c>
      <x:c r="C594" s="23" t="n">
        <x:v>45592</x:v>
      </x:c>
      <x:c r="D594" s="23" t="n">
        <x:v>45590</x:v>
      </x:c>
      <x:c r="E594" s="13" t="str">
        <x:v>VAL-018</x:v>
      </x:c>
      <x:c r="F594" s="13" t="str">
        <x:v>Ponto Legal Advocacia</x:v>
      </x:c>
      <x:c r="G594" s="13" t="str">
        <x:v>Serviços Profissionais</x:v>
      </x:c>
      <x:c r="H594" s="13" t="str">
        <x:v>Baixo</x:v>
      </x:c>
      <x:c r="I594" s="13" t="str">
        <x:v>Gestão</x:v>
      </x:c>
      <x:c r="J594" s="17" t="n">
        <x:v>10875.09</x:v>
      </x:c>
      <x:c r="K594" s="17" t="n">
        <x:v>0</x:v>
      </x:c>
      <x:c r="L594" s="17" t="n">
        <x:v>0</x:v>
      </x:c>
      <x:c r="M594" s="13" t="str">
        <x:v>Pago</x:v>
      </x:c>
      <x:c r="N594" s="13" t="str">
        <x:v>Sem cobrança</x:v>
      </x:c>
      <x:c r="O594" s="13" t="str">
        <x:v>Crescimento sem escala</x:v>
      </x:c>
      <x:c r="P594" s="17" t="n">
        <x:f>IF(D594="",0,J594-K594+L594)</x:f>
        <x:v>10875.09</x:v>
      </x:c>
      <x:c r="Q594" s="17" t="n">
        <x:f>MAX(J594-P594-K594,0)</x:f>
        <x:v>0</x:v>
      </x:c>
      <x:c r="R594" s="13" t="n">
        <x:f>IF(D594="",MAX(TODAY()-C594,0),MAX(D594-C594,0))</x:f>
        <x:v>0</x:v>
      </x:c>
      <x:c r="S594" s="13" t="str">
        <x:f>IF(R594=0,"Em dia",IF(R594&lt;=15,"1-15 dias",IF(R594&lt;=30,"16-30 dias",IF(R594&lt;=60,"31-60 dias","Acima de 60 dias"))))</x:f>
        <x:v>Em dia</x:v>
      </x:c>
    </x:row>
    <x:row r="595">
      <x:c r="A595" s="13" t="str">
        <x:v>REC-000594</x:v>
      </x:c>
      <x:c r="B595" s="23" t="n">
        <x:v>45575</x:v>
      </x:c>
      <x:c r="C595" s="23" t="n">
        <x:v>45605</x:v>
      </x:c>
      <x:c r="D595" s="23" t="n">
        <x:v>45601</x:v>
      </x:c>
      <x:c r="E595" s="13" t="str">
        <x:v>VAL-001</x:v>
      </x:c>
      <x:c r="F595" s="13" t="str">
        <x:v>Clínica Horizonte</x:v>
      </x:c>
      <x:c r="G595" s="13" t="str">
        <x:v>Clínicas e Saúde</x:v>
      </x:c>
      <x:c r="H595" s="13" t="str">
        <x:v>Baixo</x:v>
      </x:c>
      <x:c r="I595" s="13" t="str">
        <x:v>Essencial</x:v>
      </x:c>
      <x:c r="J595" s="17" t="n">
        <x:v>21263.69</x:v>
      </x:c>
      <x:c r="K595" s="17" t="n">
        <x:v>0</x:v>
      </x:c>
      <x:c r="L595" s="17" t="n">
        <x:v>0</x:v>
      </x:c>
      <x:c r="M595" s="13" t="str">
        <x:v>Pago</x:v>
      </x:c>
      <x:c r="N595" s="13" t="str">
        <x:v>Sem cobrança</x:v>
      </x:c>
      <x:c r="O595" s="13" t="str">
        <x:v>Crescimento sem escala</x:v>
      </x:c>
      <x:c r="P595" s="17" t="n">
        <x:f>IF(D595="",0,J595-K595+L595)</x:f>
        <x:v>21263.69</x:v>
      </x:c>
      <x:c r="Q595" s="17" t="n">
        <x:f>MAX(J595-P595-K595,0)</x:f>
        <x:v>0</x:v>
      </x:c>
      <x:c r="R595" s="13" t="n">
        <x:f>IF(D595="",MAX(TODAY()-C595,0),MAX(D595-C595,0))</x:f>
        <x:v>0</x:v>
      </x:c>
      <x:c r="S595" s="13" t="str">
        <x:f>IF(R595=0,"Em dia",IF(R595&lt;=15,"1-15 dias",IF(R595&lt;=30,"16-30 dias",IF(R595&lt;=60,"31-60 dias","Acima de 60 dias"))))</x:f>
        <x:v>Em dia</x:v>
      </x:c>
    </x:row>
    <x:row r="596">
      <x:c r="A596" s="13" t="str">
        <x:v>REC-000595</x:v>
      </x:c>
      <x:c r="B596" s="23" t="n">
        <x:v>45578</x:v>
      </x:c>
      <x:c r="C596" s="23" t="n">
        <x:v>45585</x:v>
      </x:c>
      <x:c r="D596" s="23" t="n">
        <x:v>45583</x:v>
      </x:c>
      <x:c r="E596" s="13" t="str">
        <x:v>VAL-012</x:v>
      </x:c>
      <x:c r="F596" s="13" t="str">
        <x:v>DataFlow Sistemas</x:v>
      </x:c>
      <x:c r="G596" s="13" t="str">
        <x:v>Tecnologia</x:v>
      </x:c>
      <x:c r="H596" s="13" t="str">
        <x:v>Médio</x:v>
      </x:c>
      <x:c r="I596" s="13" t="str">
        <x:v>Enterprise</x:v>
      </x:c>
      <x:c r="J596" s="17" t="n">
        <x:v>28293.39</x:v>
      </x:c>
      <x:c r="K596" s="17" t="n">
        <x:v>0</x:v>
      </x:c>
      <x:c r="L596" s="17" t="n">
        <x:v>0</x:v>
      </x:c>
      <x:c r="M596" s="13" t="str">
        <x:v>Pago</x:v>
      </x:c>
      <x:c r="N596" s="13" t="str">
        <x:v>Sem cobrança</x:v>
      </x:c>
      <x:c r="O596" s="13" t="str">
        <x:v>Crescimento sem escala</x:v>
      </x:c>
      <x:c r="P596" s="17" t="n">
        <x:f>IF(D596="",0,J596-K596+L596)</x:f>
        <x:v>28293.39</x:v>
      </x:c>
      <x:c r="Q596" s="17" t="n">
        <x:f>MAX(J596-P596-K596,0)</x:f>
        <x:v>0</x:v>
      </x:c>
      <x:c r="R596" s="13" t="n">
        <x:f>IF(D596="",MAX(TODAY()-C596,0),MAX(D596-C596,0))</x:f>
        <x:v>0</x:v>
      </x:c>
      <x:c r="S596" s="13" t="str">
        <x:f>IF(R596=0,"Em dia",IF(R596&lt;=15,"1-15 dias",IF(R596&lt;=30,"16-30 dias",IF(R596&lt;=60,"31-60 dias","Acima de 60 dias"))))</x:f>
        <x:v>Em dia</x:v>
      </x:c>
    </x:row>
    <x:row r="597">
      <x:c r="A597" s="13" t="str">
        <x:v>REC-000596</x:v>
      </x:c>
      <x:c r="B597" s="23" t="n">
        <x:v>45574</x:v>
      </x:c>
      <x:c r="C597" s="23" t="n">
        <x:v>45589</x:v>
      </x:c>
      <x:c r="D597" s="23" t="n">
        <x:v>45587</x:v>
      </x:c>
      <x:c r="E597" s="13" t="str">
        <x:v>VAL-029</x:v>
      </x:c>
      <x:c r="F597" s="13" t="str">
        <x:v>Planobra Serviços</x:v>
      </x:c>
      <x:c r="G597" s="13" t="str">
        <x:v>Construção</x:v>
      </x:c>
      <x:c r="H597" s="13" t="str">
        <x:v>Baixo</x:v>
      </x:c>
      <x:c r="I597" s="13" t="str">
        <x:v>Essencial</x:v>
      </x:c>
      <x:c r="J597" s="17" t="n">
        <x:v>10562.57</x:v>
      </x:c>
      <x:c r="K597" s="17" t="n">
        <x:v>0</x:v>
      </x:c>
      <x:c r="L597" s="17" t="n">
        <x:v>0</x:v>
      </x:c>
      <x:c r="M597" s="13" t="str">
        <x:v>Pago</x:v>
      </x:c>
      <x:c r="N597" s="13" t="str">
        <x:v>Sem cobrança</x:v>
      </x:c>
      <x:c r="O597" s="13" t="str">
        <x:v>Crescimento sem escala</x:v>
      </x:c>
      <x:c r="P597" s="17" t="n">
        <x:f>IF(D597="",0,J597-K597+L597)</x:f>
        <x:v>10562.57</x:v>
      </x:c>
      <x:c r="Q597" s="17" t="n">
        <x:f>MAX(J597-P597-K597,0)</x:f>
        <x:v>0</x:v>
      </x:c>
      <x:c r="R597" s="13" t="n">
        <x:f>IF(D597="",MAX(TODAY()-C597,0),MAX(D597-C597,0))</x:f>
        <x:v>0</x:v>
      </x:c>
      <x:c r="S597" s="13" t="str">
        <x:f>IF(R597=0,"Em dia",IF(R597&lt;=15,"1-15 dias",IF(R597&lt;=30,"16-30 dias",IF(R597&lt;=60,"31-60 dias","Acima de 60 dias"))))</x:f>
        <x:v>Em dia</x:v>
      </x:c>
    </x:row>
    <x:row r="598">
      <x:c r="A598" s="13" t="str">
        <x:v>REC-000597</x:v>
      </x:c>
      <x:c r="B598" s="23" t="n">
        <x:v>45585</x:v>
      </x:c>
      <x:c r="C598" s="23" t="n">
        <x:v>45606</x:v>
      </x:c>
      <x:c r="D598" s="23" t="n">
        <x:v>45603</x:v>
      </x:c>
      <x:c r="E598" s="13" t="str">
        <x:v>VAL-017</x:v>
      </x:c>
      <x:c r="F598" s="13" t="str">
        <x:v>Centro Médico Vida</x:v>
      </x:c>
      <x:c r="G598" s="13" t="str">
        <x:v>Clínicas e Saúde</x:v>
      </x:c>
      <x:c r="H598" s="13" t="str">
        <x:v>Baixo</x:v>
      </x:c>
      <x:c r="I598" s="13" t="str">
        <x:v>Essencial</x:v>
      </x:c>
      <x:c r="J598" s="17" t="n">
        <x:v>16862.11</x:v>
      </x:c>
      <x:c r="K598" s="17" t="n">
        <x:v>0</x:v>
      </x:c>
      <x:c r="L598" s="17" t="n">
        <x:v>0</x:v>
      </x:c>
      <x:c r="M598" s="13" t="str">
        <x:v>Pago</x:v>
      </x:c>
      <x:c r="N598" s="13" t="str">
        <x:v>Sem cobrança</x:v>
      </x:c>
      <x:c r="O598" s="13" t="str">
        <x:v>Crescimento sem escala</x:v>
      </x:c>
      <x:c r="P598" s="17" t="n">
        <x:f>IF(D598="",0,J598-K598+L598)</x:f>
        <x:v>16862.11</x:v>
      </x:c>
      <x:c r="Q598" s="17" t="n">
        <x:f>MAX(J598-P598-K598,0)</x:f>
        <x:v>0</x:v>
      </x:c>
      <x:c r="R598" s="13" t="n">
        <x:f>IF(D598="",MAX(TODAY()-C598,0),MAX(D598-C598,0))</x:f>
        <x:v>0</x:v>
      </x:c>
      <x:c r="S598" s="13" t="str">
        <x:f>IF(R598=0,"Em dia",IF(R598&lt;=15,"1-15 dias",IF(R598&lt;=30,"16-30 dias",IF(R598&lt;=60,"31-60 dias","Acima de 60 dias"))))</x:f>
        <x:v>Em dia</x:v>
      </x:c>
    </x:row>
    <x:row r="599">
      <x:c r="A599" s="13" t="str">
        <x:v>REC-000598</x:v>
      </x:c>
      <x:c r="B599" s="23" t="n">
        <x:v>45572</x:v>
      </x:c>
      <x:c r="C599" s="23" t="n">
        <x:v>45579</x:v>
      </x:c>
      <x:c r="D599" s="23" t="n">
        <x:v>45576</x:v>
      </x:c>
      <x:c r="E599" s="13" t="str">
        <x:v>VAL-021</x:v>
      </x:c>
      <x:c r="F599" s="13" t="str">
        <x:v>Base Forte Obras</x:v>
      </x:c>
      <x:c r="G599" s="13" t="str">
        <x:v>Construção</x:v>
      </x:c>
      <x:c r="H599" s="13" t="str">
        <x:v>Médio</x:v>
      </x:c>
      <x:c r="I599" s="13" t="str">
        <x:v>Essencial</x:v>
      </x:c>
      <x:c r="J599" s="17" t="n">
        <x:v>14450.98</x:v>
      </x:c>
      <x:c r="K599" s="17" t="n">
        <x:v>0</x:v>
      </x:c>
      <x:c r="L599" s="17" t="n">
        <x:v>0</x:v>
      </x:c>
      <x:c r="M599" s="13" t="str">
        <x:v>Pago</x:v>
      </x:c>
      <x:c r="N599" s="13" t="str">
        <x:v>Sem cobrança</x:v>
      </x:c>
      <x:c r="O599" s="13" t="str">
        <x:v>Crescimento sem escala</x:v>
      </x:c>
      <x:c r="P599" s="17" t="n">
        <x:f>IF(D599="",0,J599-K599+L599)</x:f>
        <x:v>14450.98</x:v>
      </x:c>
      <x:c r="Q599" s="17" t="n">
        <x:f>MAX(J599-P599-K599,0)</x:f>
        <x:v>0</x:v>
      </x:c>
      <x:c r="R599" s="13" t="n">
        <x:f>IF(D599="",MAX(TODAY()-C599,0),MAX(D599-C599,0))</x:f>
        <x:v>0</x:v>
      </x:c>
      <x:c r="S599" s="13" t="str">
        <x:f>IF(R599=0,"Em dia",IF(R599&lt;=15,"1-15 dias",IF(R599&lt;=30,"16-30 dias",IF(R599&lt;=60,"31-60 dias","Acima de 60 dias"))))</x:f>
        <x:v>Em dia</x:v>
      </x:c>
    </x:row>
    <x:row r="600">
      <x:c r="A600" s="13" t="str">
        <x:v>REC-000599</x:v>
      </x:c>
      <x:c r="B600" s="23" t="n">
        <x:v>45579</x:v>
      </x:c>
      <x:c r="C600" s="23" t="n">
        <x:v>45600</x:v>
      </x:c>
      <x:c r="D600" s="23" t="n">
        <x:v>45596</x:v>
      </x:c>
      <x:c r="E600" s="13" t="str">
        <x:v>VAL-012</x:v>
      </x:c>
      <x:c r="F600" s="13" t="str">
        <x:v>DataFlow Sistemas</x:v>
      </x:c>
      <x:c r="G600" s="13" t="str">
        <x:v>Tecnologia</x:v>
      </x:c>
      <x:c r="H600" s="13" t="str">
        <x:v>Médio</x:v>
      </x:c>
      <x:c r="I600" s="13" t="str">
        <x:v>Enterprise</x:v>
      </x:c>
      <x:c r="J600" s="17" t="n">
        <x:v>23115.26</x:v>
      </x:c>
      <x:c r="K600" s="17" t="n">
        <x:v>0</x:v>
      </x:c>
      <x:c r="L600" s="17" t="n">
        <x:v>0</x:v>
      </x:c>
      <x:c r="M600" s="13" t="str">
        <x:v>Pago</x:v>
      </x:c>
      <x:c r="N600" s="13" t="str">
        <x:v>Sem cobrança</x:v>
      </x:c>
      <x:c r="O600" s="13" t="str">
        <x:v>Crescimento sem escala</x:v>
      </x:c>
      <x:c r="P600" s="17" t="n">
        <x:f>IF(D600="",0,J600-K600+L600)</x:f>
        <x:v>23115.26</x:v>
      </x:c>
      <x:c r="Q600" s="17" t="n">
        <x:f>MAX(J600-P600-K600,0)</x:f>
        <x:v>0</x:v>
      </x:c>
      <x:c r="R600" s="13" t="n">
        <x:f>IF(D600="",MAX(TODAY()-C600,0),MAX(D600-C600,0))</x:f>
        <x:v>0</x:v>
      </x:c>
      <x:c r="S600" s="13" t="str">
        <x:f>IF(R600=0,"Em dia",IF(R600&lt;=15,"1-15 dias",IF(R600&lt;=30,"16-30 dias",IF(R600&lt;=60,"31-60 dias","Acima de 60 dias"))))</x:f>
        <x:v>Em dia</x:v>
      </x:c>
    </x:row>
    <x:row r="601">
      <x:c r="A601" s="13" t="str">
        <x:v>REC-000600</x:v>
      </x:c>
      <x:c r="B601" s="23" t="n">
        <x:v>45581</x:v>
      </x:c>
      <x:c r="C601" s="23" t="n">
        <x:v>45602</x:v>
      </x:c>
      <x:c r="D601" s="23" t="n">
        <x:v>45598</x:v>
      </x:c>
      <x:c r="E601" s="13" t="str">
        <x:v>VAL-029</x:v>
      </x:c>
      <x:c r="F601" s="13" t="str">
        <x:v>Planobra Serviços</x:v>
      </x:c>
      <x:c r="G601" s="13" t="str">
        <x:v>Construção</x:v>
      </x:c>
      <x:c r="H601" s="13" t="str">
        <x:v>Baixo</x:v>
      </x:c>
      <x:c r="I601" s="13" t="str">
        <x:v>Essencial</x:v>
      </x:c>
      <x:c r="J601" s="17" t="n">
        <x:v>24103.97</x:v>
      </x:c>
      <x:c r="K601" s="17" t="n">
        <x:v>0</x:v>
      </x:c>
      <x:c r="L601" s="17" t="n">
        <x:v>0</x:v>
      </x:c>
      <x:c r="M601" s="13" t="str">
        <x:v>Pago</x:v>
      </x:c>
      <x:c r="N601" s="13" t="str">
        <x:v>Sem cobrança</x:v>
      </x:c>
      <x:c r="O601" s="13" t="str">
        <x:v>Crescimento sem escala</x:v>
      </x:c>
      <x:c r="P601" s="17" t="n">
        <x:f>IF(D601="",0,J601-K601+L601)</x:f>
        <x:v>24103.97</x:v>
      </x:c>
      <x:c r="Q601" s="17" t="n">
        <x:f>MAX(J601-P601-K601,0)</x:f>
        <x:v>0</x:v>
      </x:c>
      <x:c r="R601" s="13" t="n">
        <x:f>IF(D601="",MAX(TODAY()-C601,0),MAX(D601-C601,0))</x:f>
        <x:v>0</x:v>
      </x:c>
      <x:c r="S601" s="13" t="str">
        <x:f>IF(R601=0,"Em dia",IF(R601&lt;=15,"1-15 dias",IF(R601&lt;=30,"16-30 dias",IF(R601&lt;=60,"31-60 dias","Acima de 60 dias"))))</x:f>
        <x:v>Em dia</x:v>
      </x:c>
    </x:row>
    <x:row r="602">
      <x:c r="A602" s="13" t="str">
        <x:v>REC-000601</x:v>
      </x:c>
      <x:c r="B602" s="23" t="n">
        <x:v>45603</x:v>
      </x:c>
      <x:c r="C602" s="23" t="n">
        <x:v>45618</x:v>
      </x:c>
      <x:c r="D602" s="23" t="n">
        <x:v>45632</x:v>
      </x:c>
      <x:c r="E602" s="13" t="str">
        <x:v>VAL-021</x:v>
      </x:c>
      <x:c r="F602" s="13" t="str">
        <x:v>Base Forte Obras</x:v>
      </x:c>
      <x:c r="G602" s="13" t="str">
        <x:v>Construção</x:v>
      </x:c>
      <x:c r="H602" s="13" t="str">
        <x:v>Médio</x:v>
      </x:c>
      <x:c r="I602" s="13" t="str">
        <x:v>Essencial</x:v>
      </x:c>
      <x:c r="J602" s="17" t="n">
        <x:v>25948.8</x:v>
      </x:c>
      <x:c r="K602" s="17" t="n">
        <x:v>0</x:v>
      </x:c>
      <x:c r="L602" s="17" t="n">
        <x:v>236.13</x:v>
      </x:c>
      <x:c r="M602" s="13" t="str">
        <x:v>Pago com atraso</x:v>
      </x:c>
      <x:c r="N602" s="13" t="str">
        <x:v>Telefone</x:v>
      </x:c>
      <x:c r="O602" s="13" t="str">
        <x:v>Crescimento sem escala</x:v>
      </x:c>
      <x:c r="P602" s="17" t="n">
        <x:f>IF(D602="",0,J602-K602+L602)</x:f>
        <x:v>26184.93</x:v>
      </x:c>
      <x:c r="Q602" s="17" t="n">
        <x:f>MAX(J602-P602-K602,0)</x:f>
        <x:v>0</x:v>
      </x:c>
      <x:c r="R602" s="13" t="n">
        <x:f>IF(D602="",MAX(TODAY()-C602,0),MAX(D602-C602,0))</x:f>
        <x:v>14</x:v>
      </x:c>
      <x:c r="S602" s="13" t="str">
        <x:f>IF(R602=0,"Em dia",IF(R602&lt;=15,"1-15 dias",IF(R602&lt;=30,"16-30 dias",IF(R602&lt;=60,"31-60 dias","Acima de 60 dias"))))</x:f>
        <x:v>1-15 dias</x:v>
      </x:c>
    </x:row>
    <x:row r="603">
      <x:c r="A603" s="13" t="str">
        <x:v>REC-000602</x:v>
      </x:c>
      <x:c r="B603" s="23" t="n">
        <x:v>45608</x:v>
      </x:c>
      <x:c r="C603" s="23" t="n">
        <x:v>45623</x:v>
      </x:c>
      <x:c r="D603" s="23" t="n">
        <x:v>45622</x:v>
      </x:c>
      <x:c r="E603" s="13" t="str">
        <x:v>VAL-024</x:v>
      </x:c>
      <x:c r="F603" s="13" t="str">
        <x:v>NovaForma Móveis</x:v>
      </x:c>
      <x:c r="G603" s="13" t="str">
        <x:v>Indústria Leve</x:v>
      </x:c>
      <x:c r="H603" s="13" t="str">
        <x:v>Baixo</x:v>
      </x:c>
      <x:c r="I603" s="13" t="str">
        <x:v>Enterprise</x:v>
      </x:c>
      <x:c r="J603" s="17" t="n">
        <x:v>8021.39</x:v>
      </x:c>
      <x:c r="K603" s="17" t="n">
        <x:v>111.42</x:v>
      </x:c>
      <x:c r="L603" s="17" t="n">
        <x:v>0</x:v>
      </x:c>
      <x:c r="M603" s="13" t="str">
        <x:v>Pago</x:v>
      </x:c>
      <x:c r="N603" s="13" t="str">
        <x:v>Sem cobrança</x:v>
      </x:c>
      <x:c r="O603" s="13" t="str">
        <x:v>Crescimento sem escala</x:v>
      </x:c>
      <x:c r="P603" s="17" t="n">
        <x:f>IF(D603="",0,J603-K603+L603)</x:f>
        <x:v>7909.97</x:v>
      </x:c>
      <x:c r="Q603" s="17" t="n">
        <x:f>MAX(J603-P603-K603,0)</x:f>
        <x:v>7.105427357601002e-14</x:v>
      </x:c>
      <x:c r="R603" s="13" t="n">
        <x:f>IF(D603="",MAX(TODAY()-C603,0),MAX(D603-C603,0))</x:f>
        <x:v>0</x:v>
      </x:c>
      <x:c r="S603" s="13" t="str">
        <x:f>IF(R603=0,"Em dia",IF(R603&lt;=15,"1-15 dias",IF(R603&lt;=30,"16-30 dias",IF(R603&lt;=60,"31-60 dias","Acima de 60 dias"))))</x:f>
        <x:v>Em dia</x:v>
      </x:c>
    </x:row>
    <x:row r="604">
      <x:c r="A604" s="13" t="str">
        <x:v>REC-000603</x:v>
      </x:c>
      <x:c r="B604" s="23" t="n">
        <x:v>45607</x:v>
      </x:c>
      <x:c r="C604" s="23" t="n">
        <x:v>45635</x:v>
      </x:c>
      <x:c r="D604" s="23" t="n">
        <x:v>45631</x:v>
      </x:c>
      <x:c r="E604" s="13" t="str">
        <x:v>VAL-003</x:v>
      </x:c>
      <x:c r="F604" s="13" t="str">
        <x:v>Casa Nova Varejo</x:v>
      </x:c>
      <x:c r="G604" s="13" t="str">
        <x:v>Varejo</x:v>
      </x:c>
      <x:c r="H604" s="13" t="str">
        <x:v>Baixo</x:v>
      </x:c>
      <x:c r="I604" s="13" t="str">
        <x:v>Performance</x:v>
      </x:c>
      <x:c r="J604" s="17" t="n">
        <x:v>15651.38</x:v>
      </x:c>
      <x:c r="K604" s="17" t="n">
        <x:v>0</x:v>
      </x:c>
      <x:c r="L604" s="17" t="n">
        <x:v>0</x:v>
      </x:c>
      <x:c r="M604" s="13" t="str">
        <x:v>Pago</x:v>
      </x:c>
      <x:c r="N604" s="13" t="str">
        <x:v>Sem cobrança</x:v>
      </x:c>
      <x:c r="O604" s="13" t="str">
        <x:v>Crescimento sem escala</x:v>
      </x:c>
      <x:c r="P604" s="17" t="n">
        <x:f>IF(D604="",0,J604-K604+L604)</x:f>
        <x:v>15651.38</x:v>
      </x:c>
      <x:c r="Q604" s="17" t="n">
        <x:f>MAX(J604-P604-K604,0)</x:f>
        <x:v>0</x:v>
      </x:c>
      <x:c r="R604" s="13" t="n">
        <x:f>IF(D604="",MAX(TODAY()-C604,0),MAX(D604-C604,0))</x:f>
        <x:v>0</x:v>
      </x:c>
      <x:c r="S604" s="13" t="str">
        <x:f>IF(R604=0,"Em dia",IF(R604&lt;=15,"1-15 dias",IF(R604&lt;=30,"16-30 dias",IF(R604&lt;=60,"31-60 dias","Acima de 60 dias"))))</x:f>
        <x:v>Em dia</x:v>
      </x:c>
    </x:row>
    <x:row r="605">
      <x:c r="A605" s="13" t="str">
        <x:v>REC-000604</x:v>
      </x:c>
      <x:c r="B605" s="23" t="n">
        <x:v>45606</x:v>
      </x:c>
      <x:c r="C605" s="23" t="n">
        <x:v>45613</x:v>
      </x:c>
      <x:c r="D605" s="23" t="n">
        <x:v>45611</x:v>
      </x:c>
      <x:c r="E605" s="13" t="str">
        <x:v>VAL-027</x:v>
      </x:c>
      <x:c r="F605" s="13" t="str">
        <x:v>Mais Lar Utilidades</x:v>
      </x:c>
      <x:c r="G605" s="13" t="str">
        <x:v>Varejo</x:v>
      </x:c>
      <x:c r="H605" s="13" t="str">
        <x:v>Baixo</x:v>
      </x:c>
      <x:c r="I605" s="13" t="str">
        <x:v>Performance</x:v>
      </x:c>
      <x:c r="J605" s="17" t="n">
        <x:v>1124.83</x:v>
      </x:c>
      <x:c r="K605" s="17" t="n">
        <x:v>0</x:v>
      </x:c>
      <x:c r="L605" s="17" t="n">
        <x:v>0</x:v>
      </x:c>
      <x:c r="M605" s="13" t="str">
        <x:v>Pago</x:v>
      </x:c>
      <x:c r="N605" s="13" t="str">
        <x:v>Sem cobrança</x:v>
      </x:c>
      <x:c r="O605" s="13" t="str">
        <x:v>Crescimento sem escala</x:v>
      </x:c>
      <x:c r="P605" s="17" t="n">
        <x:f>IF(D605="",0,J605-K605+L605)</x:f>
        <x:v>1124.83</x:v>
      </x:c>
      <x:c r="Q605" s="17" t="n">
        <x:f>MAX(J605-P605-K605,0)</x:f>
        <x:v>0</x:v>
      </x:c>
      <x:c r="R605" s="13" t="n">
        <x:f>IF(D605="",MAX(TODAY()-C605,0),MAX(D605-C605,0))</x:f>
        <x:v>0</x:v>
      </x:c>
      <x:c r="S605" s="13" t="str">
        <x:f>IF(R605=0,"Em dia",IF(R605&lt;=15,"1-15 dias",IF(R605&lt;=30,"16-30 dias",IF(R605&lt;=60,"31-60 dias","Acima de 60 dias"))))</x:f>
        <x:v>Em dia</x:v>
      </x:c>
    </x:row>
    <x:row r="606">
      <x:c r="A606" s="13" t="str">
        <x:v>REC-000605</x:v>
      </x:c>
      <x:c r="B606" s="23" t="n">
        <x:v>45599</x:v>
      </x:c>
      <x:c r="C606" s="23" t="n">
        <x:v>45629</x:v>
      </x:c>
      <x:c r="D606" s="23" t="n">
        <x:v>45627</x:v>
      </x:c>
      <x:c r="E606" s="13" t="str">
        <x:v>VAL-011</x:v>
      </x:c>
      <x:c r="F606" s="13" t="str">
        <x:v>Rede Essencial</x:v>
      </x:c>
      <x:c r="G606" s="13" t="str">
        <x:v>Varejo</x:v>
      </x:c>
      <x:c r="H606" s="13" t="str">
        <x:v>Médio</x:v>
      </x:c>
      <x:c r="I606" s="13" t="str">
        <x:v>Performance</x:v>
      </x:c>
      <x:c r="J606" s="17" t="n">
        <x:v>29985.9</x:v>
      </x:c>
      <x:c r="K606" s="17" t="n">
        <x:v>0</x:v>
      </x:c>
      <x:c r="L606" s="17" t="n">
        <x:v>0</x:v>
      </x:c>
      <x:c r="M606" s="13" t="str">
        <x:v>Pago</x:v>
      </x:c>
      <x:c r="N606" s="13" t="str">
        <x:v>Sem cobrança</x:v>
      </x:c>
      <x:c r="O606" s="13" t="str">
        <x:v>Crescimento sem escala</x:v>
      </x:c>
      <x:c r="P606" s="17" t="n">
        <x:f>IF(D606="",0,J606-K606+L606)</x:f>
        <x:v>29985.9</x:v>
      </x:c>
      <x:c r="Q606" s="17" t="n">
        <x:f>MAX(J606-P606-K606,0)</x:f>
        <x:v>0</x:v>
      </x:c>
      <x:c r="R606" s="13" t="n">
        <x:f>IF(D606="",MAX(TODAY()-C606,0),MAX(D606-C606,0))</x:f>
        <x:v>0</x:v>
      </x:c>
      <x:c r="S606" s="13" t="str">
        <x:f>IF(R606=0,"Em dia",IF(R606&lt;=15,"1-15 dias",IF(R606&lt;=30,"16-30 dias",IF(R606&lt;=60,"31-60 dias","Acima de 60 dias"))))</x:f>
        <x:v>Em dia</x:v>
      </x:c>
    </x:row>
    <x:row r="607">
      <x:c r="A607" s="13" t="str">
        <x:v>REC-000606</x:v>
      </x:c>
      <x:c r="B607" s="23" t="n">
        <x:v>45599</x:v>
      </x:c>
      <x:c r="C607" s="23" t="n">
        <x:v>45606</x:v>
      </x:c>
      <x:c r="D607" s="23" t="n">
        <x:v>45602</x:v>
      </x:c>
      <x:c r="E607" s="13" t="str">
        <x:v>VAL-003</x:v>
      </x:c>
      <x:c r="F607" s="13" t="str">
        <x:v>Casa Nova Varejo</x:v>
      </x:c>
      <x:c r="G607" s="13" t="str">
        <x:v>Varejo</x:v>
      </x:c>
      <x:c r="H607" s="13" t="str">
        <x:v>Baixo</x:v>
      </x:c>
      <x:c r="I607" s="13" t="str">
        <x:v>Performance</x:v>
      </x:c>
      <x:c r="J607" s="17" t="n">
        <x:v>9848.39</x:v>
      </x:c>
      <x:c r="K607" s="17" t="n">
        <x:v>0</x:v>
      </x:c>
      <x:c r="L607" s="17" t="n">
        <x:v>0</x:v>
      </x:c>
      <x:c r="M607" s="13" t="str">
        <x:v>Pago</x:v>
      </x:c>
      <x:c r="N607" s="13" t="str">
        <x:v>Sem cobrança</x:v>
      </x:c>
      <x:c r="O607" s="13" t="str">
        <x:v>Crescimento sem escala</x:v>
      </x:c>
      <x:c r="P607" s="17" t="n">
        <x:f>IF(D607="",0,J607-K607+L607)</x:f>
        <x:v>9848.39</x:v>
      </x:c>
      <x:c r="Q607" s="17" t="n">
        <x:f>MAX(J607-P607-K607,0)</x:f>
        <x:v>0</x:v>
      </x:c>
      <x:c r="R607" s="13" t="n">
        <x:f>IF(D607="",MAX(TODAY()-C607,0),MAX(D607-C607,0))</x:f>
        <x:v>0</x:v>
      </x:c>
      <x:c r="S607" s="13" t="str">
        <x:f>IF(R607=0,"Em dia",IF(R607&lt;=15,"1-15 dias",IF(R607&lt;=30,"16-30 dias",IF(R607&lt;=60,"31-60 dias","Acima de 60 dias"))))</x:f>
        <x:v>Em dia</x:v>
      </x:c>
    </x:row>
    <x:row r="608">
      <x:c r="A608" s="13" t="str">
        <x:v>REC-000607</x:v>
      </x:c>
      <x:c r="B608" s="23" t="n">
        <x:v>45614</x:v>
      </x:c>
      <x:c r="C608" s="23" t="n">
        <x:v>45621</x:v>
      </x:c>
      <x:c r="D608" s="23" t="n">
        <x:v>45618</x:v>
      </x:c>
      <x:c r="E608" s="13" t="str">
        <x:v>VAL-015</x:v>
      </x:c>
      <x:c r="F608" s="13" t="str">
        <x:v>Mercado Click</x:v>
      </x:c>
      <x:c r="G608" s="13" t="str">
        <x:v>E-commerce</x:v>
      </x:c>
      <x:c r="H608" s="13" t="str">
        <x:v>Baixo</x:v>
      </x:c>
      <x:c r="I608" s="13" t="str">
        <x:v>Performance</x:v>
      </x:c>
      <x:c r="J608" s="17" t="n">
        <x:v>20660.23</x:v>
      </x:c>
      <x:c r="K608" s="17" t="n">
        <x:v>248.97</x:v>
      </x:c>
      <x:c r="L608" s="17" t="n">
        <x:v>0</x:v>
      </x:c>
      <x:c r="M608" s="13" t="str">
        <x:v>Pago</x:v>
      </x:c>
      <x:c r="N608" s="13" t="str">
        <x:v>Sem cobrança</x:v>
      </x:c>
      <x:c r="O608" s="13" t="str">
        <x:v>Crescimento sem escala</x:v>
      </x:c>
      <x:c r="P608" s="17" t="n">
        <x:f>IF(D608="",0,J608-K608+L608)</x:f>
        <x:v>20411.26</x:v>
      </x:c>
      <x:c r="Q608" s="17" t="n">
        <x:f>MAX(J608-P608-K608,0)</x:f>
        <x:v>1.1652900866465643e-12</x:v>
      </x:c>
      <x:c r="R608" s="13" t="n">
        <x:f>IF(D608="",MAX(TODAY()-C608,0),MAX(D608-C608,0))</x:f>
        <x:v>0</x:v>
      </x:c>
      <x:c r="S608" s="13" t="str">
        <x:f>IF(R608=0,"Em dia",IF(R608&lt;=15,"1-15 dias",IF(R608&lt;=30,"16-30 dias",IF(R608&lt;=60,"31-60 dias","Acima de 60 dias"))))</x:f>
        <x:v>Em dia</x:v>
      </x:c>
    </x:row>
    <x:row r="609">
      <x:c r="A609" s="13" t="str">
        <x:v>REC-000608</x:v>
      </x:c>
      <x:c r="B609" s="23" t="n">
        <x:v>45600</x:v>
      </x:c>
      <x:c r="C609" s="23" t="n">
        <x:v>45615</x:v>
      </x:c>
      <x:c r="D609" s="23" t="n">
        <x:v>45613</x:v>
      </x:c>
      <x:c r="E609" s="13" t="str">
        <x:v>VAL-029</x:v>
      </x:c>
      <x:c r="F609" s="13" t="str">
        <x:v>Planobra Serviços</x:v>
      </x:c>
      <x:c r="G609" s="13" t="str">
        <x:v>Construção</x:v>
      </x:c>
      <x:c r="H609" s="13" t="str">
        <x:v>Baixo</x:v>
      </x:c>
      <x:c r="I609" s="13" t="str">
        <x:v>Essencial</x:v>
      </x:c>
      <x:c r="J609" s="17" t="n">
        <x:v>17139.63</x:v>
      </x:c>
      <x:c r="K609" s="17" t="n">
        <x:v>0</x:v>
      </x:c>
      <x:c r="L609" s="17" t="n">
        <x:v>0</x:v>
      </x:c>
      <x:c r="M609" s="13" t="str">
        <x:v>Pago</x:v>
      </x:c>
      <x:c r="N609" s="13" t="str">
        <x:v>Sem cobrança</x:v>
      </x:c>
      <x:c r="O609" s="13" t="str">
        <x:v>Crescimento sem escala</x:v>
      </x:c>
      <x:c r="P609" s="17" t="n">
        <x:f>IF(D609="",0,J609-K609+L609)</x:f>
        <x:v>17139.63</x:v>
      </x:c>
      <x:c r="Q609" s="17" t="n">
        <x:f>MAX(J609-P609-K609,0)</x:f>
        <x:v>0</x:v>
      </x:c>
      <x:c r="R609" s="13" t="n">
        <x:f>IF(D609="",MAX(TODAY()-C609,0),MAX(D609-C609,0))</x:f>
        <x:v>0</x:v>
      </x:c>
      <x:c r="S609" s="13" t="str">
        <x:f>IF(R609=0,"Em dia",IF(R609&lt;=15,"1-15 dias",IF(R609&lt;=30,"16-30 dias",IF(R609&lt;=60,"31-60 dias","Acima de 60 dias"))))</x:f>
        <x:v>Em dia</x:v>
      </x:c>
    </x:row>
    <x:row r="610">
      <x:c r="A610" s="13" t="str">
        <x:v>REC-000609</x:v>
      </x:c>
      <x:c r="B610" s="23" t="n">
        <x:v>45600</x:v>
      </x:c>
      <x:c r="C610" s="23" t="n">
        <x:v>45621</x:v>
      </x:c>
      <x:c r="D610" s="23" t="n">
        <x:v>45619</x:v>
      </x:c>
      <x:c r="E610" s="13" t="str">
        <x:v>VAL-029</x:v>
      </x:c>
      <x:c r="F610" s="13" t="str">
        <x:v>Planobra Serviços</x:v>
      </x:c>
      <x:c r="G610" s="13" t="str">
        <x:v>Construção</x:v>
      </x:c>
      <x:c r="H610" s="13" t="str">
        <x:v>Baixo</x:v>
      </x:c>
      <x:c r="I610" s="13" t="str">
        <x:v>Essencial</x:v>
      </x:c>
      <x:c r="J610" s="17" t="n">
        <x:v>27588.41</x:v>
      </x:c>
      <x:c r="K610" s="17" t="n">
        <x:v>0</x:v>
      </x:c>
      <x:c r="L610" s="17" t="n">
        <x:v>0</x:v>
      </x:c>
      <x:c r="M610" s="13" t="str">
        <x:v>Pago</x:v>
      </x:c>
      <x:c r="N610" s="13" t="str">
        <x:v>Sem cobrança</x:v>
      </x:c>
      <x:c r="O610" s="13" t="str">
        <x:v>Crescimento sem escala</x:v>
      </x:c>
      <x:c r="P610" s="17" t="n">
        <x:f>IF(D610="",0,J610-K610+L610)</x:f>
        <x:v>27588.41</x:v>
      </x:c>
      <x:c r="Q610" s="17" t="n">
        <x:f>MAX(J610-P610-K610,0)</x:f>
        <x:v>0</x:v>
      </x:c>
      <x:c r="R610" s="13" t="n">
        <x:f>IF(D610="",MAX(TODAY()-C610,0),MAX(D610-C610,0))</x:f>
        <x:v>0</x:v>
      </x:c>
      <x:c r="S610" s="13" t="str">
        <x:f>IF(R610=0,"Em dia",IF(R610&lt;=15,"1-15 dias",IF(R610&lt;=30,"16-30 dias",IF(R610&lt;=60,"31-60 dias","Acima de 60 dias"))))</x:f>
        <x:v>Em dia</x:v>
      </x:c>
    </x:row>
    <x:row r="611">
      <x:c r="A611" s="13" t="str">
        <x:v>REC-000610</x:v>
      </x:c>
      <x:c r="B611" s="23" t="n">
        <x:v>45597</x:v>
      </x:c>
      <x:c r="C611" s="23" t="n">
        <x:v>45604</x:v>
      </x:c>
      <x:c r="D611" s="23" t="n">
        <x:v>45600</x:v>
      </x:c>
      <x:c r="E611" s="13" t="str">
        <x:v>VAL-012</x:v>
      </x:c>
      <x:c r="F611" s="13" t="str">
        <x:v>DataFlow Sistemas</x:v>
      </x:c>
      <x:c r="G611" s="13" t="str">
        <x:v>Tecnologia</x:v>
      </x:c>
      <x:c r="H611" s="13" t="str">
        <x:v>Médio</x:v>
      </x:c>
      <x:c r="I611" s="13" t="str">
        <x:v>Enterprise</x:v>
      </x:c>
      <x:c r="J611" s="17" t="n">
        <x:v>32469.03</x:v>
      </x:c>
      <x:c r="K611" s="17" t="n">
        <x:v>0</x:v>
      </x:c>
      <x:c r="L611" s="17" t="n">
        <x:v>0</x:v>
      </x:c>
      <x:c r="M611" s="13" t="str">
        <x:v>Pago</x:v>
      </x:c>
      <x:c r="N611" s="13" t="str">
        <x:v>Sem cobrança</x:v>
      </x:c>
      <x:c r="O611" s="13" t="str">
        <x:v>Crescimento sem escala</x:v>
      </x:c>
      <x:c r="P611" s="17" t="n">
        <x:f>IF(D611="",0,J611-K611+L611)</x:f>
        <x:v>32469.03</x:v>
      </x:c>
      <x:c r="Q611" s="17" t="n">
        <x:f>MAX(J611-P611-K611,0)</x:f>
        <x:v>0</x:v>
      </x:c>
      <x:c r="R611" s="13" t="n">
        <x:f>IF(D611="",MAX(TODAY()-C611,0),MAX(D611-C611,0))</x:f>
        <x:v>0</x:v>
      </x:c>
      <x:c r="S611" s="13" t="str">
        <x:f>IF(R611=0,"Em dia",IF(R611&lt;=15,"1-15 dias",IF(R611&lt;=30,"16-30 dias",IF(R611&lt;=60,"31-60 dias","Acima de 60 dias"))))</x:f>
        <x:v>Em dia</x:v>
      </x:c>
    </x:row>
    <x:row r="612">
      <x:c r="A612" s="13" t="str">
        <x:v>REC-000611</x:v>
      </x:c>
      <x:c r="B612" s="23" t="n">
        <x:v>45601</x:v>
      </x:c>
      <x:c r="C612" s="23" t="n">
        <x:v>45629</x:v>
      </x:c>
      <x:c r="D612" s="23" t="n">
        <x:v>45628</x:v>
      </x:c>
      <x:c r="E612" s="13" t="str">
        <x:v>VAL-013</x:v>
      </x:c>
      <x:c r="F612" s="13" t="str">
        <x:v>Engenharia Vértice</x:v>
      </x:c>
      <x:c r="G612" s="13" t="str">
        <x:v>Construção</x:v>
      </x:c>
      <x:c r="H612" s="13" t="str">
        <x:v>Baixo</x:v>
      </x:c>
      <x:c r="I612" s="13" t="str">
        <x:v>Essencial</x:v>
      </x:c>
      <x:c r="J612" s="17" t="n">
        <x:v>25947.65</x:v>
      </x:c>
      <x:c r="K612" s="17" t="n">
        <x:v>0</x:v>
      </x:c>
      <x:c r="L612" s="17" t="n">
        <x:v>0</x:v>
      </x:c>
      <x:c r="M612" s="13" t="str">
        <x:v>Pago</x:v>
      </x:c>
      <x:c r="N612" s="13" t="str">
        <x:v>Sem cobrança</x:v>
      </x:c>
      <x:c r="O612" s="13" t="str">
        <x:v>Crescimento sem escala</x:v>
      </x:c>
      <x:c r="P612" s="17" t="n">
        <x:f>IF(D612="",0,J612-K612+L612)</x:f>
        <x:v>25947.65</x:v>
      </x:c>
      <x:c r="Q612" s="17" t="n">
        <x:f>MAX(J612-P612-K612,0)</x:f>
        <x:v>0</x:v>
      </x:c>
      <x:c r="R612" s="13" t="n">
        <x:f>IF(D612="",MAX(TODAY()-C612,0),MAX(D612-C612,0))</x:f>
        <x:v>0</x:v>
      </x:c>
      <x:c r="S612" s="13" t="str">
        <x:f>IF(R612=0,"Em dia",IF(R612&lt;=15,"1-15 dias",IF(R612&lt;=30,"16-30 dias",IF(R612&lt;=60,"31-60 dias","Acima de 60 dias"))))</x:f>
        <x:v>Em dia</x:v>
      </x:c>
    </x:row>
    <x:row r="613">
      <x:c r="A613" s="13" t="str">
        <x:v>REC-000612</x:v>
      </x:c>
      <x:c r="B613" s="23" t="n">
        <x:v>45604</x:v>
      </x:c>
      <x:c r="C613" s="23" t="n">
        <x:v>45619</x:v>
      </x:c>
      <x:c r="D613" s="23" t="n">
        <x:v>45618</x:v>
      </x:c>
      <x:c r="E613" s="13" t="str">
        <x:v>VAL-022</x:v>
      </x:c>
      <x:c r="F613" s="13" t="str">
        <x:v>Academia Evoluir</x:v>
      </x:c>
      <x:c r="G613" s="13" t="str">
        <x:v>Educação</x:v>
      </x:c>
      <x:c r="H613" s="13" t="str">
        <x:v>Alto</x:v>
      </x:c>
      <x:c r="I613" s="13" t="str">
        <x:v>Gestão</x:v>
      </x:c>
      <x:c r="J613" s="17" t="n">
        <x:v>12382.52</x:v>
      </x:c>
      <x:c r="K613" s="17" t="n">
        <x:v>0</x:v>
      </x:c>
      <x:c r="L613" s="17" t="n">
        <x:v>0</x:v>
      </x:c>
      <x:c r="M613" s="13" t="str">
        <x:v>Pago</x:v>
      </x:c>
      <x:c r="N613" s="13" t="str">
        <x:v>Sem cobrança</x:v>
      </x:c>
      <x:c r="O613" s="13" t="str">
        <x:v>Crescimento sem escala</x:v>
      </x:c>
      <x:c r="P613" s="17" t="n">
        <x:f>IF(D613="",0,J613-K613+L613)</x:f>
        <x:v>12382.52</x:v>
      </x:c>
      <x:c r="Q613" s="17" t="n">
        <x:f>MAX(J613-P613-K613,0)</x:f>
        <x:v>0</x:v>
      </x:c>
      <x:c r="R613" s="13" t="n">
        <x:f>IF(D613="",MAX(TODAY()-C613,0),MAX(D613-C613,0))</x:f>
        <x:v>0</x:v>
      </x:c>
      <x:c r="S613" s="13" t="str">
        <x:f>IF(R613=0,"Em dia",IF(R613&lt;=15,"1-15 dias",IF(R613&lt;=30,"16-30 dias",IF(R613&lt;=60,"31-60 dias","Acima de 60 dias"))))</x:f>
        <x:v>Em dia</x:v>
      </x:c>
    </x:row>
    <x:row r="614">
      <x:c r="A614" s="13" t="str">
        <x:v>REC-000613</x:v>
      </x:c>
      <x:c r="B614" s="23" t="n">
        <x:v>45599</x:v>
      </x:c>
      <x:c r="C614" s="23" t="n">
        <x:v>45629</x:v>
      </x:c>
      <x:c r="D614" s="23" t="n">
        <x:v>45626</x:v>
      </x:c>
      <x:c r="E614" s="13" t="str">
        <x:v>VAL-004</x:v>
      </x:c>
      <x:c r="F614" s="13" t="str">
        <x:v>NuvemBase Tecnologia</x:v>
      </x:c>
      <x:c r="G614" s="13" t="str">
        <x:v>Tecnologia</x:v>
      </x:c>
      <x:c r="H614" s="13" t="str">
        <x:v>Baixo</x:v>
      </x:c>
      <x:c r="I614" s="13" t="str">
        <x:v>Enterprise</x:v>
      </x:c>
      <x:c r="J614" s="17" t="n">
        <x:v>8394.99</x:v>
      </x:c>
      <x:c r="K614" s="17" t="n">
        <x:v>0</x:v>
      </x:c>
      <x:c r="L614" s="17" t="n">
        <x:v>0</x:v>
      </x:c>
      <x:c r="M614" s="13" t="str">
        <x:v>Pago</x:v>
      </x:c>
      <x:c r="N614" s="13" t="str">
        <x:v>Sem cobrança</x:v>
      </x:c>
      <x:c r="O614" s="13" t="str">
        <x:v>Crescimento sem escala</x:v>
      </x:c>
      <x:c r="P614" s="17" t="n">
        <x:f>IF(D614="",0,J614-K614+L614)</x:f>
        <x:v>8394.99</x:v>
      </x:c>
      <x:c r="Q614" s="17" t="n">
        <x:f>MAX(J614-P614-K614,0)</x:f>
        <x:v>0</x:v>
      </x:c>
      <x:c r="R614" s="13" t="n">
        <x:f>IF(D614="",MAX(TODAY()-C614,0),MAX(D614-C614,0))</x:f>
        <x:v>0</x:v>
      </x:c>
      <x:c r="S614" s="13" t="str">
        <x:f>IF(R614=0,"Em dia",IF(R614&lt;=15,"1-15 dias",IF(R614&lt;=30,"16-30 dias",IF(R614&lt;=60,"31-60 dias","Acima de 60 dias"))))</x:f>
        <x:v>Em dia</x:v>
      </x:c>
    </x:row>
    <x:row r="615">
      <x:c r="A615" s="13" t="str">
        <x:v>REC-000614</x:v>
      </x:c>
      <x:c r="B615" s="23" t="n">
        <x:v>45605</x:v>
      </x:c>
      <x:c r="C615" s="23" t="n">
        <x:v>45612</x:v>
      </x:c>
      <x:c r="D615" s="23" t="n">
        <x:v>45610</x:v>
      </x:c>
      <x:c r="E615" s="13" t="str">
        <x:v>VAL-010</x:v>
      </x:c>
      <x:c r="F615" s="13" t="str">
        <x:v>Atlas Contabilidade</x:v>
      </x:c>
      <x:c r="G615" s="13" t="str">
        <x:v>Serviços Profissionais</x:v>
      </x:c>
      <x:c r="H615" s="13" t="str">
        <x:v>Baixo</x:v>
      </x:c>
      <x:c r="I615" s="13" t="str">
        <x:v>Gestão</x:v>
      </x:c>
      <x:c r="J615" s="17" t="n">
        <x:v>1345.4</x:v>
      </x:c>
      <x:c r="K615" s="17" t="n">
        <x:v>0</x:v>
      </x:c>
      <x:c r="L615" s="17" t="n">
        <x:v>0</x:v>
      </x:c>
      <x:c r="M615" s="13" t="str">
        <x:v>Pago</x:v>
      </x:c>
      <x:c r="N615" s="13" t="str">
        <x:v>Sem cobrança</x:v>
      </x:c>
      <x:c r="O615" s="13" t="str">
        <x:v>Crescimento sem escala</x:v>
      </x:c>
      <x:c r="P615" s="17" t="n">
        <x:f>IF(D615="",0,J615-K615+L615)</x:f>
        <x:v>1345.4</x:v>
      </x:c>
      <x:c r="Q615" s="17" t="n">
        <x:f>MAX(J615-P615-K615,0)</x:f>
        <x:v>0</x:v>
      </x:c>
      <x:c r="R615" s="13" t="n">
        <x:f>IF(D615="",MAX(TODAY()-C615,0),MAX(D615-C615,0))</x:f>
        <x:v>0</x:v>
      </x:c>
      <x:c r="S615" s="13" t="str">
        <x:f>IF(R615=0,"Em dia",IF(R615&lt;=15,"1-15 dias",IF(R615&lt;=30,"16-30 dias",IF(R615&lt;=60,"31-60 dias","Acima de 60 dias"))))</x:f>
        <x:v>Em dia</x:v>
      </x:c>
    </x:row>
    <x:row r="616">
      <x:c r="A616" s="13" t="str">
        <x:v>REC-000615</x:v>
      </x:c>
      <x:c r="B616" s="23" t="n">
        <x:v>45603</x:v>
      </x:c>
      <x:c r="C616" s="23" t="n">
        <x:v>45610</x:v>
      </x:c>
      <x:c r="D616" s="23" t="n">
        <x:v>45607</x:v>
      </x:c>
      <x:c r="E616" s="13" t="str">
        <x:v>VAL-001</x:v>
      </x:c>
      <x:c r="F616" s="13" t="str">
        <x:v>Clínica Horizonte</x:v>
      </x:c>
      <x:c r="G616" s="13" t="str">
        <x:v>Clínicas e Saúde</x:v>
      </x:c>
      <x:c r="H616" s="13" t="str">
        <x:v>Baixo</x:v>
      </x:c>
      <x:c r="I616" s="13" t="str">
        <x:v>Essencial</x:v>
      </x:c>
      <x:c r="J616" s="17" t="n">
        <x:v>23908.25</x:v>
      </x:c>
      <x:c r="K616" s="17" t="n">
        <x:v>0</x:v>
      </x:c>
      <x:c r="L616" s="17" t="n">
        <x:v>0</x:v>
      </x:c>
      <x:c r="M616" s="13" t="str">
        <x:v>Pago</x:v>
      </x:c>
      <x:c r="N616" s="13" t="str">
        <x:v>Sem cobrança</x:v>
      </x:c>
      <x:c r="O616" s="13" t="str">
        <x:v>Crescimento sem escala</x:v>
      </x:c>
      <x:c r="P616" s="17" t="n">
        <x:f>IF(D616="",0,J616-K616+L616)</x:f>
        <x:v>23908.25</x:v>
      </x:c>
      <x:c r="Q616" s="17" t="n">
        <x:f>MAX(J616-P616-K616,0)</x:f>
        <x:v>0</x:v>
      </x:c>
      <x:c r="R616" s="13" t="n">
        <x:f>IF(D616="",MAX(TODAY()-C616,0),MAX(D616-C616,0))</x:f>
        <x:v>0</x:v>
      </x:c>
      <x:c r="S616" s="13" t="str">
        <x:f>IF(R616=0,"Em dia",IF(R616&lt;=15,"1-15 dias",IF(R616&lt;=30,"16-30 dias",IF(R616&lt;=60,"31-60 dias","Acima de 60 dias"))))</x:f>
        <x:v>Em dia</x:v>
      </x:c>
    </x:row>
    <x:row r="617">
      <x:c r="A617" s="13" t="str">
        <x:v>REC-000616</x:v>
      </x:c>
      <x:c r="B617" s="23" t="n">
        <x:v>45616</x:v>
      </x:c>
      <x:c r="C617" s="23" t="n">
        <x:v>45644</x:v>
      </x:c>
      <x:c r="D617" s="23" t="n">
        <x:v>45642</x:v>
      </x:c>
      <x:c r="E617" s="13" t="str">
        <x:v>VAL-007</x:v>
      </x:c>
      <x:c r="F617" s="13" t="str">
        <x:v>Loja Prisma Online</x:v>
      </x:c>
      <x:c r="G617" s="13" t="str">
        <x:v>E-commerce</x:v>
      </x:c>
      <x:c r="H617" s="13" t="str">
        <x:v>Médio</x:v>
      </x:c>
      <x:c r="I617" s="13" t="str">
        <x:v>Performance</x:v>
      </x:c>
      <x:c r="J617" s="17" t="n">
        <x:v>24407.94</x:v>
      </x:c>
      <x:c r="K617" s="17" t="n">
        <x:v>352.98</x:v>
      </x:c>
      <x:c r="L617" s="17" t="n">
        <x:v>0</x:v>
      </x:c>
      <x:c r="M617" s="13" t="str">
        <x:v>Pago</x:v>
      </x:c>
      <x:c r="N617" s="13" t="str">
        <x:v>Sem cobrança</x:v>
      </x:c>
      <x:c r="O617" s="13" t="str">
        <x:v>Crescimento sem escala</x:v>
      </x:c>
      <x:c r="P617" s="17" t="n">
        <x:f>IF(D617="",0,J617-K617+L617)</x:f>
        <x:v>24054.96</x:v>
      </x:c>
      <x:c r="Q617" s="17" t="n">
        <x:f>MAX(J617-P617-K617,0)</x:f>
        <x:v>0</x:v>
      </x:c>
      <x:c r="R617" s="13" t="n">
        <x:f>IF(D617="",MAX(TODAY()-C617,0),MAX(D617-C617,0))</x:f>
        <x:v>0</x:v>
      </x:c>
      <x:c r="S617" s="13" t="str">
        <x:f>IF(R617=0,"Em dia",IF(R617&lt;=15,"1-15 dias",IF(R617&lt;=30,"16-30 dias",IF(R617&lt;=60,"31-60 dias","Acima de 60 dias"))))</x:f>
        <x:v>Em dia</x:v>
      </x:c>
    </x:row>
    <x:row r="618">
      <x:c r="A618" s="13" t="str">
        <x:v>REC-000617</x:v>
      </x:c>
      <x:c r="B618" s="23" t="n">
        <x:v>45599</x:v>
      </x:c>
      <x:c r="C618" s="23" t="n">
        <x:v>45629</x:v>
      </x:c>
      <x:c r="D618" s="23" t="n">
        <x:v>45627</x:v>
      </x:c>
      <x:c r="E618" s="13" t="str">
        <x:v>VAL-026</x:v>
      </x:c>
      <x:c r="F618" s="13" t="str">
        <x:v>Ribeiro Arquitetura</x:v>
      </x:c>
      <x:c r="G618" s="13" t="str">
        <x:v>Serviços Profissionais</x:v>
      </x:c>
      <x:c r="H618" s="13" t="str">
        <x:v>Baixo</x:v>
      </x:c>
      <x:c r="I618" s="13" t="str">
        <x:v>Gestão</x:v>
      </x:c>
      <x:c r="J618" s="17" t="n">
        <x:v>6557.36</x:v>
      </x:c>
      <x:c r="K618" s="17" t="n">
        <x:v>0</x:v>
      </x:c>
      <x:c r="L618" s="17" t="n">
        <x:v>0</x:v>
      </x:c>
      <x:c r="M618" s="13" t="str">
        <x:v>Pago</x:v>
      </x:c>
      <x:c r="N618" s="13" t="str">
        <x:v>Sem cobrança</x:v>
      </x:c>
      <x:c r="O618" s="13" t="str">
        <x:v>Crescimento sem escala</x:v>
      </x:c>
      <x:c r="P618" s="17" t="n">
        <x:f>IF(D618="",0,J618-K618+L618)</x:f>
        <x:v>6557.36</x:v>
      </x:c>
      <x:c r="Q618" s="17" t="n">
        <x:f>MAX(J618-P618-K618,0)</x:f>
        <x:v>0</x:v>
      </x:c>
      <x:c r="R618" s="13" t="n">
        <x:f>IF(D618="",MAX(TODAY()-C618,0),MAX(D618-C618,0))</x:f>
        <x:v>0</x:v>
      </x:c>
      <x:c r="S618" s="13" t="str">
        <x:f>IF(R618=0,"Em dia",IF(R618&lt;=15,"1-15 dias",IF(R618&lt;=30,"16-30 dias",IF(R618&lt;=60,"31-60 dias","Acima de 60 dias"))))</x:f>
        <x:v>Em dia</x:v>
      </x:c>
    </x:row>
    <x:row r="619">
      <x:c r="A619" s="13" t="str">
        <x:v>REC-000618</x:v>
      </x:c>
      <x:c r="B619" s="23" t="n">
        <x:v>45602</x:v>
      </x:c>
      <x:c r="C619" s="23" t="n">
        <x:v>45617</x:v>
      </x:c>
      <x:c r="D619" s="23" t="n">
        <x:v>45617</x:v>
      </x:c>
      <x:c r="E619" s="13" t="str">
        <x:v>VAL-023</x:v>
      </x:c>
      <x:c r="F619" s="13" t="str">
        <x:v>ShopMix Brasil</x:v>
      </x:c>
      <x:c r="G619" s="13" t="str">
        <x:v>E-commerce</x:v>
      </x:c>
      <x:c r="H619" s="13" t="str">
        <x:v>Baixo</x:v>
      </x:c>
      <x:c r="I619" s="13" t="str">
        <x:v>Performance</x:v>
      </x:c>
      <x:c r="J619" s="17" t="n">
        <x:v>3192.56</x:v>
      </x:c>
      <x:c r="K619" s="17" t="n">
        <x:v>0</x:v>
      </x:c>
      <x:c r="L619" s="17" t="n">
        <x:v>0</x:v>
      </x:c>
      <x:c r="M619" s="13" t="str">
        <x:v>Pago</x:v>
      </x:c>
      <x:c r="N619" s="13" t="str">
        <x:v>Sem cobrança</x:v>
      </x:c>
      <x:c r="O619" s="13" t="str">
        <x:v>Crescimento sem escala</x:v>
      </x:c>
      <x:c r="P619" s="17" t="n">
        <x:f>IF(D619="",0,J619-K619+L619)</x:f>
        <x:v>3192.56</x:v>
      </x:c>
      <x:c r="Q619" s="17" t="n">
        <x:f>MAX(J619-P619-K619,0)</x:f>
        <x:v>0</x:v>
      </x:c>
      <x:c r="R619" s="13" t="n">
        <x:f>IF(D619="",MAX(TODAY()-C619,0),MAX(D619-C619,0))</x:f>
        <x:v>0</x:v>
      </x:c>
      <x:c r="S619" s="13" t="str">
        <x:f>IF(R619=0,"Em dia",IF(R619&lt;=15,"1-15 dias",IF(R619&lt;=30,"16-30 dias",IF(R619&lt;=60,"31-60 dias","Acima de 60 dias"))))</x:f>
        <x:v>Em dia</x:v>
      </x:c>
    </x:row>
    <x:row r="620">
      <x:c r="A620" s="13" t="str">
        <x:v>REC-000619</x:v>
      </x:c>
      <x:c r="B620" s="23" t="n">
        <x:v>45606</x:v>
      </x:c>
      <x:c r="C620" s="23" t="n">
        <x:v>45636</x:v>
      </x:c>
      <x:c r="D620" s="23" t="n">
        <x:v>45633</x:v>
      </x:c>
      <x:c r="E620" s="13" t="str">
        <x:v>VAL-022</x:v>
      </x:c>
      <x:c r="F620" s="13" t="str">
        <x:v>Academia Evoluir</x:v>
      </x:c>
      <x:c r="G620" s="13" t="str">
        <x:v>Educação</x:v>
      </x:c>
      <x:c r="H620" s="13" t="str">
        <x:v>Alto</x:v>
      </x:c>
      <x:c r="I620" s="13" t="str">
        <x:v>Gestão</x:v>
      </x:c>
      <x:c r="J620" s="17" t="n">
        <x:v>3025.75</x:v>
      </x:c>
      <x:c r="K620" s="17" t="n">
        <x:v>0</x:v>
      </x:c>
      <x:c r="L620" s="17" t="n">
        <x:v>0</x:v>
      </x:c>
      <x:c r="M620" s="13" t="str">
        <x:v>Pago</x:v>
      </x:c>
      <x:c r="N620" s="13" t="str">
        <x:v>Sem cobrança</x:v>
      </x:c>
      <x:c r="O620" s="13" t="str">
        <x:v>Crescimento sem escala</x:v>
      </x:c>
      <x:c r="P620" s="17" t="n">
        <x:f>IF(D620="",0,J620-K620+L620)</x:f>
        <x:v>3025.75</x:v>
      </x:c>
      <x:c r="Q620" s="17" t="n">
        <x:f>MAX(J620-P620-K620,0)</x:f>
        <x:v>0</x:v>
      </x:c>
      <x:c r="R620" s="13" t="n">
        <x:f>IF(D620="",MAX(TODAY()-C620,0),MAX(D620-C620,0))</x:f>
        <x:v>0</x:v>
      </x:c>
      <x:c r="S620" s="13" t="str">
        <x:f>IF(R620=0,"Em dia",IF(R620&lt;=15,"1-15 dias",IF(R620&lt;=30,"16-30 dias",IF(R620&lt;=60,"31-60 dias","Acima de 60 dias"))))</x:f>
        <x:v>Em dia</x:v>
      </x:c>
    </x:row>
    <x:row r="621">
      <x:c r="A621" s="13" t="str">
        <x:v>REC-000620</x:v>
      </x:c>
      <x:c r="B621" s="23" t="n">
        <x:v>45605</x:v>
      </x:c>
      <x:c r="C621" s="23" t="n">
        <x:v>45620</x:v>
      </x:c>
      <x:c r="D621" s="23" t="n">
        <x:v>45618</x:v>
      </x:c>
      <x:c r="E621" s="13" t="str">
        <x:v>VAL-023</x:v>
      </x:c>
      <x:c r="F621" s="13" t="str">
        <x:v>ShopMix Brasil</x:v>
      </x:c>
      <x:c r="G621" s="13" t="str">
        <x:v>E-commerce</x:v>
      </x:c>
      <x:c r="H621" s="13" t="str">
        <x:v>Baixo</x:v>
      </x:c>
      <x:c r="I621" s="13" t="str">
        <x:v>Performance</x:v>
      </x:c>
      <x:c r="J621" s="17" t="n">
        <x:v>32322.97</x:v>
      </x:c>
      <x:c r="K621" s="17" t="n">
        <x:v>0</x:v>
      </x:c>
      <x:c r="L621" s="17" t="n">
        <x:v>0</x:v>
      </x:c>
      <x:c r="M621" s="13" t="str">
        <x:v>Pago</x:v>
      </x:c>
      <x:c r="N621" s="13" t="str">
        <x:v>Sem cobrança</x:v>
      </x:c>
      <x:c r="O621" s="13" t="str">
        <x:v>Crescimento sem escala</x:v>
      </x:c>
      <x:c r="P621" s="17" t="n">
        <x:f>IF(D621="",0,J621-K621+L621)</x:f>
        <x:v>32322.97</x:v>
      </x:c>
      <x:c r="Q621" s="17" t="n">
        <x:f>MAX(J621-P621-K621,0)</x:f>
        <x:v>0</x:v>
      </x:c>
      <x:c r="R621" s="13" t="n">
        <x:f>IF(D621="",MAX(TODAY()-C621,0),MAX(D621-C621,0))</x:f>
        <x:v>0</x:v>
      </x:c>
      <x:c r="S621" s="13" t="str">
        <x:f>IF(R621=0,"Em dia",IF(R621&lt;=15,"1-15 dias",IF(R621&lt;=30,"16-30 dias",IF(R621&lt;=60,"31-60 dias","Acima de 60 dias"))))</x:f>
        <x:v>Em dia</x:v>
      </x:c>
    </x:row>
    <x:row r="622">
      <x:c r="A622" s="13" t="str">
        <x:v>REC-000621</x:v>
      </x:c>
      <x:c r="B622" s="23" t="n">
        <x:v>45609</x:v>
      </x:c>
      <x:c r="C622" s="23" t="n">
        <x:v>45630</x:v>
      </x:c>
      <x:c r="D622" s="23" t="n">
        <x:v>45626</x:v>
      </x:c>
      <x:c r="E622" s="13" t="str">
        <x:v>VAL-022</x:v>
      </x:c>
      <x:c r="F622" s="13" t="str">
        <x:v>Academia Evoluir</x:v>
      </x:c>
      <x:c r="G622" s="13" t="str">
        <x:v>Educação</x:v>
      </x:c>
      <x:c r="H622" s="13" t="str">
        <x:v>Alto</x:v>
      </x:c>
      <x:c r="I622" s="13" t="str">
        <x:v>Gestão</x:v>
      </x:c>
      <x:c r="J622" s="17" t="n">
        <x:v>12722.1</x:v>
      </x:c>
      <x:c r="K622" s="17" t="n">
        <x:v>0</x:v>
      </x:c>
      <x:c r="L622" s="17" t="n">
        <x:v>0</x:v>
      </x:c>
      <x:c r="M622" s="13" t="str">
        <x:v>Pago</x:v>
      </x:c>
      <x:c r="N622" s="13" t="str">
        <x:v>Sem cobrança</x:v>
      </x:c>
      <x:c r="O622" s="13" t="str">
        <x:v>Crescimento sem escala</x:v>
      </x:c>
      <x:c r="P622" s="17" t="n">
        <x:f>IF(D622="",0,J622-K622+L622)</x:f>
        <x:v>12722.1</x:v>
      </x:c>
      <x:c r="Q622" s="17" t="n">
        <x:f>MAX(J622-P622-K622,0)</x:f>
        <x:v>0</x:v>
      </x:c>
      <x:c r="R622" s="13" t="n">
        <x:f>IF(D622="",MAX(TODAY()-C622,0),MAX(D622-C622,0))</x:f>
        <x:v>0</x:v>
      </x:c>
      <x:c r="S622" s="13" t="str">
        <x:f>IF(R622=0,"Em dia",IF(R622&lt;=15,"1-15 dias",IF(R622&lt;=30,"16-30 dias",IF(R622&lt;=60,"31-60 dias","Acima de 60 dias"))))</x:f>
        <x:v>Em dia</x:v>
      </x:c>
    </x:row>
    <x:row r="623">
      <x:c r="A623" s="13" t="str">
        <x:v>REC-000622</x:v>
      </x:c>
      <x:c r="B623" s="23" t="n">
        <x:v>45605</x:v>
      </x:c>
      <x:c r="C623" s="23" t="n">
        <x:v>45633</x:v>
      </x:c>
      <x:c r="D623" s="23" t="n">
        <x:v>45629</x:v>
      </x:c>
      <x:c r="E623" s="13" t="str">
        <x:v>VAL-030</x:v>
      </x:c>
      <x:c r="F623" s="13" t="str">
        <x:v>Mundo Kids Cursos</x:v>
      </x:c>
      <x:c r="G623" s="13" t="str">
        <x:v>Educação</x:v>
      </x:c>
      <x:c r="H623" s="13" t="str">
        <x:v>Alto</x:v>
      </x:c>
      <x:c r="I623" s="13" t="str">
        <x:v>Gestão</x:v>
      </x:c>
      <x:c r="J623" s="17" t="n">
        <x:v>2474.3</x:v>
      </x:c>
      <x:c r="K623" s="17" t="n">
        <x:v>0</x:v>
      </x:c>
      <x:c r="L623" s="17" t="n">
        <x:v>0</x:v>
      </x:c>
      <x:c r="M623" s="13" t="str">
        <x:v>Pago</x:v>
      </x:c>
      <x:c r="N623" s="13" t="str">
        <x:v>Sem cobrança</x:v>
      </x:c>
      <x:c r="O623" s="13" t="str">
        <x:v>Crescimento sem escala</x:v>
      </x:c>
      <x:c r="P623" s="17" t="n">
        <x:f>IF(D623="",0,J623-K623+L623)</x:f>
        <x:v>2474.3</x:v>
      </x:c>
      <x:c r="Q623" s="17" t="n">
        <x:f>MAX(J623-P623-K623,0)</x:f>
        <x:v>0</x:v>
      </x:c>
      <x:c r="R623" s="13" t="n">
        <x:f>IF(D623="",MAX(TODAY()-C623,0),MAX(D623-C623,0))</x:f>
        <x:v>0</x:v>
      </x:c>
      <x:c r="S623" s="13" t="str">
        <x:f>IF(R623=0,"Em dia",IF(R623&lt;=15,"1-15 dias",IF(R623&lt;=30,"16-30 dias",IF(R623&lt;=60,"31-60 dias","Acima de 60 dias"))))</x:f>
        <x:v>Em dia</x:v>
      </x:c>
    </x:row>
    <x:row r="624">
      <x:c r="A624" s="13" t="str">
        <x:v>REC-000623</x:v>
      </x:c>
      <x:c r="B624" s="23" t="n">
        <x:v>45613</x:v>
      </x:c>
      <x:c r="C624" s="23" t="n">
        <x:v>45628</x:v>
      </x:c>
      <x:c r="D624" s="23" t="n">
        <x:v>45624</x:v>
      </x:c>
      <x:c r="E624" s="13" t="str">
        <x:v>VAL-004</x:v>
      </x:c>
      <x:c r="F624" s="13" t="str">
        <x:v>NuvemBase Tecnologia</x:v>
      </x:c>
      <x:c r="G624" s="13" t="str">
        <x:v>Tecnologia</x:v>
      </x:c>
      <x:c r="H624" s="13" t="str">
        <x:v>Baixo</x:v>
      </x:c>
      <x:c r="I624" s="13" t="str">
        <x:v>Enterprise</x:v>
      </x:c>
      <x:c r="J624" s="17" t="n">
        <x:v>22989.25</x:v>
      </x:c>
      <x:c r="K624" s="17" t="n">
        <x:v>0</x:v>
      </x:c>
      <x:c r="L624" s="17" t="n">
        <x:v>0</x:v>
      </x:c>
      <x:c r="M624" s="13" t="str">
        <x:v>Pago</x:v>
      </x:c>
      <x:c r="N624" s="13" t="str">
        <x:v>Sem cobrança</x:v>
      </x:c>
      <x:c r="O624" s="13" t="str">
        <x:v>Crescimento sem escala</x:v>
      </x:c>
      <x:c r="P624" s="17" t="n">
        <x:f>IF(D624="",0,J624-K624+L624)</x:f>
        <x:v>22989.25</x:v>
      </x:c>
      <x:c r="Q624" s="17" t="n">
        <x:f>MAX(J624-P624-K624,0)</x:f>
        <x:v>0</x:v>
      </x:c>
      <x:c r="R624" s="13" t="n">
        <x:f>IF(D624="",MAX(TODAY()-C624,0),MAX(D624-C624,0))</x:f>
        <x:v>0</x:v>
      </x:c>
      <x:c r="S624" s="13" t="str">
        <x:f>IF(R624=0,"Em dia",IF(R624&lt;=15,"1-15 dias",IF(R624&lt;=30,"16-30 dias",IF(R624&lt;=60,"31-60 dias","Acima de 60 dias"))))</x:f>
        <x:v>Em dia</x:v>
      </x:c>
    </x:row>
    <x:row r="625">
      <x:c r="A625" s="13" t="str">
        <x:v>REC-000624</x:v>
      </x:c>
      <x:c r="B625" s="23" t="n">
        <x:v>45605</x:v>
      </x:c>
      <x:c r="C625" s="23" t="n">
        <x:v>45612</x:v>
      </x:c>
      <x:c r="D625" s="23" t="n">
        <x:v>45611</x:v>
      </x:c>
      <x:c r="E625" s="13" t="str">
        <x:v>VAL-010</x:v>
      </x:c>
      <x:c r="F625" s="13" t="str">
        <x:v>Atlas Contabilidade</x:v>
      </x:c>
      <x:c r="G625" s="13" t="str">
        <x:v>Serviços Profissionais</x:v>
      </x:c>
      <x:c r="H625" s="13" t="str">
        <x:v>Baixo</x:v>
      </x:c>
      <x:c r="I625" s="13" t="str">
        <x:v>Gestão</x:v>
      </x:c>
      <x:c r="J625" s="17" t="n">
        <x:v>8385.93</x:v>
      </x:c>
      <x:c r="K625" s="17" t="n">
        <x:v>0</x:v>
      </x:c>
      <x:c r="L625" s="17" t="n">
        <x:v>0</x:v>
      </x:c>
      <x:c r="M625" s="13" t="str">
        <x:v>Pago</x:v>
      </x:c>
      <x:c r="N625" s="13" t="str">
        <x:v>Sem cobrança</x:v>
      </x:c>
      <x:c r="O625" s="13" t="str">
        <x:v>Crescimento sem escala</x:v>
      </x:c>
      <x:c r="P625" s="17" t="n">
        <x:f>IF(D625="",0,J625-K625+L625)</x:f>
        <x:v>8385.93</x:v>
      </x:c>
      <x:c r="Q625" s="17" t="n">
        <x:f>MAX(J625-P625-K625,0)</x:f>
        <x:v>0</x:v>
      </x:c>
      <x:c r="R625" s="13" t="n">
        <x:f>IF(D625="",MAX(TODAY()-C625,0),MAX(D625-C625,0))</x:f>
        <x:v>0</x:v>
      </x:c>
      <x:c r="S625" s="13" t="str">
        <x:f>IF(R625=0,"Em dia",IF(R625&lt;=15,"1-15 dias",IF(R625&lt;=30,"16-30 dias",IF(R625&lt;=60,"31-60 dias","Acima de 60 dias"))))</x:f>
        <x:v>Em dia</x:v>
      </x:c>
    </x:row>
    <x:row r="626">
      <x:c r="A626" s="13" t="str">
        <x:v>REC-000625</x:v>
      </x:c>
      <x:c r="B626" s="23" t="n">
        <x:v>45605</x:v>
      </x:c>
      <x:c r="C626" s="23" t="n">
        <x:v>45635</x:v>
      </x:c>
      <x:c r="D626" s="23" t="n">
        <x:v>45633</x:v>
      </x:c>
      <x:c r="E626" s="13" t="str">
        <x:v>VAL-021</x:v>
      </x:c>
      <x:c r="F626" s="13" t="str">
        <x:v>Base Forte Obras</x:v>
      </x:c>
      <x:c r="G626" s="13" t="str">
        <x:v>Construção</x:v>
      </x:c>
      <x:c r="H626" s="13" t="str">
        <x:v>Médio</x:v>
      </x:c>
      <x:c r="I626" s="13" t="str">
        <x:v>Essencial</x:v>
      </x:c>
      <x:c r="J626" s="17" t="n">
        <x:v>5904.71</x:v>
      </x:c>
      <x:c r="K626" s="17" t="n">
        <x:v>39.55</x:v>
      </x:c>
      <x:c r="L626" s="17" t="n">
        <x:v>0</x:v>
      </x:c>
      <x:c r="M626" s="13" t="str">
        <x:v>Pago</x:v>
      </x:c>
      <x:c r="N626" s="13" t="str">
        <x:v>Sem cobrança</x:v>
      </x:c>
      <x:c r="O626" s="13" t="str">
        <x:v>Crescimento sem escala</x:v>
      </x:c>
      <x:c r="P626" s="17" t="n">
        <x:f>IF(D626="",0,J626-K626+L626)</x:f>
        <x:v>5865.16</x:v>
      </x:c>
      <x:c r="Q626" s="17" t="n">
        <x:f>MAX(J626-P626-K626,0)</x:f>
        <x:v>1.8474111129762605e-13</x:v>
      </x:c>
      <x:c r="R626" s="13" t="n">
        <x:f>IF(D626="",MAX(TODAY()-C626,0),MAX(D626-C626,0))</x:f>
        <x:v>0</x:v>
      </x:c>
      <x:c r="S626" s="13" t="str">
        <x:f>IF(R626=0,"Em dia",IF(R626&lt;=15,"1-15 dias",IF(R626&lt;=30,"16-30 dias",IF(R626&lt;=60,"31-60 dias","Acima de 60 dias"))))</x:f>
        <x:v>Em dia</x:v>
      </x:c>
    </x:row>
    <x:row r="627">
      <x:c r="A627" s="13" t="str">
        <x:v>REC-000626</x:v>
      </x:c>
      <x:c r="B627" s="23" t="n">
        <x:v>45601</x:v>
      </x:c>
      <x:c r="C627" s="23" t="n">
        <x:v>45631</x:v>
      </x:c>
      <x:c r="D627" s="23" t="n">
        <x:v>45629</x:v>
      </x:c>
      <x:c r="E627" s="13" t="str">
        <x:v>VAL-016</x:v>
      </x:c>
      <x:c r="F627" s="13" t="str">
        <x:v>Lumina Embalagens</x:v>
      </x:c>
      <x:c r="G627" s="13" t="str">
        <x:v>Indústria Leve</x:v>
      </x:c>
      <x:c r="H627" s="13" t="str">
        <x:v>Baixo</x:v>
      </x:c>
      <x:c r="I627" s="13" t="str">
        <x:v>Enterprise</x:v>
      </x:c>
      <x:c r="J627" s="17" t="n">
        <x:v>30405.23</x:v>
      </x:c>
      <x:c r="K627" s="17" t="n">
        <x:v>0</x:v>
      </x:c>
      <x:c r="L627" s="17" t="n">
        <x:v>0</x:v>
      </x:c>
      <x:c r="M627" s="13" t="str">
        <x:v>Pago</x:v>
      </x:c>
      <x:c r="N627" s="13" t="str">
        <x:v>Sem cobrança</x:v>
      </x:c>
      <x:c r="O627" s="13" t="str">
        <x:v>Crescimento sem escala</x:v>
      </x:c>
      <x:c r="P627" s="17" t="n">
        <x:f>IF(D627="",0,J627-K627+L627)</x:f>
        <x:v>30405.23</x:v>
      </x:c>
      <x:c r="Q627" s="17" t="n">
        <x:f>MAX(J627-P627-K627,0)</x:f>
        <x:v>0</x:v>
      </x:c>
      <x:c r="R627" s="13" t="n">
        <x:f>IF(D627="",MAX(TODAY()-C627,0),MAX(D627-C627,0))</x:f>
        <x:v>0</x:v>
      </x:c>
      <x:c r="S627" s="13" t="str">
        <x:f>IF(R627=0,"Em dia",IF(R627&lt;=15,"1-15 dias",IF(R627&lt;=30,"16-30 dias",IF(R627&lt;=60,"31-60 dias","Acima de 60 dias"))))</x:f>
        <x:v>Em dia</x:v>
      </x:c>
    </x:row>
    <x:row r="628">
      <x:c r="A628" s="13" t="str">
        <x:v>REC-000627</x:v>
      </x:c>
      <x:c r="B628" s="23" t="n">
        <x:v>45613</x:v>
      </x:c>
      <x:c r="C628" s="23" t="n">
        <x:v>45643</x:v>
      </x:c>
      <x:c r="D628" s="23" t="n">
        <x:v>45640</x:v>
      </x:c>
      <x:c r="E628" s="13" t="str">
        <x:v>VAL-004</x:v>
      </x:c>
      <x:c r="F628" s="13" t="str">
        <x:v>NuvemBase Tecnologia</x:v>
      </x:c>
      <x:c r="G628" s="13" t="str">
        <x:v>Tecnologia</x:v>
      </x:c>
      <x:c r="H628" s="13" t="str">
        <x:v>Baixo</x:v>
      </x:c>
      <x:c r="I628" s="13" t="str">
        <x:v>Enterprise</x:v>
      </x:c>
      <x:c r="J628" s="17" t="n">
        <x:v>27082.92</x:v>
      </x:c>
      <x:c r="K628" s="17" t="n">
        <x:v>0</x:v>
      </x:c>
      <x:c r="L628" s="17" t="n">
        <x:v>0</x:v>
      </x:c>
      <x:c r="M628" s="13" t="str">
        <x:v>Pago</x:v>
      </x:c>
      <x:c r="N628" s="13" t="str">
        <x:v>Sem cobrança</x:v>
      </x:c>
      <x:c r="O628" s="13" t="str">
        <x:v>Crescimento sem escala</x:v>
      </x:c>
      <x:c r="P628" s="17" t="n">
        <x:f>IF(D628="",0,J628-K628+L628)</x:f>
        <x:v>27082.92</x:v>
      </x:c>
      <x:c r="Q628" s="17" t="n">
        <x:f>MAX(J628-P628-K628,0)</x:f>
        <x:v>0</x:v>
      </x:c>
      <x:c r="R628" s="13" t="n">
        <x:f>IF(D628="",MAX(TODAY()-C628,0),MAX(D628-C628,0))</x:f>
        <x:v>0</x:v>
      </x:c>
      <x:c r="S628" s="13" t="str">
        <x:f>IF(R628=0,"Em dia",IF(R628&lt;=15,"1-15 dias",IF(R628&lt;=30,"16-30 dias",IF(R628&lt;=60,"31-60 dias","Acima de 60 dias"))))</x:f>
        <x:v>Em dia</x:v>
      </x:c>
    </x:row>
    <x:row r="629">
      <x:c r="A629" s="13" t="str">
        <x:v>REC-000628</x:v>
      </x:c>
      <x:c r="B629" s="23" t="n">
        <x:v>45608</x:v>
      </x:c>
      <x:c r="C629" s="23" t="n">
        <x:v>45629</x:v>
      </x:c>
      <x:c r="D629" s="23" t="n">
        <x:v>45626</x:v>
      </x:c>
      <x:c r="E629" s="13" t="str">
        <x:v>VAL-012</x:v>
      </x:c>
      <x:c r="F629" s="13" t="str">
        <x:v>DataFlow Sistemas</x:v>
      </x:c>
      <x:c r="G629" s="13" t="str">
        <x:v>Tecnologia</x:v>
      </x:c>
      <x:c r="H629" s="13" t="str">
        <x:v>Médio</x:v>
      </x:c>
      <x:c r="I629" s="13" t="str">
        <x:v>Enterprise</x:v>
      </x:c>
      <x:c r="J629" s="17" t="n">
        <x:v>20300.13</x:v>
      </x:c>
      <x:c r="K629" s="17" t="n">
        <x:v>0</x:v>
      </x:c>
      <x:c r="L629" s="17" t="n">
        <x:v>0</x:v>
      </x:c>
      <x:c r="M629" s="13" t="str">
        <x:v>Pago</x:v>
      </x:c>
      <x:c r="N629" s="13" t="str">
        <x:v>Sem cobrança</x:v>
      </x:c>
      <x:c r="O629" s="13" t="str">
        <x:v>Crescimento sem escala</x:v>
      </x:c>
      <x:c r="P629" s="17" t="n">
        <x:f>IF(D629="",0,J629-K629+L629)</x:f>
        <x:v>20300.13</x:v>
      </x:c>
      <x:c r="Q629" s="17" t="n">
        <x:f>MAX(J629-P629-K629,0)</x:f>
        <x:v>0</x:v>
      </x:c>
      <x:c r="R629" s="13" t="n">
        <x:f>IF(D629="",MAX(TODAY()-C629,0),MAX(D629-C629,0))</x:f>
        <x:v>0</x:v>
      </x:c>
      <x:c r="S629" s="13" t="str">
        <x:f>IF(R629=0,"Em dia",IF(R629&lt;=15,"1-15 dias",IF(R629&lt;=30,"16-30 dias",IF(R629&lt;=60,"31-60 dias","Acima de 60 dias"))))</x:f>
        <x:v>Em dia</x:v>
      </x:c>
    </x:row>
    <x:row r="630">
      <x:c r="A630" s="13" t="str">
        <x:v>REC-000629</x:v>
      </x:c>
      <x:c r="B630" s="23" t="n">
        <x:v>45598</x:v>
      </x:c>
      <x:c r="C630" s="23" t="n">
        <x:v>45613</x:v>
      </x:c>
      <x:c r="D630" s="23" t="n">
        <x:v>45610</x:v>
      </x:c>
      <x:c r="E630" s="13" t="str">
        <x:v>VAL-003</x:v>
      </x:c>
      <x:c r="F630" s="13" t="str">
        <x:v>Casa Nova Varejo</x:v>
      </x:c>
      <x:c r="G630" s="13" t="str">
        <x:v>Varejo</x:v>
      </x:c>
      <x:c r="H630" s="13" t="str">
        <x:v>Baixo</x:v>
      </x:c>
      <x:c r="I630" s="13" t="str">
        <x:v>Performance</x:v>
      </x:c>
      <x:c r="J630" s="17" t="n">
        <x:v>7518.89</x:v>
      </x:c>
      <x:c r="K630" s="17" t="n">
        <x:v>126.32</x:v>
      </x:c>
      <x:c r="L630" s="17" t="n">
        <x:v>0</x:v>
      </x:c>
      <x:c r="M630" s="13" t="str">
        <x:v>Pago</x:v>
      </x:c>
      <x:c r="N630" s="13" t="str">
        <x:v>Sem cobrança</x:v>
      </x:c>
      <x:c r="O630" s="13" t="str">
        <x:v>Crescimento sem escala</x:v>
      </x:c>
      <x:c r="P630" s="17" t="n">
        <x:f>IF(D630="",0,J630-K630+L630)</x:f>
        <x:v>7392.570000000001</x:v>
      </x:c>
      <x:c r="Q630" s="17" t="n">
        <x:f>MAX(J630-P630-K630,0)</x:f>
        <x:v>0</x:v>
      </x:c>
      <x:c r="R630" s="13" t="n">
        <x:f>IF(D630="",MAX(TODAY()-C630,0),MAX(D630-C630,0))</x:f>
        <x:v>0</x:v>
      </x:c>
      <x:c r="S630" s="13" t="str">
        <x:f>IF(R630=0,"Em dia",IF(R630&lt;=15,"1-15 dias",IF(R630&lt;=30,"16-30 dias",IF(R630&lt;=60,"31-60 dias","Acima de 60 dias"))))</x:f>
        <x:v>Em dia</x:v>
      </x:c>
    </x:row>
    <x:row r="631">
      <x:c r="A631" s="13" t="str">
        <x:v>REC-000630</x:v>
      </x:c>
      <x:c r="B631" s="23" t="n">
        <x:v>45614</x:v>
      </x:c>
      <x:c r="C631" s="23" t="n">
        <x:v>45635</x:v>
      </x:c>
      <x:c r="D631" s="23" t="n">
        <x:v>45633</x:v>
      </x:c>
      <x:c r="E631" s="13" t="str">
        <x:v>VAL-014</x:v>
      </x:c>
      <x:c r="F631" s="13" t="str">
        <x:v>Colégio Caminhos</x:v>
      </x:c>
      <x:c r="G631" s="13" t="str">
        <x:v>Educação</x:v>
      </x:c>
      <x:c r="H631" s="13" t="str">
        <x:v>Médio</x:v>
      </x:c>
      <x:c r="I631" s="13" t="str">
        <x:v>Gestão</x:v>
      </x:c>
      <x:c r="J631" s="17" t="n">
        <x:v>14956.39</x:v>
      </x:c>
      <x:c r="K631" s="17" t="n">
        <x:v>0</x:v>
      </x:c>
      <x:c r="L631" s="17" t="n">
        <x:v>0</x:v>
      </x:c>
      <x:c r="M631" s="13" t="str">
        <x:v>Pago</x:v>
      </x:c>
      <x:c r="N631" s="13" t="str">
        <x:v>Sem cobrança</x:v>
      </x:c>
      <x:c r="O631" s="13" t="str">
        <x:v>Crescimento sem escala</x:v>
      </x:c>
      <x:c r="P631" s="17" t="n">
        <x:f>IF(D631="",0,J631-K631+L631)</x:f>
        <x:v>14956.39</x:v>
      </x:c>
      <x:c r="Q631" s="17" t="n">
        <x:f>MAX(J631-P631-K631,0)</x:f>
        <x:v>0</x:v>
      </x:c>
      <x:c r="R631" s="13" t="n">
        <x:f>IF(D631="",MAX(TODAY()-C631,0),MAX(D631-C631,0))</x:f>
        <x:v>0</x:v>
      </x:c>
      <x:c r="S631" s="13" t="str">
        <x:f>IF(R631=0,"Em dia",IF(R631&lt;=15,"1-15 dias",IF(R631&lt;=30,"16-30 dias",IF(R631&lt;=60,"31-60 dias","Acima de 60 dias"))))</x:f>
        <x:v>Em dia</x:v>
      </x:c>
    </x:row>
    <x:row r="632">
      <x:c r="A632" s="13" t="str">
        <x:v>REC-000631</x:v>
      </x:c>
      <x:c r="B632" s="23" t="n">
        <x:v>45609</x:v>
      </x:c>
      <x:c r="C632" s="23" t="n">
        <x:v>45616</x:v>
      </x:c>
      <x:c r="D632" s="23" t="n">
        <x:v>45615</x:v>
      </x:c>
      <x:c r="E632" s="13" t="str">
        <x:v>VAL-009</x:v>
      </x:c>
      <x:c r="F632" s="13" t="str">
        <x:v>Odonto Prime</x:v>
      </x:c>
      <x:c r="G632" s="13" t="str">
        <x:v>Clínicas e Saúde</x:v>
      </x:c>
      <x:c r="H632" s="13" t="str">
        <x:v>Médio</x:v>
      </x:c>
      <x:c r="I632" s="13" t="str">
        <x:v>Essencial</x:v>
      </x:c>
      <x:c r="J632" s="17" t="n">
        <x:v>11460.05</x:v>
      </x:c>
      <x:c r="K632" s="17" t="n">
        <x:v>0</x:v>
      </x:c>
      <x:c r="L632" s="17" t="n">
        <x:v>0</x:v>
      </x:c>
      <x:c r="M632" s="13" t="str">
        <x:v>Pago</x:v>
      </x:c>
      <x:c r="N632" s="13" t="str">
        <x:v>Sem cobrança</x:v>
      </x:c>
      <x:c r="O632" s="13" t="str">
        <x:v>Crescimento sem escala</x:v>
      </x:c>
      <x:c r="P632" s="17" t="n">
        <x:f>IF(D632="",0,J632-K632+L632)</x:f>
        <x:v>11460.05</x:v>
      </x:c>
      <x:c r="Q632" s="17" t="n">
        <x:f>MAX(J632-P632-K632,0)</x:f>
        <x:v>0</x:v>
      </x:c>
      <x:c r="R632" s="13" t="n">
        <x:f>IF(D632="",MAX(TODAY()-C632,0),MAX(D632-C632,0))</x:f>
        <x:v>0</x:v>
      </x:c>
      <x:c r="S632" s="13" t="str">
        <x:f>IF(R632=0,"Em dia",IF(R632&lt;=15,"1-15 dias",IF(R632&lt;=30,"16-30 dias",IF(R632&lt;=60,"31-60 dias","Acima de 60 dias"))))</x:f>
        <x:v>Em dia</x:v>
      </x:c>
    </x:row>
    <x:row r="633">
      <x:c r="A633" s="13" t="str">
        <x:v>REC-000632</x:v>
      </x:c>
      <x:c r="B633" s="23" t="n">
        <x:v>45614</x:v>
      </x:c>
      <x:c r="C633" s="23" t="n">
        <x:v>45642</x:v>
      </x:c>
      <x:c r="D633" s="23" t="n">
        <x:v>45638</x:v>
      </x:c>
      <x:c r="E633" s="13" t="str">
        <x:v>VAL-016</x:v>
      </x:c>
      <x:c r="F633" s="13" t="str">
        <x:v>Lumina Embalagens</x:v>
      </x:c>
      <x:c r="G633" s="13" t="str">
        <x:v>Indústria Leve</x:v>
      </x:c>
      <x:c r="H633" s="13" t="str">
        <x:v>Baixo</x:v>
      </x:c>
      <x:c r="I633" s="13" t="str">
        <x:v>Enterprise</x:v>
      </x:c>
      <x:c r="J633" s="17" t="n">
        <x:v>22489.82</x:v>
      </x:c>
      <x:c r="K633" s="17" t="n">
        <x:v>0</x:v>
      </x:c>
      <x:c r="L633" s="17" t="n">
        <x:v>0</x:v>
      </x:c>
      <x:c r="M633" s="13" t="str">
        <x:v>Pago</x:v>
      </x:c>
      <x:c r="N633" s="13" t="str">
        <x:v>Sem cobrança</x:v>
      </x:c>
      <x:c r="O633" s="13" t="str">
        <x:v>Crescimento sem escala</x:v>
      </x:c>
      <x:c r="P633" s="17" t="n">
        <x:f>IF(D633="",0,J633-K633+L633)</x:f>
        <x:v>22489.82</x:v>
      </x:c>
      <x:c r="Q633" s="17" t="n">
        <x:f>MAX(J633-P633-K633,0)</x:f>
        <x:v>0</x:v>
      </x:c>
      <x:c r="R633" s="13" t="n">
        <x:f>IF(D633="",MAX(TODAY()-C633,0),MAX(D633-C633,0))</x:f>
        <x:v>0</x:v>
      </x:c>
      <x:c r="S633" s="13" t="str">
        <x:f>IF(R633=0,"Em dia",IF(R633&lt;=15,"1-15 dias",IF(R633&lt;=30,"16-30 dias",IF(R633&lt;=60,"31-60 dias","Acima de 60 dias"))))</x:f>
        <x:v>Em dia</x:v>
      </x:c>
    </x:row>
    <x:row r="634">
      <x:c r="A634" s="13" t="str">
        <x:v>REC-000633</x:v>
      </x:c>
      <x:c r="B634" s="23" t="n">
        <x:v>45597</x:v>
      </x:c>
      <x:c r="C634" s="23" t="n">
        <x:v>45604</x:v>
      </x:c>
      <x:c r="D634" s="23" t="n">
        <x:v>45603</x:v>
      </x:c>
      <x:c r="E634" s="13" t="str">
        <x:v>VAL-014</x:v>
      </x:c>
      <x:c r="F634" s="13" t="str">
        <x:v>Colégio Caminhos</x:v>
      </x:c>
      <x:c r="G634" s="13" t="str">
        <x:v>Educação</x:v>
      </x:c>
      <x:c r="H634" s="13" t="str">
        <x:v>Médio</x:v>
      </x:c>
      <x:c r="I634" s="13" t="str">
        <x:v>Gestão</x:v>
      </x:c>
      <x:c r="J634" s="17" t="n">
        <x:v>26700.15</x:v>
      </x:c>
      <x:c r="K634" s="17" t="n">
        <x:v>0</x:v>
      </x:c>
      <x:c r="L634" s="17" t="n">
        <x:v>0</x:v>
      </x:c>
      <x:c r="M634" s="13" t="str">
        <x:v>Pago</x:v>
      </x:c>
      <x:c r="N634" s="13" t="str">
        <x:v>Sem cobrança</x:v>
      </x:c>
      <x:c r="O634" s="13" t="str">
        <x:v>Crescimento sem escala</x:v>
      </x:c>
      <x:c r="P634" s="17" t="n">
        <x:f>IF(D634="",0,J634-K634+L634)</x:f>
        <x:v>26700.15</x:v>
      </x:c>
      <x:c r="Q634" s="17" t="n">
        <x:f>MAX(J634-P634-K634,0)</x:f>
        <x:v>0</x:v>
      </x:c>
      <x:c r="R634" s="13" t="n">
        <x:f>IF(D634="",MAX(TODAY()-C634,0),MAX(D634-C634,0))</x:f>
        <x:v>0</x:v>
      </x:c>
      <x:c r="S634" s="13" t="str">
        <x:f>IF(R634=0,"Em dia",IF(R634&lt;=15,"1-15 dias",IF(R634&lt;=30,"16-30 dias",IF(R634&lt;=60,"31-60 dias","Acima de 60 dias"))))</x:f>
        <x:v>Em dia</x:v>
      </x:c>
    </x:row>
    <x:row r="635">
      <x:c r="A635" s="13" t="str">
        <x:v>REC-000634</x:v>
      </x:c>
      <x:c r="B635" s="23" t="n">
        <x:v>45607</x:v>
      </x:c>
      <x:c r="C635" s="23" t="n">
        <x:v>45628</x:v>
      </x:c>
      <x:c r="D635" s="23" t="n">
        <x:v>45627</x:v>
      </x:c>
      <x:c r="E635" s="13" t="str">
        <x:v>VAL-026</x:v>
      </x:c>
      <x:c r="F635" s="13" t="str">
        <x:v>Ribeiro Arquitetura</x:v>
      </x:c>
      <x:c r="G635" s="13" t="str">
        <x:v>Serviços Profissionais</x:v>
      </x:c>
      <x:c r="H635" s="13" t="str">
        <x:v>Baixo</x:v>
      </x:c>
      <x:c r="I635" s="13" t="str">
        <x:v>Gestão</x:v>
      </x:c>
      <x:c r="J635" s="17" t="n">
        <x:v>7611.43</x:v>
      </x:c>
      <x:c r="K635" s="17" t="n">
        <x:v>0</x:v>
      </x:c>
      <x:c r="L635" s="17" t="n">
        <x:v>0</x:v>
      </x:c>
      <x:c r="M635" s="13" t="str">
        <x:v>Pago</x:v>
      </x:c>
      <x:c r="N635" s="13" t="str">
        <x:v>Sem cobrança</x:v>
      </x:c>
      <x:c r="O635" s="13" t="str">
        <x:v>Crescimento sem escala</x:v>
      </x:c>
      <x:c r="P635" s="17" t="n">
        <x:f>IF(D635="",0,J635-K635+L635)</x:f>
        <x:v>7611.43</x:v>
      </x:c>
      <x:c r="Q635" s="17" t="n">
        <x:f>MAX(J635-P635-K635,0)</x:f>
        <x:v>0</x:v>
      </x:c>
      <x:c r="R635" s="13" t="n">
        <x:f>IF(D635="",MAX(TODAY()-C635,0),MAX(D635-C635,0))</x:f>
        <x:v>0</x:v>
      </x:c>
      <x:c r="S635" s="13" t="str">
        <x:f>IF(R635=0,"Em dia",IF(R635&lt;=15,"1-15 dias",IF(R635&lt;=30,"16-30 dias",IF(R635&lt;=60,"31-60 dias","Acima de 60 dias"))))</x:f>
        <x:v>Em dia</x:v>
      </x:c>
    </x:row>
    <x:row r="636">
      <x:c r="A636" s="13" t="str">
        <x:v>REC-000635</x:v>
      </x:c>
      <x:c r="B636" s="23" t="n">
        <x:v>45598</x:v>
      </x:c>
      <x:c r="C636" s="23" t="n">
        <x:v>45626</x:v>
      </x:c>
      <x:c r="D636" s="23" t="n">
        <x:v>45626</x:v>
      </x:c>
      <x:c r="E636" s="13" t="str">
        <x:v>VAL-002</x:v>
      </x:c>
      <x:c r="F636" s="13" t="str">
        <x:v>Mendes &amp; Prado Consultoria</x:v>
      </x:c>
      <x:c r="G636" s="13" t="str">
        <x:v>Serviços Profissionais</x:v>
      </x:c>
      <x:c r="H636" s="13" t="str">
        <x:v>Baixo</x:v>
      </x:c>
      <x:c r="I636" s="13" t="str">
        <x:v>Gestão</x:v>
      </x:c>
      <x:c r="J636" s="17" t="n">
        <x:v>27817.62</x:v>
      </x:c>
      <x:c r="K636" s="17" t="n">
        <x:v>0</x:v>
      </x:c>
      <x:c r="L636" s="17" t="n">
        <x:v>0</x:v>
      </x:c>
      <x:c r="M636" s="13" t="str">
        <x:v>Pago</x:v>
      </x:c>
      <x:c r="N636" s="13" t="str">
        <x:v>Sem cobrança</x:v>
      </x:c>
      <x:c r="O636" s="13" t="str">
        <x:v>Crescimento sem escala</x:v>
      </x:c>
      <x:c r="P636" s="17" t="n">
        <x:f>IF(D636="",0,J636-K636+L636)</x:f>
        <x:v>27817.62</x:v>
      </x:c>
      <x:c r="Q636" s="17" t="n">
        <x:f>MAX(J636-P636-K636,0)</x:f>
        <x:v>0</x:v>
      </x:c>
      <x:c r="R636" s="13" t="n">
        <x:f>IF(D636="",MAX(TODAY()-C636,0),MAX(D636-C636,0))</x:f>
        <x:v>0</x:v>
      </x:c>
      <x:c r="S636" s="13" t="str">
        <x:f>IF(R636=0,"Em dia",IF(R636&lt;=15,"1-15 dias",IF(R636&lt;=30,"16-30 dias",IF(R636&lt;=60,"31-60 dias","Acima de 60 dias"))))</x:f>
        <x:v>Em dia</x:v>
      </x:c>
    </x:row>
    <x:row r="637">
      <x:c r="A637" s="13" t="str">
        <x:v>REC-000636</x:v>
      </x:c>
      <x:c r="B637" s="23" t="n">
        <x:v>45604</x:v>
      </x:c>
      <x:c r="C637" s="23" t="n">
        <x:v>45625</x:v>
      </x:c>
      <x:c r="D637" s="23" t="n">
        <x:v>45624</x:v>
      </x:c>
      <x:c r="E637" s="13" t="str">
        <x:v>VAL-016</x:v>
      </x:c>
      <x:c r="F637" s="13" t="str">
        <x:v>Lumina Embalagens</x:v>
      </x:c>
      <x:c r="G637" s="13" t="str">
        <x:v>Indústria Leve</x:v>
      </x:c>
      <x:c r="H637" s="13" t="str">
        <x:v>Baixo</x:v>
      </x:c>
      <x:c r="I637" s="13" t="str">
        <x:v>Enterprise</x:v>
      </x:c>
      <x:c r="J637" s="17" t="n">
        <x:v>1796.32</x:v>
      </x:c>
      <x:c r="K637" s="17" t="n">
        <x:v>0</x:v>
      </x:c>
      <x:c r="L637" s="17" t="n">
        <x:v>0</x:v>
      </x:c>
      <x:c r="M637" s="13" t="str">
        <x:v>Pago</x:v>
      </x:c>
      <x:c r="N637" s="13" t="str">
        <x:v>Sem cobrança</x:v>
      </x:c>
      <x:c r="O637" s="13" t="str">
        <x:v>Crescimento sem escala</x:v>
      </x:c>
      <x:c r="P637" s="17" t="n">
        <x:f>IF(D637="",0,J637-K637+L637)</x:f>
        <x:v>1796.32</x:v>
      </x:c>
      <x:c r="Q637" s="17" t="n">
        <x:f>MAX(J637-P637-K637,0)</x:f>
        <x:v>0</x:v>
      </x:c>
      <x:c r="R637" s="13" t="n">
        <x:f>IF(D637="",MAX(TODAY()-C637,0),MAX(D637-C637,0))</x:f>
        <x:v>0</x:v>
      </x:c>
      <x:c r="S637" s="13" t="str">
        <x:f>IF(R637=0,"Em dia",IF(R637&lt;=15,"1-15 dias",IF(R637&lt;=30,"16-30 dias",IF(R637&lt;=60,"31-60 dias","Acima de 60 dias"))))</x:f>
        <x:v>Em dia</x:v>
      </x:c>
    </x:row>
    <x:row r="638">
      <x:c r="A638" s="13" t="str">
        <x:v>REC-000637</x:v>
      </x:c>
      <x:c r="B638" s="23" t="n">
        <x:v>45614</x:v>
      </x:c>
      <x:c r="C638" s="23" t="n">
        <x:v>45629</x:v>
      </x:c>
      <x:c r="D638" s="23" t="n">
        <x:v>45633</x:v>
      </x:c>
      <x:c r="E638" s="13" t="str">
        <x:v>VAL-015</x:v>
      </x:c>
      <x:c r="F638" s="13" t="str">
        <x:v>Mercado Click</x:v>
      </x:c>
      <x:c r="G638" s="13" t="str">
        <x:v>E-commerce</x:v>
      </x:c>
      <x:c r="H638" s="13" t="str">
        <x:v>Baixo</x:v>
      </x:c>
      <x:c r="I638" s="13" t="str">
        <x:v>Performance</x:v>
      </x:c>
      <x:c r="J638" s="17" t="n">
        <x:v>14776.23</x:v>
      </x:c>
      <x:c r="K638" s="17" t="n">
        <x:v>0</x:v>
      </x:c>
      <x:c r="L638" s="17" t="n">
        <x:v>38.42</x:v>
      </x:c>
      <x:c r="M638" s="13" t="str">
        <x:v>Pago com atraso</x:v>
      </x:c>
      <x:c r="N638" s="13" t="str">
        <x:v>Telefone</x:v>
      </x:c>
      <x:c r="O638" s="13" t="str">
        <x:v>Crescimento sem escala</x:v>
      </x:c>
      <x:c r="P638" s="17" t="n">
        <x:f>IF(D638="",0,J638-K638+L638)</x:f>
        <x:v>14814.65</x:v>
      </x:c>
      <x:c r="Q638" s="17" t="n">
        <x:f>MAX(J638-P638-K638,0)</x:f>
        <x:v>0</x:v>
      </x:c>
      <x:c r="R638" s="13" t="n">
        <x:f>IF(D638="",MAX(TODAY()-C638,0),MAX(D638-C638,0))</x:f>
        <x:v>4</x:v>
      </x:c>
      <x:c r="S638" s="13" t="str">
        <x:f>IF(R638=0,"Em dia",IF(R638&lt;=15,"1-15 dias",IF(R638&lt;=30,"16-30 dias",IF(R638&lt;=60,"31-60 dias","Acima de 60 dias"))))</x:f>
        <x:v>1-15 dias</x:v>
      </x:c>
    </x:row>
    <x:row r="639">
      <x:c r="A639" s="13" t="str">
        <x:v>REC-000638</x:v>
      </x:c>
      <x:c r="B639" s="23" t="n">
        <x:v>45610</x:v>
      </x:c>
      <x:c r="C639" s="23" t="n">
        <x:v>45638</x:v>
      </x:c>
      <x:c r="D639" s="23" t="n">
        <x:v>45638</x:v>
      </x:c>
      <x:c r="E639" s="13" t="str">
        <x:v>VAL-006</x:v>
      </x:c>
      <x:c r="F639" s="13" t="str">
        <x:v>Instituto Saber Mais</x:v>
      </x:c>
      <x:c r="G639" s="13" t="str">
        <x:v>Educação</x:v>
      </x:c>
      <x:c r="H639" s="13" t="str">
        <x:v>Médio</x:v>
      </x:c>
      <x:c r="I639" s="13" t="str">
        <x:v>Gestão</x:v>
      </x:c>
      <x:c r="J639" s="17" t="n">
        <x:v>1620.44</x:v>
      </x:c>
      <x:c r="K639" s="17" t="n">
        <x:v>0</x:v>
      </x:c>
      <x:c r="L639" s="17" t="n">
        <x:v>0</x:v>
      </x:c>
      <x:c r="M639" s="13" t="str">
        <x:v>Pago</x:v>
      </x:c>
      <x:c r="N639" s="13" t="str">
        <x:v>Sem cobrança</x:v>
      </x:c>
      <x:c r="O639" s="13" t="str">
        <x:v>Crescimento sem escala</x:v>
      </x:c>
      <x:c r="P639" s="17" t="n">
        <x:f>IF(D639="",0,J639-K639+L639)</x:f>
        <x:v>1620.44</x:v>
      </x:c>
      <x:c r="Q639" s="17" t="n">
        <x:f>MAX(J639-P639-K639,0)</x:f>
        <x:v>0</x:v>
      </x:c>
      <x:c r="R639" s="13" t="n">
        <x:f>IF(D639="",MAX(TODAY()-C639,0),MAX(D639-C639,0))</x:f>
        <x:v>0</x:v>
      </x:c>
      <x:c r="S639" s="13" t="str">
        <x:f>IF(R639=0,"Em dia",IF(R639&lt;=15,"1-15 dias",IF(R639&lt;=30,"16-30 dias",IF(R639&lt;=60,"31-60 dias","Acima de 60 dias"))))</x:f>
        <x:v>Em dia</x:v>
      </x:c>
    </x:row>
    <x:row r="640">
      <x:c r="A640" s="13" t="str">
        <x:v>REC-000639</x:v>
      </x:c>
      <x:c r="B640" s="23" t="n">
        <x:v>45598</x:v>
      </x:c>
      <x:c r="C640" s="23" t="n">
        <x:v>45613</x:v>
      </x:c>
      <x:c r="D640" s="23" t="n">
        <x:v>45609</x:v>
      </x:c>
      <x:c r="E640" s="13" t="str">
        <x:v>VAL-005</x:v>
      </x:c>
      <x:c r="F640" s="13" t="str">
        <x:v>Construtora Alameda</x:v>
      </x:c>
      <x:c r="G640" s="13" t="str">
        <x:v>Construção</x:v>
      </x:c>
      <x:c r="H640" s="13" t="str">
        <x:v>Médio</x:v>
      </x:c>
      <x:c r="I640" s="13" t="str">
        <x:v>Essencial</x:v>
      </x:c>
      <x:c r="J640" s="17" t="n">
        <x:v>20815.06</x:v>
      </x:c>
      <x:c r="K640" s="17" t="n">
        <x:v>0</x:v>
      </x:c>
      <x:c r="L640" s="17" t="n">
        <x:v>0</x:v>
      </x:c>
      <x:c r="M640" s="13" t="str">
        <x:v>Pago</x:v>
      </x:c>
      <x:c r="N640" s="13" t="str">
        <x:v>Sem cobrança</x:v>
      </x:c>
      <x:c r="O640" s="13" t="str">
        <x:v>Crescimento sem escala</x:v>
      </x:c>
      <x:c r="P640" s="17" t="n">
        <x:f>IF(D640="",0,J640-K640+L640)</x:f>
        <x:v>20815.06</x:v>
      </x:c>
      <x:c r="Q640" s="17" t="n">
        <x:f>MAX(J640-P640-K640,0)</x:f>
        <x:v>0</x:v>
      </x:c>
      <x:c r="R640" s="13" t="n">
        <x:f>IF(D640="",MAX(TODAY()-C640,0),MAX(D640-C640,0))</x:f>
        <x:v>0</x:v>
      </x:c>
      <x:c r="S640" s="13" t="str">
        <x:f>IF(R640=0,"Em dia",IF(R640&lt;=15,"1-15 dias",IF(R640&lt;=30,"16-30 dias",IF(R640&lt;=60,"31-60 dias","Acima de 60 dias"))))</x:f>
        <x:v>Em dia</x:v>
      </x:c>
    </x:row>
    <x:row r="641">
      <x:c r="A641" s="13" t="str">
        <x:v>REC-000640</x:v>
      </x:c>
      <x:c r="B641" s="23" t="n">
        <x:v>45609</x:v>
      </x:c>
      <x:c r="C641" s="23" t="n">
        <x:v>45639</x:v>
      </x:c>
      <x:c r="D641" s="23" t="n">
        <x:v>45638</x:v>
      </x:c>
      <x:c r="E641" s="13" t="str">
        <x:v>VAL-012</x:v>
      </x:c>
      <x:c r="F641" s="13" t="str">
        <x:v>DataFlow Sistemas</x:v>
      </x:c>
      <x:c r="G641" s="13" t="str">
        <x:v>Tecnologia</x:v>
      </x:c>
      <x:c r="H641" s="13" t="str">
        <x:v>Médio</x:v>
      </x:c>
      <x:c r="I641" s="13" t="str">
        <x:v>Enterprise</x:v>
      </x:c>
      <x:c r="J641" s="17" t="n">
        <x:v>28677.32</x:v>
      </x:c>
      <x:c r="K641" s="17" t="n">
        <x:v>0</x:v>
      </x:c>
      <x:c r="L641" s="17" t="n">
        <x:v>0</x:v>
      </x:c>
      <x:c r="M641" s="13" t="str">
        <x:v>Pago</x:v>
      </x:c>
      <x:c r="N641" s="13" t="str">
        <x:v>Sem cobrança</x:v>
      </x:c>
      <x:c r="O641" s="13" t="str">
        <x:v>Crescimento sem escala</x:v>
      </x:c>
      <x:c r="P641" s="17" t="n">
        <x:f>IF(D641="",0,J641-K641+L641)</x:f>
        <x:v>28677.32</x:v>
      </x:c>
      <x:c r="Q641" s="17" t="n">
        <x:f>MAX(J641-P641-K641,0)</x:f>
        <x:v>0</x:v>
      </x:c>
      <x:c r="R641" s="13" t="n">
        <x:f>IF(D641="",MAX(TODAY()-C641,0),MAX(D641-C641,0))</x:f>
        <x:v>0</x:v>
      </x:c>
      <x:c r="S641" s="13" t="str">
        <x:f>IF(R641=0,"Em dia",IF(R641&lt;=15,"1-15 dias",IF(R641&lt;=30,"16-30 dias",IF(R641&lt;=60,"31-60 dias","Acima de 60 dias"))))</x:f>
        <x:v>Em dia</x:v>
      </x:c>
    </x:row>
    <x:row r="642">
      <x:c r="A642" s="13" t="str">
        <x:v>REC-000641</x:v>
      </x:c>
      <x:c r="B642" s="23" t="n">
        <x:v>45599</x:v>
      </x:c>
      <x:c r="C642" s="23" t="n">
        <x:v>45606</x:v>
      </x:c>
      <x:c r="D642" s="23" t="n">
        <x:v>45602</x:v>
      </x:c>
      <x:c r="E642" s="13" t="str">
        <x:v>VAL-007</x:v>
      </x:c>
      <x:c r="F642" s="13" t="str">
        <x:v>Loja Prisma Online</x:v>
      </x:c>
      <x:c r="G642" s="13" t="str">
        <x:v>E-commerce</x:v>
      </x:c>
      <x:c r="H642" s="13" t="str">
        <x:v>Médio</x:v>
      </x:c>
      <x:c r="I642" s="13" t="str">
        <x:v>Performance</x:v>
      </x:c>
      <x:c r="J642" s="17" t="n">
        <x:v>2549.92</x:v>
      </x:c>
      <x:c r="K642" s="17" t="n">
        <x:v>0</x:v>
      </x:c>
      <x:c r="L642" s="17" t="n">
        <x:v>0</x:v>
      </x:c>
      <x:c r="M642" s="13" t="str">
        <x:v>Pago</x:v>
      </x:c>
      <x:c r="N642" s="13" t="str">
        <x:v>Sem cobrança</x:v>
      </x:c>
      <x:c r="O642" s="13" t="str">
        <x:v>Crescimento sem escala</x:v>
      </x:c>
      <x:c r="P642" s="17" t="n">
        <x:f>IF(D642="",0,J642-K642+L642)</x:f>
        <x:v>2549.92</x:v>
      </x:c>
      <x:c r="Q642" s="17" t="n">
        <x:f>MAX(J642-P642-K642,0)</x:f>
        <x:v>0</x:v>
      </x:c>
      <x:c r="R642" s="13" t="n">
        <x:f>IF(D642="",MAX(TODAY()-C642,0),MAX(D642-C642,0))</x:f>
        <x:v>0</x:v>
      </x:c>
      <x:c r="S642" s="13" t="str">
        <x:f>IF(R642=0,"Em dia",IF(R642&lt;=15,"1-15 dias",IF(R642&lt;=30,"16-30 dias",IF(R642&lt;=60,"31-60 dias","Acima de 60 dias"))))</x:f>
        <x:v>Em dia</x:v>
      </x:c>
    </x:row>
    <x:row r="643">
      <x:c r="A643" s="13" t="str">
        <x:v>REC-000642</x:v>
      </x:c>
      <x:c r="B643" s="23" t="n">
        <x:v>45607</x:v>
      </x:c>
      <x:c r="C643" s="23" t="n">
        <x:v>45614</x:v>
      </x:c>
      <x:c r="D643" s="23" t="n">
        <x:v>45614</x:v>
      </x:c>
      <x:c r="E643" s="13" t="str">
        <x:v>VAL-011</x:v>
      </x:c>
      <x:c r="F643" s="13" t="str">
        <x:v>Rede Essencial</x:v>
      </x:c>
      <x:c r="G643" s="13" t="str">
        <x:v>Varejo</x:v>
      </x:c>
      <x:c r="H643" s="13" t="str">
        <x:v>Médio</x:v>
      </x:c>
      <x:c r="I643" s="13" t="str">
        <x:v>Performance</x:v>
      </x:c>
      <x:c r="J643" s="17" t="n">
        <x:v>11653.16</x:v>
      </x:c>
      <x:c r="K643" s="17" t="n">
        <x:v>0</x:v>
      </x:c>
      <x:c r="L643" s="17" t="n">
        <x:v>0</x:v>
      </x:c>
      <x:c r="M643" s="13" t="str">
        <x:v>Pago</x:v>
      </x:c>
      <x:c r="N643" s="13" t="str">
        <x:v>Sem cobrança</x:v>
      </x:c>
      <x:c r="O643" s="13" t="str">
        <x:v>Crescimento sem escala</x:v>
      </x:c>
      <x:c r="P643" s="17" t="n">
        <x:f>IF(D643="",0,J643-K643+L643)</x:f>
        <x:v>11653.16</x:v>
      </x:c>
      <x:c r="Q643" s="17" t="n">
        <x:f>MAX(J643-P643-K643,0)</x:f>
        <x:v>0</x:v>
      </x:c>
      <x:c r="R643" s="13" t="n">
        <x:f>IF(D643="",MAX(TODAY()-C643,0),MAX(D643-C643,0))</x:f>
        <x:v>0</x:v>
      </x:c>
      <x:c r="S643" s="13" t="str">
        <x:f>IF(R643=0,"Em dia",IF(R643&lt;=15,"1-15 dias",IF(R643&lt;=30,"16-30 dias",IF(R643&lt;=60,"31-60 dias","Acima de 60 dias"))))</x:f>
        <x:v>Em dia</x:v>
      </x:c>
    </x:row>
    <x:row r="644">
      <x:c r="A644" s="13" t="str">
        <x:v>REC-000643</x:v>
      </x:c>
      <x:c r="B644" s="23" t="n">
        <x:v>45616</x:v>
      </x:c>
      <x:c r="C644" s="23" t="n">
        <x:v>45644</x:v>
      </x:c>
      <x:c r="D644" s="23" t="n">
        <x:v>45641</x:v>
      </x:c>
      <x:c r="E644" s="13" t="str">
        <x:v>VAL-023</x:v>
      </x:c>
      <x:c r="F644" s="13" t="str">
        <x:v>ShopMix Brasil</x:v>
      </x:c>
      <x:c r="G644" s="13" t="str">
        <x:v>E-commerce</x:v>
      </x:c>
      <x:c r="H644" s="13" t="str">
        <x:v>Baixo</x:v>
      </x:c>
      <x:c r="I644" s="13" t="str">
        <x:v>Performance</x:v>
      </x:c>
      <x:c r="J644" s="17" t="n">
        <x:v>20630.89</x:v>
      </x:c>
      <x:c r="K644" s="17" t="n">
        <x:v>0</x:v>
      </x:c>
      <x:c r="L644" s="17" t="n">
        <x:v>0</x:v>
      </x:c>
      <x:c r="M644" s="13" t="str">
        <x:v>Pago</x:v>
      </x:c>
      <x:c r="N644" s="13" t="str">
        <x:v>Sem cobrança</x:v>
      </x:c>
      <x:c r="O644" s="13" t="str">
        <x:v>Crescimento sem escala</x:v>
      </x:c>
      <x:c r="P644" s="17" t="n">
        <x:f>IF(D644="",0,J644-K644+L644)</x:f>
        <x:v>20630.89</x:v>
      </x:c>
      <x:c r="Q644" s="17" t="n">
        <x:f>MAX(J644-P644-K644,0)</x:f>
        <x:v>0</x:v>
      </x:c>
      <x:c r="R644" s="13" t="n">
        <x:f>IF(D644="",MAX(TODAY()-C644,0),MAX(D644-C644,0))</x:f>
        <x:v>0</x:v>
      </x:c>
      <x:c r="S644" s="13" t="str">
        <x:f>IF(R644=0,"Em dia",IF(R644&lt;=15,"1-15 dias",IF(R644&lt;=30,"16-30 dias",IF(R644&lt;=60,"31-60 dias","Acima de 60 dias"))))</x:f>
        <x:v>Em dia</x:v>
      </x:c>
    </x:row>
    <x:row r="645">
      <x:c r="A645" s="13" t="str">
        <x:v>REC-000644</x:v>
      </x:c>
      <x:c r="B645" s="23" t="n">
        <x:v>45602</x:v>
      </x:c>
      <x:c r="C645" s="23" t="n">
        <x:v>45630</x:v>
      </x:c>
      <x:c r="D645" s="23" t="n">
        <x:v>45634</x:v>
      </x:c>
      <x:c r="E645" s="13" t="str">
        <x:v>VAL-017</x:v>
      </x:c>
      <x:c r="F645" s="13" t="str">
        <x:v>Centro Médico Vida</x:v>
      </x:c>
      <x:c r="G645" s="13" t="str">
        <x:v>Clínicas e Saúde</x:v>
      </x:c>
      <x:c r="H645" s="13" t="str">
        <x:v>Baixo</x:v>
      </x:c>
      <x:c r="I645" s="13" t="str">
        <x:v>Essencial</x:v>
      </x:c>
      <x:c r="J645" s="17" t="n">
        <x:v>13213.99</x:v>
      </x:c>
      <x:c r="K645" s="17" t="n">
        <x:v>0</x:v>
      </x:c>
      <x:c r="L645" s="17" t="n">
        <x:v>34.36</x:v>
      </x:c>
      <x:c r="M645" s="13" t="str">
        <x:v>Pago com atraso</x:v>
      </x:c>
      <x:c r="N645" s="13" t="str">
        <x:v>E-mail</x:v>
      </x:c>
      <x:c r="O645" s="13" t="str">
        <x:v>Crescimento sem escala</x:v>
      </x:c>
      <x:c r="P645" s="17" t="n">
        <x:f>IF(D645="",0,J645-K645+L645)</x:f>
        <x:v>13248.35</x:v>
      </x:c>
      <x:c r="Q645" s="17" t="n">
        <x:f>MAX(J645-P645-K645,0)</x:f>
        <x:v>0</x:v>
      </x:c>
      <x:c r="R645" s="13" t="n">
        <x:f>IF(D645="",MAX(TODAY()-C645,0),MAX(D645-C645,0))</x:f>
        <x:v>4</x:v>
      </x:c>
      <x:c r="S645" s="13" t="str">
        <x:f>IF(R645=0,"Em dia",IF(R645&lt;=15,"1-15 dias",IF(R645&lt;=30,"16-30 dias",IF(R645&lt;=60,"31-60 dias","Acima de 60 dias"))))</x:f>
        <x:v>1-15 dias</x:v>
      </x:c>
    </x:row>
    <x:row r="646">
      <x:c r="A646" s="13" t="str">
        <x:v>REC-000645</x:v>
      </x:c>
      <x:c r="B646" s="23" t="n">
        <x:v>45602</x:v>
      </x:c>
      <x:c r="C646" s="23" t="n">
        <x:v>45632</x:v>
      </x:c>
      <x:c r="D646" s="23" t="n">
        <x:v>45668</x:v>
      </x:c>
      <x:c r="E646" s="13" t="str">
        <x:v>VAL-006</x:v>
      </x:c>
      <x:c r="F646" s="13" t="str">
        <x:v>Instituto Saber Mais</x:v>
      </x:c>
      <x:c r="G646" s="13" t="str">
        <x:v>Educação</x:v>
      </x:c>
      <x:c r="H646" s="13" t="str">
        <x:v>Médio</x:v>
      </x:c>
      <x:c r="I646" s="13" t="str">
        <x:v>Gestão</x:v>
      </x:c>
      <x:c r="J646" s="17" t="n">
        <x:v>11194.16</x:v>
      </x:c>
      <x:c r="K646" s="17" t="n">
        <x:v>0</x:v>
      </x:c>
      <x:c r="L646" s="17" t="n">
        <x:v>261.94</x:v>
      </x:c>
      <x:c r="M646" s="13" t="str">
        <x:v>Pago com atraso</x:v>
      </x:c>
      <x:c r="N646" s="13" t="str">
        <x:v>Régua automática</x:v>
      </x:c>
      <x:c r="O646" s="13" t="str">
        <x:v>Crescimento sem escala</x:v>
      </x:c>
      <x:c r="P646" s="17" t="n">
        <x:f>IF(D646="",0,J646-K646+L646)</x:f>
        <x:v>11456.1</x:v>
      </x:c>
      <x:c r="Q646" s="17" t="n">
        <x:f>MAX(J646-P646-K646,0)</x:f>
        <x:v>0</x:v>
      </x:c>
      <x:c r="R646" s="13" t="n">
        <x:f>IF(D646="",MAX(TODAY()-C646,0),MAX(D646-C646,0))</x:f>
        <x:v>36</x:v>
      </x:c>
      <x:c r="S646" s="13" t="str">
        <x:f>IF(R646=0,"Em dia",IF(R646&lt;=15,"1-15 dias",IF(R646&lt;=30,"16-30 dias",IF(R646&lt;=60,"31-60 dias","Acima de 60 dias"))))</x:f>
        <x:v>31-60 dias</x:v>
      </x:c>
    </x:row>
    <x:row r="647">
      <x:c r="A647" s="13" t="str">
        <x:v>REC-000646</x:v>
      </x:c>
      <x:c r="B647" s="23" t="n">
        <x:v>45613</x:v>
      </x:c>
      <x:c r="C647" s="23" t="n">
        <x:v>45634</x:v>
      </x:c>
      <x:c r="D647" s="23" t="n">
        <x:v>45630</x:v>
      </x:c>
      <x:c r="E647" s="13" t="str">
        <x:v>VAL-001</x:v>
      </x:c>
      <x:c r="F647" s="13" t="str">
        <x:v>Clínica Horizonte</x:v>
      </x:c>
      <x:c r="G647" s="13" t="str">
        <x:v>Clínicas e Saúde</x:v>
      </x:c>
      <x:c r="H647" s="13" t="str">
        <x:v>Baixo</x:v>
      </x:c>
      <x:c r="I647" s="13" t="str">
        <x:v>Essencial</x:v>
      </x:c>
      <x:c r="J647" s="17" t="n">
        <x:v>17319.42</x:v>
      </x:c>
      <x:c r="K647" s="17" t="n">
        <x:v>95.25</x:v>
      </x:c>
      <x:c r="L647" s="17" t="n">
        <x:v>0</x:v>
      </x:c>
      <x:c r="M647" s="13" t="str">
        <x:v>Pago</x:v>
      </x:c>
      <x:c r="N647" s="13" t="str">
        <x:v>Sem cobrança</x:v>
      </x:c>
      <x:c r="O647" s="13" t="str">
        <x:v>Crescimento sem escala</x:v>
      </x:c>
      <x:c r="P647" s="17" t="n">
        <x:f>IF(D647="",0,J647-K647+L647)</x:f>
        <x:v>17224.17</x:v>
      </x:c>
      <x:c r="Q647" s="17" t="n">
        <x:f>MAX(J647-P647-K647,0)</x:f>
        <x:v>0</x:v>
      </x:c>
      <x:c r="R647" s="13" t="n">
        <x:f>IF(D647="",MAX(TODAY()-C647,0),MAX(D647-C647,0))</x:f>
        <x:v>0</x:v>
      </x:c>
      <x:c r="S647" s="13" t="str">
        <x:f>IF(R647=0,"Em dia",IF(R647&lt;=15,"1-15 dias",IF(R647&lt;=30,"16-30 dias",IF(R647&lt;=60,"31-60 dias","Acima de 60 dias"))))</x:f>
        <x:v>Em dia</x:v>
      </x:c>
    </x:row>
    <x:row r="648">
      <x:c r="A648" s="13" t="str">
        <x:v>REC-000647</x:v>
      </x:c>
      <x:c r="B648" s="23" t="n">
        <x:v>45611</x:v>
      </x:c>
      <x:c r="C648" s="23" t="n">
        <x:v>45626</x:v>
      </x:c>
      <x:c r="D648" s="23" t="n">
        <x:v>45624</x:v>
      </x:c>
      <x:c r="E648" s="13" t="str">
        <x:v>VAL-026</x:v>
      </x:c>
      <x:c r="F648" s="13" t="str">
        <x:v>Ribeiro Arquitetura</x:v>
      </x:c>
      <x:c r="G648" s="13" t="str">
        <x:v>Serviços Profissionais</x:v>
      </x:c>
      <x:c r="H648" s="13" t="str">
        <x:v>Baixo</x:v>
      </x:c>
      <x:c r="I648" s="13" t="str">
        <x:v>Gestão</x:v>
      </x:c>
      <x:c r="J648" s="17" t="n">
        <x:v>24987.33</x:v>
      </x:c>
      <x:c r="K648" s="17" t="n">
        <x:v>0</x:v>
      </x:c>
      <x:c r="L648" s="17" t="n">
        <x:v>0</x:v>
      </x:c>
      <x:c r="M648" s="13" t="str">
        <x:v>Pago</x:v>
      </x:c>
      <x:c r="N648" s="13" t="str">
        <x:v>Sem cobrança</x:v>
      </x:c>
      <x:c r="O648" s="13" t="str">
        <x:v>Crescimento sem escala</x:v>
      </x:c>
      <x:c r="P648" s="17" t="n">
        <x:f>IF(D648="",0,J648-K648+L648)</x:f>
        <x:v>24987.33</x:v>
      </x:c>
      <x:c r="Q648" s="17" t="n">
        <x:f>MAX(J648-P648-K648,0)</x:f>
        <x:v>0</x:v>
      </x:c>
      <x:c r="R648" s="13" t="n">
        <x:f>IF(D648="",MAX(TODAY()-C648,0),MAX(D648-C648,0))</x:f>
        <x:v>0</x:v>
      </x:c>
      <x:c r="S648" s="13" t="str">
        <x:f>IF(R648=0,"Em dia",IF(R648&lt;=15,"1-15 dias",IF(R648&lt;=30,"16-30 dias",IF(R648&lt;=60,"31-60 dias","Acima de 60 dias"))))</x:f>
        <x:v>Em dia</x:v>
      </x:c>
    </x:row>
    <x:row r="649">
      <x:c r="A649" s="13" t="str">
        <x:v>REC-000648</x:v>
      </x:c>
      <x:c r="B649" s="23" t="n">
        <x:v>45602</x:v>
      </x:c>
      <x:c r="C649" s="23" t="n">
        <x:v>45630</x:v>
      </x:c>
      <x:c r="D649" s="23" t="n">
        <x:v>45629</x:v>
      </x:c>
      <x:c r="E649" s="13" t="str">
        <x:v>VAL-028</x:v>
      </x:c>
      <x:c r="F649" s="13" t="str">
        <x:v>Pixel Norte</x:v>
      </x:c>
      <x:c r="G649" s="13" t="str">
        <x:v>Tecnologia</x:v>
      </x:c>
      <x:c r="H649" s="13" t="str">
        <x:v>Alto</x:v>
      </x:c>
      <x:c r="I649" s="13" t="str">
        <x:v>Enterprise</x:v>
      </x:c>
      <x:c r="J649" s="17" t="n">
        <x:v>9216.73</x:v>
      </x:c>
      <x:c r="K649" s="17" t="n">
        <x:v>0</x:v>
      </x:c>
      <x:c r="L649" s="17" t="n">
        <x:v>0</x:v>
      </x:c>
      <x:c r="M649" s="13" t="str">
        <x:v>Pago</x:v>
      </x:c>
      <x:c r="N649" s="13" t="str">
        <x:v>Sem cobrança</x:v>
      </x:c>
      <x:c r="O649" s="13" t="str">
        <x:v>Crescimento sem escala</x:v>
      </x:c>
      <x:c r="P649" s="17" t="n">
        <x:f>IF(D649="",0,J649-K649+L649)</x:f>
        <x:v>9216.73</x:v>
      </x:c>
      <x:c r="Q649" s="17" t="n">
        <x:f>MAX(J649-P649-K649,0)</x:f>
        <x:v>0</x:v>
      </x:c>
      <x:c r="R649" s="13" t="n">
        <x:f>IF(D649="",MAX(TODAY()-C649,0),MAX(D649-C649,0))</x:f>
        <x:v>0</x:v>
      </x:c>
      <x:c r="S649" s="13" t="str">
        <x:f>IF(R649=0,"Em dia",IF(R649&lt;=15,"1-15 dias",IF(R649&lt;=30,"16-30 dias",IF(R649&lt;=60,"31-60 dias","Acima de 60 dias"))))</x:f>
        <x:v>Em dia</x:v>
      </x:c>
    </x:row>
    <x:row r="650">
      <x:c r="A650" s="13" t="str">
        <x:v>REC-000649</x:v>
      </x:c>
      <x:c r="B650" s="23" t="n">
        <x:v>45599</x:v>
      </x:c>
      <x:c r="C650" s="23" t="n">
        <x:v>45606</x:v>
      </x:c>
      <x:c r="D650" s="23" t="n">
        <x:v>45603</x:v>
      </x:c>
      <x:c r="E650" s="13" t="str">
        <x:v>VAL-029</x:v>
      </x:c>
      <x:c r="F650" s="13" t="str">
        <x:v>Planobra Serviços</x:v>
      </x:c>
      <x:c r="G650" s="13" t="str">
        <x:v>Construção</x:v>
      </x:c>
      <x:c r="H650" s="13" t="str">
        <x:v>Baixo</x:v>
      </x:c>
      <x:c r="I650" s="13" t="str">
        <x:v>Essencial</x:v>
      </x:c>
      <x:c r="J650" s="17" t="n">
        <x:v>14689.22</x:v>
      </x:c>
      <x:c r="K650" s="17" t="n">
        <x:v>0</x:v>
      </x:c>
      <x:c r="L650" s="17" t="n">
        <x:v>0</x:v>
      </x:c>
      <x:c r="M650" s="13" t="str">
        <x:v>Pago</x:v>
      </x:c>
      <x:c r="N650" s="13" t="str">
        <x:v>Sem cobrança</x:v>
      </x:c>
      <x:c r="O650" s="13" t="str">
        <x:v>Crescimento sem escala</x:v>
      </x:c>
      <x:c r="P650" s="17" t="n">
        <x:f>IF(D650="",0,J650-K650+L650)</x:f>
        <x:v>14689.22</x:v>
      </x:c>
      <x:c r="Q650" s="17" t="n">
        <x:f>MAX(J650-P650-K650,0)</x:f>
        <x:v>0</x:v>
      </x:c>
      <x:c r="R650" s="13" t="n">
        <x:f>IF(D650="",MAX(TODAY()-C650,0),MAX(D650-C650,0))</x:f>
        <x:v>0</x:v>
      </x:c>
      <x:c r="S650" s="13" t="str">
        <x:f>IF(R650=0,"Em dia",IF(R650&lt;=15,"1-15 dias",IF(R650&lt;=30,"16-30 dias",IF(R650&lt;=60,"31-60 dias","Acima de 60 dias"))))</x:f>
        <x:v>Em dia</x:v>
      </x:c>
    </x:row>
    <x:row r="651">
      <x:c r="A651" s="13" t="str">
        <x:v>REC-000650</x:v>
      </x:c>
      <x:c r="B651" s="23" t="n">
        <x:v>45605</x:v>
      </x:c>
      <x:c r="C651" s="23" t="n">
        <x:v>45626</x:v>
      </x:c>
      <x:c r="D651" s="23" t="n">
        <x:v>45626</x:v>
      </x:c>
      <x:c r="E651" s="13" t="str">
        <x:v>VAL-022</x:v>
      </x:c>
      <x:c r="F651" s="13" t="str">
        <x:v>Academia Evoluir</x:v>
      </x:c>
      <x:c r="G651" s="13" t="str">
        <x:v>Educação</x:v>
      </x:c>
      <x:c r="H651" s="13" t="str">
        <x:v>Alto</x:v>
      </x:c>
      <x:c r="I651" s="13" t="str">
        <x:v>Gestão</x:v>
      </x:c>
      <x:c r="J651" s="17" t="n">
        <x:v>26377.75</x:v>
      </x:c>
      <x:c r="K651" s="17" t="n">
        <x:v>0</x:v>
      </x:c>
      <x:c r="L651" s="17" t="n">
        <x:v>0</x:v>
      </x:c>
      <x:c r="M651" s="13" t="str">
        <x:v>Pago</x:v>
      </x:c>
      <x:c r="N651" s="13" t="str">
        <x:v>Sem cobrança</x:v>
      </x:c>
      <x:c r="O651" s="13" t="str">
        <x:v>Crescimento sem escala</x:v>
      </x:c>
      <x:c r="P651" s="17" t="n">
        <x:f>IF(D651="",0,J651-K651+L651)</x:f>
        <x:v>26377.75</x:v>
      </x:c>
      <x:c r="Q651" s="17" t="n">
        <x:f>MAX(J651-P651-K651,0)</x:f>
        <x:v>0</x:v>
      </x:c>
      <x:c r="R651" s="13" t="n">
        <x:f>IF(D651="",MAX(TODAY()-C651,0),MAX(D651-C651,0))</x:f>
        <x:v>0</x:v>
      </x:c>
      <x:c r="S651" s="13" t="str">
        <x:f>IF(R651=0,"Em dia",IF(R651&lt;=15,"1-15 dias",IF(R651&lt;=30,"16-30 dias",IF(R651&lt;=60,"31-60 dias","Acima de 60 dias"))))</x:f>
        <x:v>Em dia</x:v>
      </x:c>
    </x:row>
    <x:row r="652">
      <x:c r="A652" s="13" t="str">
        <x:v>REC-000651</x:v>
      </x:c>
      <x:c r="B652" s="23" t="n">
        <x:v>45606</x:v>
      </x:c>
      <x:c r="C652" s="23" t="n">
        <x:v>45636</x:v>
      </x:c>
      <x:c r="D652" s="23" t="n">
        <x:v>45636</x:v>
      </x:c>
      <x:c r="E652" s="13" t="str">
        <x:v>VAL-007</x:v>
      </x:c>
      <x:c r="F652" s="13" t="str">
        <x:v>Loja Prisma Online</x:v>
      </x:c>
      <x:c r="G652" s="13" t="str">
        <x:v>E-commerce</x:v>
      </x:c>
      <x:c r="H652" s="13" t="str">
        <x:v>Médio</x:v>
      </x:c>
      <x:c r="I652" s="13" t="str">
        <x:v>Performance</x:v>
      </x:c>
      <x:c r="J652" s="17" t="n">
        <x:v>8070.36</x:v>
      </x:c>
      <x:c r="K652" s="17" t="n">
        <x:v>0</x:v>
      </x:c>
      <x:c r="L652" s="17" t="n">
        <x:v>0</x:v>
      </x:c>
      <x:c r="M652" s="13" t="str">
        <x:v>Pago</x:v>
      </x:c>
      <x:c r="N652" s="13" t="str">
        <x:v>Sem cobrança</x:v>
      </x:c>
      <x:c r="O652" s="13" t="str">
        <x:v>Crescimento sem escala</x:v>
      </x:c>
      <x:c r="P652" s="17" t="n">
        <x:f>IF(D652="",0,J652-K652+L652)</x:f>
        <x:v>8070.36</x:v>
      </x:c>
      <x:c r="Q652" s="17" t="n">
        <x:f>MAX(J652-P652-K652,0)</x:f>
        <x:v>0</x:v>
      </x:c>
      <x:c r="R652" s="13" t="n">
        <x:f>IF(D652="",MAX(TODAY()-C652,0),MAX(D652-C652,0))</x:f>
        <x:v>0</x:v>
      </x:c>
      <x:c r="S652" s="13" t="str">
        <x:f>IF(R652=0,"Em dia",IF(R652&lt;=15,"1-15 dias",IF(R652&lt;=30,"16-30 dias",IF(R652&lt;=60,"31-60 dias","Acima de 60 dias"))))</x:f>
        <x:v>Em dia</x:v>
      </x:c>
    </x:row>
    <x:row r="653">
      <x:c r="A653" s="13" t="str">
        <x:v>REC-000652</x:v>
      </x:c>
      <x:c r="B653" s="23" t="n">
        <x:v>45605</x:v>
      </x:c>
      <x:c r="C653" s="23" t="n">
        <x:v>45620</x:v>
      </x:c>
      <x:c r="D653" s="23" t="n">
        <x:v>45619</x:v>
      </x:c>
      <x:c r="E653" s="13" t="str">
        <x:v>VAL-007</x:v>
      </x:c>
      <x:c r="F653" s="13" t="str">
        <x:v>Loja Prisma Online</x:v>
      </x:c>
      <x:c r="G653" s="13" t="str">
        <x:v>E-commerce</x:v>
      </x:c>
      <x:c r="H653" s="13" t="str">
        <x:v>Médio</x:v>
      </x:c>
      <x:c r="I653" s="13" t="str">
        <x:v>Performance</x:v>
      </x:c>
      <x:c r="J653" s="17" t="n">
        <x:v>31737.31</x:v>
      </x:c>
      <x:c r="K653" s="17" t="n">
        <x:v>0</x:v>
      </x:c>
      <x:c r="L653" s="17" t="n">
        <x:v>0</x:v>
      </x:c>
      <x:c r="M653" s="13" t="str">
        <x:v>Pago</x:v>
      </x:c>
      <x:c r="N653" s="13" t="str">
        <x:v>Sem cobrança</x:v>
      </x:c>
      <x:c r="O653" s="13" t="str">
        <x:v>Crescimento sem escala</x:v>
      </x:c>
      <x:c r="P653" s="17" t="n">
        <x:f>IF(D653="",0,J653-K653+L653)</x:f>
        <x:v>31737.31</x:v>
      </x:c>
      <x:c r="Q653" s="17" t="n">
        <x:f>MAX(J653-P653-K653,0)</x:f>
        <x:v>0</x:v>
      </x:c>
      <x:c r="R653" s="13" t="n">
        <x:f>IF(D653="",MAX(TODAY()-C653,0),MAX(D653-C653,0))</x:f>
        <x:v>0</x:v>
      </x:c>
      <x:c r="S653" s="13" t="str">
        <x:f>IF(R653=0,"Em dia",IF(R653&lt;=15,"1-15 dias",IF(R653&lt;=30,"16-30 dias",IF(R653&lt;=60,"31-60 dias","Acima de 60 dias"))))</x:f>
        <x:v>Em dia</x:v>
      </x:c>
    </x:row>
    <x:row r="654">
      <x:c r="A654" s="13" t="str">
        <x:v>REC-000653</x:v>
      </x:c>
      <x:c r="B654" s="23" t="n">
        <x:v>45604</x:v>
      </x:c>
      <x:c r="C654" s="23" t="n">
        <x:v>45634</x:v>
      </x:c>
      <x:c r="D654" s="23" t="n">
        <x:v>45632</x:v>
      </x:c>
      <x:c r="E654" s="13" t="str">
        <x:v>VAL-024</x:v>
      </x:c>
      <x:c r="F654" s="13" t="str">
        <x:v>NovaForma Móveis</x:v>
      </x:c>
      <x:c r="G654" s="13" t="str">
        <x:v>Indústria Leve</x:v>
      </x:c>
      <x:c r="H654" s="13" t="str">
        <x:v>Baixo</x:v>
      </x:c>
      <x:c r="I654" s="13" t="str">
        <x:v>Enterprise</x:v>
      </x:c>
      <x:c r="J654" s="17" t="n">
        <x:v>22474.99</x:v>
      </x:c>
      <x:c r="K654" s="17" t="n">
        <x:v>0</x:v>
      </x:c>
      <x:c r="L654" s="17" t="n">
        <x:v>0</x:v>
      </x:c>
      <x:c r="M654" s="13" t="str">
        <x:v>Pago</x:v>
      </x:c>
      <x:c r="N654" s="13" t="str">
        <x:v>Sem cobrança</x:v>
      </x:c>
      <x:c r="O654" s="13" t="str">
        <x:v>Crescimento sem escala</x:v>
      </x:c>
      <x:c r="P654" s="17" t="n">
        <x:f>IF(D654="",0,J654-K654+L654)</x:f>
        <x:v>22474.99</x:v>
      </x:c>
      <x:c r="Q654" s="17" t="n">
        <x:f>MAX(J654-P654-K654,0)</x:f>
        <x:v>0</x:v>
      </x:c>
      <x:c r="R654" s="13" t="n">
        <x:f>IF(D654="",MAX(TODAY()-C654,0),MAX(D654-C654,0))</x:f>
        <x:v>0</x:v>
      </x:c>
      <x:c r="S654" s="13" t="str">
        <x:f>IF(R654=0,"Em dia",IF(R654&lt;=15,"1-15 dias",IF(R654&lt;=30,"16-30 dias",IF(R654&lt;=60,"31-60 dias","Acima de 60 dias"))))</x:f>
        <x:v>Em dia</x:v>
      </x:c>
    </x:row>
    <x:row r="655">
      <x:c r="A655" s="13" t="str">
        <x:v>REC-000654</x:v>
      </x:c>
      <x:c r="B655" s="23" t="n">
        <x:v>45606</x:v>
      </x:c>
      <x:c r="C655" s="23" t="n">
        <x:v>45634</x:v>
      </x:c>
      <x:c r="D655" s="23" t="n">
        <x:v>45630</x:v>
      </x:c>
      <x:c r="E655" s="13" t="str">
        <x:v>VAL-025</x:v>
      </x:c>
      <x:c r="F655" s="13" t="str">
        <x:v>Bem-Estar Terapias</x:v>
      </x:c>
      <x:c r="G655" s="13" t="str">
        <x:v>Clínicas e Saúde</x:v>
      </x:c>
      <x:c r="H655" s="13" t="str">
        <x:v>Baixo</x:v>
      </x:c>
      <x:c r="I655" s="13" t="str">
        <x:v>Essencial</x:v>
      </x:c>
      <x:c r="J655" s="17" t="n">
        <x:v>18671.23</x:v>
      </x:c>
      <x:c r="K655" s="17" t="n">
        <x:v>0</x:v>
      </x:c>
      <x:c r="L655" s="17" t="n">
        <x:v>0</x:v>
      </x:c>
      <x:c r="M655" s="13" t="str">
        <x:v>Pago</x:v>
      </x:c>
      <x:c r="N655" s="13" t="str">
        <x:v>Sem cobrança</x:v>
      </x:c>
      <x:c r="O655" s="13" t="str">
        <x:v>Crescimento sem escala</x:v>
      </x:c>
      <x:c r="P655" s="17" t="n">
        <x:f>IF(D655="",0,J655-K655+L655)</x:f>
        <x:v>18671.23</x:v>
      </x:c>
      <x:c r="Q655" s="17" t="n">
        <x:f>MAX(J655-P655-K655,0)</x:f>
        <x:v>0</x:v>
      </x:c>
      <x:c r="R655" s="13" t="n">
        <x:f>IF(D655="",MAX(TODAY()-C655,0),MAX(D655-C655,0))</x:f>
        <x:v>0</x:v>
      </x:c>
      <x:c r="S655" s="13" t="str">
        <x:f>IF(R655=0,"Em dia",IF(R655&lt;=15,"1-15 dias",IF(R655&lt;=30,"16-30 dias",IF(R655&lt;=60,"31-60 dias","Acima de 60 dias"))))</x:f>
        <x:v>Em dia</x:v>
      </x:c>
    </x:row>
    <x:row r="656">
      <x:c r="A656" s="13" t="str">
        <x:v>REC-000655</x:v>
      </x:c>
      <x:c r="B656" s="23" t="n">
        <x:v>45605</x:v>
      </x:c>
      <x:c r="C656" s="23" t="n">
        <x:v>45612</x:v>
      </x:c>
      <x:c r="D656" s="23" t="n">
        <x:v>45610</x:v>
      </x:c>
      <x:c r="E656" s="13" t="str">
        <x:v>VAL-005</x:v>
      </x:c>
      <x:c r="F656" s="13" t="str">
        <x:v>Construtora Alameda</x:v>
      </x:c>
      <x:c r="G656" s="13" t="str">
        <x:v>Construção</x:v>
      </x:c>
      <x:c r="H656" s="13" t="str">
        <x:v>Médio</x:v>
      </x:c>
      <x:c r="I656" s="13" t="str">
        <x:v>Essencial</x:v>
      </x:c>
      <x:c r="J656" s="17" t="n">
        <x:v>25920.45</x:v>
      </x:c>
      <x:c r="K656" s="17" t="n">
        <x:v>0</x:v>
      </x:c>
      <x:c r="L656" s="17" t="n">
        <x:v>0</x:v>
      </x:c>
      <x:c r="M656" s="13" t="str">
        <x:v>Pago</x:v>
      </x:c>
      <x:c r="N656" s="13" t="str">
        <x:v>Sem cobrança</x:v>
      </x:c>
      <x:c r="O656" s="13" t="str">
        <x:v>Crescimento sem escala</x:v>
      </x:c>
      <x:c r="P656" s="17" t="n">
        <x:f>IF(D656="",0,J656-K656+L656)</x:f>
        <x:v>25920.45</x:v>
      </x:c>
      <x:c r="Q656" s="17" t="n">
        <x:f>MAX(J656-P656-K656,0)</x:f>
        <x:v>0</x:v>
      </x:c>
      <x:c r="R656" s="13" t="n">
        <x:f>IF(D656="",MAX(TODAY()-C656,0),MAX(D656-C656,0))</x:f>
        <x:v>0</x:v>
      </x:c>
      <x:c r="S656" s="13" t="str">
        <x:f>IF(R656=0,"Em dia",IF(R656&lt;=15,"1-15 dias",IF(R656&lt;=30,"16-30 dias",IF(R656&lt;=60,"31-60 dias","Acima de 60 dias"))))</x:f>
        <x:v>Em dia</x:v>
      </x:c>
    </x:row>
    <x:row r="657">
      <x:c r="A657" s="13" t="str">
        <x:v>REC-000656</x:v>
      </x:c>
      <x:c r="B657" s="23" t="n">
        <x:v>45600</x:v>
      </x:c>
      <x:c r="C657" s="23" t="n">
        <x:v>45630</x:v>
      </x:c>
      <x:c r="D657" s="23" t="n">
        <x:v>45627</x:v>
      </x:c>
      <x:c r="E657" s="13" t="str">
        <x:v>VAL-003</x:v>
      </x:c>
      <x:c r="F657" s="13" t="str">
        <x:v>Casa Nova Varejo</x:v>
      </x:c>
      <x:c r="G657" s="13" t="str">
        <x:v>Varejo</x:v>
      </x:c>
      <x:c r="H657" s="13" t="str">
        <x:v>Baixo</x:v>
      </x:c>
      <x:c r="I657" s="13" t="str">
        <x:v>Performance</x:v>
      </x:c>
      <x:c r="J657" s="17" t="n">
        <x:v>5114.21</x:v>
      </x:c>
      <x:c r="K657" s="17" t="n">
        <x:v>0</x:v>
      </x:c>
      <x:c r="L657" s="17" t="n">
        <x:v>0</x:v>
      </x:c>
      <x:c r="M657" s="13" t="str">
        <x:v>Pago</x:v>
      </x:c>
      <x:c r="N657" s="13" t="str">
        <x:v>Sem cobrança</x:v>
      </x:c>
      <x:c r="O657" s="13" t="str">
        <x:v>Crescimento sem escala</x:v>
      </x:c>
      <x:c r="P657" s="17" t="n">
        <x:f>IF(D657="",0,J657-K657+L657)</x:f>
        <x:v>5114.21</x:v>
      </x:c>
      <x:c r="Q657" s="17" t="n">
        <x:f>MAX(J657-P657-K657,0)</x:f>
        <x:v>0</x:v>
      </x:c>
      <x:c r="R657" s="13" t="n">
        <x:f>IF(D657="",MAX(TODAY()-C657,0),MAX(D657-C657,0))</x:f>
        <x:v>0</x:v>
      </x:c>
      <x:c r="S657" s="13" t="str">
        <x:f>IF(R657=0,"Em dia",IF(R657&lt;=15,"1-15 dias",IF(R657&lt;=30,"16-30 dias",IF(R657&lt;=60,"31-60 dias","Acima de 60 dias"))))</x:f>
        <x:v>Em dia</x:v>
      </x:c>
    </x:row>
    <x:row r="658">
      <x:c r="A658" s="13" t="str">
        <x:v>REC-000657</x:v>
      </x:c>
      <x:c r="B658" s="23" t="n">
        <x:v>45598</x:v>
      </x:c>
      <x:c r="C658" s="23" t="n">
        <x:v>45628</x:v>
      </x:c>
      <x:c r="D658" s="23" t="n">
        <x:v>45627</x:v>
      </x:c>
      <x:c r="E658" s="13" t="str">
        <x:v>VAL-018</x:v>
      </x:c>
      <x:c r="F658" s="13" t="str">
        <x:v>Ponto Legal Advocacia</x:v>
      </x:c>
      <x:c r="G658" s="13" t="str">
        <x:v>Serviços Profissionais</x:v>
      </x:c>
      <x:c r="H658" s="13" t="str">
        <x:v>Baixo</x:v>
      </x:c>
      <x:c r="I658" s="13" t="str">
        <x:v>Gestão</x:v>
      </x:c>
      <x:c r="J658" s="17" t="n">
        <x:v>18619.11</x:v>
      </x:c>
      <x:c r="K658" s="17" t="n">
        <x:v>0</x:v>
      </x:c>
      <x:c r="L658" s="17" t="n">
        <x:v>0</x:v>
      </x:c>
      <x:c r="M658" s="13" t="str">
        <x:v>Pago</x:v>
      </x:c>
      <x:c r="N658" s="13" t="str">
        <x:v>Sem cobrança</x:v>
      </x:c>
      <x:c r="O658" s="13" t="str">
        <x:v>Crescimento sem escala</x:v>
      </x:c>
      <x:c r="P658" s="17" t="n">
        <x:f>IF(D658="",0,J658-K658+L658)</x:f>
        <x:v>18619.11</x:v>
      </x:c>
      <x:c r="Q658" s="17" t="n">
        <x:f>MAX(J658-P658-K658,0)</x:f>
        <x:v>0</x:v>
      </x:c>
      <x:c r="R658" s="13" t="n">
        <x:f>IF(D658="",MAX(TODAY()-C658,0),MAX(D658-C658,0))</x:f>
        <x:v>0</x:v>
      </x:c>
      <x:c r="S658" s="13" t="str">
        <x:f>IF(R658=0,"Em dia",IF(R658&lt;=15,"1-15 dias",IF(R658&lt;=30,"16-30 dias",IF(R658&lt;=60,"31-60 dias","Acima de 60 dias"))))</x:f>
        <x:v>Em dia</x:v>
      </x:c>
    </x:row>
    <x:row r="659">
      <x:c r="A659" s="13" t="str">
        <x:v>REC-000658</x:v>
      </x:c>
      <x:c r="B659" s="23" t="n">
        <x:v>45604</x:v>
      </x:c>
      <x:c r="C659" s="23" t="n">
        <x:v>45625</x:v>
      </x:c>
      <x:c r="D659" s="23" t="n">
        <x:v>45625</x:v>
      </x:c>
      <x:c r="E659" s="13" t="str">
        <x:v>VAL-017</x:v>
      </x:c>
      <x:c r="F659" s="13" t="str">
        <x:v>Centro Médico Vida</x:v>
      </x:c>
      <x:c r="G659" s="13" t="str">
        <x:v>Clínicas e Saúde</x:v>
      </x:c>
      <x:c r="H659" s="13" t="str">
        <x:v>Baixo</x:v>
      </x:c>
      <x:c r="I659" s="13" t="str">
        <x:v>Essencial</x:v>
      </x:c>
      <x:c r="J659" s="17" t="n">
        <x:v>21412.82</x:v>
      </x:c>
      <x:c r="K659" s="17" t="n">
        <x:v>0</x:v>
      </x:c>
      <x:c r="L659" s="17" t="n">
        <x:v>0</x:v>
      </x:c>
      <x:c r="M659" s="13" t="str">
        <x:v>Pago</x:v>
      </x:c>
      <x:c r="N659" s="13" t="str">
        <x:v>Sem cobrança</x:v>
      </x:c>
      <x:c r="O659" s="13" t="str">
        <x:v>Crescimento sem escala</x:v>
      </x:c>
      <x:c r="P659" s="17" t="n">
        <x:f>IF(D659="",0,J659-K659+L659)</x:f>
        <x:v>21412.82</x:v>
      </x:c>
      <x:c r="Q659" s="17" t="n">
        <x:f>MAX(J659-P659-K659,0)</x:f>
        <x:v>0</x:v>
      </x:c>
      <x:c r="R659" s="13" t="n">
        <x:f>IF(D659="",MAX(TODAY()-C659,0),MAX(D659-C659,0))</x:f>
        <x:v>0</x:v>
      </x:c>
      <x:c r="S659" s="13" t="str">
        <x:f>IF(R659=0,"Em dia",IF(R659&lt;=15,"1-15 dias",IF(R659&lt;=30,"16-30 dias",IF(R659&lt;=60,"31-60 dias","Acima de 60 dias"))))</x:f>
        <x:v>Em dia</x:v>
      </x:c>
    </x:row>
    <x:row r="660">
      <x:c r="A660" s="13" t="str">
        <x:v>REC-000659</x:v>
      </x:c>
      <x:c r="B660" s="23" t="n">
        <x:v>45612</x:v>
      </x:c>
      <x:c r="C660" s="23" t="n">
        <x:v>45619</x:v>
      </x:c>
      <x:c r="D660" s="23" t="n">
        <x:v>45615</x:v>
      </x:c>
      <x:c r="E660" s="13" t="str">
        <x:v>VAL-001</x:v>
      </x:c>
      <x:c r="F660" s="13" t="str">
        <x:v>Clínica Horizonte</x:v>
      </x:c>
      <x:c r="G660" s="13" t="str">
        <x:v>Clínicas e Saúde</x:v>
      </x:c>
      <x:c r="H660" s="13" t="str">
        <x:v>Baixo</x:v>
      </x:c>
      <x:c r="I660" s="13" t="str">
        <x:v>Essencial</x:v>
      </x:c>
      <x:c r="J660" s="17" t="n">
        <x:v>3711.32</x:v>
      </x:c>
      <x:c r="K660" s="17" t="n">
        <x:v>0</x:v>
      </x:c>
      <x:c r="L660" s="17" t="n">
        <x:v>0</x:v>
      </x:c>
      <x:c r="M660" s="13" t="str">
        <x:v>Pago</x:v>
      </x:c>
      <x:c r="N660" s="13" t="str">
        <x:v>Sem cobrança</x:v>
      </x:c>
      <x:c r="O660" s="13" t="str">
        <x:v>Crescimento sem escala</x:v>
      </x:c>
      <x:c r="P660" s="17" t="n">
        <x:f>IF(D660="",0,J660-K660+L660)</x:f>
        <x:v>3711.32</x:v>
      </x:c>
      <x:c r="Q660" s="17" t="n">
        <x:f>MAX(J660-P660-K660,0)</x:f>
        <x:v>0</x:v>
      </x:c>
      <x:c r="R660" s="13" t="n">
        <x:f>IF(D660="",MAX(TODAY()-C660,0),MAX(D660-C660,0))</x:f>
        <x:v>0</x:v>
      </x:c>
      <x:c r="S660" s="13" t="str">
        <x:f>IF(R660=0,"Em dia",IF(R660&lt;=15,"1-15 dias",IF(R660&lt;=30,"16-30 dias",IF(R660&lt;=60,"31-60 dias","Acima de 60 dias"))))</x:f>
        <x:v>Em dia</x:v>
      </x:c>
    </x:row>
    <x:row r="661">
      <x:c r="A661" s="13" t="str">
        <x:v>REC-000660</x:v>
      </x:c>
      <x:c r="B661" s="23" t="n">
        <x:v>45604</x:v>
      </x:c>
      <x:c r="C661" s="23" t="n">
        <x:v>45634</x:v>
      </x:c>
      <x:c r="D661" s="23" t="n">
        <x:v>45630</x:v>
      </x:c>
      <x:c r="E661" s="13" t="str">
        <x:v>VAL-014</x:v>
      </x:c>
      <x:c r="F661" s="13" t="str">
        <x:v>Colégio Caminhos</x:v>
      </x:c>
      <x:c r="G661" s="13" t="str">
        <x:v>Educação</x:v>
      </x:c>
      <x:c r="H661" s="13" t="str">
        <x:v>Médio</x:v>
      </x:c>
      <x:c r="I661" s="13" t="str">
        <x:v>Gestão</x:v>
      </x:c>
      <x:c r="J661" s="17" t="n">
        <x:v>8979.9</x:v>
      </x:c>
      <x:c r="K661" s="17" t="n">
        <x:v>0</x:v>
      </x:c>
      <x:c r="L661" s="17" t="n">
        <x:v>0</x:v>
      </x:c>
      <x:c r="M661" s="13" t="str">
        <x:v>Pago</x:v>
      </x:c>
      <x:c r="N661" s="13" t="str">
        <x:v>Sem cobrança</x:v>
      </x:c>
      <x:c r="O661" s="13" t="str">
        <x:v>Crescimento sem escala</x:v>
      </x:c>
      <x:c r="P661" s="17" t="n">
        <x:f>IF(D661="",0,J661-K661+L661)</x:f>
        <x:v>8979.9</x:v>
      </x:c>
      <x:c r="Q661" s="17" t="n">
        <x:f>MAX(J661-P661-K661,0)</x:f>
        <x:v>0</x:v>
      </x:c>
      <x:c r="R661" s="13" t="n">
        <x:f>IF(D661="",MAX(TODAY()-C661,0),MAX(D661-C661,0))</x:f>
        <x:v>0</x:v>
      </x:c>
      <x:c r="S661" s="13" t="str">
        <x:f>IF(R661=0,"Em dia",IF(R661&lt;=15,"1-15 dias",IF(R661&lt;=30,"16-30 dias",IF(R661&lt;=60,"31-60 dias","Acima de 60 dias"))))</x:f>
        <x:v>Em dia</x:v>
      </x:c>
    </x:row>
    <x:row r="662">
      <x:c r="A662" s="13" t="str">
        <x:v>REC-000661</x:v>
      </x:c>
      <x:c r="B662" s="23" t="n">
        <x:v>45631</x:v>
      </x:c>
      <x:c r="C662" s="23" t="n">
        <x:v>45638</x:v>
      </x:c>
      <x:c r="D662" s="23" t="n">
        <x:v>45637</x:v>
      </x:c>
      <x:c r="E662" s="13" t="str">
        <x:v>VAL-011</x:v>
      </x:c>
      <x:c r="F662" s="13" t="str">
        <x:v>Rede Essencial</x:v>
      </x:c>
      <x:c r="G662" s="13" t="str">
        <x:v>Varejo</x:v>
      </x:c>
      <x:c r="H662" s="13" t="str">
        <x:v>Médio</x:v>
      </x:c>
      <x:c r="I662" s="13" t="str">
        <x:v>Performance</x:v>
      </x:c>
      <x:c r="J662" s="17" t="n">
        <x:v>21022.05</x:v>
      </x:c>
      <x:c r="K662" s="17" t="n">
        <x:v>0</x:v>
      </x:c>
      <x:c r="L662" s="17" t="n">
        <x:v>0</x:v>
      </x:c>
      <x:c r="M662" s="13" t="str">
        <x:v>Pago</x:v>
      </x:c>
      <x:c r="N662" s="13" t="str">
        <x:v>Sem cobrança</x:v>
      </x:c>
      <x:c r="O662" s="13" t="str">
        <x:v>Crescimento sem escala</x:v>
      </x:c>
      <x:c r="P662" s="17" t="n">
        <x:f>IF(D662="",0,J662-K662+L662)</x:f>
        <x:v>21022.05</x:v>
      </x:c>
      <x:c r="Q662" s="17" t="n">
        <x:f>MAX(J662-P662-K662,0)</x:f>
        <x:v>0</x:v>
      </x:c>
      <x:c r="R662" s="13" t="n">
        <x:f>IF(D662="",MAX(TODAY()-C662,0),MAX(D662-C662,0))</x:f>
        <x:v>0</x:v>
      </x:c>
      <x:c r="S662" s="13" t="str">
        <x:f>IF(R662=0,"Em dia",IF(R662&lt;=15,"1-15 dias",IF(R662&lt;=30,"16-30 dias",IF(R662&lt;=60,"31-60 dias","Acima de 60 dias"))))</x:f>
        <x:v>Em dia</x:v>
      </x:c>
    </x:row>
    <x:row r="663">
      <x:c r="A663" s="13" t="str">
        <x:v>REC-000662</x:v>
      </x:c>
      <x:c r="B663" s="23" t="n">
        <x:v>45640</x:v>
      </x:c>
      <x:c r="C663" s="23" t="n">
        <x:v>45655</x:v>
      </x:c>
      <x:c r="D663" s="23" t="n">
        <x:v>45652</x:v>
      </x:c>
      <x:c r="E663" s="13" t="str">
        <x:v>VAL-026</x:v>
      </x:c>
      <x:c r="F663" s="13" t="str">
        <x:v>Ribeiro Arquitetura</x:v>
      </x:c>
      <x:c r="G663" s="13" t="str">
        <x:v>Serviços Profissionais</x:v>
      </x:c>
      <x:c r="H663" s="13" t="str">
        <x:v>Baixo</x:v>
      </x:c>
      <x:c r="I663" s="13" t="str">
        <x:v>Gestão</x:v>
      </x:c>
      <x:c r="J663" s="17" t="n">
        <x:v>4335.6</x:v>
      </x:c>
      <x:c r="K663" s="17" t="n">
        <x:v>0</x:v>
      </x:c>
      <x:c r="L663" s="17" t="n">
        <x:v>0</x:v>
      </x:c>
      <x:c r="M663" s="13" t="str">
        <x:v>Pago</x:v>
      </x:c>
      <x:c r="N663" s="13" t="str">
        <x:v>Sem cobrança</x:v>
      </x:c>
      <x:c r="O663" s="13" t="str">
        <x:v>Crescimento sem escala</x:v>
      </x:c>
      <x:c r="P663" s="17" t="n">
        <x:f>IF(D663="",0,J663-K663+L663)</x:f>
        <x:v>4335.6</x:v>
      </x:c>
      <x:c r="Q663" s="17" t="n">
        <x:f>MAX(J663-P663-K663,0)</x:f>
        <x:v>0</x:v>
      </x:c>
      <x:c r="R663" s="13" t="n">
        <x:f>IF(D663="",MAX(TODAY()-C663,0),MAX(D663-C663,0))</x:f>
        <x:v>0</x:v>
      </x:c>
      <x:c r="S663" s="13" t="str">
        <x:f>IF(R663=0,"Em dia",IF(R663&lt;=15,"1-15 dias",IF(R663&lt;=30,"16-30 dias",IF(R663&lt;=60,"31-60 dias","Acima de 60 dias"))))</x:f>
        <x:v>Em dia</x:v>
      </x:c>
    </x:row>
    <x:row r="664">
      <x:c r="A664" s="13" t="str">
        <x:v>REC-000663</x:v>
      </x:c>
      <x:c r="B664" s="23" t="n">
        <x:v>45645</x:v>
      </x:c>
      <x:c r="C664" s="23" t="n">
        <x:v>45675</x:v>
      </x:c>
      <x:c r="D664" s="23" t="n">
        <x:v>45672</x:v>
      </x:c>
      <x:c r="E664" s="13" t="str">
        <x:v>VAL-009</x:v>
      </x:c>
      <x:c r="F664" s="13" t="str">
        <x:v>Odonto Prime</x:v>
      </x:c>
      <x:c r="G664" s="13" t="str">
        <x:v>Clínicas e Saúde</x:v>
      </x:c>
      <x:c r="H664" s="13" t="str">
        <x:v>Médio</x:v>
      </x:c>
      <x:c r="I664" s="13" t="str">
        <x:v>Essencial</x:v>
      </x:c>
      <x:c r="J664" s="17" t="n">
        <x:v>20431.01</x:v>
      </x:c>
      <x:c r="K664" s="17" t="n">
        <x:v>0</x:v>
      </x:c>
      <x:c r="L664" s="17" t="n">
        <x:v>0</x:v>
      </x:c>
      <x:c r="M664" s="13" t="str">
        <x:v>Pago</x:v>
      </x:c>
      <x:c r="N664" s="13" t="str">
        <x:v>Sem cobrança</x:v>
      </x:c>
      <x:c r="O664" s="13" t="str">
        <x:v>Crescimento sem escala</x:v>
      </x:c>
      <x:c r="P664" s="17" t="n">
        <x:f>IF(D664="",0,J664-K664+L664)</x:f>
        <x:v>20431.01</x:v>
      </x:c>
      <x:c r="Q664" s="17" t="n">
        <x:f>MAX(J664-P664-K664,0)</x:f>
        <x:v>0</x:v>
      </x:c>
      <x:c r="R664" s="13" t="n">
        <x:f>IF(D664="",MAX(TODAY()-C664,0),MAX(D664-C664,0))</x:f>
        <x:v>0</x:v>
      </x:c>
      <x:c r="S664" s="13" t="str">
        <x:f>IF(R664=0,"Em dia",IF(R664&lt;=15,"1-15 dias",IF(R664&lt;=30,"16-30 dias",IF(R664&lt;=60,"31-60 dias","Acima de 60 dias"))))</x:f>
        <x:v>Em dia</x:v>
      </x:c>
    </x:row>
    <x:row r="665">
      <x:c r="A665" s="13" t="str">
        <x:v>REC-000664</x:v>
      </x:c>
      <x:c r="B665" s="23" t="n">
        <x:v>45639</x:v>
      </x:c>
      <x:c r="C665" s="23" t="n">
        <x:v>45646</x:v>
      </x:c>
      <x:c r="D665" s="23" t="n">
        <x:v>45645</x:v>
      </x:c>
      <x:c r="E665" s="13" t="str">
        <x:v>VAL-001</x:v>
      </x:c>
      <x:c r="F665" s="13" t="str">
        <x:v>Clínica Horizonte</x:v>
      </x:c>
      <x:c r="G665" s="13" t="str">
        <x:v>Clínicas e Saúde</x:v>
      </x:c>
      <x:c r="H665" s="13" t="str">
        <x:v>Baixo</x:v>
      </x:c>
      <x:c r="I665" s="13" t="str">
        <x:v>Essencial</x:v>
      </x:c>
      <x:c r="J665" s="17" t="n">
        <x:v>15515.96</x:v>
      </x:c>
      <x:c r="K665" s="17" t="n">
        <x:v>0</x:v>
      </x:c>
      <x:c r="L665" s="17" t="n">
        <x:v>0</x:v>
      </x:c>
      <x:c r="M665" s="13" t="str">
        <x:v>Pago</x:v>
      </x:c>
      <x:c r="N665" s="13" t="str">
        <x:v>Sem cobrança</x:v>
      </x:c>
      <x:c r="O665" s="13" t="str">
        <x:v>Crescimento sem escala</x:v>
      </x:c>
      <x:c r="P665" s="17" t="n">
        <x:f>IF(D665="",0,J665-K665+L665)</x:f>
        <x:v>15515.96</x:v>
      </x:c>
      <x:c r="Q665" s="17" t="n">
        <x:f>MAX(J665-P665-K665,0)</x:f>
        <x:v>0</x:v>
      </x:c>
      <x:c r="R665" s="13" t="n">
        <x:f>IF(D665="",MAX(TODAY()-C665,0),MAX(D665-C665,0))</x:f>
        <x:v>0</x:v>
      </x:c>
      <x:c r="S665" s="13" t="str">
        <x:f>IF(R665=0,"Em dia",IF(R665&lt;=15,"1-15 dias",IF(R665&lt;=30,"16-30 dias",IF(R665&lt;=60,"31-60 dias","Acima de 60 dias"))))</x:f>
        <x:v>Em dia</x:v>
      </x:c>
    </x:row>
    <x:row r="666">
      <x:c r="A666" s="13" t="str">
        <x:v>REC-000665</x:v>
      </x:c>
      <x:c r="B666" s="23" t="n">
        <x:v>45628</x:v>
      </x:c>
      <x:c r="C666" s="23" t="n">
        <x:v>45643</x:v>
      </x:c>
      <x:c r="D666" s="23" t="n">
        <x:v>45643</x:v>
      </x:c>
      <x:c r="E666" s="13" t="str">
        <x:v>VAL-030</x:v>
      </x:c>
      <x:c r="F666" s="13" t="str">
        <x:v>Mundo Kids Cursos</x:v>
      </x:c>
      <x:c r="G666" s="13" t="str">
        <x:v>Educação</x:v>
      </x:c>
      <x:c r="H666" s="13" t="str">
        <x:v>Alto</x:v>
      </x:c>
      <x:c r="I666" s="13" t="str">
        <x:v>Gestão</x:v>
      </x:c>
      <x:c r="J666" s="17" t="n">
        <x:v>25275.25</x:v>
      </x:c>
      <x:c r="K666" s="17" t="n">
        <x:v>0</x:v>
      </x:c>
      <x:c r="L666" s="17" t="n">
        <x:v>0</x:v>
      </x:c>
      <x:c r="M666" s="13" t="str">
        <x:v>Pago</x:v>
      </x:c>
      <x:c r="N666" s="13" t="str">
        <x:v>Sem cobrança</x:v>
      </x:c>
      <x:c r="O666" s="13" t="str">
        <x:v>Crescimento sem escala</x:v>
      </x:c>
      <x:c r="P666" s="17" t="n">
        <x:f>IF(D666="",0,J666-K666+L666)</x:f>
        <x:v>25275.25</x:v>
      </x:c>
      <x:c r="Q666" s="17" t="n">
        <x:f>MAX(J666-P666-K666,0)</x:f>
        <x:v>0</x:v>
      </x:c>
      <x:c r="R666" s="13" t="n">
        <x:f>IF(D666="",MAX(TODAY()-C666,0),MAX(D666-C666,0))</x:f>
        <x:v>0</x:v>
      </x:c>
      <x:c r="S666" s="13" t="str">
        <x:f>IF(R666=0,"Em dia",IF(R666&lt;=15,"1-15 dias",IF(R666&lt;=30,"16-30 dias",IF(R666&lt;=60,"31-60 dias","Acima de 60 dias"))))</x:f>
        <x:v>Em dia</x:v>
      </x:c>
    </x:row>
    <x:row r="667">
      <x:c r="A667" s="13" t="str">
        <x:v>REC-000666</x:v>
      </x:c>
      <x:c r="B667" s="23" t="n">
        <x:v>45645</x:v>
      </x:c>
      <x:c r="C667" s="23" t="n">
        <x:v>45666</x:v>
      </x:c>
      <x:c r="D667" s="23"/>
      <x:c r="E667" s="13" t="str">
        <x:v>VAL-016</x:v>
      </x:c>
      <x:c r="F667" s="13" t="str">
        <x:v>Lumina Embalagens</x:v>
      </x:c>
      <x:c r="G667" s="13" t="str">
        <x:v>Indústria Leve</x:v>
      </x:c>
      <x:c r="H667" s="13" t="str">
        <x:v>Baixo</x:v>
      </x:c>
      <x:c r="I667" s="13" t="str">
        <x:v>Enterprise</x:v>
      </x:c>
      <x:c r="J667" s="17" t="n">
        <x:v>30267.55</x:v>
      </x:c>
      <x:c r="K667" s="17" t="n">
        <x:v>0</x:v>
      </x:c>
      <x:c r="L667" s="17" t="n">
        <x:v>0</x:v>
      </x:c>
      <x:c r="M667" s="13" t="str">
        <x:v>Em aberto</x:v>
      </x:c>
      <x:c r="N667" s="13" t="str">
        <x:v>Régua automática</x:v>
      </x:c>
      <x:c r="O667" s="13" t="str">
        <x:v>Crescimento sem escala</x:v>
      </x:c>
      <x:c r="P667" s="17" t="n">
        <x:f>IF(D667="",0,J667-K667+L667)</x:f>
        <x:v>0</x:v>
      </x:c>
      <x:c r="Q667" s="17" t="n">
        <x:f>MAX(J667-P667-K667,0)</x:f>
        <x:v>30267.55</x:v>
      </x:c>
      <x:c r="R667" s="13" t="n">
        <x:f>IF(D667="",MAX(TODAY()-C667,0),MAX(D667-C667,0))</x:f>
        <x:v>547</x:v>
      </x:c>
      <x:c r="S667" s="13" t="str">
        <x:f>IF(R667=0,"Em dia",IF(R667&lt;=15,"1-15 dias",IF(R667&lt;=30,"16-30 dias",IF(R667&lt;=60,"31-60 dias","Acima de 60 dias"))))</x:f>
        <x:v>Acima de 60 dias</x:v>
      </x:c>
    </x:row>
    <x:row r="668">
      <x:c r="A668" s="13" t="str">
        <x:v>REC-000667</x:v>
      </x:c>
      <x:c r="B668" s="23" t="n">
        <x:v>45644</x:v>
      </x:c>
      <x:c r="C668" s="23" t="n">
        <x:v>45665</x:v>
      </x:c>
      <x:c r="D668" s="23" t="n">
        <x:v>45662</x:v>
      </x:c>
      <x:c r="E668" s="13" t="str">
        <x:v>VAL-002</x:v>
      </x:c>
      <x:c r="F668" s="13" t="str">
        <x:v>Mendes &amp; Prado Consultoria</x:v>
      </x:c>
      <x:c r="G668" s="13" t="str">
        <x:v>Serviços Profissionais</x:v>
      </x:c>
      <x:c r="H668" s="13" t="str">
        <x:v>Baixo</x:v>
      </x:c>
      <x:c r="I668" s="13" t="str">
        <x:v>Gestão</x:v>
      </x:c>
      <x:c r="J668" s="17" t="n">
        <x:v>19130.54</x:v>
      </x:c>
      <x:c r="K668" s="17" t="n">
        <x:v>0</x:v>
      </x:c>
      <x:c r="L668" s="17" t="n">
        <x:v>0</x:v>
      </x:c>
      <x:c r="M668" s="13" t="str">
        <x:v>Pago</x:v>
      </x:c>
      <x:c r="N668" s="13" t="str">
        <x:v>Sem cobrança</x:v>
      </x:c>
      <x:c r="O668" s="13" t="str">
        <x:v>Crescimento sem escala</x:v>
      </x:c>
      <x:c r="P668" s="17" t="n">
        <x:f>IF(D668="",0,J668-K668+L668)</x:f>
        <x:v>19130.54</x:v>
      </x:c>
      <x:c r="Q668" s="17" t="n">
        <x:f>MAX(J668-P668-K668,0)</x:f>
        <x:v>0</x:v>
      </x:c>
      <x:c r="R668" s="13" t="n">
        <x:f>IF(D668="",MAX(TODAY()-C668,0),MAX(D668-C668,0))</x:f>
        <x:v>0</x:v>
      </x:c>
      <x:c r="S668" s="13" t="str">
        <x:f>IF(R668=0,"Em dia",IF(R668&lt;=15,"1-15 dias",IF(R668&lt;=30,"16-30 dias",IF(R668&lt;=60,"31-60 dias","Acima de 60 dias"))))</x:f>
        <x:v>Em dia</x:v>
      </x:c>
    </x:row>
    <x:row r="669">
      <x:c r="A669" s="13" t="str">
        <x:v>REC-000668</x:v>
      </x:c>
      <x:c r="B669" s="23" t="n">
        <x:v>45631</x:v>
      </x:c>
      <x:c r="C669" s="23" t="n">
        <x:v>45652</x:v>
      </x:c>
      <x:c r="D669" s="23" t="n">
        <x:v>45652</x:v>
      </x:c>
      <x:c r="E669" s="13" t="str">
        <x:v>VAL-015</x:v>
      </x:c>
      <x:c r="F669" s="13" t="str">
        <x:v>Mercado Click</x:v>
      </x:c>
      <x:c r="G669" s="13" t="str">
        <x:v>E-commerce</x:v>
      </x:c>
      <x:c r="H669" s="13" t="str">
        <x:v>Baixo</x:v>
      </x:c>
      <x:c r="I669" s="13" t="str">
        <x:v>Performance</x:v>
      </x:c>
      <x:c r="J669" s="17" t="n">
        <x:v>8735.92</x:v>
      </x:c>
      <x:c r="K669" s="17" t="n">
        <x:v>0</x:v>
      </x:c>
      <x:c r="L669" s="17" t="n">
        <x:v>0</x:v>
      </x:c>
      <x:c r="M669" s="13" t="str">
        <x:v>Pago</x:v>
      </x:c>
      <x:c r="N669" s="13" t="str">
        <x:v>Sem cobrança</x:v>
      </x:c>
      <x:c r="O669" s="13" t="str">
        <x:v>Crescimento sem escala</x:v>
      </x:c>
      <x:c r="P669" s="17" t="n">
        <x:f>IF(D669="",0,J669-K669+L669)</x:f>
        <x:v>8735.92</x:v>
      </x:c>
      <x:c r="Q669" s="17" t="n">
        <x:f>MAX(J669-P669-K669,0)</x:f>
        <x:v>0</x:v>
      </x:c>
      <x:c r="R669" s="13" t="n">
        <x:f>IF(D669="",MAX(TODAY()-C669,0),MAX(D669-C669,0))</x:f>
        <x:v>0</x:v>
      </x:c>
      <x:c r="S669" s="13" t="str">
        <x:f>IF(R669=0,"Em dia",IF(R669&lt;=15,"1-15 dias",IF(R669&lt;=30,"16-30 dias",IF(R669&lt;=60,"31-60 dias","Acima de 60 dias"))))</x:f>
        <x:v>Em dia</x:v>
      </x:c>
    </x:row>
    <x:row r="670">
      <x:c r="A670" s="13" t="str">
        <x:v>REC-000669</x:v>
      </x:c>
      <x:c r="B670" s="23" t="n">
        <x:v>45630</x:v>
      </x:c>
      <x:c r="C670" s="23" t="n">
        <x:v>45660</x:v>
      </x:c>
      <x:c r="D670" s="23" t="n">
        <x:v>45660</x:v>
      </x:c>
      <x:c r="E670" s="13" t="str">
        <x:v>VAL-022</x:v>
      </x:c>
      <x:c r="F670" s="13" t="str">
        <x:v>Academia Evoluir</x:v>
      </x:c>
      <x:c r="G670" s="13" t="str">
        <x:v>Educação</x:v>
      </x:c>
      <x:c r="H670" s="13" t="str">
        <x:v>Alto</x:v>
      </x:c>
      <x:c r="I670" s="13" t="str">
        <x:v>Gestão</x:v>
      </x:c>
      <x:c r="J670" s="17" t="n">
        <x:v>4853.53</x:v>
      </x:c>
      <x:c r="K670" s="17" t="n">
        <x:v>0</x:v>
      </x:c>
      <x:c r="L670" s="17" t="n">
        <x:v>0</x:v>
      </x:c>
      <x:c r="M670" s="13" t="str">
        <x:v>Pago</x:v>
      </x:c>
      <x:c r="N670" s="13" t="str">
        <x:v>Sem cobrança</x:v>
      </x:c>
      <x:c r="O670" s="13" t="str">
        <x:v>Crescimento sem escala</x:v>
      </x:c>
      <x:c r="P670" s="17" t="n">
        <x:f>IF(D670="",0,J670-K670+L670)</x:f>
        <x:v>4853.53</x:v>
      </x:c>
      <x:c r="Q670" s="17" t="n">
        <x:f>MAX(J670-P670-K670,0)</x:f>
        <x:v>0</x:v>
      </x:c>
      <x:c r="R670" s="13" t="n">
        <x:f>IF(D670="",MAX(TODAY()-C670,0),MAX(D670-C670,0))</x:f>
        <x:v>0</x:v>
      </x:c>
      <x:c r="S670" s="13" t="str">
        <x:f>IF(R670=0,"Em dia",IF(R670&lt;=15,"1-15 dias",IF(R670&lt;=30,"16-30 dias",IF(R670&lt;=60,"31-60 dias","Acima de 60 dias"))))</x:f>
        <x:v>Em dia</x:v>
      </x:c>
    </x:row>
    <x:row r="671">
      <x:c r="A671" s="13" t="str">
        <x:v>REC-000670</x:v>
      </x:c>
      <x:c r="B671" s="23" t="n">
        <x:v>45640</x:v>
      </x:c>
      <x:c r="C671" s="23" t="n">
        <x:v>45661</x:v>
      </x:c>
      <x:c r="D671" s="23" t="n">
        <x:v>45661</x:v>
      </x:c>
      <x:c r="E671" s="13" t="str">
        <x:v>VAL-015</x:v>
      </x:c>
      <x:c r="F671" s="13" t="str">
        <x:v>Mercado Click</x:v>
      </x:c>
      <x:c r="G671" s="13" t="str">
        <x:v>E-commerce</x:v>
      </x:c>
      <x:c r="H671" s="13" t="str">
        <x:v>Baixo</x:v>
      </x:c>
      <x:c r="I671" s="13" t="str">
        <x:v>Performance</x:v>
      </x:c>
      <x:c r="J671" s="17" t="n">
        <x:v>33637.06</x:v>
      </x:c>
      <x:c r="K671" s="17" t="n">
        <x:v>0</x:v>
      </x:c>
      <x:c r="L671" s="17" t="n">
        <x:v>0</x:v>
      </x:c>
      <x:c r="M671" s="13" t="str">
        <x:v>Pago</x:v>
      </x:c>
      <x:c r="N671" s="13" t="str">
        <x:v>Sem cobrança</x:v>
      </x:c>
      <x:c r="O671" s="13" t="str">
        <x:v>Crescimento sem escala</x:v>
      </x:c>
      <x:c r="P671" s="17" t="n">
        <x:f>IF(D671="",0,J671-K671+L671)</x:f>
        <x:v>33637.06</x:v>
      </x:c>
      <x:c r="Q671" s="17" t="n">
        <x:f>MAX(J671-P671-K671,0)</x:f>
        <x:v>0</x:v>
      </x:c>
      <x:c r="R671" s="13" t="n">
        <x:f>IF(D671="",MAX(TODAY()-C671,0),MAX(D671-C671,0))</x:f>
        <x:v>0</x:v>
      </x:c>
      <x:c r="S671" s="13" t="str">
        <x:f>IF(R671=0,"Em dia",IF(R671&lt;=15,"1-15 dias",IF(R671&lt;=30,"16-30 dias",IF(R671&lt;=60,"31-60 dias","Acima de 60 dias"))))</x:f>
        <x:v>Em dia</x:v>
      </x:c>
    </x:row>
    <x:row r="672">
      <x:c r="A672" s="13" t="str">
        <x:v>REC-000671</x:v>
      </x:c>
      <x:c r="B672" s="23" t="n">
        <x:v>45631</x:v>
      </x:c>
      <x:c r="C672" s="23" t="n">
        <x:v>45646</x:v>
      </x:c>
      <x:c r="D672" s="23" t="n">
        <x:v>45684</x:v>
      </x:c>
      <x:c r="E672" s="13" t="str">
        <x:v>VAL-012</x:v>
      </x:c>
      <x:c r="F672" s="13" t="str">
        <x:v>DataFlow Sistemas</x:v>
      </x:c>
      <x:c r="G672" s="13" t="str">
        <x:v>Tecnologia</x:v>
      </x:c>
      <x:c r="H672" s="13" t="str">
        <x:v>Médio</x:v>
      </x:c>
      <x:c r="I672" s="13" t="str">
        <x:v>Enterprise</x:v>
      </x:c>
      <x:c r="J672" s="17" t="n">
        <x:v>11491.16</x:v>
      </x:c>
      <x:c r="K672" s="17" t="n">
        <x:v>0</x:v>
      </x:c>
      <x:c r="L672" s="17" t="n">
        <x:v>283.83</x:v>
      </x:c>
      <x:c r="M672" s="13" t="str">
        <x:v>Pago com atraso</x:v>
      </x:c>
      <x:c r="N672" s="13" t="str">
        <x:v>Telefone</x:v>
      </x:c>
      <x:c r="O672" s="13" t="str">
        <x:v>Crescimento sem escala</x:v>
      </x:c>
      <x:c r="P672" s="17" t="n">
        <x:f>IF(D672="",0,J672-K672+L672)</x:f>
        <x:v>11774.99</x:v>
      </x:c>
      <x:c r="Q672" s="17" t="n">
        <x:f>MAX(J672-P672-K672,0)</x:f>
        <x:v>0</x:v>
      </x:c>
      <x:c r="R672" s="13" t="n">
        <x:f>IF(D672="",MAX(TODAY()-C672,0),MAX(D672-C672,0))</x:f>
        <x:v>38</x:v>
      </x:c>
      <x:c r="S672" s="13" t="str">
        <x:f>IF(R672=0,"Em dia",IF(R672&lt;=15,"1-15 dias",IF(R672&lt;=30,"16-30 dias",IF(R672&lt;=60,"31-60 dias","Acima de 60 dias"))))</x:f>
        <x:v>31-60 dias</x:v>
      </x:c>
    </x:row>
    <x:row r="673">
      <x:c r="A673" s="13" t="str">
        <x:v>REC-000672</x:v>
      </x:c>
      <x:c r="B673" s="23" t="n">
        <x:v>45633</x:v>
      </x:c>
      <x:c r="C673" s="23" t="n">
        <x:v>45663</x:v>
      </x:c>
      <x:c r="D673" s="23" t="n">
        <x:v>45662</x:v>
      </x:c>
      <x:c r="E673" s="13" t="str">
        <x:v>VAL-005</x:v>
      </x:c>
      <x:c r="F673" s="13" t="str">
        <x:v>Construtora Alameda</x:v>
      </x:c>
      <x:c r="G673" s="13" t="str">
        <x:v>Construção</x:v>
      </x:c>
      <x:c r="H673" s="13" t="str">
        <x:v>Médio</x:v>
      </x:c>
      <x:c r="I673" s="13" t="str">
        <x:v>Essencial</x:v>
      </x:c>
      <x:c r="J673" s="17" t="n">
        <x:v>1251.9</x:v>
      </x:c>
      <x:c r="K673" s="17" t="n">
        <x:v>0</x:v>
      </x:c>
      <x:c r="L673" s="17" t="n">
        <x:v>0</x:v>
      </x:c>
      <x:c r="M673" s="13" t="str">
        <x:v>Pago</x:v>
      </x:c>
      <x:c r="N673" s="13" t="str">
        <x:v>Sem cobrança</x:v>
      </x:c>
      <x:c r="O673" s="13" t="str">
        <x:v>Crescimento sem escala</x:v>
      </x:c>
      <x:c r="P673" s="17" t="n">
        <x:f>IF(D673="",0,J673-K673+L673)</x:f>
        <x:v>1251.9</x:v>
      </x:c>
      <x:c r="Q673" s="17" t="n">
        <x:f>MAX(J673-P673-K673,0)</x:f>
        <x:v>0</x:v>
      </x:c>
      <x:c r="R673" s="13" t="n">
        <x:f>IF(D673="",MAX(TODAY()-C673,0),MAX(D673-C673,0))</x:f>
        <x:v>0</x:v>
      </x:c>
      <x:c r="S673" s="13" t="str">
        <x:f>IF(R673=0,"Em dia",IF(R673&lt;=15,"1-15 dias",IF(R673&lt;=30,"16-30 dias",IF(R673&lt;=60,"31-60 dias","Acima de 60 dias"))))</x:f>
        <x:v>Em dia</x:v>
      </x:c>
    </x:row>
    <x:row r="674">
      <x:c r="A674" s="13" t="str">
        <x:v>REC-000673</x:v>
      </x:c>
      <x:c r="B674" s="23" t="n">
        <x:v>45642</x:v>
      </x:c>
      <x:c r="C674" s="23" t="n">
        <x:v>45670</x:v>
      </x:c>
      <x:c r="D674" s="23" t="n">
        <x:v>45667</x:v>
      </x:c>
      <x:c r="E674" s="13" t="str">
        <x:v>VAL-005</x:v>
      </x:c>
      <x:c r="F674" s="13" t="str">
        <x:v>Construtora Alameda</x:v>
      </x:c>
      <x:c r="G674" s="13" t="str">
        <x:v>Construção</x:v>
      </x:c>
      <x:c r="H674" s="13" t="str">
        <x:v>Médio</x:v>
      </x:c>
      <x:c r="I674" s="13" t="str">
        <x:v>Essencial</x:v>
      </x:c>
      <x:c r="J674" s="17" t="n">
        <x:v>27043.65</x:v>
      </x:c>
      <x:c r="K674" s="17" t="n">
        <x:v>389.39</x:v>
      </x:c>
      <x:c r="L674" s="17" t="n">
        <x:v>0</x:v>
      </x:c>
      <x:c r="M674" s="13" t="str">
        <x:v>Pago</x:v>
      </x:c>
      <x:c r="N674" s="13" t="str">
        <x:v>Sem cobrança</x:v>
      </x:c>
      <x:c r="O674" s="13" t="str">
        <x:v>Crescimento sem escala</x:v>
      </x:c>
      <x:c r="P674" s="17" t="n">
        <x:f>IF(D674="",0,J674-K674+L674)</x:f>
        <x:v>26654.260000000002</x:v>
      </x:c>
      <x:c r="Q674" s="17" t="n">
        <x:f>MAX(J674-P674-K674,0)</x:f>
        <x:v>0</x:v>
      </x:c>
      <x:c r="R674" s="13" t="n">
        <x:f>IF(D674="",MAX(TODAY()-C674,0),MAX(D674-C674,0))</x:f>
        <x:v>0</x:v>
      </x:c>
      <x:c r="S674" s="13" t="str">
        <x:f>IF(R674=0,"Em dia",IF(R674&lt;=15,"1-15 dias",IF(R674&lt;=30,"16-30 dias",IF(R674&lt;=60,"31-60 dias","Acima de 60 dias"))))</x:f>
        <x:v>Em dia</x:v>
      </x:c>
    </x:row>
    <x:row r="675">
      <x:c r="A675" s="13" t="str">
        <x:v>REC-000674</x:v>
      </x:c>
      <x:c r="B675" s="23" t="n">
        <x:v>45645</x:v>
      </x:c>
      <x:c r="C675" s="23" t="n">
        <x:v>45673</x:v>
      </x:c>
      <x:c r="D675" s="23" t="n">
        <x:v>45673</x:v>
      </x:c>
      <x:c r="E675" s="13" t="str">
        <x:v>VAL-003</x:v>
      </x:c>
      <x:c r="F675" s="13" t="str">
        <x:v>Casa Nova Varejo</x:v>
      </x:c>
      <x:c r="G675" s="13" t="str">
        <x:v>Varejo</x:v>
      </x:c>
      <x:c r="H675" s="13" t="str">
        <x:v>Baixo</x:v>
      </x:c>
      <x:c r="I675" s="13" t="str">
        <x:v>Performance</x:v>
      </x:c>
      <x:c r="J675" s="17" t="n">
        <x:v>2417.48</x:v>
      </x:c>
      <x:c r="K675" s="17" t="n">
        <x:v>0</x:v>
      </x:c>
      <x:c r="L675" s="17" t="n">
        <x:v>0</x:v>
      </x:c>
      <x:c r="M675" s="13" t="str">
        <x:v>Pago</x:v>
      </x:c>
      <x:c r="N675" s="13" t="str">
        <x:v>Sem cobrança</x:v>
      </x:c>
      <x:c r="O675" s="13" t="str">
        <x:v>Crescimento sem escala</x:v>
      </x:c>
      <x:c r="P675" s="17" t="n">
        <x:f>IF(D675="",0,J675-K675+L675)</x:f>
        <x:v>2417.48</x:v>
      </x:c>
      <x:c r="Q675" s="17" t="n">
        <x:f>MAX(J675-P675-K675,0)</x:f>
        <x:v>0</x:v>
      </x:c>
      <x:c r="R675" s="13" t="n">
        <x:f>IF(D675="",MAX(TODAY()-C675,0),MAX(D675-C675,0))</x:f>
        <x:v>0</x:v>
      </x:c>
      <x:c r="S675" s="13" t="str">
        <x:f>IF(R675=0,"Em dia",IF(R675&lt;=15,"1-15 dias",IF(R675&lt;=30,"16-30 dias",IF(R675&lt;=60,"31-60 dias","Acima de 60 dias"))))</x:f>
        <x:v>Em dia</x:v>
      </x:c>
    </x:row>
    <x:row r="676">
      <x:c r="A676" s="13" t="str">
        <x:v>REC-000675</x:v>
      </x:c>
      <x:c r="B676" s="23" t="n">
        <x:v>45646</x:v>
      </x:c>
      <x:c r="C676" s="23" t="n">
        <x:v>45667</x:v>
      </x:c>
      <x:c r="D676" s="23" t="n">
        <x:v>45663</x:v>
      </x:c>
      <x:c r="E676" s="13" t="str">
        <x:v>VAL-007</x:v>
      </x:c>
      <x:c r="F676" s="13" t="str">
        <x:v>Loja Prisma Online</x:v>
      </x:c>
      <x:c r="G676" s="13" t="str">
        <x:v>E-commerce</x:v>
      </x:c>
      <x:c r="H676" s="13" t="str">
        <x:v>Médio</x:v>
      </x:c>
      <x:c r="I676" s="13" t="str">
        <x:v>Performance</x:v>
      </x:c>
      <x:c r="J676" s="17" t="n">
        <x:v>29999.4</x:v>
      </x:c>
      <x:c r="K676" s="17" t="n">
        <x:v>532.13</x:v>
      </x:c>
      <x:c r="L676" s="17" t="n">
        <x:v>0</x:v>
      </x:c>
      <x:c r="M676" s="13" t="str">
        <x:v>Pago</x:v>
      </x:c>
      <x:c r="N676" s="13" t="str">
        <x:v>Sem cobrança</x:v>
      </x:c>
      <x:c r="O676" s="13" t="str">
        <x:v>Crescimento sem escala</x:v>
      </x:c>
      <x:c r="P676" s="17" t="n">
        <x:f>IF(D676="",0,J676-K676+L676)</x:f>
        <x:v>29467.27</x:v>
      </x:c>
      <x:c r="Q676" s="17" t="n">
        <x:f>MAX(J676-P676-K676,0)</x:f>
        <x:v>1.0231815394945443e-12</x:v>
      </x:c>
      <x:c r="R676" s="13" t="n">
        <x:f>IF(D676="",MAX(TODAY()-C676,0),MAX(D676-C676,0))</x:f>
        <x:v>0</x:v>
      </x:c>
      <x:c r="S676" s="13" t="str">
        <x:f>IF(R676=0,"Em dia",IF(R676&lt;=15,"1-15 dias",IF(R676&lt;=30,"16-30 dias",IF(R676&lt;=60,"31-60 dias","Acima de 60 dias"))))</x:f>
        <x:v>Em dia</x:v>
      </x:c>
    </x:row>
    <x:row r="677">
      <x:c r="A677" s="13" t="str">
        <x:v>REC-000676</x:v>
      </x:c>
      <x:c r="B677" s="23" t="n">
        <x:v>45627</x:v>
      </x:c>
      <x:c r="C677" s="23" t="n">
        <x:v>45657</x:v>
      </x:c>
      <x:c r="D677" s="23" t="n">
        <x:v>45655</x:v>
      </x:c>
      <x:c r="E677" s="13" t="str">
        <x:v>VAL-010</x:v>
      </x:c>
      <x:c r="F677" s="13" t="str">
        <x:v>Atlas Contabilidade</x:v>
      </x:c>
      <x:c r="G677" s="13" t="str">
        <x:v>Serviços Profissionais</x:v>
      </x:c>
      <x:c r="H677" s="13" t="str">
        <x:v>Baixo</x:v>
      </x:c>
      <x:c r="I677" s="13" t="str">
        <x:v>Gestão</x:v>
      </x:c>
      <x:c r="J677" s="17" t="n">
        <x:v>10449.03</x:v>
      </x:c>
      <x:c r="K677" s="17" t="n">
        <x:v>0</x:v>
      </x:c>
      <x:c r="L677" s="17" t="n">
        <x:v>0</x:v>
      </x:c>
      <x:c r="M677" s="13" t="str">
        <x:v>Pago</x:v>
      </x:c>
      <x:c r="N677" s="13" t="str">
        <x:v>Sem cobrança</x:v>
      </x:c>
      <x:c r="O677" s="13" t="str">
        <x:v>Crescimento sem escala</x:v>
      </x:c>
      <x:c r="P677" s="17" t="n">
        <x:f>IF(D677="",0,J677-K677+L677)</x:f>
        <x:v>10449.03</x:v>
      </x:c>
      <x:c r="Q677" s="17" t="n">
        <x:f>MAX(J677-P677-K677,0)</x:f>
        <x:v>0</x:v>
      </x:c>
      <x:c r="R677" s="13" t="n">
        <x:f>IF(D677="",MAX(TODAY()-C677,0),MAX(D677-C677,0))</x:f>
        <x:v>0</x:v>
      </x:c>
      <x:c r="S677" s="13" t="str">
        <x:f>IF(R677=0,"Em dia",IF(R677&lt;=15,"1-15 dias",IF(R677&lt;=30,"16-30 dias",IF(R677&lt;=60,"31-60 dias","Acima de 60 dias"))))</x:f>
        <x:v>Em dia</x:v>
      </x:c>
    </x:row>
    <x:row r="678">
      <x:c r="A678" s="13" t="str">
        <x:v>REC-000677</x:v>
      </x:c>
      <x:c r="B678" s="23" t="n">
        <x:v>45643</x:v>
      </x:c>
      <x:c r="C678" s="23" t="n">
        <x:v>45671</x:v>
      </x:c>
      <x:c r="D678" s="23" t="n">
        <x:v>45667</x:v>
      </x:c>
      <x:c r="E678" s="13" t="str">
        <x:v>VAL-024</x:v>
      </x:c>
      <x:c r="F678" s="13" t="str">
        <x:v>NovaForma Móveis</x:v>
      </x:c>
      <x:c r="G678" s="13" t="str">
        <x:v>Indústria Leve</x:v>
      </x:c>
      <x:c r="H678" s="13" t="str">
        <x:v>Baixo</x:v>
      </x:c>
      <x:c r="I678" s="13" t="str">
        <x:v>Enterprise</x:v>
      </x:c>
      <x:c r="J678" s="17" t="n">
        <x:v>32575.57</x:v>
      </x:c>
      <x:c r="K678" s="17" t="n">
        <x:v>0</x:v>
      </x:c>
      <x:c r="L678" s="17" t="n">
        <x:v>0</x:v>
      </x:c>
      <x:c r="M678" s="13" t="str">
        <x:v>Pago</x:v>
      </x:c>
      <x:c r="N678" s="13" t="str">
        <x:v>Sem cobrança</x:v>
      </x:c>
      <x:c r="O678" s="13" t="str">
        <x:v>Crescimento sem escala</x:v>
      </x:c>
      <x:c r="P678" s="17" t="n">
        <x:f>IF(D678="",0,J678-K678+L678)</x:f>
        <x:v>32575.57</x:v>
      </x:c>
      <x:c r="Q678" s="17" t="n">
        <x:f>MAX(J678-P678-K678,0)</x:f>
        <x:v>0</x:v>
      </x:c>
      <x:c r="R678" s="13" t="n">
        <x:f>IF(D678="",MAX(TODAY()-C678,0),MAX(D678-C678,0))</x:f>
        <x:v>0</x:v>
      </x:c>
      <x:c r="S678" s="13" t="str">
        <x:f>IF(R678=0,"Em dia",IF(R678&lt;=15,"1-15 dias",IF(R678&lt;=30,"16-30 dias",IF(R678&lt;=60,"31-60 dias","Acima de 60 dias"))))</x:f>
        <x:v>Em dia</x:v>
      </x:c>
    </x:row>
    <x:row r="679">
      <x:c r="A679" s="13" t="str">
        <x:v>REC-000678</x:v>
      </x:c>
      <x:c r="B679" s="23" t="n">
        <x:v>45631</x:v>
      </x:c>
      <x:c r="C679" s="23" t="n">
        <x:v>45661</x:v>
      </x:c>
      <x:c r="D679" s="23" t="n">
        <x:v>45658</x:v>
      </x:c>
      <x:c r="E679" s="13" t="str">
        <x:v>VAL-007</x:v>
      </x:c>
      <x:c r="F679" s="13" t="str">
        <x:v>Loja Prisma Online</x:v>
      </x:c>
      <x:c r="G679" s="13" t="str">
        <x:v>E-commerce</x:v>
      </x:c>
      <x:c r="H679" s="13" t="str">
        <x:v>Médio</x:v>
      </x:c>
      <x:c r="I679" s="13" t="str">
        <x:v>Performance</x:v>
      </x:c>
      <x:c r="J679" s="17" t="n">
        <x:v>14071.9</x:v>
      </x:c>
      <x:c r="K679" s="17" t="n">
        <x:v>0</x:v>
      </x:c>
      <x:c r="L679" s="17" t="n">
        <x:v>0</x:v>
      </x:c>
      <x:c r="M679" s="13" t="str">
        <x:v>Pago</x:v>
      </x:c>
      <x:c r="N679" s="13" t="str">
        <x:v>Sem cobrança</x:v>
      </x:c>
      <x:c r="O679" s="13" t="str">
        <x:v>Crescimento sem escala</x:v>
      </x:c>
      <x:c r="P679" s="17" t="n">
        <x:f>IF(D679="",0,J679-K679+L679)</x:f>
        <x:v>14071.9</x:v>
      </x:c>
      <x:c r="Q679" s="17" t="n">
        <x:f>MAX(J679-P679-K679,0)</x:f>
        <x:v>0</x:v>
      </x:c>
      <x:c r="R679" s="13" t="n">
        <x:f>IF(D679="",MAX(TODAY()-C679,0),MAX(D679-C679,0))</x:f>
        <x:v>0</x:v>
      </x:c>
      <x:c r="S679" s="13" t="str">
        <x:f>IF(R679=0,"Em dia",IF(R679&lt;=15,"1-15 dias",IF(R679&lt;=30,"16-30 dias",IF(R679&lt;=60,"31-60 dias","Acima de 60 dias"))))</x:f>
        <x:v>Em dia</x:v>
      </x:c>
    </x:row>
    <x:row r="680">
      <x:c r="A680" s="13" t="str">
        <x:v>REC-000679</x:v>
      </x:c>
      <x:c r="B680" s="23" t="n">
        <x:v>45641</x:v>
      </x:c>
      <x:c r="C680" s="23" t="n">
        <x:v>45648</x:v>
      </x:c>
      <x:c r="D680" s="23" t="n">
        <x:v>45646</x:v>
      </x:c>
      <x:c r="E680" s="13" t="str">
        <x:v>VAL-015</x:v>
      </x:c>
      <x:c r="F680" s="13" t="str">
        <x:v>Mercado Click</x:v>
      </x:c>
      <x:c r="G680" s="13" t="str">
        <x:v>E-commerce</x:v>
      </x:c>
      <x:c r="H680" s="13" t="str">
        <x:v>Baixo</x:v>
      </x:c>
      <x:c r="I680" s="13" t="str">
        <x:v>Performance</x:v>
      </x:c>
      <x:c r="J680" s="17" t="n">
        <x:v>10958.38</x:v>
      </x:c>
      <x:c r="K680" s="17" t="n">
        <x:v>0</x:v>
      </x:c>
      <x:c r="L680" s="17" t="n">
        <x:v>0</x:v>
      </x:c>
      <x:c r="M680" s="13" t="str">
        <x:v>Pago</x:v>
      </x:c>
      <x:c r="N680" s="13" t="str">
        <x:v>Sem cobrança</x:v>
      </x:c>
      <x:c r="O680" s="13" t="str">
        <x:v>Crescimento sem escala</x:v>
      </x:c>
      <x:c r="P680" s="17" t="n">
        <x:f>IF(D680="",0,J680-K680+L680)</x:f>
        <x:v>10958.38</x:v>
      </x:c>
      <x:c r="Q680" s="17" t="n">
        <x:f>MAX(J680-P680-K680,0)</x:f>
        <x:v>0</x:v>
      </x:c>
      <x:c r="R680" s="13" t="n">
        <x:f>IF(D680="",MAX(TODAY()-C680,0),MAX(D680-C680,0))</x:f>
        <x:v>0</x:v>
      </x:c>
      <x:c r="S680" s="13" t="str">
        <x:f>IF(R680=0,"Em dia",IF(R680&lt;=15,"1-15 dias",IF(R680&lt;=30,"16-30 dias",IF(R680&lt;=60,"31-60 dias","Acima de 60 dias"))))</x:f>
        <x:v>Em dia</x:v>
      </x:c>
    </x:row>
    <x:row r="681">
      <x:c r="A681" s="13" t="str">
        <x:v>REC-000680</x:v>
      </x:c>
      <x:c r="B681" s="23" t="n">
        <x:v>45638</x:v>
      </x:c>
      <x:c r="C681" s="23" t="n">
        <x:v>45645</x:v>
      </x:c>
      <x:c r="D681" s="23" t="n">
        <x:v>45682</x:v>
      </x:c>
      <x:c r="E681" s="13" t="str">
        <x:v>VAL-002</x:v>
      </x:c>
      <x:c r="F681" s="13" t="str">
        <x:v>Mendes &amp; Prado Consultoria</x:v>
      </x:c>
      <x:c r="G681" s="13" t="str">
        <x:v>Serviços Profissionais</x:v>
      </x:c>
      <x:c r="H681" s="13" t="str">
        <x:v>Baixo</x:v>
      </x:c>
      <x:c r="I681" s="13" t="str">
        <x:v>Gestão</x:v>
      </x:c>
      <x:c r="J681" s="17" t="n">
        <x:v>21699.23</x:v>
      </x:c>
      <x:c r="K681" s="17" t="n">
        <x:v>0</x:v>
      </x:c>
      <x:c r="L681" s="17" t="n">
        <x:v>521.87</x:v>
      </x:c>
      <x:c r="M681" s="13" t="str">
        <x:v>Pago com atraso</x:v>
      </x:c>
      <x:c r="N681" s="13" t="str">
        <x:v>Régua automática</x:v>
      </x:c>
      <x:c r="O681" s="13" t="str">
        <x:v>Crescimento sem escala</x:v>
      </x:c>
      <x:c r="P681" s="17" t="n">
        <x:f>IF(D681="",0,J681-K681+L681)</x:f>
        <x:v>22221.1</x:v>
      </x:c>
      <x:c r="Q681" s="17" t="n">
        <x:f>MAX(J681-P681-K681,0)</x:f>
        <x:v>0</x:v>
      </x:c>
      <x:c r="R681" s="13" t="n">
        <x:f>IF(D681="",MAX(TODAY()-C681,0),MAX(D681-C681,0))</x:f>
        <x:v>37</x:v>
      </x:c>
      <x:c r="S681" s="13" t="str">
        <x:f>IF(R681=0,"Em dia",IF(R681&lt;=15,"1-15 dias",IF(R681&lt;=30,"16-30 dias",IF(R681&lt;=60,"31-60 dias","Acima de 60 dias"))))</x:f>
        <x:v>31-60 dias</x:v>
      </x:c>
    </x:row>
    <x:row r="682">
      <x:c r="A682" s="13" t="str">
        <x:v>REC-000681</x:v>
      </x:c>
      <x:c r="B682" s="23" t="n">
        <x:v>45641</x:v>
      </x:c>
      <x:c r="C682" s="23" t="n">
        <x:v>45669</x:v>
      </x:c>
      <x:c r="D682" s="23" t="n">
        <x:v>45669</x:v>
      </x:c>
      <x:c r="E682" s="13" t="str">
        <x:v>VAL-013</x:v>
      </x:c>
      <x:c r="F682" s="13" t="str">
        <x:v>Engenharia Vértice</x:v>
      </x:c>
      <x:c r="G682" s="13" t="str">
        <x:v>Construção</x:v>
      </x:c>
      <x:c r="H682" s="13" t="str">
        <x:v>Baixo</x:v>
      </x:c>
      <x:c r="I682" s="13" t="str">
        <x:v>Essencial</x:v>
      </x:c>
      <x:c r="J682" s="17" t="n">
        <x:v>21473.15</x:v>
      </x:c>
      <x:c r="K682" s="17" t="n">
        <x:v>0</x:v>
      </x:c>
      <x:c r="L682" s="17" t="n">
        <x:v>0</x:v>
      </x:c>
      <x:c r="M682" s="13" t="str">
        <x:v>Pago</x:v>
      </x:c>
      <x:c r="N682" s="13" t="str">
        <x:v>Sem cobrança</x:v>
      </x:c>
      <x:c r="O682" s="13" t="str">
        <x:v>Crescimento sem escala</x:v>
      </x:c>
      <x:c r="P682" s="17" t="n">
        <x:f>IF(D682="",0,J682-K682+L682)</x:f>
        <x:v>21473.15</x:v>
      </x:c>
      <x:c r="Q682" s="17" t="n">
        <x:f>MAX(J682-P682-K682,0)</x:f>
        <x:v>0</x:v>
      </x:c>
      <x:c r="R682" s="13" t="n">
        <x:f>IF(D682="",MAX(TODAY()-C682,0),MAX(D682-C682,0))</x:f>
        <x:v>0</x:v>
      </x:c>
      <x:c r="S682" s="13" t="str">
        <x:f>IF(R682=0,"Em dia",IF(R682&lt;=15,"1-15 dias",IF(R682&lt;=30,"16-30 dias",IF(R682&lt;=60,"31-60 dias","Acima de 60 dias"))))</x:f>
        <x:v>Em dia</x:v>
      </x:c>
    </x:row>
    <x:row r="683">
      <x:c r="A683" s="13" t="str">
        <x:v>REC-000682</x:v>
      </x:c>
      <x:c r="B683" s="23" t="n">
        <x:v>45645</x:v>
      </x:c>
      <x:c r="C683" s="23" t="n">
        <x:v>45666</x:v>
      </x:c>
      <x:c r="D683" s="23" t="n">
        <x:v>45664</x:v>
      </x:c>
      <x:c r="E683" s="13" t="str">
        <x:v>VAL-017</x:v>
      </x:c>
      <x:c r="F683" s="13" t="str">
        <x:v>Centro Médico Vida</x:v>
      </x:c>
      <x:c r="G683" s="13" t="str">
        <x:v>Clínicas e Saúde</x:v>
      </x:c>
      <x:c r="H683" s="13" t="str">
        <x:v>Baixo</x:v>
      </x:c>
      <x:c r="I683" s="13" t="str">
        <x:v>Essencial</x:v>
      </x:c>
      <x:c r="J683" s="17" t="n">
        <x:v>1898.99</x:v>
      </x:c>
      <x:c r="K683" s="17" t="n">
        <x:v>0</x:v>
      </x:c>
      <x:c r="L683" s="17" t="n">
        <x:v>0</x:v>
      </x:c>
      <x:c r="M683" s="13" t="str">
        <x:v>Pago</x:v>
      </x:c>
      <x:c r="N683" s="13" t="str">
        <x:v>Sem cobrança</x:v>
      </x:c>
      <x:c r="O683" s="13" t="str">
        <x:v>Crescimento sem escala</x:v>
      </x:c>
      <x:c r="P683" s="17" t="n">
        <x:f>IF(D683="",0,J683-K683+L683)</x:f>
        <x:v>1898.99</x:v>
      </x:c>
      <x:c r="Q683" s="17" t="n">
        <x:f>MAX(J683-P683-K683,0)</x:f>
        <x:v>0</x:v>
      </x:c>
      <x:c r="R683" s="13" t="n">
        <x:f>IF(D683="",MAX(TODAY()-C683,0),MAX(D683-C683,0))</x:f>
        <x:v>0</x:v>
      </x:c>
      <x:c r="S683" s="13" t="str">
        <x:f>IF(R683=0,"Em dia",IF(R683&lt;=15,"1-15 dias",IF(R683&lt;=30,"16-30 dias",IF(R683&lt;=60,"31-60 dias","Acima de 60 dias"))))</x:f>
        <x:v>Em dia</x:v>
      </x:c>
    </x:row>
    <x:row r="684">
      <x:c r="A684" s="13" t="str">
        <x:v>REC-000683</x:v>
      </x:c>
      <x:c r="B684" s="23" t="n">
        <x:v>45631</x:v>
      </x:c>
      <x:c r="C684" s="23" t="n">
        <x:v>45646</x:v>
      </x:c>
      <x:c r="D684" s="23" t="n">
        <x:v>45644</x:v>
      </x:c>
      <x:c r="E684" s="13" t="str">
        <x:v>VAL-028</x:v>
      </x:c>
      <x:c r="F684" s="13" t="str">
        <x:v>Pixel Norte</x:v>
      </x:c>
      <x:c r="G684" s="13" t="str">
        <x:v>Tecnologia</x:v>
      </x:c>
      <x:c r="H684" s="13" t="str">
        <x:v>Alto</x:v>
      </x:c>
      <x:c r="I684" s="13" t="str">
        <x:v>Enterprise</x:v>
      </x:c>
      <x:c r="J684" s="17" t="n">
        <x:v>29491.95</x:v>
      </x:c>
      <x:c r="K684" s="17" t="n">
        <x:v>0</x:v>
      </x:c>
      <x:c r="L684" s="17" t="n">
        <x:v>0</x:v>
      </x:c>
      <x:c r="M684" s="13" t="str">
        <x:v>Pago</x:v>
      </x:c>
      <x:c r="N684" s="13" t="str">
        <x:v>Sem cobrança</x:v>
      </x:c>
      <x:c r="O684" s="13" t="str">
        <x:v>Crescimento sem escala</x:v>
      </x:c>
      <x:c r="P684" s="17" t="n">
        <x:f>IF(D684="",0,J684-K684+L684)</x:f>
        <x:v>29491.95</x:v>
      </x:c>
      <x:c r="Q684" s="17" t="n">
        <x:f>MAX(J684-P684-K684,0)</x:f>
        <x:v>0</x:v>
      </x:c>
      <x:c r="R684" s="13" t="n">
        <x:f>IF(D684="",MAX(TODAY()-C684,0),MAX(D684-C684,0))</x:f>
        <x:v>0</x:v>
      </x:c>
      <x:c r="S684" s="13" t="str">
        <x:f>IF(R684=0,"Em dia",IF(R684&lt;=15,"1-15 dias",IF(R684&lt;=30,"16-30 dias",IF(R684&lt;=60,"31-60 dias","Acima de 60 dias"))))</x:f>
        <x:v>Em dia</x:v>
      </x:c>
    </x:row>
    <x:row r="685">
      <x:c r="A685" s="13" t="str">
        <x:v>REC-000684</x:v>
      </x:c>
      <x:c r="B685" s="23" t="n">
        <x:v>45644</x:v>
      </x:c>
      <x:c r="C685" s="23" t="n">
        <x:v>45665</x:v>
      </x:c>
      <x:c r="D685" s="23" t="n">
        <x:v>45662</x:v>
      </x:c>
      <x:c r="E685" s="13" t="str">
        <x:v>VAL-005</x:v>
      </x:c>
      <x:c r="F685" s="13" t="str">
        <x:v>Construtora Alameda</x:v>
      </x:c>
      <x:c r="G685" s="13" t="str">
        <x:v>Construção</x:v>
      </x:c>
      <x:c r="H685" s="13" t="str">
        <x:v>Médio</x:v>
      </x:c>
      <x:c r="I685" s="13" t="str">
        <x:v>Essencial</x:v>
      </x:c>
      <x:c r="J685" s="17" t="n">
        <x:v>24891.9</x:v>
      </x:c>
      <x:c r="K685" s="17" t="n">
        <x:v>0</x:v>
      </x:c>
      <x:c r="L685" s="17" t="n">
        <x:v>0</x:v>
      </x:c>
      <x:c r="M685" s="13" t="str">
        <x:v>Pago</x:v>
      </x:c>
      <x:c r="N685" s="13" t="str">
        <x:v>Sem cobrança</x:v>
      </x:c>
      <x:c r="O685" s="13" t="str">
        <x:v>Crescimento sem escala</x:v>
      </x:c>
      <x:c r="P685" s="17" t="n">
        <x:f>IF(D685="",0,J685-K685+L685)</x:f>
        <x:v>24891.9</x:v>
      </x:c>
      <x:c r="Q685" s="17" t="n">
        <x:f>MAX(J685-P685-K685,0)</x:f>
        <x:v>0</x:v>
      </x:c>
      <x:c r="R685" s="13" t="n">
        <x:f>IF(D685="",MAX(TODAY()-C685,0),MAX(D685-C685,0))</x:f>
        <x:v>0</x:v>
      </x:c>
      <x:c r="S685" s="13" t="str">
        <x:f>IF(R685=0,"Em dia",IF(R685&lt;=15,"1-15 dias",IF(R685&lt;=30,"16-30 dias",IF(R685&lt;=60,"31-60 dias","Acima de 60 dias"))))</x:f>
        <x:v>Em dia</x:v>
      </x:c>
    </x:row>
    <x:row r="686">
      <x:c r="A686" s="13" t="str">
        <x:v>REC-000685</x:v>
      </x:c>
      <x:c r="B686" s="23" t="n">
        <x:v>45632</x:v>
      </x:c>
      <x:c r="C686" s="23" t="n">
        <x:v>45662</x:v>
      </x:c>
      <x:c r="D686" s="23" t="n">
        <x:v>45662</x:v>
      </x:c>
      <x:c r="E686" s="13" t="str">
        <x:v>VAL-030</x:v>
      </x:c>
      <x:c r="F686" s="13" t="str">
        <x:v>Mundo Kids Cursos</x:v>
      </x:c>
      <x:c r="G686" s="13" t="str">
        <x:v>Educação</x:v>
      </x:c>
      <x:c r="H686" s="13" t="str">
        <x:v>Alto</x:v>
      </x:c>
      <x:c r="I686" s="13" t="str">
        <x:v>Gestão</x:v>
      </x:c>
      <x:c r="J686" s="17" t="n">
        <x:v>16586.23</x:v>
      </x:c>
      <x:c r="K686" s="17" t="n">
        <x:v>0</x:v>
      </x:c>
      <x:c r="L686" s="17" t="n">
        <x:v>0</x:v>
      </x:c>
      <x:c r="M686" s="13" t="str">
        <x:v>Pago</x:v>
      </x:c>
      <x:c r="N686" s="13" t="str">
        <x:v>Sem cobrança</x:v>
      </x:c>
      <x:c r="O686" s="13" t="str">
        <x:v>Crescimento sem escala</x:v>
      </x:c>
      <x:c r="P686" s="17" t="n">
        <x:f>IF(D686="",0,J686-K686+L686)</x:f>
        <x:v>16586.23</x:v>
      </x:c>
      <x:c r="Q686" s="17" t="n">
        <x:f>MAX(J686-P686-K686,0)</x:f>
        <x:v>0</x:v>
      </x:c>
      <x:c r="R686" s="13" t="n">
        <x:f>IF(D686="",MAX(TODAY()-C686,0),MAX(D686-C686,0))</x:f>
        <x:v>0</x:v>
      </x:c>
      <x:c r="S686" s="13" t="str">
        <x:f>IF(R686=0,"Em dia",IF(R686&lt;=15,"1-15 dias",IF(R686&lt;=30,"16-30 dias",IF(R686&lt;=60,"31-60 dias","Acima de 60 dias"))))</x:f>
        <x:v>Em dia</x:v>
      </x:c>
    </x:row>
    <x:row r="687">
      <x:c r="A687" s="13" t="str">
        <x:v>REC-000686</x:v>
      </x:c>
      <x:c r="B687" s="23" t="n">
        <x:v>45634</x:v>
      </x:c>
      <x:c r="C687" s="23" t="n">
        <x:v>45662</x:v>
      </x:c>
      <x:c r="D687" s="23" t="n">
        <x:v>45660</x:v>
      </x:c>
      <x:c r="E687" s="13" t="str">
        <x:v>VAL-017</x:v>
      </x:c>
      <x:c r="F687" s="13" t="str">
        <x:v>Centro Médico Vida</x:v>
      </x:c>
      <x:c r="G687" s="13" t="str">
        <x:v>Clínicas e Saúde</x:v>
      </x:c>
      <x:c r="H687" s="13" t="str">
        <x:v>Baixo</x:v>
      </x:c>
      <x:c r="I687" s="13" t="str">
        <x:v>Essencial</x:v>
      </x:c>
      <x:c r="J687" s="17" t="n">
        <x:v>22574.06</x:v>
      </x:c>
      <x:c r="K687" s="17" t="n">
        <x:v>394.14</x:v>
      </x:c>
      <x:c r="L687" s="17" t="n">
        <x:v>0</x:v>
      </x:c>
      <x:c r="M687" s="13" t="str">
        <x:v>Pago</x:v>
      </x:c>
      <x:c r="N687" s="13" t="str">
        <x:v>Sem cobrança</x:v>
      </x:c>
      <x:c r="O687" s="13" t="str">
        <x:v>Crescimento sem escala</x:v>
      </x:c>
      <x:c r="P687" s="17" t="n">
        <x:f>IF(D687="",0,J687-K687+L687)</x:f>
        <x:v>22179.920000000002</x:v>
      </x:c>
      <x:c r="Q687" s="17" t="n">
        <x:f>MAX(J687-P687-K687,0)</x:f>
        <x:v>0</x:v>
      </x:c>
      <x:c r="R687" s="13" t="n">
        <x:f>IF(D687="",MAX(TODAY()-C687,0),MAX(D687-C687,0))</x:f>
        <x:v>0</x:v>
      </x:c>
      <x:c r="S687" s="13" t="str">
        <x:f>IF(R687=0,"Em dia",IF(R687&lt;=15,"1-15 dias",IF(R687&lt;=30,"16-30 dias",IF(R687&lt;=60,"31-60 dias","Acima de 60 dias"))))</x:f>
        <x:v>Em dia</x:v>
      </x:c>
    </x:row>
    <x:row r="688">
      <x:c r="A688" s="13" t="str">
        <x:v>REC-000687</x:v>
      </x:c>
      <x:c r="B688" s="23" t="n">
        <x:v>45644</x:v>
      </x:c>
      <x:c r="C688" s="23" t="n">
        <x:v>45651</x:v>
      </x:c>
      <x:c r="D688" s="23" t="n">
        <x:v>45651</x:v>
      </x:c>
      <x:c r="E688" s="13" t="str">
        <x:v>VAL-017</x:v>
      </x:c>
      <x:c r="F688" s="13" t="str">
        <x:v>Centro Médico Vida</x:v>
      </x:c>
      <x:c r="G688" s="13" t="str">
        <x:v>Clínicas e Saúde</x:v>
      </x:c>
      <x:c r="H688" s="13" t="str">
        <x:v>Baixo</x:v>
      </x:c>
      <x:c r="I688" s="13" t="str">
        <x:v>Essencial</x:v>
      </x:c>
      <x:c r="J688" s="17" t="n">
        <x:v>21720.65</x:v>
      </x:c>
      <x:c r="K688" s="17" t="n">
        <x:v>0</x:v>
      </x:c>
      <x:c r="L688" s="17" t="n">
        <x:v>0</x:v>
      </x:c>
      <x:c r="M688" s="13" t="str">
        <x:v>Pago</x:v>
      </x:c>
      <x:c r="N688" s="13" t="str">
        <x:v>Sem cobrança</x:v>
      </x:c>
      <x:c r="O688" s="13" t="str">
        <x:v>Crescimento sem escala</x:v>
      </x:c>
      <x:c r="P688" s="17" t="n">
        <x:f>IF(D688="",0,J688-K688+L688)</x:f>
        <x:v>21720.65</x:v>
      </x:c>
      <x:c r="Q688" s="17" t="n">
        <x:f>MAX(J688-P688-K688,0)</x:f>
        <x:v>0</x:v>
      </x:c>
      <x:c r="R688" s="13" t="n">
        <x:f>IF(D688="",MAX(TODAY()-C688,0),MAX(D688-C688,0))</x:f>
        <x:v>0</x:v>
      </x:c>
      <x:c r="S688" s="13" t="str">
        <x:f>IF(R688=0,"Em dia",IF(R688&lt;=15,"1-15 dias",IF(R688&lt;=30,"16-30 dias",IF(R688&lt;=60,"31-60 dias","Acima de 60 dias"))))</x:f>
        <x:v>Em dia</x:v>
      </x:c>
    </x:row>
    <x:row r="689">
      <x:c r="A689" s="13" t="str">
        <x:v>REC-000688</x:v>
      </x:c>
      <x:c r="B689" s="23" t="n">
        <x:v>45633</x:v>
      </x:c>
      <x:c r="C689" s="23" t="n">
        <x:v>45640</x:v>
      </x:c>
      <x:c r="D689" s="23" t="n">
        <x:v>45640</x:v>
      </x:c>
      <x:c r="E689" s="13" t="str">
        <x:v>VAL-018</x:v>
      </x:c>
      <x:c r="F689" s="13" t="str">
        <x:v>Ponto Legal Advocacia</x:v>
      </x:c>
      <x:c r="G689" s="13" t="str">
        <x:v>Serviços Profissionais</x:v>
      </x:c>
      <x:c r="H689" s="13" t="str">
        <x:v>Baixo</x:v>
      </x:c>
      <x:c r="I689" s="13" t="str">
        <x:v>Gestão</x:v>
      </x:c>
      <x:c r="J689" s="17" t="n">
        <x:v>1511.6</x:v>
      </x:c>
      <x:c r="K689" s="17" t="n">
        <x:v>0</x:v>
      </x:c>
      <x:c r="L689" s="17" t="n">
        <x:v>0</x:v>
      </x:c>
      <x:c r="M689" s="13" t="str">
        <x:v>Pago</x:v>
      </x:c>
      <x:c r="N689" s="13" t="str">
        <x:v>Sem cobrança</x:v>
      </x:c>
      <x:c r="O689" s="13" t="str">
        <x:v>Crescimento sem escala</x:v>
      </x:c>
      <x:c r="P689" s="17" t="n">
        <x:f>IF(D689="",0,J689-K689+L689)</x:f>
        <x:v>1511.6</x:v>
      </x:c>
      <x:c r="Q689" s="17" t="n">
        <x:f>MAX(J689-P689-K689,0)</x:f>
        <x:v>0</x:v>
      </x:c>
      <x:c r="R689" s="13" t="n">
        <x:f>IF(D689="",MAX(TODAY()-C689,0),MAX(D689-C689,0))</x:f>
        <x:v>0</x:v>
      </x:c>
      <x:c r="S689" s="13" t="str">
        <x:f>IF(R689=0,"Em dia",IF(R689&lt;=15,"1-15 dias",IF(R689&lt;=30,"16-30 dias",IF(R689&lt;=60,"31-60 dias","Acima de 60 dias"))))</x:f>
        <x:v>Em dia</x:v>
      </x:c>
    </x:row>
    <x:row r="690">
      <x:c r="A690" s="13" t="str">
        <x:v>REC-000689</x:v>
      </x:c>
      <x:c r="B690" s="23" t="n">
        <x:v>45634</x:v>
      </x:c>
      <x:c r="C690" s="23" t="n">
        <x:v>45641</x:v>
      </x:c>
      <x:c r="D690" s="23" t="n">
        <x:v>45640</x:v>
      </x:c>
      <x:c r="E690" s="13" t="str">
        <x:v>VAL-013</x:v>
      </x:c>
      <x:c r="F690" s="13" t="str">
        <x:v>Engenharia Vértice</x:v>
      </x:c>
      <x:c r="G690" s="13" t="str">
        <x:v>Construção</x:v>
      </x:c>
      <x:c r="H690" s="13" t="str">
        <x:v>Baixo</x:v>
      </x:c>
      <x:c r="I690" s="13" t="str">
        <x:v>Essencial</x:v>
      </x:c>
      <x:c r="J690" s="17" t="n">
        <x:v>9767.88</x:v>
      </x:c>
      <x:c r="K690" s="17" t="n">
        <x:v>0</x:v>
      </x:c>
      <x:c r="L690" s="17" t="n">
        <x:v>0</x:v>
      </x:c>
      <x:c r="M690" s="13" t="str">
        <x:v>Pago</x:v>
      </x:c>
      <x:c r="N690" s="13" t="str">
        <x:v>Sem cobrança</x:v>
      </x:c>
      <x:c r="O690" s="13" t="str">
        <x:v>Crescimento sem escala</x:v>
      </x:c>
      <x:c r="P690" s="17" t="n">
        <x:f>IF(D690="",0,J690-K690+L690)</x:f>
        <x:v>9767.88</x:v>
      </x:c>
      <x:c r="Q690" s="17" t="n">
        <x:f>MAX(J690-P690-K690,0)</x:f>
        <x:v>0</x:v>
      </x:c>
      <x:c r="R690" s="13" t="n">
        <x:f>IF(D690="",MAX(TODAY()-C690,0),MAX(D690-C690,0))</x:f>
        <x:v>0</x:v>
      </x:c>
      <x:c r="S690" s="13" t="str">
        <x:f>IF(R690=0,"Em dia",IF(R690&lt;=15,"1-15 dias",IF(R690&lt;=30,"16-30 dias",IF(R690&lt;=60,"31-60 dias","Acima de 60 dias"))))</x:f>
        <x:v>Em dia</x:v>
      </x:c>
    </x:row>
    <x:row r="691">
      <x:c r="A691" s="13" t="str">
        <x:v>REC-000690</x:v>
      </x:c>
      <x:c r="B691" s="23" t="n">
        <x:v>45632</x:v>
      </x:c>
      <x:c r="C691" s="23" t="n">
        <x:v>45639</x:v>
      </x:c>
      <x:c r="D691" s="23" t="n">
        <x:v>45635</x:v>
      </x:c>
      <x:c r="E691" s="13" t="str">
        <x:v>VAL-025</x:v>
      </x:c>
      <x:c r="F691" s="13" t="str">
        <x:v>Bem-Estar Terapias</x:v>
      </x:c>
      <x:c r="G691" s="13" t="str">
        <x:v>Clínicas e Saúde</x:v>
      </x:c>
      <x:c r="H691" s="13" t="str">
        <x:v>Baixo</x:v>
      </x:c>
      <x:c r="I691" s="13" t="str">
        <x:v>Essencial</x:v>
      </x:c>
      <x:c r="J691" s="17" t="n">
        <x:v>4063.19</x:v>
      </x:c>
      <x:c r="K691" s="17" t="n">
        <x:v>29.94</x:v>
      </x:c>
      <x:c r="L691" s="17" t="n">
        <x:v>0</x:v>
      </x:c>
      <x:c r="M691" s="13" t="str">
        <x:v>Pago</x:v>
      </x:c>
      <x:c r="N691" s="13" t="str">
        <x:v>Sem cobrança</x:v>
      </x:c>
      <x:c r="O691" s="13" t="str">
        <x:v>Crescimento sem escala</x:v>
      </x:c>
      <x:c r="P691" s="17" t="n">
        <x:f>IF(D691="",0,J691-K691+L691)</x:f>
        <x:v>4033.25</x:v>
      </x:c>
      <x:c r="Q691" s="17" t="n">
        <x:f>MAX(J691-P691-K691,0)</x:f>
        <x:v>5.3290705182007514e-14</x:v>
      </x:c>
      <x:c r="R691" s="13" t="n">
        <x:f>IF(D691="",MAX(TODAY()-C691,0),MAX(D691-C691,0))</x:f>
        <x:v>0</x:v>
      </x:c>
      <x:c r="S691" s="13" t="str">
        <x:f>IF(R691=0,"Em dia",IF(R691&lt;=15,"1-15 dias",IF(R691&lt;=30,"16-30 dias",IF(R691&lt;=60,"31-60 dias","Acima de 60 dias"))))</x:f>
        <x:v>Em dia</x:v>
      </x:c>
    </x:row>
    <x:row r="692">
      <x:c r="A692" s="13" t="str">
        <x:v>REC-000691</x:v>
      </x:c>
      <x:c r="B692" s="23" t="n">
        <x:v>45638</x:v>
      </x:c>
      <x:c r="C692" s="23" t="n">
        <x:v>45645</x:v>
      </x:c>
      <x:c r="D692" s="23" t="n">
        <x:v>45641</x:v>
      </x:c>
      <x:c r="E692" s="13" t="str">
        <x:v>VAL-029</x:v>
      </x:c>
      <x:c r="F692" s="13" t="str">
        <x:v>Planobra Serviços</x:v>
      </x:c>
      <x:c r="G692" s="13" t="str">
        <x:v>Construção</x:v>
      </x:c>
      <x:c r="H692" s="13" t="str">
        <x:v>Baixo</x:v>
      </x:c>
      <x:c r="I692" s="13" t="str">
        <x:v>Essencial</x:v>
      </x:c>
      <x:c r="J692" s="17" t="n">
        <x:v>16128.15</x:v>
      </x:c>
      <x:c r="K692" s="17" t="n">
        <x:v>0</x:v>
      </x:c>
      <x:c r="L692" s="17" t="n">
        <x:v>0</x:v>
      </x:c>
      <x:c r="M692" s="13" t="str">
        <x:v>Pago</x:v>
      </x:c>
      <x:c r="N692" s="13" t="str">
        <x:v>Sem cobrança</x:v>
      </x:c>
      <x:c r="O692" s="13" t="str">
        <x:v>Crescimento sem escala</x:v>
      </x:c>
      <x:c r="P692" s="17" t="n">
        <x:f>IF(D692="",0,J692-K692+L692)</x:f>
        <x:v>16128.15</x:v>
      </x:c>
      <x:c r="Q692" s="17" t="n">
        <x:f>MAX(J692-P692-K692,0)</x:f>
        <x:v>0</x:v>
      </x:c>
      <x:c r="R692" s="13" t="n">
        <x:f>IF(D692="",MAX(TODAY()-C692,0),MAX(D692-C692,0))</x:f>
        <x:v>0</x:v>
      </x:c>
      <x:c r="S692" s="13" t="str">
        <x:f>IF(R692=0,"Em dia",IF(R692&lt;=15,"1-15 dias",IF(R692&lt;=30,"16-30 dias",IF(R692&lt;=60,"31-60 dias","Acima de 60 dias"))))</x:f>
        <x:v>Em dia</x:v>
      </x:c>
    </x:row>
    <x:row r="693">
      <x:c r="A693" s="13" t="str">
        <x:v>REC-000692</x:v>
      </x:c>
      <x:c r="B693" s="23" t="n">
        <x:v>45631</x:v>
      </x:c>
      <x:c r="C693" s="23" t="n">
        <x:v>45638</x:v>
      </x:c>
      <x:c r="D693" s="23" t="n">
        <x:v>45637</x:v>
      </x:c>
      <x:c r="E693" s="13" t="str">
        <x:v>VAL-023</x:v>
      </x:c>
      <x:c r="F693" s="13" t="str">
        <x:v>ShopMix Brasil</x:v>
      </x:c>
      <x:c r="G693" s="13" t="str">
        <x:v>E-commerce</x:v>
      </x:c>
      <x:c r="H693" s="13" t="str">
        <x:v>Baixo</x:v>
      </x:c>
      <x:c r="I693" s="13" t="str">
        <x:v>Performance</x:v>
      </x:c>
      <x:c r="J693" s="17" t="n">
        <x:v>9373.99</x:v>
      </x:c>
      <x:c r="K693" s="17" t="n">
        <x:v>72.7</x:v>
      </x:c>
      <x:c r="L693" s="17" t="n">
        <x:v>0</x:v>
      </x:c>
      <x:c r="M693" s="13" t="str">
        <x:v>Pago</x:v>
      </x:c>
      <x:c r="N693" s="13" t="str">
        <x:v>Sem cobrança</x:v>
      </x:c>
      <x:c r="O693" s="13" t="str">
        <x:v>Crescimento sem escala</x:v>
      </x:c>
      <x:c r="P693" s="17" t="n">
        <x:f>IF(D693="",0,J693-K693+L693)</x:f>
        <x:v>9301.289999999999</x:v>
      </x:c>
      <x:c r="Q693" s="17" t="n">
        <x:f>MAX(J693-P693-K693,0)</x:f>
        <x:v>7.247535904753022e-13</x:v>
      </x:c>
      <x:c r="R693" s="13" t="n">
        <x:f>IF(D693="",MAX(TODAY()-C693,0),MAX(D693-C693,0))</x:f>
        <x:v>0</x:v>
      </x:c>
      <x:c r="S693" s="13" t="str">
        <x:f>IF(R693=0,"Em dia",IF(R693&lt;=15,"1-15 dias",IF(R693&lt;=30,"16-30 dias",IF(R693&lt;=60,"31-60 dias","Acima de 60 dias"))))</x:f>
        <x:v>Em dia</x:v>
      </x:c>
    </x:row>
    <x:row r="694">
      <x:c r="A694" s="13" t="str">
        <x:v>REC-000693</x:v>
      </x:c>
      <x:c r="B694" s="23" t="n">
        <x:v>45633</x:v>
      </x:c>
      <x:c r="C694" s="23" t="n">
        <x:v>45640</x:v>
      </x:c>
      <x:c r="D694" s="23" t="n">
        <x:v>45640</x:v>
      </x:c>
      <x:c r="E694" s="13" t="str">
        <x:v>VAL-025</x:v>
      </x:c>
      <x:c r="F694" s="13" t="str">
        <x:v>Bem-Estar Terapias</x:v>
      </x:c>
      <x:c r="G694" s="13" t="str">
        <x:v>Clínicas e Saúde</x:v>
      </x:c>
      <x:c r="H694" s="13" t="str">
        <x:v>Baixo</x:v>
      </x:c>
      <x:c r="I694" s="13" t="str">
        <x:v>Essencial</x:v>
      </x:c>
      <x:c r="J694" s="17" t="n">
        <x:v>12562.22</x:v>
      </x:c>
      <x:c r="K694" s="17" t="n">
        <x:v>118.39</x:v>
      </x:c>
      <x:c r="L694" s="17" t="n">
        <x:v>0</x:v>
      </x:c>
      <x:c r="M694" s="13" t="str">
        <x:v>Pago</x:v>
      </x:c>
      <x:c r="N694" s="13" t="str">
        <x:v>Sem cobrança</x:v>
      </x:c>
      <x:c r="O694" s="13" t="str">
        <x:v>Crescimento sem escala</x:v>
      </x:c>
      <x:c r="P694" s="17" t="n">
        <x:f>IF(D694="",0,J694-K694+L694)</x:f>
        <x:v>12443.83</x:v>
      </x:c>
      <x:c r="Q694" s="17" t="n">
        <x:f>MAX(J694-P694-K694,0)</x:f>
        <x:v>0</x:v>
      </x:c>
      <x:c r="R694" s="13" t="n">
        <x:f>IF(D694="",MAX(TODAY()-C694,0),MAX(D694-C694,0))</x:f>
        <x:v>0</x:v>
      </x:c>
      <x:c r="S694" s="13" t="str">
        <x:f>IF(R694=0,"Em dia",IF(R694&lt;=15,"1-15 dias",IF(R694&lt;=30,"16-30 dias",IF(R694&lt;=60,"31-60 dias","Acima de 60 dias"))))</x:f>
        <x:v>Em dia</x:v>
      </x:c>
    </x:row>
    <x:row r="695">
      <x:c r="A695" s="13" t="str">
        <x:v>REC-000694</x:v>
      </x:c>
      <x:c r="B695" s="23" t="n">
        <x:v>45635</x:v>
      </x:c>
      <x:c r="C695" s="23" t="n">
        <x:v>45665</x:v>
      </x:c>
      <x:c r="D695" s="23" t="n">
        <x:v>45665</x:v>
      </x:c>
      <x:c r="E695" s="13" t="str">
        <x:v>VAL-018</x:v>
      </x:c>
      <x:c r="F695" s="13" t="str">
        <x:v>Ponto Legal Advocacia</x:v>
      </x:c>
      <x:c r="G695" s="13" t="str">
        <x:v>Serviços Profissionais</x:v>
      </x:c>
      <x:c r="H695" s="13" t="str">
        <x:v>Baixo</x:v>
      </x:c>
      <x:c r="I695" s="13" t="str">
        <x:v>Gestão</x:v>
      </x:c>
      <x:c r="J695" s="17" t="n">
        <x:v>27369.23</x:v>
      </x:c>
      <x:c r="K695" s="17" t="n">
        <x:v>0</x:v>
      </x:c>
      <x:c r="L695" s="17" t="n">
        <x:v>0</x:v>
      </x:c>
      <x:c r="M695" s="13" t="str">
        <x:v>Pago</x:v>
      </x:c>
      <x:c r="N695" s="13" t="str">
        <x:v>Sem cobrança</x:v>
      </x:c>
      <x:c r="O695" s="13" t="str">
        <x:v>Crescimento sem escala</x:v>
      </x:c>
      <x:c r="P695" s="17" t="n">
        <x:f>IF(D695="",0,J695-K695+L695)</x:f>
        <x:v>27369.23</x:v>
      </x:c>
      <x:c r="Q695" s="17" t="n">
        <x:f>MAX(J695-P695-K695,0)</x:f>
        <x:v>0</x:v>
      </x:c>
      <x:c r="R695" s="13" t="n">
        <x:f>IF(D695="",MAX(TODAY()-C695,0),MAX(D695-C695,0))</x:f>
        <x:v>0</x:v>
      </x:c>
      <x:c r="S695" s="13" t="str">
        <x:f>IF(R695=0,"Em dia",IF(R695&lt;=15,"1-15 dias",IF(R695&lt;=30,"16-30 dias",IF(R695&lt;=60,"31-60 dias","Acima de 60 dias"))))</x:f>
        <x:v>Em dia</x:v>
      </x:c>
    </x:row>
    <x:row r="696">
      <x:c r="A696" s="13" t="str">
        <x:v>REC-000695</x:v>
      </x:c>
      <x:c r="B696" s="23" t="n">
        <x:v>45645</x:v>
      </x:c>
      <x:c r="C696" s="23" t="n">
        <x:v>45652</x:v>
      </x:c>
      <x:c r="D696" s="23" t="n">
        <x:v>45692</x:v>
      </x:c>
      <x:c r="E696" s="13" t="str">
        <x:v>VAL-003</x:v>
      </x:c>
      <x:c r="F696" s="13" t="str">
        <x:v>Casa Nova Varejo</x:v>
      </x:c>
      <x:c r="G696" s="13" t="str">
        <x:v>Varejo</x:v>
      </x:c>
      <x:c r="H696" s="13" t="str">
        <x:v>Baixo</x:v>
      </x:c>
      <x:c r="I696" s="13" t="str">
        <x:v>Performance</x:v>
      </x:c>
      <x:c r="J696" s="17" t="n">
        <x:v>17749.13</x:v>
      </x:c>
      <x:c r="K696" s="17" t="n">
        <x:v>0</x:v>
      </x:c>
      <x:c r="L696" s="17" t="n">
        <x:v>443.73</x:v>
      </x:c>
      <x:c r="M696" s="13" t="str">
        <x:v>Pago com atraso</x:v>
      </x:c>
      <x:c r="N696" s="13" t="str">
        <x:v>Régua automática</x:v>
      </x:c>
      <x:c r="O696" s="13" t="str">
        <x:v>Crescimento sem escala</x:v>
      </x:c>
      <x:c r="P696" s="17" t="n">
        <x:f>IF(D696="",0,J696-K696+L696)</x:f>
        <x:v>18192.86</x:v>
      </x:c>
      <x:c r="Q696" s="17" t="n">
        <x:f>MAX(J696-P696-K696,0)</x:f>
        <x:v>0</x:v>
      </x:c>
      <x:c r="R696" s="13" t="n">
        <x:f>IF(D696="",MAX(TODAY()-C696,0),MAX(D696-C696,0))</x:f>
        <x:v>40</x:v>
      </x:c>
      <x:c r="S696" s="13" t="str">
        <x:f>IF(R696=0,"Em dia",IF(R696&lt;=15,"1-15 dias",IF(R696&lt;=30,"16-30 dias",IF(R696&lt;=60,"31-60 dias","Acima de 60 dias"))))</x:f>
        <x:v>31-60 dias</x:v>
      </x:c>
    </x:row>
    <x:row r="697">
      <x:c r="A697" s="13" t="str">
        <x:v>REC-000696</x:v>
      </x:c>
      <x:c r="B697" s="23" t="n">
        <x:v>45627</x:v>
      </x:c>
      <x:c r="C697" s="23" t="n">
        <x:v>45642</x:v>
      </x:c>
      <x:c r="D697" s="23" t="n">
        <x:v>45641</x:v>
      </x:c>
      <x:c r="E697" s="13" t="str">
        <x:v>VAL-001</x:v>
      </x:c>
      <x:c r="F697" s="13" t="str">
        <x:v>Clínica Horizonte</x:v>
      </x:c>
      <x:c r="G697" s="13" t="str">
        <x:v>Clínicas e Saúde</x:v>
      </x:c>
      <x:c r="H697" s="13" t="str">
        <x:v>Baixo</x:v>
      </x:c>
      <x:c r="I697" s="13" t="str">
        <x:v>Essencial</x:v>
      </x:c>
      <x:c r="J697" s="17" t="n">
        <x:v>20869.86</x:v>
      </x:c>
      <x:c r="K697" s="17" t="n">
        <x:v>0</x:v>
      </x:c>
      <x:c r="L697" s="17" t="n">
        <x:v>0</x:v>
      </x:c>
      <x:c r="M697" s="13" t="str">
        <x:v>Pago</x:v>
      </x:c>
      <x:c r="N697" s="13" t="str">
        <x:v>Sem cobrança</x:v>
      </x:c>
      <x:c r="O697" s="13" t="str">
        <x:v>Crescimento sem escala</x:v>
      </x:c>
      <x:c r="P697" s="17" t="n">
        <x:f>IF(D697="",0,J697-K697+L697)</x:f>
        <x:v>20869.86</x:v>
      </x:c>
      <x:c r="Q697" s="17" t="n">
        <x:f>MAX(J697-P697-K697,0)</x:f>
        <x:v>0</x:v>
      </x:c>
      <x:c r="R697" s="13" t="n">
        <x:f>IF(D697="",MAX(TODAY()-C697,0),MAX(D697-C697,0))</x:f>
        <x:v>0</x:v>
      </x:c>
      <x:c r="S697" s="13" t="str">
        <x:f>IF(R697=0,"Em dia",IF(R697&lt;=15,"1-15 dias",IF(R697&lt;=30,"16-30 dias",IF(R697&lt;=60,"31-60 dias","Acima de 60 dias"))))</x:f>
        <x:v>Em dia</x:v>
      </x:c>
    </x:row>
    <x:row r="698">
      <x:c r="A698" s="13" t="str">
        <x:v>REC-000697</x:v>
      </x:c>
      <x:c r="B698" s="23" t="n">
        <x:v>45646</x:v>
      </x:c>
      <x:c r="C698" s="23" t="n">
        <x:v>45653</x:v>
      </x:c>
      <x:c r="D698" s="23" t="n">
        <x:v>45651</x:v>
      </x:c>
      <x:c r="E698" s="13" t="str">
        <x:v>VAL-025</x:v>
      </x:c>
      <x:c r="F698" s="13" t="str">
        <x:v>Bem-Estar Terapias</x:v>
      </x:c>
      <x:c r="G698" s="13" t="str">
        <x:v>Clínicas e Saúde</x:v>
      </x:c>
      <x:c r="H698" s="13" t="str">
        <x:v>Baixo</x:v>
      </x:c>
      <x:c r="I698" s="13" t="str">
        <x:v>Essencial</x:v>
      </x:c>
      <x:c r="J698" s="17" t="n">
        <x:v>18990.81</x:v>
      </x:c>
      <x:c r="K698" s="17" t="n">
        <x:v>0</x:v>
      </x:c>
      <x:c r="L698" s="17" t="n">
        <x:v>0</x:v>
      </x:c>
      <x:c r="M698" s="13" t="str">
        <x:v>Pago</x:v>
      </x:c>
      <x:c r="N698" s="13" t="str">
        <x:v>Sem cobrança</x:v>
      </x:c>
      <x:c r="O698" s="13" t="str">
        <x:v>Crescimento sem escala</x:v>
      </x:c>
      <x:c r="P698" s="17" t="n">
        <x:f>IF(D698="",0,J698-K698+L698)</x:f>
        <x:v>18990.81</x:v>
      </x:c>
      <x:c r="Q698" s="17" t="n">
        <x:f>MAX(J698-P698-K698,0)</x:f>
        <x:v>0</x:v>
      </x:c>
      <x:c r="R698" s="13" t="n">
        <x:f>IF(D698="",MAX(TODAY()-C698,0),MAX(D698-C698,0))</x:f>
        <x:v>0</x:v>
      </x:c>
      <x:c r="S698" s="13" t="str">
        <x:f>IF(R698=0,"Em dia",IF(R698&lt;=15,"1-15 dias",IF(R698&lt;=30,"16-30 dias",IF(R698&lt;=60,"31-60 dias","Acima de 60 dias"))))</x:f>
        <x:v>Em dia</x:v>
      </x:c>
    </x:row>
    <x:row r="699">
      <x:c r="A699" s="13" t="str">
        <x:v>REC-000698</x:v>
      </x:c>
      <x:c r="B699" s="23" t="n">
        <x:v>45629</x:v>
      </x:c>
      <x:c r="C699" s="23" t="n">
        <x:v>45644</x:v>
      </x:c>
      <x:c r="D699" s="23" t="n">
        <x:v>45674</x:v>
      </x:c>
      <x:c r="E699" s="13" t="str">
        <x:v>VAL-014</x:v>
      </x:c>
      <x:c r="F699" s="13" t="str">
        <x:v>Colégio Caminhos</x:v>
      </x:c>
      <x:c r="G699" s="13" t="str">
        <x:v>Educação</x:v>
      </x:c>
      <x:c r="H699" s="13" t="str">
        <x:v>Médio</x:v>
      </x:c>
      <x:c r="I699" s="13" t="str">
        <x:v>Gestão</x:v>
      </x:c>
      <x:c r="J699" s="17" t="n">
        <x:v>17321.19</x:v>
      </x:c>
      <x:c r="K699" s="17" t="n">
        <x:v>0</x:v>
      </x:c>
      <x:c r="L699" s="17" t="n">
        <x:v>337.76</x:v>
      </x:c>
      <x:c r="M699" s="13" t="str">
        <x:v>Pago com atraso</x:v>
      </x:c>
      <x:c r="N699" s="13" t="str">
        <x:v>E-mail</x:v>
      </x:c>
      <x:c r="O699" s="13" t="str">
        <x:v>Crescimento sem escala</x:v>
      </x:c>
      <x:c r="P699" s="17" t="n">
        <x:f>IF(D699="",0,J699-K699+L699)</x:f>
        <x:v>17658.949999999997</x:v>
      </x:c>
      <x:c r="Q699" s="17" t="n">
        <x:f>MAX(J699-P699-K699,0)</x:f>
        <x:v>0</x:v>
      </x:c>
      <x:c r="R699" s="13" t="n">
        <x:f>IF(D699="",MAX(TODAY()-C699,0),MAX(D699-C699,0))</x:f>
        <x:v>30</x:v>
      </x:c>
      <x:c r="S699" s="13" t="str">
        <x:f>IF(R699=0,"Em dia",IF(R699&lt;=15,"1-15 dias",IF(R699&lt;=30,"16-30 dias",IF(R699&lt;=60,"31-60 dias","Acima de 60 dias"))))</x:f>
        <x:v>16-30 dias</x:v>
      </x:c>
    </x:row>
    <x:row r="700">
      <x:c r="A700" s="13" t="str">
        <x:v>REC-000699</x:v>
      </x:c>
      <x:c r="B700" s="23" t="n">
        <x:v>45633</x:v>
      </x:c>
      <x:c r="C700" s="23" t="n">
        <x:v>45663</x:v>
      </x:c>
      <x:c r="D700" s="23" t="n">
        <x:v>45659</x:v>
      </x:c>
      <x:c r="E700" s="13" t="str">
        <x:v>VAL-028</x:v>
      </x:c>
      <x:c r="F700" s="13" t="str">
        <x:v>Pixel Norte</x:v>
      </x:c>
      <x:c r="G700" s="13" t="str">
        <x:v>Tecnologia</x:v>
      </x:c>
      <x:c r="H700" s="13" t="str">
        <x:v>Alto</x:v>
      </x:c>
      <x:c r="I700" s="13" t="str">
        <x:v>Enterprise</x:v>
      </x:c>
      <x:c r="J700" s="17" t="n">
        <x:v>32578.54</x:v>
      </x:c>
      <x:c r="K700" s="17" t="n">
        <x:v>0</x:v>
      </x:c>
      <x:c r="L700" s="17" t="n">
        <x:v>0</x:v>
      </x:c>
      <x:c r="M700" s="13" t="str">
        <x:v>Pago</x:v>
      </x:c>
      <x:c r="N700" s="13" t="str">
        <x:v>Sem cobrança</x:v>
      </x:c>
      <x:c r="O700" s="13" t="str">
        <x:v>Crescimento sem escala</x:v>
      </x:c>
      <x:c r="P700" s="17" t="n">
        <x:f>IF(D700="",0,J700-K700+L700)</x:f>
        <x:v>32578.54</x:v>
      </x:c>
      <x:c r="Q700" s="17" t="n">
        <x:f>MAX(J700-P700-K700,0)</x:f>
        <x:v>0</x:v>
      </x:c>
      <x:c r="R700" s="13" t="n">
        <x:f>IF(D700="",MAX(TODAY()-C700,0),MAX(D700-C700,0))</x:f>
        <x:v>0</x:v>
      </x:c>
      <x:c r="S700" s="13" t="str">
        <x:f>IF(R700=0,"Em dia",IF(R700&lt;=15,"1-15 dias",IF(R700&lt;=30,"16-30 dias",IF(R700&lt;=60,"31-60 dias","Acima de 60 dias"))))</x:f>
        <x:v>Em dia</x:v>
      </x:c>
    </x:row>
    <x:row r="701">
      <x:c r="A701" s="13" t="str">
        <x:v>REC-000700</x:v>
      </x:c>
      <x:c r="B701" s="23" t="n">
        <x:v>45632</x:v>
      </x:c>
      <x:c r="C701" s="23" t="n">
        <x:v>45660</x:v>
      </x:c>
      <x:c r="D701" s="23" t="n">
        <x:v>45659</x:v>
      </x:c>
      <x:c r="E701" s="13" t="str">
        <x:v>VAL-027</x:v>
      </x:c>
      <x:c r="F701" s="13" t="str">
        <x:v>Mais Lar Utilidades</x:v>
      </x:c>
      <x:c r="G701" s="13" t="str">
        <x:v>Varejo</x:v>
      </x:c>
      <x:c r="H701" s="13" t="str">
        <x:v>Baixo</x:v>
      </x:c>
      <x:c r="I701" s="13" t="str">
        <x:v>Performance</x:v>
      </x:c>
      <x:c r="J701" s="17" t="n">
        <x:v>9459.4</x:v>
      </x:c>
      <x:c r="K701" s="17" t="n">
        <x:v>0</x:v>
      </x:c>
      <x:c r="L701" s="17" t="n">
        <x:v>0</x:v>
      </x:c>
      <x:c r="M701" s="13" t="str">
        <x:v>Pago</x:v>
      </x:c>
      <x:c r="N701" s="13" t="str">
        <x:v>Sem cobrança</x:v>
      </x:c>
      <x:c r="O701" s="13" t="str">
        <x:v>Crescimento sem escala</x:v>
      </x:c>
      <x:c r="P701" s="17" t="n">
        <x:f>IF(D701="",0,J701-K701+L701)</x:f>
        <x:v>9459.4</x:v>
      </x:c>
      <x:c r="Q701" s="17" t="n">
        <x:f>MAX(J701-P701-K701,0)</x:f>
        <x:v>0</x:v>
      </x:c>
      <x:c r="R701" s="13" t="n">
        <x:f>IF(D701="",MAX(TODAY()-C701,0),MAX(D701-C701,0))</x:f>
        <x:v>0</x:v>
      </x:c>
      <x:c r="S701" s="13" t="str">
        <x:f>IF(R701=0,"Em dia",IF(R701&lt;=15,"1-15 dias",IF(R701&lt;=30,"16-30 dias",IF(R701&lt;=60,"31-60 dias","Acima de 60 dias"))))</x:f>
        <x:v>Em dia</x:v>
      </x:c>
    </x:row>
    <x:row r="702">
      <x:c r="A702" s="13" t="str">
        <x:v>REC-000701</x:v>
      </x:c>
      <x:c r="B702" s="23" t="n">
        <x:v>45628</x:v>
      </x:c>
      <x:c r="C702" s="23" t="n">
        <x:v>45635</x:v>
      </x:c>
      <x:c r="D702" s="23" t="n">
        <x:v>45633</x:v>
      </x:c>
      <x:c r="E702" s="13" t="str">
        <x:v>VAL-014</x:v>
      </x:c>
      <x:c r="F702" s="13" t="str">
        <x:v>Colégio Caminhos</x:v>
      </x:c>
      <x:c r="G702" s="13" t="str">
        <x:v>Educação</x:v>
      </x:c>
      <x:c r="H702" s="13" t="str">
        <x:v>Médio</x:v>
      </x:c>
      <x:c r="I702" s="13" t="str">
        <x:v>Gestão</x:v>
      </x:c>
      <x:c r="J702" s="17" t="n">
        <x:v>8756.01</x:v>
      </x:c>
      <x:c r="K702" s="17" t="n">
        <x:v>0</x:v>
      </x:c>
      <x:c r="L702" s="17" t="n">
        <x:v>0</x:v>
      </x:c>
      <x:c r="M702" s="13" t="str">
        <x:v>Pago</x:v>
      </x:c>
      <x:c r="N702" s="13" t="str">
        <x:v>Sem cobrança</x:v>
      </x:c>
      <x:c r="O702" s="13" t="str">
        <x:v>Crescimento sem escala</x:v>
      </x:c>
      <x:c r="P702" s="17" t="n">
        <x:f>IF(D702="",0,J702-K702+L702)</x:f>
        <x:v>8756.01</x:v>
      </x:c>
      <x:c r="Q702" s="17" t="n">
        <x:f>MAX(J702-P702-K702,0)</x:f>
        <x:v>0</x:v>
      </x:c>
      <x:c r="R702" s="13" t="n">
        <x:f>IF(D702="",MAX(TODAY()-C702,0),MAX(D702-C702,0))</x:f>
        <x:v>0</x:v>
      </x:c>
      <x:c r="S702" s="13" t="str">
        <x:f>IF(R702=0,"Em dia",IF(R702&lt;=15,"1-15 dias",IF(R702&lt;=30,"16-30 dias",IF(R702&lt;=60,"31-60 dias","Acima de 60 dias"))))</x:f>
        <x:v>Em dia</x:v>
      </x:c>
    </x:row>
    <x:row r="703">
      <x:c r="A703" s="13" t="str">
        <x:v>REC-000702</x:v>
      </x:c>
      <x:c r="B703" s="23" t="n">
        <x:v>45630</x:v>
      </x:c>
      <x:c r="C703" s="23" t="n">
        <x:v>45637</x:v>
      </x:c>
      <x:c r="D703" s="23" t="n">
        <x:v>45633</x:v>
      </x:c>
      <x:c r="E703" s="13" t="str">
        <x:v>VAL-018</x:v>
      </x:c>
      <x:c r="F703" s="13" t="str">
        <x:v>Ponto Legal Advocacia</x:v>
      </x:c>
      <x:c r="G703" s="13" t="str">
        <x:v>Serviços Profissionais</x:v>
      </x:c>
      <x:c r="H703" s="13" t="str">
        <x:v>Baixo</x:v>
      </x:c>
      <x:c r="I703" s="13" t="str">
        <x:v>Gestão</x:v>
      </x:c>
      <x:c r="J703" s="17" t="n">
        <x:v>1916.41</x:v>
      </x:c>
      <x:c r="K703" s="17" t="n">
        <x:v>0</x:v>
      </x:c>
      <x:c r="L703" s="17" t="n">
        <x:v>0</x:v>
      </x:c>
      <x:c r="M703" s="13" t="str">
        <x:v>Pago</x:v>
      </x:c>
      <x:c r="N703" s="13" t="str">
        <x:v>Sem cobrança</x:v>
      </x:c>
      <x:c r="O703" s="13" t="str">
        <x:v>Crescimento sem escala</x:v>
      </x:c>
      <x:c r="P703" s="17" t="n">
        <x:f>IF(D703="",0,J703-K703+L703)</x:f>
        <x:v>1916.41</x:v>
      </x:c>
      <x:c r="Q703" s="17" t="n">
        <x:f>MAX(J703-P703-K703,0)</x:f>
        <x:v>0</x:v>
      </x:c>
      <x:c r="R703" s="13" t="n">
        <x:f>IF(D703="",MAX(TODAY()-C703,0),MAX(D703-C703,0))</x:f>
        <x:v>0</x:v>
      </x:c>
      <x:c r="S703" s="13" t="str">
        <x:f>IF(R703=0,"Em dia",IF(R703&lt;=15,"1-15 dias",IF(R703&lt;=30,"16-30 dias",IF(R703&lt;=60,"31-60 dias","Acima de 60 dias"))))</x:f>
        <x:v>Em dia</x:v>
      </x:c>
    </x:row>
    <x:row r="704">
      <x:c r="A704" s="13" t="str">
        <x:v>REC-000703</x:v>
      </x:c>
      <x:c r="B704" s="23" t="n">
        <x:v>45642</x:v>
      </x:c>
      <x:c r="C704" s="23" t="n">
        <x:v>45672</x:v>
      </x:c>
      <x:c r="D704" s="23" t="n">
        <x:v>45669</x:v>
      </x:c>
      <x:c r="E704" s="13" t="str">
        <x:v>VAL-023</x:v>
      </x:c>
      <x:c r="F704" s="13" t="str">
        <x:v>ShopMix Brasil</x:v>
      </x:c>
      <x:c r="G704" s="13" t="str">
        <x:v>E-commerce</x:v>
      </x:c>
      <x:c r="H704" s="13" t="str">
        <x:v>Baixo</x:v>
      </x:c>
      <x:c r="I704" s="13" t="str">
        <x:v>Performance</x:v>
      </x:c>
      <x:c r="J704" s="17" t="n">
        <x:v>25609.12</x:v>
      </x:c>
      <x:c r="K704" s="17" t="n">
        <x:v>0</x:v>
      </x:c>
      <x:c r="L704" s="17" t="n">
        <x:v>0</x:v>
      </x:c>
      <x:c r="M704" s="13" t="str">
        <x:v>Pago</x:v>
      </x:c>
      <x:c r="N704" s="13" t="str">
        <x:v>Sem cobrança</x:v>
      </x:c>
      <x:c r="O704" s="13" t="str">
        <x:v>Crescimento sem escala</x:v>
      </x:c>
      <x:c r="P704" s="17" t="n">
        <x:f>IF(D704="",0,J704-K704+L704)</x:f>
        <x:v>25609.12</x:v>
      </x:c>
      <x:c r="Q704" s="17" t="n">
        <x:f>MAX(J704-P704-K704,0)</x:f>
        <x:v>0</x:v>
      </x:c>
      <x:c r="R704" s="13" t="n">
        <x:f>IF(D704="",MAX(TODAY()-C704,0),MAX(D704-C704,0))</x:f>
        <x:v>0</x:v>
      </x:c>
      <x:c r="S704" s="13" t="str">
        <x:f>IF(R704=0,"Em dia",IF(R704&lt;=15,"1-15 dias",IF(R704&lt;=30,"16-30 dias",IF(R704&lt;=60,"31-60 dias","Acima de 60 dias"))))</x:f>
        <x:v>Em dia</x:v>
      </x:c>
    </x:row>
    <x:row r="705">
      <x:c r="A705" s="13" t="str">
        <x:v>REC-000704</x:v>
      </x:c>
      <x:c r="B705" s="23" t="n">
        <x:v>45634</x:v>
      </x:c>
      <x:c r="C705" s="23" t="n">
        <x:v>45649</x:v>
      </x:c>
      <x:c r="D705" s="23" t="n">
        <x:v>45646</x:v>
      </x:c>
      <x:c r="E705" s="13" t="str">
        <x:v>VAL-016</x:v>
      </x:c>
      <x:c r="F705" s="13" t="str">
        <x:v>Lumina Embalagens</x:v>
      </x:c>
      <x:c r="G705" s="13" t="str">
        <x:v>Indústria Leve</x:v>
      </x:c>
      <x:c r="H705" s="13" t="str">
        <x:v>Baixo</x:v>
      </x:c>
      <x:c r="I705" s="13" t="str">
        <x:v>Enterprise</x:v>
      </x:c>
      <x:c r="J705" s="17" t="n">
        <x:v>28756.72</x:v>
      </x:c>
      <x:c r="K705" s="17" t="n">
        <x:v>243.46</x:v>
      </x:c>
      <x:c r="L705" s="17" t="n">
        <x:v>0</x:v>
      </x:c>
      <x:c r="M705" s="13" t="str">
        <x:v>Pago</x:v>
      </x:c>
      <x:c r="N705" s="13" t="str">
        <x:v>Sem cobrança</x:v>
      </x:c>
      <x:c r="O705" s="13" t="str">
        <x:v>Crescimento sem escala</x:v>
      </x:c>
      <x:c r="P705" s="17" t="n">
        <x:f>IF(D705="",0,J705-K705+L705)</x:f>
        <x:v>28513.260000000002</x:v>
      </x:c>
      <x:c r="Q705" s="17" t="n">
        <x:f>MAX(J705-P705-K705,0)</x:f>
        <x:v>0</x:v>
      </x:c>
      <x:c r="R705" s="13" t="n">
        <x:f>IF(D705="",MAX(TODAY()-C705,0),MAX(D705-C705,0))</x:f>
        <x:v>0</x:v>
      </x:c>
      <x:c r="S705" s="13" t="str">
        <x:f>IF(R705=0,"Em dia",IF(R705&lt;=15,"1-15 dias",IF(R705&lt;=30,"16-30 dias",IF(R705&lt;=60,"31-60 dias","Acima de 60 dias"))))</x:f>
        <x:v>Em dia</x:v>
      </x:c>
    </x:row>
    <x:row r="706">
      <x:c r="A706" s="13" t="str">
        <x:v>REC-000705</x:v>
      </x:c>
      <x:c r="B706" s="23" t="n">
        <x:v>45642</x:v>
      </x:c>
      <x:c r="C706" s="23" t="n">
        <x:v>45670</x:v>
      </x:c>
      <x:c r="D706" s="23" t="n">
        <x:v>45666</x:v>
      </x:c>
      <x:c r="E706" s="13" t="str">
        <x:v>VAL-004</x:v>
      </x:c>
      <x:c r="F706" s="13" t="str">
        <x:v>NuvemBase Tecnologia</x:v>
      </x:c>
      <x:c r="G706" s="13" t="str">
        <x:v>Tecnologia</x:v>
      </x:c>
      <x:c r="H706" s="13" t="str">
        <x:v>Baixo</x:v>
      </x:c>
      <x:c r="I706" s="13" t="str">
        <x:v>Enterprise</x:v>
      </x:c>
      <x:c r="J706" s="17" t="n">
        <x:v>31552.1</x:v>
      </x:c>
      <x:c r="K706" s="17" t="n">
        <x:v>0</x:v>
      </x:c>
      <x:c r="L706" s="17" t="n">
        <x:v>0</x:v>
      </x:c>
      <x:c r="M706" s="13" t="str">
        <x:v>Pago</x:v>
      </x:c>
      <x:c r="N706" s="13" t="str">
        <x:v>Sem cobrança</x:v>
      </x:c>
      <x:c r="O706" s="13" t="str">
        <x:v>Crescimento sem escala</x:v>
      </x:c>
      <x:c r="P706" s="17" t="n">
        <x:f>IF(D706="",0,J706-K706+L706)</x:f>
        <x:v>31552.1</x:v>
      </x:c>
      <x:c r="Q706" s="17" t="n">
        <x:f>MAX(J706-P706-K706,0)</x:f>
        <x:v>0</x:v>
      </x:c>
      <x:c r="R706" s="13" t="n">
        <x:f>IF(D706="",MAX(TODAY()-C706,0),MAX(D706-C706,0))</x:f>
        <x:v>0</x:v>
      </x:c>
      <x:c r="S706" s="13" t="str">
        <x:f>IF(R706=0,"Em dia",IF(R706&lt;=15,"1-15 dias",IF(R706&lt;=30,"16-30 dias",IF(R706&lt;=60,"31-60 dias","Acima de 60 dias"))))</x:f>
        <x:v>Em dia</x:v>
      </x:c>
    </x:row>
    <x:row r="707">
      <x:c r="A707" s="13" t="str">
        <x:v>REC-000706</x:v>
      </x:c>
      <x:c r="B707" s="23" t="n">
        <x:v>45641</x:v>
      </x:c>
      <x:c r="C707" s="23" t="n">
        <x:v>45656</x:v>
      </x:c>
      <x:c r="D707" s="23" t="n">
        <x:v>45652</x:v>
      </x:c>
      <x:c r="E707" s="13" t="str">
        <x:v>VAL-016</x:v>
      </x:c>
      <x:c r="F707" s="13" t="str">
        <x:v>Lumina Embalagens</x:v>
      </x:c>
      <x:c r="G707" s="13" t="str">
        <x:v>Indústria Leve</x:v>
      </x:c>
      <x:c r="H707" s="13" t="str">
        <x:v>Baixo</x:v>
      </x:c>
      <x:c r="I707" s="13" t="str">
        <x:v>Enterprise</x:v>
      </x:c>
      <x:c r="J707" s="17" t="n">
        <x:v>10083.8</x:v>
      </x:c>
      <x:c r="K707" s="17" t="n">
        <x:v>0</x:v>
      </x:c>
      <x:c r="L707" s="17" t="n">
        <x:v>0</x:v>
      </x:c>
      <x:c r="M707" s="13" t="str">
        <x:v>Pago</x:v>
      </x:c>
      <x:c r="N707" s="13" t="str">
        <x:v>Sem cobrança</x:v>
      </x:c>
      <x:c r="O707" s="13" t="str">
        <x:v>Crescimento sem escala</x:v>
      </x:c>
      <x:c r="P707" s="17" t="n">
        <x:f>IF(D707="",0,J707-K707+L707)</x:f>
        <x:v>10083.8</x:v>
      </x:c>
      <x:c r="Q707" s="17" t="n">
        <x:f>MAX(J707-P707-K707,0)</x:f>
        <x:v>0</x:v>
      </x:c>
      <x:c r="R707" s="13" t="n">
        <x:f>IF(D707="",MAX(TODAY()-C707,0),MAX(D707-C707,0))</x:f>
        <x:v>0</x:v>
      </x:c>
      <x:c r="S707" s="13" t="str">
        <x:f>IF(R707=0,"Em dia",IF(R707&lt;=15,"1-15 dias",IF(R707&lt;=30,"16-30 dias",IF(R707&lt;=60,"31-60 dias","Acima de 60 dias"))))</x:f>
        <x:v>Em dia</x:v>
      </x:c>
    </x:row>
    <x:row r="708">
      <x:c r="A708" s="13" t="str">
        <x:v>REC-000707</x:v>
      </x:c>
      <x:c r="B708" s="23" t="n">
        <x:v>45627</x:v>
      </x:c>
      <x:c r="C708" s="23" t="n">
        <x:v>45655</x:v>
      </x:c>
      <x:c r="D708" s="23" t="n">
        <x:v>45682</x:v>
      </x:c>
      <x:c r="E708" s="13" t="str">
        <x:v>VAL-015</x:v>
      </x:c>
      <x:c r="F708" s="13" t="str">
        <x:v>Mercado Click</x:v>
      </x:c>
      <x:c r="G708" s="13" t="str">
        <x:v>E-commerce</x:v>
      </x:c>
      <x:c r="H708" s="13" t="str">
        <x:v>Baixo</x:v>
      </x:c>
      <x:c r="I708" s="13" t="str">
        <x:v>Performance</x:v>
      </x:c>
      <x:c r="J708" s="17" t="n">
        <x:v>6282.45</x:v>
      </x:c>
      <x:c r="K708" s="17" t="n">
        <x:v>0</x:v>
      </x:c>
      <x:c r="L708" s="17" t="n">
        <x:v>110.26</x:v>
      </x:c>
      <x:c r="M708" s="13" t="str">
        <x:v>Pago com atraso</x:v>
      </x:c>
      <x:c r="N708" s="13" t="str">
        <x:v>WhatsApp</x:v>
      </x:c>
      <x:c r="O708" s="13" t="str">
        <x:v>Crescimento sem escala</x:v>
      </x:c>
      <x:c r="P708" s="17" t="n">
        <x:f>IF(D708="",0,J708-K708+L708)</x:f>
        <x:v>6392.71</x:v>
      </x:c>
      <x:c r="Q708" s="17" t="n">
        <x:f>MAX(J708-P708-K708,0)</x:f>
        <x:v>0</x:v>
      </x:c>
      <x:c r="R708" s="13" t="n">
        <x:f>IF(D708="",MAX(TODAY()-C708,0),MAX(D708-C708,0))</x:f>
        <x:v>27</x:v>
      </x:c>
      <x:c r="S708" s="13" t="str">
        <x:f>IF(R708=0,"Em dia",IF(R708&lt;=15,"1-15 dias",IF(R708&lt;=30,"16-30 dias",IF(R708&lt;=60,"31-60 dias","Acima de 60 dias"))))</x:f>
        <x:v>16-30 dias</x:v>
      </x:c>
    </x:row>
    <x:row r="709">
      <x:c r="A709" s="13" t="str">
        <x:v>REC-000708</x:v>
      </x:c>
      <x:c r="B709" s="23" t="n">
        <x:v>45636</x:v>
      </x:c>
      <x:c r="C709" s="23" t="n">
        <x:v>45643</x:v>
      </x:c>
      <x:c r="D709" s="23" t="n">
        <x:v>45684</x:v>
      </x:c>
      <x:c r="E709" s="13" t="str">
        <x:v>VAL-014</x:v>
      </x:c>
      <x:c r="F709" s="13" t="str">
        <x:v>Colégio Caminhos</x:v>
      </x:c>
      <x:c r="G709" s="13" t="str">
        <x:v>Educação</x:v>
      </x:c>
      <x:c r="H709" s="13" t="str">
        <x:v>Médio</x:v>
      </x:c>
      <x:c r="I709" s="13" t="str">
        <x:v>Gestão</x:v>
      </x:c>
      <x:c r="J709" s="17" t="n">
        <x:v>1658.03</x:v>
      </x:c>
      <x:c r="K709" s="17" t="n">
        <x:v>0</x:v>
      </x:c>
      <x:c r="L709" s="17" t="n">
        <x:v>41.45</x:v>
      </x:c>
      <x:c r="M709" s="13" t="str">
        <x:v>Pago com atraso</x:v>
      </x:c>
      <x:c r="N709" s="13" t="str">
        <x:v>WhatsApp</x:v>
      </x:c>
      <x:c r="O709" s="13" t="str">
        <x:v>Crescimento sem escala</x:v>
      </x:c>
      <x:c r="P709" s="17" t="n">
        <x:f>IF(D709="",0,J709-K709+L709)</x:f>
        <x:v>1699.48</x:v>
      </x:c>
      <x:c r="Q709" s="17" t="n">
        <x:f>MAX(J709-P709-K709,0)</x:f>
        <x:v>0</x:v>
      </x:c>
      <x:c r="R709" s="13" t="n">
        <x:f>IF(D709="",MAX(TODAY()-C709,0),MAX(D709-C709,0))</x:f>
        <x:v>41</x:v>
      </x:c>
      <x:c r="S709" s="13" t="str">
        <x:f>IF(R709=0,"Em dia",IF(R709&lt;=15,"1-15 dias",IF(R709&lt;=30,"16-30 dias",IF(R709&lt;=60,"31-60 dias","Acima de 60 dias"))))</x:f>
        <x:v>31-60 dias</x:v>
      </x:c>
    </x:row>
    <x:row r="710">
      <x:c r="A710" s="13" t="str">
        <x:v>REC-000709</x:v>
      </x:c>
      <x:c r="B710" s="23" t="n">
        <x:v>45633</x:v>
      </x:c>
      <x:c r="C710" s="23" t="n">
        <x:v>45648</x:v>
      </x:c>
      <x:c r="D710" s="23" t="n">
        <x:v>45646</x:v>
      </x:c>
      <x:c r="E710" s="13" t="str">
        <x:v>VAL-004</x:v>
      </x:c>
      <x:c r="F710" s="13" t="str">
        <x:v>NuvemBase Tecnologia</x:v>
      </x:c>
      <x:c r="G710" s="13" t="str">
        <x:v>Tecnologia</x:v>
      </x:c>
      <x:c r="H710" s="13" t="str">
        <x:v>Baixo</x:v>
      </x:c>
      <x:c r="I710" s="13" t="str">
        <x:v>Enterprise</x:v>
      </x:c>
      <x:c r="J710" s="17" t="n">
        <x:v>33975.5</x:v>
      </x:c>
      <x:c r="K710" s="17" t="n">
        <x:v>0</x:v>
      </x:c>
      <x:c r="L710" s="17" t="n">
        <x:v>0</x:v>
      </x:c>
      <x:c r="M710" s="13" t="str">
        <x:v>Pago</x:v>
      </x:c>
      <x:c r="N710" s="13" t="str">
        <x:v>Sem cobrança</x:v>
      </x:c>
      <x:c r="O710" s="13" t="str">
        <x:v>Crescimento sem escala</x:v>
      </x:c>
      <x:c r="P710" s="17" t="n">
        <x:f>IF(D710="",0,J710-K710+L710)</x:f>
        <x:v>33975.5</x:v>
      </x:c>
      <x:c r="Q710" s="17" t="n">
        <x:f>MAX(J710-P710-K710,0)</x:f>
        <x:v>0</x:v>
      </x:c>
      <x:c r="R710" s="13" t="n">
        <x:f>IF(D710="",MAX(TODAY()-C710,0),MAX(D710-C710,0))</x:f>
        <x:v>0</x:v>
      </x:c>
      <x:c r="S710" s="13" t="str">
        <x:f>IF(R710=0,"Em dia",IF(R710&lt;=15,"1-15 dias",IF(R710&lt;=30,"16-30 dias",IF(R710&lt;=60,"31-60 dias","Acima de 60 dias"))))</x:f>
        <x:v>Em dia</x:v>
      </x:c>
    </x:row>
    <x:row r="711">
      <x:c r="A711" s="13" t="str">
        <x:v>REC-000710</x:v>
      </x:c>
      <x:c r="B711" s="23" t="n">
        <x:v>45638</x:v>
      </x:c>
      <x:c r="C711" s="23" t="n">
        <x:v>45668</x:v>
      </x:c>
      <x:c r="D711" s="23" t="n">
        <x:v>45668</x:v>
      </x:c>
      <x:c r="E711" s="13" t="str">
        <x:v>VAL-028</x:v>
      </x:c>
      <x:c r="F711" s="13" t="str">
        <x:v>Pixel Norte</x:v>
      </x:c>
      <x:c r="G711" s="13" t="str">
        <x:v>Tecnologia</x:v>
      </x:c>
      <x:c r="H711" s="13" t="str">
        <x:v>Alto</x:v>
      </x:c>
      <x:c r="I711" s="13" t="str">
        <x:v>Enterprise</x:v>
      </x:c>
      <x:c r="J711" s="17" t="n">
        <x:v>6935.49</x:v>
      </x:c>
      <x:c r="K711" s="17" t="n">
        <x:v>0</x:v>
      </x:c>
      <x:c r="L711" s="17" t="n">
        <x:v>0</x:v>
      </x:c>
      <x:c r="M711" s="13" t="str">
        <x:v>Pago</x:v>
      </x:c>
      <x:c r="N711" s="13" t="str">
        <x:v>Sem cobrança</x:v>
      </x:c>
      <x:c r="O711" s="13" t="str">
        <x:v>Crescimento sem escala</x:v>
      </x:c>
      <x:c r="P711" s="17" t="n">
        <x:f>IF(D711="",0,J711-K711+L711)</x:f>
        <x:v>6935.49</x:v>
      </x:c>
      <x:c r="Q711" s="17" t="n">
        <x:f>MAX(J711-P711-K711,0)</x:f>
        <x:v>0</x:v>
      </x:c>
      <x:c r="R711" s="13" t="n">
        <x:f>IF(D711="",MAX(TODAY()-C711,0),MAX(D711-C711,0))</x:f>
        <x:v>0</x:v>
      </x:c>
      <x:c r="S711" s="13" t="str">
        <x:f>IF(R711=0,"Em dia",IF(R711&lt;=15,"1-15 dias",IF(R711&lt;=30,"16-30 dias",IF(R711&lt;=60,"31-60 dias","Acima de 60 dias"))))</x:f>
        <x:v>Em dia</x:v>
      </x:c>
    </x:row>
    <x:row r="712">
      <x:c r="A712" s="13" t="str">
        <x:v>REC-000711</x:v>
      </x:c>
      <x:c r="B712" s="23" t="n">
        <x:v>45627</x:v>
      </x:c>
      <x:c r="C712" s="23" t="n">
        <x:v>45657</x:v>
      </x:c>
      <x:c r="D712" s="23" t="n">
        <x:v>45655</x:v>
      </x:c>
      <x:c r="E712" s="13" t="str">
        <x:v>VAL-023</x:v>
      </x:c>
      <x:c r="F712" s="13" t="str">
        <x:v>ShopMix Brasil</x:v>
      </x:c>
      <x:c r="G712" s="13" t="str">
        <x:v>E-commerce</x:v>
      </x:c>
      <x:c r="H712" s="13" t="str">
        <x:v>Baixo</x:v>
      </x:c>
      <x:c r="I712" s="13" t="str">
        <x:v>Performance</x:v>
      </x:c>
      <x:c r="J712" s="17" t="n">
        <x:v>8343.82</x:v>
      </x:c>
      <x:c r="K712" s="17" t="n">
        <x:v>0</x:v>
      </x:c>
      <x:c r="L712" s="17" t="n">
        <x:v>0</x:v>
      </x:c>
      <x:c r="M712" s="13" t="str">
        <x:v>Pago</x:v>
      </x:c>
      <x:c r="N712" s="13" t="str">
        <x:v>Sem cobrança</x:v>
      </x:c>
      <x:c r="O712" s="13" t="str">
        <x:v>Crescimento sem escala</x:v>
      </x:c>
      <x:c r="P712" s="17" t="n">
        <x:f>IF(D712="",0,J712-K712+L712)</x:f>
        <x:v>8343.82</x:v>
      </x:c>
      <x:c r="Q712" s="17" t="n">
        <x:f>MAX(J712-P712-K712,0)</x:f>
        <x:v>0</x:v>
      </x:c>
      <x:c r="R712" s="13" t="n">
        <x:f>IF(D712="",MAX(TODAY()-C712,0),MAX(D712-C712,0))</x:f>
        <x:v>0</x:v>
      </x:c>
      <x:c r="S712" s="13" t="str">
        <x:f>IF(R712=0,"Em dia",IF(R712&lt;=15,"1-15 dias",IF(R712&lt;=30,"16-30 dias",IF(R712&lt;=60,"31-60 dias","Acima de 60 dias"))))</x:f>
        <x:v>Em dia</x:v>
      </x:c>
    </x:row>
    <x:row r="713">
      <x:c r="A713" s="13" t="str">
        <x:v>REC-000712</x:v>
      </x:c>
      <x:c r="B713" s="23" t="n">
        <x:v>45634</x:v>
      </x:c>
      <x:c r="C713" s="23" t="n">
        <x:v>45649</x:v>
      </x:c>
      <x:c r="D713" s="23" t="n">
        <x:v>45645</x:v>
      </x:c>
      <x:c r="E713" s="13" t="str">
        <x:v>VAL-014</x:v>
      </x:c>
      <x:c r="F713" s="13" t="str">
        <x:v>Colégio Caminhos</x:v>
      </x:c>
      <x:c r="G713" s="13" t="str">
        <x:v>Educação</x:v>
      </x:c>
      <x:c r="H713" s="13" t="str">
        <x:v>Médio</x:v>
      </x:c>
      <x:c r="I713" s="13" t="str">
        <x:v>Gestão</x:v>
      </x:c>
      <x:c r="J713" s="17" t="n">
        <x:v>25718.34</x:v>
      </x:c>
      <x:c r="K713" s="17" t="n">
        <x:v>0</x:v>
      </x:c>
      <x:c r="L713" s="17" t="n">
        <x:v>0</x:v>
      </x:c>
      <x:c r="M713" s="13" t="str">
        <x:v>Pago</x:v>
      </x:c>
      <x:c r="N713" s="13" t="str">
        <x:v>Sem cobrança</x:v>
      </x:c>
      <x:c r="O713" s="13" t="str">
        <x:v>Crescimento sem escala</x:v>
      </x:c>
      <x:c r="P713" s="17" t="n">
        <x:f>IF(D713="",0,J713-K713+L713)</x:f>
        <x:v>25718.34</x:v>
      </x:c>
      <x:c r="Q713" s="17" t="n">
        <x:f>MAX(J713-P713-K713,0)</x:f>
        <x:v>0</x:v>
      </x:c>
      <x:c r="R713" s="13" t="n">
        <x:f>IF(D713="",MAX(TODAY()-C713,0),MAX(D713-C713,0))</x:f>
        <x:v>0</x:v>
      </x:c>
      <x:c r="S713" s="13" t="str">
        <x:f>IF(R713=0,"Em dia",IF(R713&lt;=15,"1-15 dias",IF(R713&lt;=30,"16-30 dias",IF(R713&lt;=60,"31-60 dias","Acima de 60 dias"))))</x:f>
        <x:v>Em dia</x:v>
      </x:c>
    </x:row>
    <x:row r="714">
      <x:c r="A714" s="13" t="str">
        <x:v>REC-000713</x:v>
      </x:c>
      <x:c r="B714" s="23" t="n">
        <x:v>45628</x:v>
      </x:c>
      <x:c r="C714" s="23" t="n">
        <x:v>45643</x:v>
      </x:c>
      <x:c r="D714" s="23" t="n">
        <x:v>45641</x:v>
      </x:c>
      <x:c r="E714" s="13" t="str">
        <x:v>VAL-023</x:v>
      </x:c>
      <x:c r="F714" s="13" t="str">
        <x:v>ShopMix Brasil</x:v>
      </x:c>
      <x:c r="G714" s="13" t="str">
        <x:v>E-commerce</x:v>
      </x:c>
      <x:c r="H714" s="13" t="str">
        <x:v>Baixo</x:v>
      </x:c>
      <x:c r="I714" s="13" t="str">
        <x:v>Performance</x:v>
      </x:c>
      <x:c r="J714" s="17" t="n">
        <x:v>15298.25</x:v>
      </x:c>
      <x:c r="K714" s="17" t="n">
        <x:v>0</x:v>
      </x:c>
      <x:c r="L714" s="17" t="n">
        <x:v>0</x:v>
      </x:c>
      <x:c r="M714" s="13" t="str">
        <x:v>Pago</x:v>
      </x:c>
      <x:c r="N714" s="13" t="str">
        <x:v>Sem cobrança</x:v>
      </x:c>
      <x:c r="O714" s="13" t="str">
        <x:v>Crescimento sem escala</x:v>
      </x:c>
      <x:c r="P714" s="17" t="n">
        <x:f>IF(D714="",0,J714-K714+L714)</x:f>
        <x:v>15298.25</x:v>
      </x:c>
      <x:c r="Q714" s="17" t="n">
        <x:f>MAX(J714-P714-K714,0)</x:f>
        <x:v>0</x:v>
      </x:c>
      <x:c r="R714" s="13" t="n">
        <x:f>IF(D714="",MAX(TODAY()-C714,0),MAX(D714-C714,0))</x:f>
        <x:v>0</x:v>
      </x:c>
      <x:c r="S714" s="13" t="str">
        <x:f>IF(R714=0,"Em dia",IF(R714&lt;=15,"1-15 dias",IF(R714&lt;=30,"16-30 dias",IF(R714&lt;=60,"31-60 dias","Acima de 60 dias"))))</x:f>
        <x:v>Em dia</x:v>
      </x:c>
    </x:row>
    <x:row r="715">
      <x:c r="A715" s="13" t="str">
        <x:v>REC-000714</x:v>
      </x:c>
      <x:c r="B715" s="23" t="n">
        <x:v>45644</x:v>
      </x:c>
      <x:c r="C715" s="23" t="n">
        <x:v>45672</x:v>
      </x:c>
      <x:c r="D715" s="23" t="n">
        <x:v>45671</x:v>
      </x:c>
      <x:c r="E715" s="13" t="str">
        <x:v>VAL-007</x:v>
      </x:c>
      <x:c r="F715" s="13" t="str">
        <x:v>Loja Prisma Online</x:v>
      </x:c>
      <x:c r="G715" s="13" t="str">
        <x:v>E-commerce</x:v>
      </x:c>
      <x:c r="H715" s="13" t="str">
        <x:v>Médio</x:v>
      </x:c>
      <x:c r="I715" s="13" t="str">
        <x:v>Performance</x:v>
      </x:c>
      <x:c r="J715" s="17" t="n">
        <x:v>14534.64</x:v>
      </x:c>
      <x:c r="K715" s="17" t="n">
        <x:v>0</x:v>
      </x:c>
      <x:c r="L715" s="17" t="n">
        <x:v>0</x:v>
      </x:c>
      <x:c r="M715" s="13" t="str">
        <x:v>Pago</x:v>
      </x:c>
      <x:c r="N715" s="13" t="str">
        <x:v>Sem cobrança</x:v>
      </x:c>
      <x:c r="O715" s="13" t="str">
        <x:v>Crescimento sem escala</x:v>
      </x:c>
      <x:c r="P715" s="17" t="n">
        <x:f>IF(D715="",0,J715-K715+L715)</x:f>
        <x:v>14534.64</x:v>
      </x:c>
      <x:c r="Q715" s="17" t="n">
        <x:f>MAX(J715-P715-K715,0)</x:f>
        <x:v>0</x:v>
      </x:c>
      <x:c r="R715" s="13" t="n">
        <x:f>IF(D715="",MAX(TODAY()-C715,0),MAX(D715-C715,0))</x:f>
        <x:v>0</x:v>
      </x:c>
      <x:c r="S715" s="13" t="str">
        <x:f>IF(R715=0,"Em dia",IF(R715&lt;=15,"1-15 dias",IF(R715&lt;=30,"16-30 dias",IF(R715&lt;=60,"31-60 dias","Acima de 60 dias"))))</x:f>
        <x:v>Em dia</x:v>
      </x:c>
    </x:row>
    <x:row r="716">
      <x:c r="A716" s="13" t="str">
        <x:v>REC-000715</x:v>
      </x:c>
      <x:c r="B716" s="23" t="n">
        <x:v>45641</x:v>
      </x:c>
      <x:c r="C716" s="23" t="n">
        <x:v>45662</x:v>
      </x:c>
      <x:c r="D716" s="23" t="n">
        <x:v>45661</x:v>
      </x:c>
      <x:c r="E716" s="13" t="str">
        <x:v>VAL-013</x:v>
      </x:c>
      <x:c r="F716" s="13" t="str">
        <x:v>Engenharia Vértice</x:v>
      </x:c>
      <x:c r="G716" s="13" t="str">
        <x:v>Construção</x:v>
      </x:c>
      <x:c r="H716" s="13" t="str">
        <x:v>Baixo</x:v>
      </x:c>
      <x:c r="I716" s="13" t="str">
        <x:v>Essencial</x:v>
      </x:c>
      <x:c r="J716" s="17" t="n">
        <x:v>18693.38</x:v>
      </x:c>
      <x:c r="K716" s="17" t="n">
        <x:v>0</x:v>
      </x:c>
      <x:c r="L716" s="17" t="n">
        <x:v>0</x:v>
      </x:c>
      <x:c r="M716" s="13" t="str">
        <x:v>Pago</x:v>
      </x:c>
      <x:c r="N716" s="13" t="str">
        <x:v>Sem cobrança</x:v>
      </x:c>
      <x:c r="O716" s="13" t="str">
        <x:v>Crescimento sem escala</x:v>
      </x:c>
      <x:c r="P716" s="17" t="n">
        <x:f>IF(D716="",0,J716-K716+L716)</x:f>
        <x:v>18693.38</x:v>
      </x:c>
      <x:c r="Q716" s="17" t="n">
        <x:f>MAX(J716-P716-K716,0)</x:f>
        <x:v>0</x:v>
      </x:c>
      <x:c r="R716" s="13" t="n">
        <x:f>IF(D716="",MAX(TODAY()-C716,0),MAX(D716-C716,0))</x:f>
        <x:v>0</x:v>
      </x:c>
      <x:c r="S716" s="13" t="str">
        <x:f>IF(R716=0,"Em dia",IF(R716&lt;=15,"1-15 dias",IF(R716&lt;=30,"16-30 dias",IF(R716&lt;=60,"31-60 dias","Acima de 60 dias"))))</x:f>
        <x:v>Em dia</x:v>
      </x:c>
    </x:row>
    <x:row r="717">
      <x:c r="A717" s="13" t="str">
        <x:v>REC-000716</x:v>
      </x:c>
      <x:c r="B717" s="23" t="n">
        <x:v>45644</x:v>
      </x:c>
      <x:c r="C717" s="23" t="n">
        <x:v>45674</x:v>
      </x:c>
      <x:c r="D717" s="23" t="n">
        <x:v>45670</x:v>
      </x:c>
      <x:c r="E717" s="13" t="str">
        <x:v>VAL-010</x:v>
      </x:c>
      <x:c r="F717" s="13" t="str">
        <x:v>Atlas Contabilidade</x:v>
      </x:c>
      <x:c r="G717" s="13" t="str">
        <x:v>Serviços Profissionais</x:v>
      </x:c>
      <x:c r="H717" s="13" t="str">
        <x:v>Baixo</x:v>
      </x:c>
      <x:c r="I717" s="13" t="str">
        <x:v>Gestão</x:v>
      </x:c>
      <x:c r="J717" s="17" t="n">
        <x:v>8777.32</x:v>
      </x:c>
      <x:c r="K717" s="17" t="n">
        <x:v>0</x:v>
      </x:c>
      <x:c r="L717" s="17" t="n">
        <x:v>0</x:v>
      </x:c>
      <x:c r="M717" s="13" t="str">
        <x:v>Pago</x:v>
      </x:c>
      <x:c r="N717" s="13" t="str">
        <x:v>Sem cobrança</x:v>
      </x:c>
      <x:c r="O717" s="13" t="str">
        <x:v>Crescimento sem escala</x:v>
      </x:c>
      <x:c r="P717" s="17" t="n">
        <x:f>IF(D717="",0,J717-K717+L717)</x:f>
        <x:v>8777.32</x:v>
      </x:c>
      <x:c r="Q717" s="17" t="n">
        <x:f>MAX(J717-P717-K717,0)</x:f>
        <x:v>0</x:v>
      </x:c>
      <x:c r="R717" s="13" t="n">
        <x:f>IF(D717="",MAX(TODAY()-C717,0),MAX(D717-C717,0))</x:f>
        <x:v>0</x:v>
      </x:c>
      <x:c r="S717" s="13" t="str">
        <x:f>IF(R717=0,"Em dia",IF(R717&lt;=15,"1-15 dias",IF(R717&lt;=30,"16-30 dias",IF(R717&lt;=60,"31-60 dias","Acima de 60 dias"))))</x:f>
        <x:v>Em dia</x:v>
      </x:c>
    </x:row>
    <x:row r="718">
      <x:c r="A718" s="13" t="str">
        <x:v>REC-000717</x:v>
      </x:c>
      <x:c r="B718" s="23" t="n">
        <x:v>45645</x:v>
      </x:c>
      <x:c r="C718" s="23" t="n">
        <x:v>45660</x:v>
      </x:c>
      <x:c r="D718" s="23" t="n">
        <x:v>45659</x:v>
      </x:c>
      <x:c r="E718" s="13" t="str">
        <x:v>VAL-030</x:v>
      </x:c>
      <x:c r="F718" s="13" t="str">
        <x:v>Mundo Kids Cursos</x:v>
      </x:c>
      <x:c r="G718" s="13" t="str">
        <x:v>Educação</x:v>
      </x:c>
      <x:c r="H718" s="13" t="str">
        <x:v>Alto</x:v>
      </x:c>
      <x:c r="I718" s="13" t="str">
        <x:v>Gestão</x:v>
      </x:c>
      <x:c r="J718" s="17" t="n">
        <x:v>16608.83</x:v>
      </x:c>
      <x:c r="K718" s="17" t="n">
        <x:v>0</x:v>
      </x:c>
      <x:c r="L718" s="17" t="n">
        <x:v>0</x:v>
      </x:c>
      <x:c r="M718" s="13" t="str">
        <x:v>Pago</x:v>
      </x:c>
      <x:c r="N718" s="13" t="str">
        <x:v>Sem cobrança</x:v>
      </x:c>
      <x:c r="O718" s="13" t="str">
        <x:v>Crescimento sem escala</x:v>
      </x:c>
      <x:c r="P718" s="17" t="n">
        <x:f>IF(D718="",0,J718-K718+L718)</x:f>
        <x:v>16608.83</x:v>
      </x:c>
      <x:c r="Q718" s="17" t="n">
        <x:f>MAX(J718-P718-K718,0)</x:f>
        <x:v>0</x:v>
      </x:c>
      <x:c r="R718" s="13" t="n">
        <x:f>IF(D718="",MAX(TODAY()-C718,0),MAX(D718-C718,0))</x:f>
        <x:v>0</x:v>
      </x:c>
      <x:c r="S718" s="13" t="str">
        <x:f>IF(R718=0,"Em dia",IF(R718&lt;=15,"1-15 dias",IF(R718&lt;=30,"16-30 dias",IF(R718&lt;=60,"31-60 dias","Acima de 60 dias"))))</x:f>
        <x:v>Em dia</x:v>
      </x:c>
    </x:row>
    <x:row r="719">
      <x:c r="A719" s="13" t="str">
        <x:v>REC-000718</x:v>
      </x:c>
      <x:c r="B719" s="23" t="n">
        <x:v>45629</x:v>
      </x:c>
      <x:c r="C719" s="23" t="n">
        <x:v>45636</x:v>
      </x:c>
      <x:c r="D719" s="23" t="n">
        <x:v>45632</x:v>
      </x:c>
      <x:c r="E719" s="13" t="str">
        <x:v>VAL-007</x:v>
      </x:c>
      <x:c r="F719" s="13" t="str">
        <x:v>Loja Prisma Online</x:v>
      </x:c>
      <x:c r="G719" s="13" t="str">
        <x:v>E-commerce</x:v>
      </x:c>
      <x:c r="H719" s="13" t="str">
        <x:v>Médio</x:v>
      </x:c>
      <x:c r="I719" s="13" t="str">
        <x:v>Performance</x:v>
      </x:c>
      <x:c r="J719" s="17" t="n">
        <x:v>3727.04</x:v>
      </x:c>
      <x:c r="K719" s="17" t="n">
        <x:v>0</x:v>
      </x:c>
      <x:c r="L719" s="17" t="n">
        <x:v>0</x:v>
      </x:c>
      <x:c r="M719" s="13" t="str">
        <x:v>Pago</x:v>
      </x:c>
      <x:c r="N719" s="13" t="str">
        <x:v>Sem cobrança</x:v>
      </x:c>
      <x:c r="O719" s="13" t="str">
        <x:v>Crescimento sem escala</x:v>
      </x:c>
      <x:c r="P719" s="17" t="n">
        <x:f>IF(D719="",0,J719-K719+L719)</x:f>
        <x:v>3727.04</x:v>
      </x:c>
      <x:c r="Q719" s="17" t="n">
        <x:f>MAX(J719-P719-K719,0)</x:f>
        <x:v>0</x:v>
      </x:c>
      <x:c r="R719" s="13" t="n">
        <x:f>IF(D719="",MAX(TODAY()-C719,0),MAX(D719-C719,0))</x:f>
        <x:v>0</x:v>
      </x:c>
      <x:c r="S719" s="13" t="str">
        <x:f>IF(R719=0,"Em dia",IF(R719&lt;=15,"1-15 dias",IF(R719&lt;=30,"16-30 dias",IF(R719&lt;=60,"31-60 dias","Acima de 60 dias"))))</x:f>
        <x:v>Em dia</x:v>
      </x:c>
    </x:row>
    <x:row r="720">
      <x:c r="A720" s="13" t="str">
        <x:v>REC-000719</x:v>
      </x:c>
      <x:c r="B720" s="23" t="n">
        <x:v>45635</x:v>
      </x:c>
      <x:c r="C720" s="23" t="n">
        <x:v>45642</x:v>
      </x:c>
      <x:c r="D720" s="23" t="n">
        <x:v>45642</x:v>
      </x:c>
      <x:c r="E720" s="13" t="str">
        <x:v>VAL-028</x:v>
      </x:c>
      <x:c r="F720" s="13" t="str">
        <x:v>Pixel Norte</x:v>
      </x:c>
      <x:c r="G720" s="13" t="str">
        <x:v>Tecnologia</x:v>
      </x:c>
      <x:c r="H720" s="13" t="str">
        <x:v>Alto</x:v>
      </x:c>
      <x:c r="I720" s="13" t="str">
        <x:v>Enterprise</x:v>
      </x:c>
      <x:c r="J720" s="17" t="n">
        <x:v>11794.97</x:v>
      </x:c>
      <x:c r="K720" s="17" t="n">
        <x:v>0</x:v>
      </x:c>
      <x:c r="L720" s="17" t="n">
        <x:v>0</x:v>
      </x:c>
      <x:c r="M720" s="13" t="str">
        <x:v>Pago</x:v>
      </x:c>
      <x:c r="N720" s="13" t="str">
        <x:v>Sem cobrança</x:v>
      </x:c>
      <x:c r="O720" s="13" t="str">
        <x:v>Crescimento sem escala</x:v>
      </x:c>
      <x:c r="P720" s="17" t="n">
        <x:f>IF(D720="",0,J720-K720+L720)</x:f>
        <x:v>11794.97</x:v>
      </x:c>
      <x:c r="Q720" s="17" t="n">
        <x:f>MAX(J720-P720-K720,0)</x:f>
        <x:v>0</x:v>
      </x:c>
      <x:c r="R720" s="13" t="n">
        <x:f>IF(D720="",MAX(TODAY()-C720,0),MAX(D720-C720,0))</x:f>
        <x:v>0</x:v>
      </x:c>
      <x:c r="S720" s="13" t="str">
        <x:f>IF(R720=0,"Em dia",IF(R720&lt;=15,"1-15 dias",IF(R720&lt;=30,"16-30 dias",IF(R720&lt;=60,"31-60 dias","Acima de 60 dias"))))</x:f>
        <x:v>Em dia</x:v>
      </x:c>
    </x:row>
    <x:row r="721">
      <x:c r="A721" s="13" t="str">
        <x:v>REC-000720</x:v>
      </x:c>
      <x:c r="B721" s="23" t="n">
        <x:v>45628</x:v>
      </x:c>
      <x:c r="C721" s="23" t="n">
        <x:v>45649</x:v>
      </x:c>
      <x:c r="D721" s="23" t="n">
        <x:v>45647</x:v>
      </x:c>
      <x:c r="E721" s="13" t="str">
        <x:v>VAL-028</x:v>
      </x:c>
      <x:c r="F721" s="13" t="str">
        <x:v>Pixel Norte</x:v>
      </x:c>
      <x:c r="G721" s="13" t="str">
        <x:v>Tecnologia</x:v>
      </x:c>
      <x:c r="H721" s="13" t="str">
        <x:v>Alto</x:v>
      </x:c>
      <x:c r="I721" s="13" t="str">
        <x:v>Enterprise</x:v>
      </x:c>
      <x:c r="J721" s="17" t="n">
        <x:v>26198.68</x:v>
      </x:c>
      <x:c r="K721" s="17" t="n">
        <x:v>0</x:v>
      </x:c>
      <x:c r="L721" s="17" t="n">
        <x:v>0</x:v>
      </x:c>
      <x:c r="M721" s="13" t="str">
        <x:v>Pago</x:v>
      </x:c>
      <x:c r="N721" s="13" t="str">
        <x:v>Sem cobrança</x:v>
      </x:c>
      <x:c r="O721" s="13" t="str">
        <x:v>Crescimento sem escala</x:v>
      </x:c>
      <x:c r="P721" s="17" t="n">
        <x:f>IF(D721="",0,J721-K721+L721)</x:f>
        <x:v>26198.68</x:v>
      </x:c>
      <x:c r="Q721" s="17" t="n">
        <x:f>MAX(J721-P721-K721,0)</x:f>
        <x:v>0</x:v>
      </x:c>
      <x:c r="R721" s="13" t="n">
        <x:f>IF(D721="",MAX(TODAY()-C721,0),MAX(D721-C721,0))</x:f>
        <x:v>0</x:v>
      </x:c>
      <x:c r="S721" s="13" t="str">
        <x:f>IF(R721=0,"Em dia",IF(R721&lt;=15,"1-15 dias",IF(R721&lt;=30,"16-30 dias",IF(R721&lt;=60,"31-60 dias","Acima de 60 dias"))))</x:f>
        <x:v>Em dia</x:v>
      </x:c>
    </x:row>
    <x:row r="722">
      <x:c r="A722" s="13" t="str">
        <x:v>REC-000721</x:v>
      </x:c>
      <x:c r="B722" s="23" t="n">
        <x:v>45673</x:v>
      </x:c>
      <x:c r="C722" s="23" t="n">
        <x:v>45688</x:v>
      </x:c>
      <x:c r="D722" s="23" t="n">
        <x:v>45686</x:v>
      </x:c>
      <x:c r="E722" s="13" t="str">
        <x:v>VAL-016</x:v>
      </x:c>
      <x:c r="F722" s="13" t="str">
        <x:v>Lumina Embalagens</x:v>
      </x:c>
      <x:c r="G722" s="13" t="str">
        <x:v>Indústria Leve</x:v>
      </x:c>
      <x:c r="H722" s="13" t="str">
        <x:v>Baixo</x:v>
      </x:c>
      <x:c r="I722" s="13" t="str">
        <x:v>Enterprise</x:v>
      </x:c>
      <x:c r="J722" s="17" t="n">
        <x:v>30679.57</x:v>
      </x:c>
      <x:c r="K722" s="17" t="n">
        <x:v>0</x:v>
      </x:c>
      <x:c r="L722" s="17" t="n">
        <x:v>0</x:v>
      </x:c>
      <x:c r="M722" s="13" t="str">
        <x:v>Pago</x:v>
      </x:c>
      <x:c r="N722" s="13" t="str">
        <x:v>Sem cobrança</x:v>
      </x:c>
      <x:c r="O722" s="13" t="str">
        <x:v>Pico do descontrole</x:v>
      </x:c>
      <x:c r="P722" s="17" t="n">
        <x:f>IF(D722="",0,J722-K722+L722)</x:f>
        <x:v>30679.57</x:v>
      </x:c>
      <x:c r="Q722" s="17" t="n">
        <x:f>MAX(J722-P722-K722,0)</x:f>
        <x:v>0</x:v>
      </x:c>
      <x:c r="R722" s="13" t="n">
        <x:f>IF(D722="",MAX(TODAY()-C722,0),MAX(D722-C722,0))</x:f>
        <x:v>0</x:v>
      </x:c>
      <x:c r="S722" s="13" t="str">
        <x:f>IF(R722=0,"Em dia",IF(R722&lt;=15,"1-15 dias",IF(R722&lt;=30,"16-30 dias",IF(R722&lt;=60,"31-60 dias","Acima de 60 dias"))))</x:f>
        <x:v>Em dia</x:v>
      </x:c>
    </x:row>
    <x:row r="723">
      <x:c r="A723" s="13" t="str">
        <x:v>REC-000722</x:v>
      </x:c>
      <x:c r="B723" s="23" t="n">
        <x:v>45672</x:v>
      </x:c>
      <x:c r="C723" s="23" t="n">
        <x:v>45693</x:v>
      </x:c>
      <x:c r="D723" s="23" t="n">
        <x:v>45691</x:v>
      </x:c>
      <x:c r="E723" s="13" t="str">
        <x:v>VAL-011</x:v>
      </x:c>
      <x:c r="F723" s="13" t="str">
        <x:v>Rede Essencial</x:v>
      </x:c>
      <x:c r="G723" s="13" t="str">
        <x:v>Varejo</x:v>
      </x:c>
      <x:c r="H723" s="13" t="str">
        <x:v>Médio</x:v>
      </x:c>
      <x:c r="I723" s="13" t="str">
        <x:v>Performance</x:v>
      </x:c>
      <x:c r="J723" s="17" t="n">
        <x:v>13426.26</x:v>
      </x:c>
      <x:c r="K723" s="17" t="n">
        <x:v>0</x:v>
      </x:c>
      <x:c r="L723" s="17" t="n">
        <x:v>0</x:v>
      </x:c>
      <x:c r="M723" s="13" t="str">
        <x:v>Pago</x:v>
      </x:c>
      <x:c r="N723" s="13" t="str">
        <x:v>Sem cobrança</x:v>
      </x:c>
      <x:c r="O723" s="13" t="str">
        <x:v>Pico do descontrole</x:v>
      </x:c>
      <x:c r="P723" s="17" t="n">
        <x:f>IF(D723="",0,J723-K723+L723)</x:f>
        <x:v>13426.26</x:v>
      </x:c>
      <x:c r="Q723" s="17" t="n">
        <x:f>MAX(J723-P723-K723,0)</x:f>
        <x:v>0</x:v>
      </x:c>
      <x:c r="R723" s="13" t="n">
        <x:f>IF(D723="",MAX(TODAY()-C723,0),MAX(D723-C723,0))</x:f>
        <x:v>0</x:v>
      </x:c>
      <x:c r="S723" s="13" t="str">
        <x:f>IF(R723=0,"Em dia",IF(R723&lt;=15,"1-15 dias",IF(R723&lt;=30,"16-30 dias",IF(R723&lt;=60,"31-60 dias","Acima de 60 dias"))))</x:f>
        <x:v>Em dia</x:v>
      </x:c>
    </x:row>
    <x:row r="724">
      <x:c r="A724" s="13" t="str">
        <x:v>REC-000723</x:v>
      </x:c>
      <x:c r="B724" s="23" t="n">
        <x:v>45663</x:v>
      </x:c>
      <x:c r="C724" s="23" t="n">
        <x:v>45670</x:v>
      </x:c>
      <x:c r="D724" s="23" t="n">
        <x:v>45670</x:v>
      </x:c>
      <x:c r="E724" s="13" t="str">
        <x:v>VAL-026</x:v>
      </x:c>
      <x:c r="F724" s="13" t="str">
        <x:v>Ribeiro Arquitetura</x:v>
      </x:c>
      <x:c r="G724" s="13" t="str">
        <x:v>Serviços Profissionais</x:v>
      </x:c>
      <x:c r="H724" s="13" t="str">
        <x:v>Baixo</x:v>
      </x:c>
      <x:c r="I724" s="13" t="str">
        <x:v>Gestão</x:v>
      </x:c>
      <x:c r="J724" s="17" t="n">
        <x:v>1394.47</x:v>
      </x:c>
      <x:c r="K724" s="17" t="n">
        <x:v>24.47</x:v>
      </x:c>
      <x:c r="L724" s="17" t="n">
        <x:v>0</x:v>
      </x:c>
      <x:c r="M724" s="13" t="str">
        <x:v>Pago</x:v>
      </x:c>
      <x:c r="N724" s="13" t="str">
        <x:v>Sem cobrança</x:v>
      </x:c>
      <x:c r="O724" s="13" t="str">
        <x:v>Pico do descontrole</x:v>
      </x:c>
      <x:c r="P724" s="17" t="n">
        <x:f>IF(D724="",0,J724-K724+L724)</x:f>
        <x:v>1370</x:v>
      </x:c>
      <x:c r="Q724" s="17" t="n">
        <x:f>MAX(J724-P724-K724,0)</x:f>
        <x:v>2.842170943040401e-14</x:v>
      </x:c>
      <x:c r="R724" s="13" t="n">
        <x:f>IF(D724="",MAX(TODAY()-C724,0),MAX(D724-C724,0))</x:f>
        <x:v>0</x:v>
      </x:c>
      <x:c r="S724" s="13" t="str">
        <x:f>IF(R724=0,"Em dia",IF(R724&lt;=15,"1-15 dias",IF(R724&lt;=30,"16-30 dias",IF(R724&lt;=60,"31-60 dias","Acima de 60 dias"))))</x:f>
        <x:v>Em dia</x:v>
      </x:c>
    </x:row>
    <x:row r="725">
      <x:c r="A725" s="13" t="str">
        <x:v>REC-000724</x:v>
      </x:c>
      <x:c r="B725" s="23" t="n">
        <x:v>45673</x:v>
      </x:c>
      <x:c r="C725" s="23" t="n">
        <x:v>45688</x:v>
      </x:c>
      <x:c r="D725" s="23" t="n">
        <x:v>45687</x:v>
      </x:c>
      <x:c r="E725" s="13" t="str">
        <x:v>VAL-011</x:v>
      </x:c>
      <x:c r="F725" s="13" t="str">
        <x:v>Rede Essencial</x:v>
      </x:c>
      <x:c r="G725" s="13" t="str">
        <x:v>Varejo</x:v>
      </x:c>
      <x:c r="H725" s="13" t="str">
        <x:v>Médio</x:v>
      </x:c>
      <x:c r="I725" s="13" t="str">
        <x:v>Performance</x:v>
      </x:c>
      <x:c r="J725" s="17" t="n">
        <x:v>31424.43</x:v>
      </x:c>
      <x:c r="K725" s="17" t="n">
        <x:v>0</x:v>
      </x:c>
      <x:c r="L725" s="17" t="n">
        <x:v>0</x:v>
      </x:c>
      <x:c r="M725" s="13" t="str">
        <x:v>Pago</x:v>
      </x:c>
      <x:c r="N725" s="13" t="str">
        <x:v>Sem cobrança</x:v>
      </x:c>
      <x:c r="O725" s="13" t="str">
        <x:v>Pico do descontrole</x:v>
      </x:c>
      <x:c r="P725" s="17" t="n">
        <x:f>IF(D725="",0,J725-K725+L725)</x:f>
        <x:v>31424.43</x:v>
      </x:c>
      <x:c r="Q725" s="17" t="n">
        <x:f>MAX(J725-P725-K725,0)</x:f>
        <x:v>0</x:v>
      </x:c>
      <x:c r="R725" s="13" t="n">
        <x:f>IF(D725="",MAX(TODAY()-C725,0),MAX(D725-C725,0))</x:f>
        <x:v>0</x:v>
      </x:c>
      <x:c r="S725" s="13" t="str">
        <x:f>IF(R725=0,"Em dia",IF(R725&lt;=15,"1-15 dias",IF(R725&lt;=30,"16-30 dias",IF(R725&lt;=60,"31-60 dias","Acima de 60 dias"))))</x:f>
        <x:v>Em dia</x:v>
      </x:c>
    </x:row>
    <x:row r="726">
      <x:c r="A726" s="13" t="str">
        <x:v>REC-000725</x:v>
      </x:c>
      <x:c r="B726" s="23" t="n">
        <x:v>45666</x:v>
      </x:c>
      <x:c r="C726" s="23" t="n">
        <x:v>45696</x:v>
      </x:c>
      <x:c r="D726" s="23" t="n">
        <x:v>45692</x:v>
      </x:c>
      <x:c r="E726" s="13" t="str">
        <x:v>VAL-025</x:v>
      </x:c>
      <x:c r="F726" s="13" t="str">
        <x:v>Bem-Estar Terapias</x:v>
      </x:c>
      <x:c r="G726" s="13" t="str">
        <x:v>Clínicas e Saúde</x:v>
      </x:c>
      <x:c r="H726" s="13" t="str">
        <x:v>Baixo</x:v>
      </x:c>
      <x:c r="I726" s="13" t="str">
        <x:v>Essencial</x:v>
      </x:c>
      <x:c r="J726" s="17" t="n">
        <x:v>21971.26</x:v>
      </x:c>
      <x:c r="K726" s="17" t="n">
        <x:v>0</x:v>
      </x:c>
      <x:c r="L726" s="17" t="n">
        <x:v>0</x:v>
      </x:c>
      <x:c r="M726" s="13" t="str">
        <x:v>Pago</x:v>
      </x:c>
      <x:c r="N726" s="13" t="str">
        <x:v>Sem cobrança</x:v>
      </x:c>
      <x:c r="O726" s="13" t="str">
        <x:v>Pico do descontrole</x:v>
      </x:c>
      <x:c r="P726" s="17" t="n">
        <x:f>IF(D726="",0,J726-K726+L726)</x:f>
        <x:v>21971.26</x:v>
      </x:c>
      <x:c r="Q726" s="17" t="n">
        <x:f>MAX(J726-P726-K726,0)</x:f>
        <x:v>0</x:v>
      </x:c>
      <x:c r="R726" s="13" t="n">
        <x:f>IF(D726="",MAX(TODAY()-C726,0),MAX(D726-C726,0))</x:f>
        <x:v>0</x:v>
      </x:c>
      <x:c r="S726" s="13" t="str">
        <x:f>IF(R726=0,"Em dia",IF(R726&lt;=15,"1-15 dias",IF(R726&lt;=30,"16-30 dias",IF(R726&lt;=60,"31-60 dias","Acima de 60 dias"))))</x:f>
        <x:v>Em dia</x:v>
      </x:c>
    </x:row>
    <x:row r="727">
      <x:c r="A727" s="13" t="str">
        <x:v>REC-000726</x:v>
      </x:c>
      <x:c r="B727" s="23" t="n">
        <x:v>45675</x:v>
      </x:c>
      <x:c r="C727" s="23" t="n">
        <x:v>45682</x:v>
      </x:c>
      <x:c r="D727" s="23" t="n">
        <x:v>45678</x:v>
      </x:c>
      <x:c r="E727" s="13" t="str">
        <x:v>VAL-013</x:v>
      </x:c>
      <x:c r="F727" s="13" t="str">
        <x:v>Engenharia Vértice</x:v>
      </x:c>
      <x:c r="G727" s="13" t="str">
        <x:v>Construção</x:v>
      </x:c>
      <x:c r="H727" s="13" t="str">
        <x:v>Baixo</x:v>
      </x:c>
      <x:c r="I727" s="13" t="str">
        <x:v>Essencial</x:v>
      </x:c>
      <x:c r="J727" s="17" t="n">
        <x:v>14404.47</x:v>
      </x:c>
      <x:c r="K727" s="17" t="n">
        <x:v>0</x:v>
      </x:c>
      <x:c r="L727" s="17" t="n">
        <x:v>0</x:v>
      </x:c>
      <x:c r="M727" s="13" t="str">
        <x:v>Pago</x:v>
      </x:c>
      <x:c r="N727" s="13" t="str">
        <x:v>Sem cobrança</x:v>
      </x:c>
      <x:c r="O727" s="13" t="str">
        <x:v>Pico do descontrole</x:v>
      </x:c>
      <x:c r="P727" s="17" t="n">
        <x:f>IF(D727="",0,J727-K727+L727)</x:f>
        <x:v>14404.47</x:v>
      </x:c>
      <x:c r="Q727" s="17" t="n">
        <x:f>MAX(J727-P727-K727,0)</x:f>
        <x:v>0</x:v>
      </x:c>
      <x:c r="R727" s="13" t="n">
        <x:f>IF(D727="",MAX(TODAY()-C727,0),MAX(D727-C727,0))</x:f>
        <x:v>0</x:v>
      </x:c>
      <x:c r="S727" s="13" t="str">
        <x:f>IF(R727=0,"Em dia",IF(R727&lt;=15,"1-15 dias",IF(R727&lt;=30,"16-30 dias",IF(R727&lt;=60,"31-60 dias","Acima de 60 dias"))))</x:f>
        <x:v>Em dia</x:v>
      </x:c>
    </x:row>
    <x:row r="728">
      <x:c r="A728" s="13" t="str">
        <x:v>REC-000727</x:v>
      </x:c>
      <x:c r="B728" s="23" t="n">
        <x:v>45660</x:v>
      </x:c>
      <x:c r="C728" s="23" t="n">
        <x:v>45675</x:v>
      </x:c>
      <x:c r="D728" s="23" t="n">
        <x:v>45675</x:v>
      </x:c>
      <x:c r="E728" s="13" t="str">
        <x:v>VAL-028</x:v>
      </x:c>
      <x:c r="F728" s="13" t="str">
        <x:v>Pixel Norte</x:v>
      </x:c>
      <x:c r="G728" s="13" t="str">
        <x:v>Tecnologia</x:v>
      </x:c>
      <x:c r="H728" s="13" t="str">
        <x:v>Alto</x:v>
      </x:c>
      <x:c r="I728" s="13" t="str">
        <x:v>Enterprise</x:v>
      </x:c>
      <x:c r="J728" s="17" t="n">
        <x:v>22387.52</x:v>
      </x:c>
      <x:c r="K728" s="17" t="n">
        <x:v>0</x:v>
      </x:c>
      <x:c r="L728" s="17" t="n">
        <x:v>0</x:v>
      </x:c>
      <x:c r="M728" s="13" t="str">
        <x:v>Pago</x:v>
      </x:c>
      <x:c r="N728" s="13" t="str">
        <x:v>Sem cobrança</x:v>
      </x:c>
      <x:c r="O728" s="13" t="str">
        <x:v>Pico do descontrole</x:v>
      </x:c>
      <x:c r="P728" s="17" t="n">
        <x:f>IF(D728="",0,J728-K728+L728)</x:f>
        <x:v>22387.52</x:v>
      </x:c>
      <x:c r="Q728" s="17" t="n">
        <x:f>MAX(J728-P728-K728,0)</x:f>
        <x:v>0</x:v>
      </x:c>
      <x:c r="R728" s="13" t="n">
        <x:f>IF(D728="",MAX(TODAY()-C728,0),MAX(D728-C728,0))</x:f>
        <x:v>0</x:v>
      </x:c>
      <x:c r="S728" s="13" t="str">
        <x:f>IF(R728=0,"Em dia",IF(R728&lt;=15,"1-15 dias",IF(R728&lt;=30,"16-30 dias",IF(R728&lt;=60,"31-60 dias","Acima de 60 dias"))))</x:f>
        <x:v>Em dia</x:v>
      </x:c>
    </x:row>
    <x:row r="729">
      <x:c r="A729" s="13" t="str">
        <x:v>REC-000728</x:v>
      </x:c>
      <x:c r="B729" s="23" t="n">
        <x:v>45677</x:v>
      </x:c>
      <x:c r="C729" s="23" t="n">
        <x:v>45692</x:v>
      </x:c>
      <x:c r="D729" s="23" t="n">
        <x:v>45733</x:v>
      </x:c>
      <x:c r="E729" s="13" t="str">
        <x:v>VAL-009</x:v>
      </x:c>
      <x:c r="F729" s="13" t="str">
        <x:v>Odonto Prime</x:v>
      </x:c>
      <x:c r="G729" s="13" t="str">
        <x:v>Clínicas e Saúde</x:v>
      </x:c>
      <x:c r="H729" s="13" t="str">
        <x:v>Médio</x:v>
      </x:c>
      <x:c r="I729" s="13" t="str">
        <x:v>Essencial</x:v>
      </x:c>
      <x:c r="J729" s="17" t="n">
        <x:v>5162.37</x:v>
      </x:c>
      <x:c r="K729" s="17" t="n">
        <x:v>0</x:v>
      </x:c>
      <x:c r="L729" s="17" t="n">
        <x:v>129.06</x:v>
      </x:c>
      <x:c r="M729" s="13" t="str">
        <x:v>Pago com atraso</x:v>
      </x:c>
      <x:c r="N729" s="13" t="str">
        <x:v>E-mail</x:v>
      </x:c>
      <x:c r="O729" s="13" t="str">
        <x:v>Pico do descontrole</x:v>
      </x:c>
      <x:c r="P729" s="17" t="n">
        <x:f>IF(D729="",0,J729-K729+L729)</x:f>
        <x:v>5291.43</x:v>
      </x:c>
      <x:c r="Q729" s="17" t="n">
        <x:f>MAX(J729-P729-K729,0)</x:f>
        <x:v>0</x:v>
      </x:c>
      <x:c r="R729" s="13" t="n">
        <x:f>IF(D729="",MAX(TODAY()-C729,0),MAX(D729-C729,0))</x:f>
        <x:v>41</x:v>
      </x:c>
      <x:c r="S729" s="13" t="str">
        <x:f>IF(R729=0,"Em dia",IF(R729&lt;=15,"1-15 dias",IF(R729&lt;=30,"16-30 dias",IF(R729&lt;=60,"31-60 dias","Acima de 60 dias"))))</x:f>
        <x:v>31-60 dias</x:v>
      </x:c>
    </x:row>
    <x:row r="730">
      <x:c r="A730" s="13" t="str">
        <x:v>REC-000729</x:v>
      </x:c>
      <x:c r="B730" s="23" t="n">
        <x:v>45677</x:v>
      </x:c>
      <x:c r="C730" s="23" t="n">
        <x:v>45698</x:v>
      </x:c>
      <x:c r="D730" s="23" t="n">
        <x:v>45695</x:v>
      </x:c>
      <x:c r="E730" s="13" t="str">
        <x:v>VAL-030</x:v>
      </x:c>
      <x:c r="F730" s="13" t="str">
        <x:v>Mundo Kids Cursos</x:v>
      </x:c>
      <x:c r="G730" s="13" t="str">
        <x:v>Educação</x:v>
      </x:c>
      <x:c r="H730" s="13" t="str">
        <x:v>Alto</x:v>
      </x:c>
      <x:c r="I730" s="13" t="str">
        <x:v>Gestão</x:v>
      </x:c>
      <x:c r="J730" s="17" t="n">
        <x:v>12540.93</x:v>
      </x:c>
      <x:c r="K730" s="17" t="n">
        <x:v>0</x:v>
      </x:c>
      <x:c r="L730" s="17" t="n">
        <x:v>0</x:v>
      </x:c>
      <x:c r="M730" s="13" t="str">
        <x:v>Pago</x:v>
      </x:c>
      <x:c r="N730" s="13" t="str">
        <x:v>Sem cobrança</x:v>
      </x:c>
      <x:c r="O730" s="13" t="str">
        <x:v>Pico do descontrole</x:v>
      </x:c>
      <x:c r="P730" s="17" t="n">
        <x:f>IF(D730="",0,J730-K730+L730)</x:f>
        <x:v>12540.93</x:v>
      </x:c>
      <x:c r="Q730" s="17" t="n">
        <x:f>MAX(J730-P730-K730,0)</x:f>
        <x:v>0</x:v>
      </x:c>
      <x:c r="R730" s="13" t="n">
        <x:f>IF(D730="",MAX(TODAY()-C730,0),MAX(D730-C730,0))</x:f>
        <x:v>0</x:v>
      </x:c>
      <x:c r="S730" s="13" t="str">
        <x:f>IF(R730=0,"Em dia",IF(R730&lt;=15,"1-15 dias",IF(R730&lt;=30,"16-30 dias",IF(R730&lt;=60,"31-60 dias","Acima de 60 dias"))))</x:f>
        <x:v>Em dia</x:v>
      </x:c>
    </x:row>
    <x:row r="731">
      <x:c r="A731" s="13" t="str">
        <x:v>REC-000730</x:v>
      </x:c>
      <x:c r="B731" s="23" t="n">
        <x:v>45661</x:v>
      </x:c>
      <x:c r="C731" s="23" t="n">
        <x:v>45689</x:v>
      </x:c>
      <x:c r="D731" s="23" t="n">
        <x:v>45689</x:v>
      </x:c>
      <x:c r="E731" s="13" t="str">
        <x:v>VAL-018</x:v>
      </x:c>
      <x:c r="F731" s="13" t="str">
        <x:v>Ponto Legal Advocacia</x:v>
      </x:c>
      <x:c r="G731" s="13" t="str">
        <x:v>Serviços Profissionais</x:v>
      </x:c>
      <x:c r="H731" s="13" t="str">
        <x:v>Baixo</x:v>
      </x:c>
      <x:c r="I731" s="13" t="str">
        <x:v>Gestão</x:v>
      </x:c>
      <x:c r="J731" s="17" t="n">
        <x:v>15957.04</x:v>
      </x:c>
      <x:c r="K731" s="17" t="n">
        <x:v>198.35</x:v>
      </x:c>
      <x:c r="L731" s="17" t="n">
        <x:v>0</x:v>
      </x:c>
      <x:c r="M731" s="13" t="str">
        <x:v>Pago</x:v>
      </x:c>
      <x:c r="N731" s="13" t="str">
        <x:v>Sem cobrança</x:v>
      </x:c>
      <x:c r="O731" s="13" t="str">
        <x:v>Pico do descontrole</x:v>
      </x:c>
      <x:c r="P731" s="17" t="n">
        <x:f>IF(D731="",0,J731-K731+L731)</x:f>
        <x:v>15758.69</x:v>
      </x:c>
      <x:c r="Q731" s="17" t="n">
        <x:f>MAX(J731-P731-K731,0)</x:f>
        <x:v>3.694822225952521e-13</x:v>
      </x:c>
      <x:c r="R731" s="13" t="n">
        <x:f>IF(D731="",MAX(TODAY()-C731,0),MAX(D731-C731,0))</x:f>
        <x:v>0</x:v>
      </x:c>
      <x:c r="S731" s="13" t="str">
        <x:f>IF(R731=0,"Em dia",IF(R731&lt;=15,"1-15 dias",IF(R731&lt;=30,"16-30 dias",IF(R731&lt;=60,"31-60 dias","Acima de 60 dias"))))</x:f>
        <x:v>Em dia</x:v>
      </x:c>
    </x:row>
    <x:row r="732">
      <x:c r="A732" s="13" t="str">
        <x:v>REC-000731</x:v>
      </x:c>
      <x:c r="B732" s="23" t="n">
        <x:v>45677</x:v>
      </x:c>
      <x:c r="C732" s="23" t="n">
        <x:v>45684</x:v>
      </x:c>
      <x:c r="D732" s="23" t="n">
        <x:v>45684</x:v>
      </x:c>
      <x:c r="E732" s="13" t="str">
        <x:v>VAL-004</x:v>
      </x:c>
      <x:c r="F732" s="13" t="str">
        <x:v>NuvemBase Tecnologia</x:v>
      </x:c>
      <x:c r="G732" s="13" t="str">
        <x:v>Tecnologia</x:v>
      </x:c>
      <x:c r="H732" s="13" t="str">
        <x:v>Baixo</x:v>
      </x:c>
      <x:c r="I732" s="13" t="str">
        <x:v>Enterprise</x:v>
      </x:c>
      <x:c r="J732" s="17" t="n">
        <x:v>7975.84</x:v>
      </x:c>
      <x:c r="K732" s="17" t="n">
        <x:v>0</x:v>
      </x:c>
      <x:c r="L732" s="17" t="n">
        <x:v>0</x:v>
      </x:c>
      <x:c r="M732" s="13" t="str">
        <x:v>Pago</x:v>
      </x:c>
      <x:c r="N732" s="13" t="str">
        <x:v>Sem cobrança</x:v>
      </x:c>
      <x:c r="O732" s="13" t="str">
        <x:v>Pico do descontrole</x:v>
      </x:c>
      <x:c r="P732" s="17" t="n">
        <x:f>IF(D732="",0,J732-K732+L732)</x:f>
        <x:v>7975.84</x:v>
      </x:c>
      <x:c r="Q732" s="17" t="n">
        <x:f>MAX(J732-P732-K732,0)</x:f>
        <x:v>0</x:v>
      </x:c>
      <x:c r="R732" s="13" t="n">
        <x:f>IF(D732="",MAX(TODAY()-C732,0),MAX(D732-C732,0))</x:f>
        <x:v>0</x:v>
      </x:c>
      <x:c r="S732" s="13" t="str">
        <x:f>IF(R732=0,"Em dia",IF(R732&lt;=15,"1-15 dias",IF(R732&lt;=30,"16-30 dias",IF(R732&lt;=60,"31-60 dias","Acima de 60 dias"))))</x:f>
        <x:v>Em dia</x:v>
      </x:c>
    </x:row>
    <x:row r="733">
      <x:c r="A733" s="13" t="str">
        <x:v>REC-000732</x:v>
      </x:c>
      <x:c r="B733" s="23" t="n">
        <x:v>45670</x:v>
      </x:c>
      <x:c r="C733" s="23" t="n">
        <x:v>45700</x:v>
      </x:c>
      <x:c r="D733" s="23"/>
      <x:c r="E733" s="13" t="str">
        <x:v>VAL-026</x:v>
      </x:c>
      <x:c r="F733" s="13" t="str">
        <x:v>Ribeiro Arquitetura</x:v>
      </x:c>
      <x:c r="G733" s="13" t="str">
        <x:v>Serviços Profissionais</x:v>
      </x:c>
      <x:c r="H733" s="13" t="str">
        <x:v>Baixo</x:v>
      </x:c>
      <x:c r="I733" s="13" t="str">
        <x:v>Gestão</x:v>
      </x:c>
      <x:c r="J733" s="17" t="n">
        <x:v>24218.58</x:v>
      </x:c>
      <x:c r="K733" s="17" t="n">
        <x:v>0</x:v>
      </x:c>
      <x:c r="L733" s="17" t="n">
        <x:v>0</x:v>
      </x:c>
      <x:c r="M733" s="13" t="str">
        <x:v>Em aberto</x:v>
      </x:c>
      <x:c r="N733" s="13" t="str">
        <x:v>Régua automática</x:v>
      </x:c>
      <x:c r="O733" s="13" t="str">
        <x:v>Pico do descontrole</x:v>
      </x:c>
      <x:c r="P733" s="17" t="n">
        <x:f>IF(D733="",0,J733-K733+L733)</x:f>
        <x:v>0</x:v>
      </x:c>
      <x:c r="Q733" s="17" t="n">
        <x:f>MAX(J733-P733-K733,0)</x:f>
        <x:v>24218.58</x:v>
      </x:c>
      <x:c r="R733" s="13" t="n">
        <x:f>IF(D733="",MAX(TODAY()-C733,0),MAX(D733-C733,0))</x:f>
        <x:v>513</x:v>
      </x:c>
      <x:c r="S733" s="13" t="str">
        <x:f>IF(R733=0,"Em dia",IF(R733&lt;=15,"1-15 dias",IF(R733&lt;=30,"16-30 dias",IF(R733&lt;=60,"31-60 dias","Acima de 60 dias"))))</x:f>
        <x:v>Acima de 60 dias</x:v>
      </x:c>
    </x:row>
    <x:row r="734">
      <x:c r="A734" s="13" t="str">
        <x:v>REC-000733</x:v>
      </x:c>
      <x:c r="B734" s="23" t="n">
        <x:v>45676</x:v>
      </x:c>
      <x:c r="C734" s="23" t="n">
        <x:v>45691</x:v>
      </x:c>
      <x:c r="D734" s="23" t="n">
        <x:v>45687</x:v>
      </x:c>
      <x:c r="E734" s="13" t="str">
        <x:v>VAL-017</x:v>
      </x:c>
      <x:c r="F734" s="13" t="str">
        <x:v>Centro Médico Vida</x:v>
      </x:c>
      <x:c r="G734" s="13" t="str">
        <x:v>Clínicas e Saúde</x:v>
      </x:c>
      <x:c r="H734" s="13" t="str">
        <x:v>Baixo</x:v>
      </x:c>
      <x:c r="I734" s="13" t="str">
        <x:v>Essencial</x:v>
      </x:c>
      <x:c r="J734" s="17" t="n">
        <x:v>2105.85</x:v>
      </x:c>
      <x:c r="K734" s="17" t="n">
        <x:v>0</x:v>
      </x:c>
      <x:c r="L734" s="17" t="n">
        <x:v>0</x:v>
      </x:c>
      <x:c r="M734" s="13" t="str">
        <x:v>Pago</x:v>
      </x:c>
      <x:c r="N734" s="13" t="str">
        <x:v>Sem cobrança</x:v>
      </x:c>
      <x:c r="O734" s="13" t="str">
        <x:v>Pico do descontrole</x:v>
      </x:c>
      <x:c r="P734" s="17" t="n">
        <x:f>IF(D734="",0,J734-K734+L734)</x:f>
        <x:v>2105.85</x:v>
      </x:c>
      <x:c r="Q734" s="17" t="n">
        <x:f>MAX(J734-P734-K734,0)</x:f>
        <x:v>0</x:v>
      </x:c>
      <x:c r="R734" s="13" t="n">
        <x:f>IF(D734="",MAX(TODAY()-C734,0),MAX(D734-C734,0))</x:f>
        <x:v>0</x:v>
      </x:c>
      <x:c r="S734" s="13" t="str">
        <x:f>IF(R734=0,"Em dia",IF(R734&lt;=15,"1-15 dias",IF(R734&lt;=30,"16-30 dias",IF(R734&lt;=60,"31-60 dias","Acima de 60 dias"))))</x:f>
        <x:v>Em dia</x:v>
      </x:c>
    </x:row>
    <x:row r="735">
      <x:c r="A735" s="13" t="str">
        <x:v>REC-000734</x:v>
      </x:c>
      <x:c r="B735" s="23" t="n">
        <x:v>45664</x:v>
      </x:c>
      <x:c r="C735" s="23" t="n">
        <x:v>45692</x:v>
      </x:c>
      <x:c r="D735" s="23" t="n">
        <x:v>45688</x:v>
      </x:c>
      <x:c r="E735" s="13" t="str">
        <x:v>VAL-028</x:v>
      </x:c>
      <x:c r="F735" s="13" t="str">
        <x:v>Pixel Norte</x:v>
      </x:c>
      <x:c r="G735" s="13" t="str">
        <x:v>Tecnologia</x:v>
      </x:c>
      <x:c r="H735" s="13" t="str">
        <x:v>Alto</x:v>
      </x:c>
      <x:c r="I735" s="13" t="str">
        <x:v>Enterprise</x:v>
      </x:c>
      <x:c r="J735" s="17" t="n">
        <x:v>32506.85</x:v>
      </x:c>
      <x:c r="K735" s="17" t="n">
        <x:v>0</x:v>
      </x:c>
      <x:c r="L735" s="17" t="n">
        <x:v>0</x:v>
      </x:c>
      <x:c r="M735" s="13" t="str">
        <x:v>Pago</x:v>
      </x:c>
      <x:c r="N735" s="13" t="str">
        <x:v>Sem cobrança</x:v>
      </x:c>
      <x:c r="O735" s="13" t="str">
        <x:v>Pico do descontrole</x:v>
      </x:c>
      <x:c r="P735" s="17" t="n">
        <x:f>IF(D735="",0,J735-K735+L735)</x:f>
        <x:v>32506.85</x:v>
      </x:c>
      <x:c r="Q735" s="17" t="n">
        <x:f>MAX(J735-P735-K735,0)</x:f>
        <x:v>0</x:v>
      </x:c>
      <x:c r="R735" s="13" t="n">
        <x:f>IF(D735="",MAX(TODAY()-C735,0),MAX(D735-C735,0))</x:f>
        <x:v>0</x:v>
      </x:c>
      <x:c r="S735" s="13" t="str">
        <x:f>IF(R735=0,"Em dia",IF(R735&lt;=15,"1-15 dias",IF(R735&lt;=30,"16-30 dias",IF(R735&lt;=60,"31-60 dias","Acima de 60 dias"))))</x:f>
        <x:v>Em dia</x:v>
      </x:c>
    </x:row>
    <x:row r="736">
      <x:c r="A736" s="13" t="str">
        <x:v>REC-000735</x:v>
      </x:c>
      <x:c r="B736" s="23" t="n">
        <x:v>45674</x:v>
      </x:c>
      <x:c r="C736" s="23" t="n">
        <x:v>45702</x:v>
      </x:c>
      <x:c r="D736" s="23" t="n">
        <x:v>45698</x:v>
      </x:c>
      <x:c r="E736" s="13" t="str">
        <x:v>VAL-017</x:v>
      </x:c>
      <x:c r="F736" s="13" t="str">
        <x:v>Centro Médico Vida</x:v>
      </x:c>
      <x:c r="G736" s="13" t="str">
        <x:v>Clínicas e Saúde</x:v>
      </x:c>
      <x:c r="H736" s="13" t="str">
        <x:v>Baixo</x:v>
      </x:c>
      <x:c r="I736" s="13" t="str">
        <x:v>Essencial</x:v>
      </x:c>
      <x:c r="J736" s="17" t="n">
        <x:v>20107.17</x:v>
      </x:c>
      <x:c r="K736" s="17" t="n">
        <x:v>0</x:v>
      </x:c>
      <x:c r="L736" s="17" t="n">
        <x:v>0</x:v>
      </x:c>
      <x:c r="M736" s="13" t="str">
        <x:v>Pago</x:v>
      </x:c>
      <x:c r="N736" s="13" t="str">
        <x:v>Sem cobrança</x:v>
      </x:c>
      <x:c r="O736" s="13" t="str">
        <x:v>Pico do descontrole</x:v>
      </x:c>
      <x:c r="P736" s="17" t="n">
        <x:f>IF(D736="",0,J736-K736+L736)</x:f>
        <x:v>20107.17</x:v>
      </x:c>
      <x:c r="Q736" s="17" t="n">
        <x:f>MAX(J736-P736-K736,0)</x:f>
        <x:v>0</x:v>
      </x:c>
      <x:c r="R736" s="13" t="n">
        <x:f>IF(D736="",MAX(TODAY()-C736,0),MAX(D736-C736,0))</x:f>
        <x:v>0</x:v>
      </x:c>
      <x:c r="S736" s="13" t="str">
        <x:f>IF(R736=0,"Em dia",IF(R736&lt;=15,"1-15 dias",IF(R736&lt;=30,"16-30 dias",IF(R736&lt;=60,"31-60 dias","Acima de 60 dias"))))</x:f>
        <x:v>Em dia</x:v>
      </x:c>
    </x:row>
    <x:row r="737">
      <x:c r="A737" s="13" t="str">
        <x:v>REC-000736</x:v>
      </x:c>
      <x:c r="B737" s="23" t="n">
        <x:v>45675</x:v>
      </x:c>
      <x:c r="C737" s="23" t="n">
        <x:v>45703</x:v>
      </x:c>
      <x:c r="D737" s="23" t="n">
        <x:v>45699</x:v>
      </x:c>
      <x:c r="E737" s="13" t="str">
        <x:v>VAL-027</x:v>
      </x:c>
      <x:c r="F737" s="13" t="str">
        <x:v>Mais Lar Utilidades</x:v>
      </x:c>
      <x:c r="G737" s="13" t="str">
        <x:v>Varejo</x:v>
      </x:c>
      <x:c r="H737" s="13" t="str">
        <x:v>Baixo</x:v>
      </x:c>
      <x:c r="I737" s="13" t="str">
        <x:v>Performance</x:v>
      </x:c>
      <x:c r="J737" s="17" t="n">
        <x:v>20383.1</x:v>
      </x:c>
      <x:c r="K737" s="17" t="n">
        <x:v>0</x:v>
      </x:c>
      <x:c r="L737" s="17" t="n">
        <x:v>0</x:v>
      </x:c>
      <x:c r="M737" s="13" t="str">
        <x:v>Pago</x:v>
      </x:c>
      <x:c r="N737" s="13" t="str">
        <x:v>Sem cobrança</x:v>
      </x:c>
      <x:c r="O737" s="13" t="str">
        <x:v>Pico do descontrole</x:v>
      </x:c>
      <x:c r="P737" s="17" t="n">
        <x:f>IF(D737="",0,J737-K737+L737)</x:f>
        <x:v>20383.1</x:v>
      </x:c>
      <x:c r="Q737" s="17" t="n">
        <x:f>MAX(J737-P737-K737,0)</x:f>
        <x:v>0</x:v>
      </x:c>
      <x:c r="R737" s="13" t="n">
        <x:f>IF(D737="",MAX(TODAY()-C737,0),MAX(D737-C737,0))</x:f>
        <x:v>0</x:v>
      </x:c>
      <x:c r="S737" s="13" t="str">
        <x:f>IF(R737=0,"Em dia",IF(R737&lt;=15,"1-15 dias",IF(R737&lt;=30,"16-30 dias",IF(R737&lt;=60,"31-60 dias","Acima de 60 dias"))))</x:f>
        <x:v>Em dia</x:v>
      </x:c>
    </x:row>
    <x:row r="738">
      <x:c r="A738" s="13" t="str">
        <x:v>REC-000737</x:v>
      </x:c>
      <x:c r="B738" s="23" t="n">
        <x:v>45660</x:v>
      </x:c>
      <x:c r="C738" s="23" t="n">
        <x:v>45690</x:v>
      </x:c>
      <x:c r="D738" s="23" t="n">
        <x:v>45687</x:v>
      </x:c>
      <x:c r="E738" s="13" t="str">
        <x:v>VAL-013</x:v>
      </x:c>
      <x:c r="F738" s="13" t="str">
        <x:v>Engenharia Vértice</x:v>
      </x:c>
      <x:c r="G738" s="13" t="str">
        <x:v>Construção</x:v>
      </x:c>
      <x:c r="H738" s="13" t="str">
        <x:v>Baixo</x:v>
      </x:c>
      <x:c r="I738" s="13" t="str">
        <x:v>Essencial</x:v>
      </x:c>
      <x:c r="J738" s="17" t="n">
        <x:v>17161.32</x:v>
      </x:c>
      <x:c r="K738" s="17" t="n">
        <x:v>0</x:v>
      </x:c>
      <x:c r="L738" s="17" t="n">
        <x:v>0</x:v>
      </x:c>
      <x:c r="M738" s="13" t="str">
        <x:v>Pago</x:v>
      </x:c>
      <x:c r="N738" s="13" t="str">
        <x:v>Sem cobrança</x:v>
      </x:c>
      <x:c r="O738" s="13" t="str">
        <x:v>Pico do descontrole</x:v>
      </x:c>
      <x:c r="P738" s="17" t="n">
        <x:f>IF(D738="",0,J738-K738+L738)</x:f>
        <x:v>17161.32</x:v>
      </x:c>
      <x:c r="Q738" s="17" t="n">
        <x:f>MAX(J738-P738-K738,0)</x:f>
        <x:v>0</x:v>
      </x:c>
      <x:c r="R738" s="13" t="n">
        <x:f>IF(D738="",MAX(TODAY()-C738,0),MAX(D738-C738,0))</x:f>
        <x:v>0</x:v>
      </x:c>
      <x:c r="S738" s="13" t="str">
        <x:f>IF(R738=0,"Em dia",IF(R738&lt;=15,"1-15 dias",IF(R738&lt;=30,"16-30 dias",IF(R738&lt;=60,"31-60 dias","Acima de 60 dias"))))</x:f>
        <x:v>Em dia</x:v>
      </x:c>
    </x:row>
    <x:row r="739">
      <x:c r="A739" s="13" t="str">
        <x:v>REC-000738</x:v>
      </x:c>
      <x:c r="B739" s="23" t="n">
        <x:v>45661</x:v>
      </x:c>
      <x:c r="C739" s="23" t="n">
        <x:v>45676</x:v>
      </x:c>
      <x:c r="D739" s="23" t="n">
        <x:v>45672</x:v>
      </x:c>
      <x:c r="E739" s="13" t="str">
        <x:v>VAL-020</x:v>
      </x:c>
      <x:c r="F739" s="13" t="str">
        <x:v>Corelink Digital</x:v>
      </x:c>
      <x:c r="G739" s="13" t="str">
        <x:v>Tecnologia</x:v>
      </x:c>
      <x:c r="H739" s="13" t="str">
        <x:v>Baixo</x:v>
      </x:c>
      <x:c r="I739" s="13" t="str">
        <x:v>Enterprise</x:v>
      </x:c>
      <x:c r="J739" s="17" t="n">
        <x:v>7727.58</x:v>
      </x:c>
      <x:c r="K739" s="17" t="n">
        <x:v>0</x:v>
      </x:c>
      <x:c r="L739" s="17" t="n">
        <x:v>0</x:v>
      </x:c>
      <x:c r="M739" s="13" t="str">
        <x:v>Pago</x:v>
      </x:c>
      <x:c r="N739" s="13" t="str">
        <x:v>Sem cobrança</x:v>
      </x:c>
      <x:c r="O739" s="13" t="str">
        <x:v>Pico do descontrole</x:v>
      </x:c>
      <x:c r="P739" s="17" t="n">
        <x:f>IF(D739="",0,J739-K739+L739)</x:f>
        <x:v>7727.58</x:v>
      </x:c>
      <x:c r="Q739" s="17" t="n">
        <x:f>MAX(J739-P739-K739,0)</x:f>
        <x:v>0</x:v>
      </x:c>
      <x:c r="R739" s="13" t="n">
        <x:f>IF(D739="",MAX(TODAY()-C739,0),MAX(D739-C739,0))</x:f>
        <x:v>0</x:v>
      </x:c>
      <x:c r="S739" s="13" t="str">
        <x:f>IF(R739=0,"Em dia",IF(R739&lt;=15,"1-15 dias",IF(R739&lt;=30,"16-30 dias",IF(R739&lt;=60,"31-60 dias","Acima de 60 dias"))))</x:f>
        <x:v>Em dia</x:v>
      </x:c>
    </x:row>
    <x:row r="740">
      <x:c r="A740" s="13" t="str">
        <x:v>REC-000739</x:v>
      </x:c>
      <x:c r="B740" s="23" t="n">
        <x:v>45671</x:v>
      </x:c>
      <x:c r="C740" s="23" t="n">
        <x:v>45686</x:v>
      </x:c>
      <x:c r="D740" s="23" t="n">
        <x:v>45682</x:v>
      </x:c>
      <x:c r="E740" s="13" t="str">
        <x:v>VAL-005</x:v>
      </x:c>
      <x:c r="F740" s="13" t="str">
        <x:v>Construtora Alameda</x:v>
      </x:c>
      <x:c r="G740" s="13" t="str">
        <x:v>Construção</x:v>
      </x:c>
      <x:c r="H740" s="13" t="str">
        <x:v>Médio</x:v>
      </x:c>
      <x:c r="I740" s="13" t="str">
        <x:v>Essencial</x:v>
      </x:c>
      <x:c r="J740" s="17" t="n">
        <x:v>9112.04</x:v>
      </x:c>
      <x:c r="K740" s="17" t="n">
        <x:v>0</x:v>
      </x:c>
      <x:c r="L740" s="17" t="n">
        <x:v>0</x:v>
      </x:c>
      <x:c r="M740" s="13" t="str">
        <x:v>Pago</x:v>
      </x:c>
      <x:c r="N740" s="13" t="str">
        <x:v>Sem cobrança</x:v>
      </x:c>
      <x:c r="O740" s="13" t="str">
        <x:v>Pico do descontrole</x:v>
      </x:c>
      <x:c r="P740" s="17" t="n">
        <x:f>IF(D740="",0,J740-K740+L740)</x:f>
        <x:v>9112.04</x:v>
      </x:c>
      <x:c r="Q740" s="17" t="n">
        <x:f>MAX(J740-P740-K740,0)</x:f>
        <x:v>0</x:v>
      </x:c>
      <x:c r="R740" s="13" t="n">
        <x:f>IF(D740="",MAX(TODAY()-C740,0),MAX(D740-C740,0))</x:f>
        <x:v>0</x:v>
      </x:c>
      <x:c r="S740" s="13" t="str">
        <x:f>IF(R740=0,"Em dia",IF(R740&lt;=15,"1-15 dias",IF(R740&lt;=30,"16-30 dias",IF(R740&lt;=60,"31-60 dias","Acima de 60 dias"))))</x:f>
        <x:v>Em dia</x:v>
      </x:c>
    </x:row>
    <x:row r="741">
      <x:c r="A741" s="13" t="str">
        <x:v>REC-000740</x:v>
      </x:c>
      <x:c r="B741" s="23" t="n">
        <x:v>45671</x:v>
      </x:c>
      <x:c r="C741" s="23" t="n">
        <x:v>45686</x:v>
      </x:c>
      <x:c r="D741" s="23" t="n">
        <x:v>45685</x:v>
      </x:c>
      <x:c r="E741" s="13" t="str">
        <x:v>VAL-027</x:v>
      </x:c>
      <x:c r="F741" s="13" t="str">
        <x:v>Mais Lar Utilidades</x:v>
      </x:c>
      <x:c r="G741" s="13" t="str">
        <x:v>Varejo</x:v>
      </x:c>
      <x:c r="H741" s="13" t="str">
        <x:v>Baixo</x:v>
      </x:c>
      <x:c r="I741" s="13" t="str">
        <x:v>Performance</x:v>
      </x:c>
      <x:c r="J741" s="17" t="n">
        <x:v>2984.7</x:v>
      </x:c>
      <x:c r="K741" s="17" t="n">
        <x:v>0</x:v>
      </x:c>
      <x:c r="L741" s="17" t="n">
        <x:v>0</x:v>
      </x:c>
      <x:c r="M741" s="13" t="str">
        <x:v>Pago</x:v>
      </x:c>
      <x:c r="N741" s="13" t="str">
        <x:v>Sem cobrança</x:v>
      </x:c>
      <x:c r="O741" s="13" t="str">
        <x:v>Pico do descontrole</x:v>
      </x:c>
      <x:c r="P741" s="17" t="n">
        <x:f>IF(D741="",0,J741-K741+L741)</x:f>
        <x:v>2984.7</x:v>
      </x:c>
      <x:c r="Q741" s="17" t="n">
        <x:f>MAX(J741-P741-K741,0)</x:f>
        <x:v>0</x:v>
      </x:c>
      <x:c r="R741" s="13" t="n">
        <x:f>IF(D741="",MAX(TODAY()-C741,0),MAX(D741-C741,0))</x:f>
        <x:v>0</x:v>
      </x:c>
      <x:c r="S741" s="13" t="str">
        <x:f>IF(R741=0,"Em dia",IF(R741&lt;=15,"1-15 dias",IF(R741&lt;=30,"16-30 dias",IF(R741&lt;=60,"31-60 dias","Acima de 60 dias"))))</x:f>
        <x:v>Em dia</x:v>
      </x:c>
    </x:row>
    <x:row r="742">
      <x:c r="A742" s="13" t="str">
        <x:v>REC-000741</x:v>
      </x:c>
      <x:c r="B742" s="23" t="n">
        <x:v>45675</x:v>
      </x:c>
      <x:c r="C742" s="23" t="n">
        <x:v>45690</x:v>
      </x:c>
      <x:c r="D742" s="23" t="n">
        <x:v>45688</x:v>
      </x:c>
      <x:c r="E742" s="13" t="str">
        <x:v>VAL-009</x:v>
      </x:c>
      <x:c r="F742" s="13" t="str">
        <x:v>Odonto Prime</x:v>
      </x:c>
      <x:c r="G742" s="13" t="str">
        <x:v>Clínicas e Saúde</x:v>
      </x:c>
      <x:c r="H742" s="13" t="str">
        <x:v>Médio</x:v>
      </x:c>
      <x:c r="I742" s="13" t="str">
        <x:v>Essencial</x:v>
      </x:c>
      <x:c r="J742" s="17" t="n">
        <x:v>6410.78</x:v>
      </x:c>
      <x:c r="K742" s="17" t="n">
        <x:v>0</x:v>
      </x:c>
      <x:c r="L742" s="17" t="n">
        <x:v>0</x:v>
      </x:c>
      <x:c r="M742" s="13" t="str">
        <x:v>Pago</x:v>
      </x:c>
      <x:c r="N742" s="13" t="str">
        <x:v>Sem cobrança</x:v>
      </x:c>
      <x:c r="O742" s="13" t="str">
        <x:v>Pico do descontrole</x:v>
      </x:c>
      <x:c r="P742" s="17" t="n">
        <x:f>IF(D742="",0,J742-K742+L742)</x:f>
        <x:v>6410.78</x:v>
      </x:c>
      <x:c r="Q742" s="17" t="n">
        <x:f>MAX(J742-P742-K742,0)</x:f>
        <x:v>0</x:v>
      </x:c>
      <x:c r="R742" s="13" t="n">
        <x:f>IF(D742="",MAX(TODAY()-C742,0),MAX(D742-C742,0))</x:f>
        <x:v>0</x:v>
      </x:c>
      <x:c r="S742" s="13" t="str">
        <x:f>IF(R742=0,"Em dia",IF(R742&lt;=15,"1-15 dias",IF(R742&lt;=30,"16-30 dias",IF(R742&lt;=60,"31-60 dias","Acima de 60 dias"))))</x:f>
        <x:v>Em dia</x:v>
      </x:c>
    </x:row>
    <x:row r="743">
      <x:c r="A743" s="13" t="str">
        <x:v>REC-000742</x:v>
      </x:c>
      <x:c r="B743" s="23" t="n">
        <x:v>45659</x:v>
      </x:c>
      <x:c r="C743" s="23" t="n">
        <x:v>45689</x:v>
      </x:c>
      <x:c r="D743" s="23" t="n">
        <x:v>45685</x:v>
      </x:c>
      <x:c r="E743" s="13" t="str">
        <x:v>VAL-012</x:v>
      </x:c>
      <x:c r="F743" s="13" t="str">
        <x:v>DataFlow Sistemas</x:v>
      </x:c>
      <x:c r="G743" s="13" t="str">
        <x:v>Tecnologia</x:v>
      </x:c>
      <x:c r="H743" s="13" t="str">
        <x:v>Médio</x:v>
      </x:c>
      <x:c r="I743" s="13" t="str">
        <x:v>Enterprise</x:v>
      </x:c>
      <x:c r="J743" s="17" t="n">
        <x:v>21791.99</x:v>
      </x:c>
      <x:c r="K743" s="17" t="n">
        <x:v>0</x:v>
      </x:c>
      <x:c r="L743" s="17" t="n">
        <x:v>0</x:v>
      </x:c>
      <x:c r="M743" s="13" t="str">
        <x:v>Pago</x:v>
      </x:c>
      <x:c r="N743" s="13" t="str">
        <x:v>Sem cobrança</x:v>
      </x:c>
      <x:c r="O743" s="13" t="str">
        <x:v>Pico do descontrole</x:v>
      </x:c>
      <x:c r="P743" s="17" t="n">
        <x:f>IF(D743="",0,J743-K743+L743)</x:f>
        <x:v>21791.99</x:v>
      </x:c>
      <x:c r="Q743" s="17" t="n">
        <x:f>MAX(J743-P743-K743,0)</x:f>
        <x:v>0</x:v>
      </x:c>
      <x:c r="R743" s="13" t="n">
        <x:f>IF(D743="",MAX(TODAY()-C743,0),MAX(D743-C743,0))</x:f>
        <x:v>0</x:v>
      </x:c>
      <x:c r="S743" s="13" t="str">
        <x:f>IF(R743=0,"Em dia",IF(R743&lt;=15,"1-15 dias",IF(R743&lt;=30,"16-30 dias",IF(R743&lt;=60,"31-60 dias","Acima de 60 dias"))))</x:f>
        <x:v>Em dia</x:v>
      </x:c>
    </x:row>
    <x:row r="744">
      <x:c r="A744" s="13" t="str">
        <x:v>REC-000743</x:v>
      </x:c>
      <x:c r="B744" s="23" t="n">
        <x:v>45664</x:v>
      </x:c>
      <x:c r="C744" s="23" t="n">
        <x:v>45694</x:v>
      </x:c>
      <x:c r="D744" s="23" t="n">
        <x:v>45692</x:v>
      </x:c>
      <x:c r="E744" s="13" t="str">
        <x:v>VAL-023</x:v>
      </x:c>
      <x:c r="F744" s="13" t="str">
        <x:v>ShopMix Brasil</x:v>
      </x:c>
      <x:c r="G744" s="13" t="str">
        <x:v>E-commerce</x:v>
      </x:c>
      <x:c r="H744" s="13" t="str">
        <x:v>Baixo</x:v>
      </x:c>
      <x:c r="I744" s="13" t="str">
        <x:v>Performance</x:v>
      </x:c>
      <x:c r="J744" s="17" t="n">
        <x:v>25519.07</x:v>
      </x:c>
      <x:c r="K744" s="17" t="n">
        <x:v>0</x:v>
      </x:c>
      <x:c r="L744" s="17" t="n">
        <x:v>0</x:v>
      </x:c>
      <x:c r="M744" s="13" t="str">
        <x:v>Pago</x:v>
      </x:c>
      <x:c r="N744" s="13" t="str">
        <x:v>Sem cobrança</x:v>
      </x:c>
      <x:c r="O744" s="13" t="str">
        <x:v>Pico do descontrole</x:v>
      </x:c>
      <x:c r="P744" s="17" t="n">
        <x:f>IF(D744="",0,J744-K744+L744)</x:f>
        <x:v>25519.07</x:v>
      </x:c>
      <x:c r="Q744" s="17" t="n">
        <x:f>MAX(J744-P744-K744,0)</x:f>
        <x:v>0</x:v>
      </x:c>
      <x:c r="R744" s="13" t="n">
        <x:f>IF(D744="",MAX(TODAY()-C744,0),MAX(D744-C744,0))</x:f>
        <x:v>0</x:v>
      </x:c>
      <x:c r="S744" s="13" t="str">
        <x:f>IF(R744=0,"Em dia",IF(R744&lt;=15,"1-15 dias",IF(R744&lt;=30,"16-30 dias",IF(R744&lt;=60,"31-60 dias","Acima de 60 dias"))))</x:f>
        <x:v>Em dia</x:v>
      </x:c>
    </x:row>
    <x:row r="745">
      <x:c r="A745" s="13" t="str">
        <x:v>REC-000744</x:v>
      </x:c>
      <x:c r="B745" s="23" t="n">
        <x:v>45666</x:v>
      </x:c>
      <x:c r="C745" s="23" t="n">
        <x:v>45681</x:v>
      </x:c>
      <x:c r="D745" s="23" t="n">
        <x:v>45677</x:v>
      </x:c>
      <x:c r="E745" s="13" t="str">
        <x:v>VAL-030</x:v>
      </x:c>
      <x:c r="F745" s="13" t="str">
        <x:v>Mundo Kids Cursos</x:v>
      </x:c>
      <x:c r="G745" s="13" t="str">
        <x:v>Educação</x:v>
      </x:c>
      <x:c r="H745" s="13" t="str">
        <x:v>Alto</x:v>
      </x:c>
      <x:c r="I745" s="13" t="str">
        <x:v>Gestão</x:v>
      </x:c>
      <x:c r="J745" s="17" t="n">
        <x:v>9322.55</x:v>
      </x:c>
      <x:c r="K745" s="17" t="n">
        <x:v>0</x:v>
      </x:c>
      <x:c r="L745" s="17" t="n">
        <x:v>0</x:v>
      </x:c>
      <x:c r="M745" s="13" t="str">
        <x:v>Pago</x:v>
      </x:c>
      <x:c r="N745" s="13" t="str">
        <x:v>Sem cobrança</x:v>
      </x:c>
      <x:c r="O745" s="13" t="str">
        <x:v>Pico do descontrole</x:v>
      </x:c>
      <x:c r="P745" s="17" t="n">
        <x:f>IF(D745="",0,J745-K745+L745)</x:f>
        <x:v>9322.55</x:v>
      </x:c>
      <x:c r="Q745" s="17" t="n">
        <x:f>MAX(J745-P745-K745,0)</x:f>
        <x:v>0</x:v>
      </x:c>
      <x:c r="R745" s="13" t="n">
        <x:f>IF(D745="",MAX(TODAY()-C745,0),MAX(D745-C745,0))</x:f>
        <x:v>0</x:v>
      </x:c>
      <x:c r="S745" s="13" t="str">
        <x:f>IF(R745=0,"Em dia",IF(R745&lt;=15,"1-15 dias",IF(R745&lt;=30,"16-30 dias",IF(R745&lt;=60,"31-60 dias","Acima de 60 dias"))))</x:f>
        <x:v>Em dia</x:v>
      </x:c>
    </x:row>
    <x:row r="746">
      <x:c r="A746" s="13" t="str">
        <x:v>REC-000745</x:v>
      </x:c>
      <x:c r="B746" s="23" t="n">
        <x:v>45663</x:v>
      </x:c>
      <x:c r="C746" s="23" t="n">
        <x:v>45670</x:v>
      </x:c>
      <x:c r="D746" s="23" t="n">
        <x:v>45668</x:v>
      </x:c>
      <x:c r="E746" s="13" t="str">
        <x:v>VAL-014</x:v>
      </x:c>
      <x:c r="F746" s="13" t="str">
        <x:v>Colégio Caminhos</x:v>
      </x:c>
      <x:c r="G746" s="13" t="str">
        <x:v>Educação</x:v>
      </x:c>
      <x:c r="H746" s="13" t="str">
        <x:v>Médio</x:v>
      </x:c>
      <x:c r="I746" s="13" t="str">
        <x:v>Gestão</x:v>
      </x:c>
      <x:c r="J746" s="17" t="n">
        <x:v>18208.96</x:v>
      </x:c>
      <x:c r="K746" s="17" t="n">
        <x:v>0</x:v>
      </x:c>
      <x:c r="L746" s="17" t="n">
        <x:v>0</x:v>
      </x:c>
      <x:c r="M746" s="13" t="str">
        <x:v>Pago</x:v>
      </x:c>
      <x:c r="N746" s="13" t="str">
        <x:v>Sem cobrança</x:v>
      </x:c>
      <x:c r="O746" s="13" t="str">
        <x:v>Pico do descontrole</x:v>
      </x:c>
      <x:c r="P746" s="17" t="n">
        <x:f>IF(D746="",0,J746-K746+L746)</x:f>
        <x:v>18208.96</x:v>
      </x:c>
      <x:c r="Q746" s="17" t="n">
        <x:f>MAX(J746-P746-K746,0)</x:f>
        <x:v>0</x:v>
      </x:c>
      <x:c r="R746" s="13" t="n">
        <x:f>IF(D746="",MAX(TODAY()-C746,0),MAX(D746-C746,0))</x:f>
        <x:v>0</x:v>
      </x:c>
      <x:c r="S746" s="13" t="str">
        <x:f>IF(R746=0,"Em dia",IF(R746&lt;=15,"1-15 dias",IF(R746&lt;=30,"16-30 dias",IF(R746&lt;=60,"31-60 dias","Acima de 60 dias"))))</x:f>
        <x:v>Em dia</x:v>
      </x:c>
    </x:row>
    <x:row r="747">
      <x:c r="A747" s="13" t="str">
        <x:v>REC-000746</x:v>
      </x:c>
      <x:c r="B747" s="23" t="n">
        <x:v>45675</x:v>
      </x:c>
      <x:c r="C747" s="23" t="n">
        <x:v>45682</x:v>
      </x:c>
      <x:c r="D747" s="23" t="n">
        <x:v>45682</x:v>
      </x:c>
      <x:c r="E747" s="13" t="str">
        <x:v>VAL-011</x:v>
      </x:c>
      <x:c r="F747" s="13" t="str">
        <x:v>Rede Essencial</x:v>
      </x:c>
      <x:c r="G747" s="13" t="str">
        <x:v>Varejo</x:v>
      </x:c>
      <x:c r="H747" s="13" t="str">
        <x:v>Médio</x:v>
      </x:c>
      <x:c r="I747" s="13" t="str">
        <x:v>Performance</x:v>
      </x:c>
      <x:c r="J747" s="17" t="n">
        <x:v>8986.55</x:v>
      </x:c>
      <x:c r="K747" s="17" t="n">
        <x:v>0</x:v>
      </x:c>
      <x:c r="L747" s="17" t="n">
        <x:v>0</x:v>
      </x:c>
      <x:c r="M747" s="13" t="str">
        <x:v>Pago</x:v>
      </x:c>
      <x:c r="N747" s="13" t="str">
        <x:v>Sem cobrança</x:v>
      </x:c>
      <x:c r="O747" s="13" t="str">
        <x:v>Pico do descontrole</x:v>
      </x:c>
      <x:c r="P747" s="17" t="n">
        <x:f>IF(D747="",0,J747-K747+L747)</x:f>
        <x:v>8986.55</x:v>
      </x:c>
      <x:c r="Q747" s="17" t="n">
        <x:f>MAX(J747-P747-K747,0)</x:f>
        <x:v>0</x:v>
      </x:c>
      <x:c r="R747" s="13" t="n">
        <x:f>IF(D747="",MAX(TODAY()-C747,0),MAX(D747-C747,0))</x:f>
        <x:v>0</x:v>
      </x:c>
      <x:c r="S747" s="13" t="str">
        <x:f>IF(R747=0,"Em dia",IF(R747&lt;=15,"1-15 dias",IF(R747&lt;=30,"16-30 dias",IF(R747&lt;=60,"31-60 dias","Acima de 60 dias"))))</x:f>
        <x:v>Em dia</x:v>
      </x:c>
    </x:row>
    <x:row r="748">
      <x:c r="A748" s="13" t="str">
        <x:v>REC-000747</x:v>
      </x:c>
      <x:c r="B748" s="23" t="n">
        <x:v>45660</x:v>
      </x:c>
      <x:c r="C748" s="23" t="n">
        <x:v>45675</x:v>
      </x:c>
      <x:c r="D748" s="23" t="n">
        <x:v>45675</x:v>
      </x:c>
      <x:c r="E748" s="13" t="str">
        <x:v>VAL-018</x:v>
      </x:c>
      <x:c r="F748" s="13" t="str">
        <x:v>Ponto Legal Advocacia</x:v>
      </x:c>
      <x:c r="G748" s="13" t="str">
        <x:v>Serviços Profissionais</x:v>
      </x:c>
      <x:c r="H748" s="13" t="str">
        <x:v>Baixo</x:v>
      </x:c>
      <x:c r="I748" s="13" t="str">
        <x:v>Gestão</x:v>
      </x:c>
      <x:c r="J748" s="17" t="n">
        <x:v>19823.22</x:v>
      </x:c>
      <x:c r="K748" s="17" t="n">
        <x:v>0</x:v>
      </x:c>
      <x:c r="L748" s="17" t="n">
        <x:v>0</x:v>
      </x:c>
      <x:c r="M748" s="13" t="str">
        <x:v>Pago</x:v>
      </x:c>
      <x:c r="N748" s="13" t="str">
        <x:v>Sem cobrança</x:v>
      </x:c>
      <x:c r="O748" s="13" t="str">
        <x:v>Pico do descontrole</x:v>
      </x:c>
      <x:c r="P748" s="17" t="n">
        <x:f>IF(D748="",0,J748-K748+L748)</x:f>
        <x:v>19823.22</x:v>
      </x:c>
      <x:c r="Q748" s="17" t="n">
        <x:f>MAX(J748-P748-K748,0)</x:f>
        <x:v>0</x:v>
      </x:c>
      <x:c r="R748" s="13" t="n">
        <x:f>IF(D748="",MAX(TODAY()-C748,0),MAX(D748-C748,0))</x:f>
        <x:v>0</x:v>
      </x:c>
      <x:c r="S748" s="13" t="str">
        <x:f>IF(R748=0,"Em dia",IF(R748&lt;=15,"1-15 dias",IF(R748&lt;=30,"16-30 dias",IF(R748&lt;=60,"31-60 dias","Acima de 60 dias"))))</x:f>
        <x:v>Em dia</x:v>
      </x:c>
    </x:row>
    <x:row r="749">
      <x:c r="A749" s="13" t="str">
        <x:v>REC-000748</x:v>
      </x:c>
      <x:c r="B749" s="23" t="n">
        <x:v>45677</x:v>
      </x:c>
      <x:c r="C749" s="23" t="n">
        <x:v>45707</x:v>
      </x:c>
      <x:c r="D749" s="23" t="n">
        <x:v>45705</x:v>
      </x:c>
      <x:c r="E749" s="13" t="str">
        <x:v>VAL-003</x:v>
      </x:c>
      <x:c r="F749" s="13" t="str">
        <x:v>Casa Nova Varejo</x:v>
      </x:c>
      <x:c r="G749" s="13" t="str">
        <x:v>Varejo</x:v>
      </x:c>
      <x:c r="H749" s="13" t="str">
        <x:v>Baixo</x:v>
      </x:c>
      <x:c r="I749" s="13" t="str">
        <x:v>Performance</x:v>
      </x:c>
      <x:c r="J749" s="17" t="n">
        <x:v>2850.17</x:v>
      </x:c>
      <x:c r="K749" s="17" t="n">
        <x:v>0</x:v>
      </x:c>
      <x:c r="L749" s="17" t="n">
        <x:v>0</x:v>
      </x:c>
      <x:c r="M749" s="13" t="str">
        <x:v>Pago</x:v>
      </x:c>
      <x:c r="N749" s="13" t="str">
        <x:v>Sem cobrança</x:v>
      </x:c>
      <x:c r="O749" s="13" t="str">
        <x:v>Pico do descontrole</x:v>
      </x:c>
      <x:c r="P749" s="17" t="n">
        <x:f>IF(D749="",0,J749-K749+L749)</x:f>
        <x:v>2850.17</x:v>
      </x:c>
      <x:c r="Q749" s="17" t="n">
        <x:f>MAX(J749-P749-K749,0)</x:f>
        <x:v>0</x:v>
      </x:c>
      <x:c r="R749" s="13" t="n">
        <x:f>IF(D749="",MAX(TODAY()-C749,0),MAX(D749-C749,0))</x:f>
        <x:v>0</x:v>
      </x:c>
      <x:c r="S749" s="13" t="str">
        <x:f>IF(R749=0,"Em dia",IF(R749&lt;=15,"1-15 dias",IF(R749&lt;=30,"16-30 dias",IF(R749&lt;=60,"31-60 dias","Acima de 60 dias"))))</x:f>
        <x:v>Em dia</x:v>
      </x:c>
    </x:row>
    <x:row r="750">
      <x:c r="A750" s="13" t="str">
        <x:v>REC-000749</x:v>
      </x:c>
      <x:c r="B750" s="23" t="n">
        <x:v>45676</x:v>
      </x:c>
      <x:c r="C750" s="23" t="n">
        <x:v>45683</x:v>
      </x:c>
      <x:c r="D750" s="23" t="n">
        <x:v>45681</x:v>
      </x:c>
      <x:c r="E750" s="13" t="str">
        <x:v>VAL-009</x:v>
      </x:c>
      <x:c r="F750" s="13" t="str">
        <x:v>Odonto Prime</x:v>
      </x:c>
      <x:c r="G750" s="13" t="str">
        <x:v>Clínicas e Saúde</x:v>
      </x:c>
      <x:c r="H750" s="13" t="str">
        <x:v>Médio</x:v>
      </x:c>
      <x:c r="I750" s="13" t="str">
        <x:v>Essencial</x:v>
      </x:c>
      <x:c r="J750" s="17" t="n">
        <x:v>6179.72</x:v>
      </x:c>
      <x:c r="K750" s="17" t="n">
        <x:v>0</x:v>
      </x:c>
      <x:c r="L750" s="17" t="n">
        <x:v>0</x:v>
      </x:c>
      <x:c r="M750" s="13" t="str">
        <x:v>Pago</x:v>
      </x:c>
      <x:c r="N750" s="13" t="str">
        <x:v>Sem cobrança</x:v>
      </x:c>
      <x:c r="O750" s="13" t="str">
        <x:v>Pico do descontrole</x:v>
      </x:c>
      <x:c r="P750" s="17" t="n">
        <x:f>IF(D750="",0,J750-K750+L750)</x:f>
        <x:v>6179.72</x:v>
      </x:c>
      <x:c r="Q750" s="17" t="n">
        <x:f>MAX(J750-P750-K750,0)</x:f>
        <x:v>0</x:v>
      </x:c>
      <x:c r="R750" s="13" t="n">
        <x:f>IF(D750="",MAX(TODAY()-C750,0),MAX(D750-C750,0))</x:f>
        <x:v>0</x:v>
      </x:c>
      <x:c r="S750" s="13" t="str">
        <x:f>IF(R750=0,"Em dia",IF(R750&lt;=15,"1-15 dias",IF(R750&lt;=30,"16-30 dias",IF(R750&lt;=60,"31-60 dias","Acima de 60 dias"))))</x:f>
        <x:v>Em dia</x:v>
      </x:c>
    </x:row>
    <x:row r="751">
      <x:c r="A751" s="13" t="str">
        <x:v>REC-000750</x:v>
      </x:c>
      <x:c r="B751" s="23" t="n">
        <x:v>45672</x:v>
      </x:c>
      <x:c r="C751" s="23" t="n">
        <x:v>45679</x:v>
      </x:c>
      <x:c r="D751" s="23" t="n">
        <x:v>45679</x:v>
      </x:c>
      <x:c r="E751" s="13" t="str">
        <x:v>VAL-013</x:v>
      </x:c>
      <x:c r="F751" s="13" t="str">
        <x:v>Engenharia Vértice</x:v>
      </x:c>
      <x:c r="G751" s="13" t="str">
        <x:v>Construção</x:v>
      </x:c>
      <x:c r="H751" s="13" t="str">
        <x:v>Baixo</x:v>
      </x:c>
      <x:c r="I751" s="13" t="str">
        <x:v>Essencial</x:v>
      </x:c>
      <x:c r="J751" s="17" t="n">
        <x:v>26533.95</x:v>
      </x:c>
      <x:c r="K751" s="17" t="n">
        <x:v>0</x:v>
      </x:c>
      <x:c r="L751" s="17" t="n">
        <x:v>0</x:v>
      </x:c>
      <x:c r="M751" s="13" t="str">
        <x:v>Pago</x:v>
      </x:c>
      <x:c r="N751" s="13" t="str">
        <x:v>Sem cobrança</x:v>
      </x:c>
      <x:c r="O751" s="13" t="str">
        <x:v>Pico do descontrole</x:v>
      </x:c>
      <x:c r="P751" s="17" t="n">
        <x:f>IF(D751="",0,J751-K751+L751)</x:f>
        <x:v>26533.95</x:v>
      </x:c>
      <x:c r="Q751" s="17" t="n">
        <x:f>MAX(J751-P751-K751,0)</x:f>
        <x:v>0</x:v>
      </x:c>
      <x:c r="R751" s="13" t="n">
        <x:f>IF(D751="",MAX(TODAY()-C751,0),MAX(D751-C751,0))</x:f>
        <x:v>0</x:v>
      </x:c>
      <x:c r="S751" s="13" t="str">
        <x:f>IF(R751=0,"Em dia",IF(R751&lt;=15,"1-15 dias",IF(R751&lt;=30,"16-30 dias",IF(R751&lt;=60,"31-60 dias","Acima de 60 dias"))))</x:f>
        <x:v>Em dia</x:v>
      </x:c>
    </x:row>
    <x:row r="752">
      <x:c r="A752" s="13" t="str">
        <x:v>REC-000751</x:v>
      </x:c>
      <x:c r="B752" s="23" t="n">
        <x:v>45676</x:v>
      </x:c>
      <x:c r="C752" s="23" t="n">
        <x:v>45697</x:v>
      </x:c>
      <x:c r="D752" s="23" t="n">
        <x:v>45738</x:v>
      </x:c>
      <x:c r="E752" s="13" t="str">
        <x:v>VAL-005</x:v>
      </x:c>
      <x:c r="F752" s="13" t="str">
        <x:v>Construtora Alameda</x:v>
      </x:c>
      <x:c r="G752" s="13" t="str">
        <x:v>Construção</x:v>
      </x:c>
      <x:c r="H752" s="13" t="str">
        <x:v>Médio</x:v>
      </x:c>
      <x:c r="I752" s="13" t="str">
        <x:v>Essencial</x:v>
      </x:c>
      <x:c r="J752" s="17" t="n">
        <x:v>7900.99</x:v>
      </x:c>
      <x:c r="K752" s="17" t="n">
        <x:v>0</x:v>
      </x:c>
      <x:c r="L752" s="17" t="n">
        <x:v>197.52</x:v>
      </x:c>
      <x:c r="M752" s="13" t="str">
        <x:v>Pago com atraso</x:v>
      </x:c>
      <x:c r="N752" s="13" t="str">
        <x:v>WhatsApp</x:v>
      </x:c>
      <x:c r="O752" s="13" t="str">
        <x:v>Pico do descontrole</x:v>
      </x:c>
      <x:c r="P752" s="17" t="n">
        <x:f>IF(D752="",0,J752-K752+L752)</x:f>
        <x:v>8098.51</x:v>
      </x:c>
      <x:c r="Q752" s="17" t="n">
        <x:f>MAX(J752-P752-K752,0)</x:f>
        <x:v>0</x:v>
      </x:c>
      <x:c r="R752" s="13" t="n">
        <x:f>IF(D752="",MAX(TODAY()-C752,0),MAX(D752-C752,0))</x:f>
        <x:v>41</x:v>
      </x:c>
      <x:c r="S752" s="13" t="str">
        <x:f>IF(R752=0,"Em dia",IF(R752&lt;=15,"1-15 dias",IF(R752&lt;=30,"16-30 dias",IF(R752&lt;=60,"31-60 dias","Acima de 60 dias"))))</x:f>
        <x:v>31-60 dias</x:v>
      </x:c>
    </x:row>
    <x:row r="753">
      <x:c r="A753" s="13" t="str">
        <x:v>REC-000752</x:v>
      </x:c>
      <x:c r="B753" s="23" t="n">
        <x:v>45671</x:v>
      </x:c>
      <x:c r="C753" s="23" t="n">
        <x:v>45701</x:v>
      </x:c>
      <x:c r="D753" s="23" t="n">
        <x:v>45698</x:v>
      </x:c>
      <x:c r="E753" s="13" t="str">
        <x:v>VAL-023</x:v>
      </x:c>
      <x:c r="F753" s="13" t="str">
        <x:v>ShopMix Brasil</x:v>
      </x:c>
      <x:c r="G753" s="13" t="str">
        <x:v>E-commerce</x:v>
      </x:c>
      <x:c r="H753" s="13" t="str">
        <x:v>Baixo</x:v>
      </x:c>
      <x:c r="I753" s="13" t="str">
        <x:v>Performance</x:v>
      </x:c>
      <x:c r="J753" s="17" t="n">
        <x:v>14891.71</x:v>
      </x:c>
      <x:c r="K753" s="17" t="n">
        <x:v>154.98</x:v>
      </x:c>
      <x:c r="L753" s="17" t="n">
        <x:v>0</x:v>
      </x:c>
      <x:c r="M753" s="13" t="str">
        <x:v>Pago</x:v>
      </x:c>
      <x:c r="N753" s="13" t="str">
        <x:v>Sem cobrança</x:v>
      </x:c>
      <x:c r="O753" s="13" t="str">
        <x:v>Pico do descontrole</x:v>
      </x:c>
      <x:c r="P753" s="17" t="n">
        <x:f>IF(D753="",0,J753-K753+L753)</x:f>
        <x:v>14736.73</x:v>
      </x:c>
      <x:c r="Q753" s="17" t="n">
        <x:f>MAX(J753-P753-K753,0)</x:f>
        <x:v>0</x:v>
      </x:c>
      <x:c r="R753" s="13" t="n">
        <x:f>IF(D753="",MAX(TODAY()-C753,0),MAX(D753-C753,0))</x:f>
        <x:v>0</x:v>
      </x:c>
      <x:c r="S753" s="13" t="str">
        <x:f>IF(R753=0,"Em dia",IF(R753&lt;=15,"1-15 dias",IF(R753&lt;=30,"16-30 dias",IF(R753&lt;=60,"31-60 dias","Acima de 60 dias"))))</x:f>
        <x:v>Em dia</x:v>
      </x:c>
    </x:row>
    <x:row r="754">
      <x:c r="A754" s="13" t="str">
        <x:v>REC-000753</x:v>
      </x:c>
      <x:c r="B754" s="23" t="n">
        <x:v>45666</x:v>
      </x:c>
      <x:c r="C754" s="23" t="n">
        <x:v>45696</x:v>
      </x:c>
      <x:c r="D754" s="23" t="n">
        <x:v>45693</x:v>
      </x:c>
      <x:c r="E754" s="13" t="str">
        <x:v>VAL-009</x:v>
      </x:c>
      <x:c r="F754" s="13" t="str">
        <x:v>Odonto Prime</x:v>
      </x:c>
      <x:c r="G754" s="13" t="str">
        <x:v>Clínicas e Saúde</x:v>
      </x:c>
      <x:c r="H754" s="13" t="str">
        <x:v>Médio</x:v>
      </x:c>
      <x:c r="I754" s="13" t="str">
        <x:v>Essencial</x:v>
      </x:c>
      <x:c r="J754" s="17" t="n">
        <x:v>14878.08</x:v>
      </x:c>
      <x:c r="K754" s="17" t="n">
        <x:v>0</x:v>
      </x:c>
      <x:c r="L754" s="17" t="n">
        <x:v>0</x:v>
      </x:c>
      <x:c r="M754" s="13" t="str">
        <x:v>Pago</x:v>
      </x:c>
      <x:c r="N754" s="13" t="str">
        <x:v>Sem cobrança</x:v>
      </x:c>
      <x:c r="O754" s="13" t="str">
        <x:v>Pico do descontrole</x:v>
      </x:c>
      <x:c r="P754" s="17" t="n">
        <x:f>IF(D754="",0,J754-K754+L754)</x:f>
        <x:v>14878.08</x:v>
      </x:c>
      <x:c r="Q754" s="17" t="n">
        <x:f>MAX(J754-P754-K754,0)</x:f>
        <x:v>0</x:v>
      </x:c>
      <x:c r="R754" s="13" t="n">
        <x:f>IF(D754="",MAX(TODAY()-C754,0),MAX(D754-C754,0))</x:f>
        <x:v>0</x:v>
      </x:c>
      <x:c r="S754" s="13" t="str">
        <x:f>IF(R754=0,"Em dia",IF(R754&lt;=15,"1-15 dias",IF(R754&lt;=30,"16-30 dias",IF(R754&lt;=60,"31-60 dias","Acima de 60 dias"))))</x:f>
        <x:v>Em dia</x:v>
      </x:c>
    </x:row>
    <x:row r="755">
      <x:c r="A755" s="13" t="str">
        <x:v>REC-000754</x:v>
      </x:c>
      <x:c r="B755" s="23" t="n">
        <x:v>45674</x:v>
      </x:c>
      <x:c r="C755" s="23" t="n">
        <x:v>45689</x:v>
      </x:c>
      <x:c r="D755" s="23" t="n">
        <x:v>45686</x:v>
      </x:c>
      <x:c r="E755" s="13" t="str">
        <x:v>VAL-014</x:v>
      </x:c>
      <x:c r="F755" s="13" t="str">
        <x:v>Colégio Caminhos</x:v>
      </x:c>
      <x:c r="G755" s="13" t="str">
        <x:v>Educação</x:v>
      </x:c>
      <x:c r="H755" s="13" t="str">
        <x:v>Médio</x:v>
      </x:c>
      <x:c r="I755" s="13" t="str">
        <x:v>Gestão</x:v>
      </x:c>
      <x:c r="J755" s="17" t="n">
        <x:v>10934.3</x:v>
      </x:c>
      <x:c r="K755" s="17" t="n">
        <x:v>0</x:v>
      </x:c>
      <x:c r="L755" s="17" t="n">
        <x:v>0</x:v>
      </x:c>
      <x:c r="M755" s="13" t="str">
        <x:v>Pago</x:v>
      </x:c>
      <x:c r="N755" s="13" t="str">
        <x:v>Sem cobrança</x:v>
      </x:c>
      <x:c r="O755" s="13" t="str">
        <x:v>Pico do descontrole</x:v>
      </x:c>
      <x:c r="P755" s="17" t="n">
        <x:f>IF(D755="",0,J755-K755+L755)</x:f>
        <x:v>10934.3</x:v>
      </x:c>
      <x:c r="Q755" s="17" t="n">
        <x:f>MAX(J755-P755-K755,0)</x:f>
        <x:v>0</x:v>
      </x:c>
      <x:c r="R755" s="13" t="n">
        <x:f>IF(D755="",MAX(TODAY()-C755,0),MAX(D755-C755,0))</x:f>
        <x:v>0</x:v>
      </x:c>
      <x:c r="S755" s="13" t="str">
        <x:f>IF(R755=0,"Em dia",IF(R755&lt;=15,"1-15 dias",IF(R755&lt;=30,"16-30 dias",IF(R755&lt;=60,"31-60 dias","Acima de 60 dias"))))</x:f>
        <x:v>Em dia</x:v>
      </x:c>
    </x:row>
    <x:row r="756">
      <x:c r="A756" s="13" t="str">
        <x:v>REC-000755</x:v>
      </x:c>
      <x:c r="B756" s="23" t="n">
        <x:v>45658</x:v>
      </x:c>
      <x:c r="C756" s="23" t="n">
        <x:v>45679</x:v>
      </x:c>
      <x:c r="D756" s="23" t="n">
        <x:v>45678</x:v>
      </x:c>
      <x:c r="E756" s="13" t="str">
        <x:v>VAL-030</x:v>
      </x:c>
      <x:c r="F756" s="13" t="str">
        <x:v>Mundo Kids Cursos</x:v>
      </x:c>
      <x:c r="G756" s="13" t="str">
        <x:v>Educação</x:v>
      </x:c>
      <x:c r="H756" s="13" t="str">
        <x:v>Alto</x:v>
      </x:c>
      <x:c r="I756" s="13" t="str">
        <x:v>Gestão</x:v>
      </x:c>
      <x:c r="J756" s="17" t="n">
        <x:v>17480.11</x:v>
      </x:c>
      <x:c r="K756" s="17" t="n">
        <x:v>0</x:v>
      </x:c>
      <x:c r="L756" s="17" t="n">
        <x:v>0</x:v>
      </x:c>
      <x:c r="M756" s="13" t="str">
        <x:v>Pago</x:v>
      </x:c>
      <x:c r="N756" s="13" t="str">
        <x:v>Sem cobrança</x:v>
      </x:c>
      <x:c r="O756" s="13" t="str">
        <x:v>Pico do descontrole</x:v>
      </x:c>
      <x:c r="P756" s="17" t="n">
        <x:f>IF(D756="",0,J756-K756+L756)</x:f>
        <x:v>17480.11</x:v>
      </x:c>
      <x:c r="Q756" s="17" t="n">
        <x:f>MAX(J756-P756-K756,0)</x:f>
        <x:v>0</x:v>
      </x:c>
      <x:c r="R756" s="13" t="n">
        <x:f>IF(D756="",MAX(TODAY()-C756,0),MAX(D756-C756,0))</x:f>
        <x:v>0</x:v>
      </x:c>
      <x:c r="S756" s="13" t="str">
        <x:f>IF(R756=0,"Em dia",IF(R756&lt;=15,"1-15 dias",IF(R756&lt;=30,"16-30 dias",IF(R756&lt;=60,"31-60 dias","Acima de 60 dias"))))</x:f>
        <x:v>Em dia</x:v>
      </x:c>
    </x:row>
    <x:row r="757">
      <x:c r="A757" s="13" t="str">
        <x:v>REC-000756</x:v>
      </x:c>
      <x:c r="B757" s="23" t="n">
        <x:v>45671</x:v>
      </x:c>
      <x:c r="C757" s="23" t="n">
        <x:v>45699</x:v>
      </x:c>
      <x:c r="D757" s="23" t="n">
        <x:v>45697</x:v>
      </x:c>
      <x:c r="E757" s="13" t="str">
        <x:v>VAL-021</x:v>
      </x:c>
      <x:c r="F757" s="13" t="str">
        <x:v>Base Forte Obras</x:v>
      </x:c>
      <x:c r="G757" s="13" t="str">
        <x:v>Construção</x:v>
      </x:c>
      <x:c r="H757" s="13" t="str">
        <x:v>Médio</x:v>
      </x:c>
      <x:c r="I757" s="13" t="str">
        <x:v>Essencial</x:v>
      </x:c>
      <x:c r="J757" s="17" t="n">
        <x:v>22155.6</x:v>
      </x:c>
      <x:c r="K757" s="17" t="n">
        <x:v>0</x:v>
      </x:c>
      <x:c r="L757" s="17" t="n">
        <x:v>0</x:v>
      </x:c>
      <x:c r="M757" s="13" t="str">
        <x:v>Pago</x:v>
      </x:c>
      <x:c r="N757" s="13" t="str">
        <x:v>Sem cobrança</x:v>
      </x:c>
      <x:c r="O757" s="13" t="str">
        <x:v>Pico do descontrole</x:v>
      </x:c>
      <x:c r="P757" s="17" t="n">
        <x:f>IF(D757="",0,J757-K757+L757)</x:f>
        <x:v>22155.6</x:v>
      </x:c>
      <x:c r="Q757" s="17" t="n">
        <x:f>MAX(J757-P757-K757,0)</x:f>
        <x:v>0</x:v>
      </x:c>
      <x:c r="R757" s="13" t="n">
        <x:f>IF(D757="",MAX(TODAY()-C757,0),MAX(D757-C757,0))</x:f>
        <x:v>0</x:v>
      </x:c>
      <x:c r="S757" s="13" t="str">
        <x:f>IF(R757=0,"Em dia",IF(R757&lt;=15,"1-15 dias",IF(R757&lt;=30,"16-30 dias",IF(R757&lt;=60,"31-60 dias","Acima de 60 dias"))))</x:f>
        <x:v>Em dia</x:v>
      </x:c>
    </x:row>
    <x:row r="758">
      <x:c r="A758" s="13" t="str">
        <x:v>REC-000757</x:v>
      </x:c>
      <x:c r="B758" s="23" t="n">
        <x:v>45670</x:v>
      </x:c>
      <x:c r="C758" s="23" t="n">
        <x:v>45691</x:v>
      </x:c>
      <x:c r="D758" s="23" t="n">
        <x:v>45690</x:v>
      </x:c>
      <x:c r="E758" s="13" t="str">
        <x:v>VAL-020</x:v>
      </x:c>
      <x:c r="F758" s="13" t="str">
        <x:v>Corelink Digital</x:v>
      </x:c>
      <x:c r="G758" s="13" t="str">
        <x:v>Tecnologia</x:v>
      </x:c>
      <x:c r="H758" s="13" t="str">
        <x:v>Baixo</x:v>
      </x:c>
      <x:c r="I758" s="13" t="str">
        <x:v>Enterprise</x:v>
      </x:c>
      <x:c r="J758" s="17" t="n">
        <x:v>7613.02</x:v>
      </x:c>
      <x:c r="K758" s="17" t="n">
        <x:v>0</x:v>
      </x:c>
      <x:c r="L758" s="17" t="n">
        <x:v>0</x:v>
      </x:c>
      <x:c r="M758" s="13" t="str">
        <x:v>Pago</x:v>
      </x:c>
      <x:c r="N758" s="13" t="str">
        <x:v>Sem cobrança</x:v>
      </x:c>
      <x:c r="O758" s="13" t="str">
        <x:v>Pico do descontrole</x:v>
      </x:c>
      <x:c r="P758" s="17" t="n">
        <x:f>IF(D758="",0,J758-K758+L758)</x:f>
        <x:v>7613.02</x:v>
      </x:c>
      <x:c r="Q758" s="17" t="n">
        <x:f>MAX(J758-P758-K758,0)</x:f>
        <x:v>0</x:v>
      </x:c>
      <x:c r="R758" s="13" t="n">
        <x:f>IF(D758="",MAX(TODAY()-C758,0),MAX(D758-C758,0))</x:f>
        <x:v>0</x:v>
      </x:c>
      <x:c r="S758" s="13" t="str">
        <x:f>IF(R758=0,"Em dia",IF(R758&lt;=15,"1-15 dias",IF(R758&lt;=30,"16-30 dias",IF(R758&lt;=60,"31-60 dias","Acima de 60 dias"))))</x:f>
        <x:v>Em dia</x:v>
      </x:c>
    </x:row>
    <x:row r="759">
      <x:c r="A759" s="13" t="str">
        <x:v>REC-000758</x:v>
      </x:c>
      <x:c r="B759" s="23" t="n">
        <x:v>45666</x:v>
      </x:c>
      <x:c r="C759" s="23" t="n">
        <x:v>45681</x:v>
      </x:c>
      <x:c r="D759" s="23" t="n">
        <x:v>45679</x:v>
      </x:c>
      <x:c r="E759" s="13" t="str">
        <x:v>VAL-023</x:v>
      </x:c>
      <x:c r="F759" s="13" t="str">
        <x:v>ShopMix Brasil</x:v>
      </x:c>
      <x:c r="G759" s="13" t="str">
        <x:v>E-commerce</x:v>
      </x:c>
      <x:c r="H759" s="13" t="str">
        <x:v>Baixo</x:v>
      </x:c>
      <x:c r="I759" s="13" t="str">
        <x:v>Performance</x:v>
      </x:c>
      <x:c r="J759" s="17" t="n">
        <x:v>28369.06</x:v>
      </x:c>
      <x:c r="K759" s="17" t="n">
        <x:v>0</x:v>
      </x:c>
      <x:c r="L759" s="17" t="n">
        <x:v>0</x:v>
      </x:c>
      <x:c r="M759" s="13" t="str">
        <x:v>Pago</x:v>
      </x:c>
      <x:c r="N759" s="13" t="str">
        <x:v>Sem cobrança</x:v>
      </x:c>
      <x:c r="O759" s="13" t="str">
        <x:v>Pico do descontrole</x:v>
      </x:c>
      <x:c r="P759" s="17" t="n">
        <x:f>IF(D759="",0,J759-K759+L759)</x:f>
        <x:v>28369.06</x:v>
      </x:c>
      <x:c r="Q759" s="17" t="n">
        <x:f>MAX(J759-P759-K759,0)</x:f>
        <x:v>0</x:v>
      </x:c>
      <x:c r="R759" s="13" t="n">
        <x:f>IF(D759="",MAX(TODAY()-C759,0),MAX(D759-C759,0))</x:f>
        <x:v>0</x:v>
      </x:c>
      <x:c r="S759" s="13" t="str">
        <x:f>IF(R759=0,"Em dia",IF(R759&lt;=15,"1-15 dias",IF(R759&lt;=30,"16-30 dias",IF(R759&lt;=60,"31-60 dias","Acima de 60 dias"))))</x:f>
        <x:v>Em dia</x:v>
      </x:c>
    </x:row>
    <x:row r="760">
      <x:c r="A760" s="13" t="str">
        <x:v>REC-000759</x:v>
      </x:c>
      <x:c r="B760" s="23" t="n">
        <x:v>45667</x:v>
      </x:c>
      <x:c r="C760" s="23" t="n">
        <x:v>45674</x:v>
      </x:c>
      <x:c r="D760" s="23" t="n">
        <x:v>45673</x:v>
      </x:c>
      <x:c r="E760" s="13" t="str">
        <x:v>VAL-015</x:v>
      </x:c>
      <x:c r="F760" s="13" t="str">
        <x:v>Mercado Click</x:v>
      </x:c>
      <x:c r="G760" s="13" t="str">
        <x:v>E-commerce</x:v>
      </x:c>
      <x:c r="H760" s="13" t="str">
        <x:v>Baixo</x:v>
      </x:c>
      <x:c r="I760" s="13" t="str">
        <x:v>Performance</x:v>
      </x:c>
      <x:c r="J760" s="17" t="n">
        <x:v>2820.01</x:v>
      </x:c>
      <x:c r="K760" s="17" t="n">
        <x:v>28.55</x:v>
      </x:c>
      <x:c r="L760" s="17" t="n">
        <x:v>0</x:v>
      </x:c>
      <x:c r="M760" s="13" t="str">
        <x:v>Pago</x:v>
      </x:c>
      <x:c r="N760" s="13" t="str">
        <x:v>Sem cobrança</x:v>
      </x:c>
      <x:c r="O760" s="13" t="str">
        <x:v>Pico do descontrole</x:v>
      </x:c>
      <x:c r="P760" s="17" t="n">
        <x:f>IF(D760="",0,J760-K760+L760)</x:f>
        <x:v>2791.46</x:v>
      </x:c>
      <x:c r="Q760" s="17" t="n">
        <x:f>MAX(J760-P760-K760,0)</x:f>
        <x:v>1.8118839761882555e-13</x:v>
      </x:c>
      <x:c r="R760" s="13" t="n">
        <x:f>IF(D760="",MAX(TODAY()-C760,0),MAX(D760-C760,0))</x:f>
        <x:v>0</x:v>
      </x:c>
      <x:c r="S760" s="13" t="str">
        <x:f>IF(R760=0,"Em dia",IF(R760&lt;=15,"1-15 dias",IF(R760&lt;=30,"16-30 dias",IF(R760&lt;=60,"31-60 dias","Acima de 60 dias"))))</x:f>
        <x:v>Em dia</x:v>
      </x:c>
    </x:row>
    <x:row r="761">
      <x:c r="A761" s="13" t="str">
        <x:v>REC-000760</x:v>
      </x:c>
      <x:c r="B761" s="23" t="n">
        <x:v>45665</x:v>
      </x:c>
      <x:c r="C761" s="23" t="n">
        <x:v>45680</x:v>
      </x:c>
      <x:c r="D761" s="23" t="n">
        <x:v>45679</x:v>
      </x:c>
      <x:c r="E761" s="13" t="str">
        <x:v>VAL-011</x:v>
      </x:c>
      <x:c r="F761" s="13" t="str">
        <x:v>Rede Essencial</x:v>
      </x:c>
      <x:c r="G761" s="13" t="str">
        <x:v>Varejo</x:v>
      </x:c>
      <x:c r="H761" s="13" t="str">
        <x:v>Médio</x:v>
      </x:c>
      <x:c r="I761" s="13" t="str">
        <x:v>Performance</x:v>
      </x:c>
      <x:c r="J761" s="17" t="n">
        <x:v>29591.5</x:v>
      </x:c>
      <x:c r="K761" s="17" t="n">
        <x:v>0</x:v>
      </x:c>
      <x:c r="L761" s="17" t="n">
        <x:v>0</x:v>
      </x:c>
      <x:c r="M761" s="13" t="str">
        <x:v>Pago</x:v>
      </x:c>
      <x:c r="N761" s="13" t="str">
        <x:v>Sem cobrança</x:v>
      </x:c>
      <x:c r="O761" s="13" t="str">
        <x:v>Pico do descontrole</x:v>
      </x:c>
      <x:c r="P761" s="17" t="n">
        <x:f>IF(D761="",0,J761-K761+L761)</x:f>
        <x:v>29591.5</x:v>
      </x:c>
      <x:c r="Q761" s="17" t="n">
        <x:f>MAX(J761-P761-K761,0)</x:f>
        <x:v>0</x:v>
      </x:c>
      <x:c r="R761" s="13" t="n">
        <x:f>IF(D761="",MAX(TODAY()-C761,0),MAX(D761-C761,0))</x:f>
        <x:v>0</x:v>
      </x:c>
      <x:c r="S761" s="13" t="str">
        <x:f>IF(R761=0,"Em dia",IF(R761&lt;=15,"1-15 dias",IF(R761&lt;=30,"16-30 dias",IF(R761&lt;=60,"31-60 dias","Acima de 60 dias"))))</x:f>
        <x:v>Em dia</x:v>
      </x:c>
    </x:row>
    <x:row r="762">
      <x:c r="A762" s="13" t="str">
        <x:v>REC-000761</x:v>
      </x:c>
      <x:c r="B762" s="23" t="n">
        <x:v>45658</x:v>
      </x:c>
      <x:c r="C762" s="23" t="n">
        <x:v>45665</x:v>
      </x:c>
      <x:c r="D762" s="23" t="n">
        <x:v>45662</x:v>
      </x:c>
      <x:c r="E762" s="13" t="str">
        <x:v>VAL-005</x:v>
      </x:c>
      <x:c r="F762" s="13" t="str">
        <x:v>Construtora Alameda</x:v>
      </x:c>
      <x:c r="G762" s="13" t="str">
        <x:v>Construção</x:v>
      </x:c>
      <x:c r="H762" s="13" t="str">
        <x:v>Médio</x:v>
      </x:c>
      <x:c r="I762" s="13" t="str">
        <x:v>Essencial</x:v>
      </x:c>
      <x:c r="J762" s="17" t="n">
        <x:v>18944.96</x:v>
      </x:c>
      <x:c r="K762" s="17" t="n">
        <x:v>0</x:v>
      </x:c>
      <x:c r="L762" s="17" t="n">
        <x:v>0</x:v>
      </x:c>
      <x:c r="M762" s="13" t="str">
        <x:v>Pago</x:v>
      </x:c>
      <x:c r="N762" s="13" t="str">
        <x:v>Sem cobrança</x:v>
      </x:c>
      <x:c r="O762" s="13" t="str">
        <x:v>Pico do descontrole</x:v>
      </x:c>
      <x:c r="P762" s="17" t="n">
        <x:f>IF(D762="",0,J762-K762+L762)</x:f>
        <x:v>18944.96</x:v>
      </x:c>
      <x:c r="Q762" s="17" t="n">
        <x:f>MAX(J762-P762-K762,0)</x:f>
        <x:v>0</x:v>
      </x:c>
      <x:c r="R762" s="13" t="n">
        <x:f>IF(D762="",MAX(TODAY()-C762,0),MAX(D762-C762,0))</x:f>
        <x:v>0</x:v>
      </x:c>
      <x:c r="S762" s="13" t="str">
        <x:f>IF(R762=0,"Em dia",IF(R762&lt;=15,"1-15 dias",IF(R762&lt;=30,"16-30 dias",IF(R762&lt;=60,"31-60 dias","Acima de 60 dias"))))</x:f>
        <x:v>Em dia</x:v>
      </x:c>
    </x:row>
    <x:row r="763">
      <x:c r="A763" s="13" t="str">
        <x:v>REC-000762</x:v>
      </x:c>
      <x:c r="B763" s="23" t="n">
        <x:v>45673</x:v>
      </x:c>
      <x:c r="C763" s="23" t="n">
        <x:v>45688</x:v>
      </x:c>
      <x:c r="D763" s="23" t="n">
        <x:v>45688</x:v>
      </x:c>
      <x:c r="E763" s="13" t="str">
        <x:v>VAL-028</x:v>
      </x:c>
      <x:c r="F763" s="13" t="str">
        <x:v>Pixel Norte</x:v>
      </x:c>
      <x:c r="G763" s="13" t="str">
        <x:v>Tecnologia</x:v>
      </x:c>
      <x:c r="H763" s="13" t="str">
        <x:v>Alto</x:v>
      </x:c>
      <x:c r="I763" s="13" t="str">
        <x:v>Enterprise</x:v>
      </x:c>
      <x:c r="J763" s="17" t="n">
        <x:v>9629.75</x:v>
      </x:c>
      <x:c r="K763" s="17" t="n">
        <x:v>0</x:v>
      </x:c>
      <x:c r="L763" s="17" t="n">
        <x:v>0</x:v>
      </x:c>
      <x:c r="M763" s="13" t="str">
        <x:v>Pago</x:v>
      </x:c>
      <x:c r="N763" s="13" t="str">
        <x:v>Sem cobrança</x:v>
      </x:c>
      <x:c r="O763" s="13" t="str">
        <x:v>Pico do descontrole</x:v>
      </x:c>
      <x:c r="P763" s="17" t="n">
        <x:f>IF(D763="",0,J763-K763+L763)</x:f>
        <x:v>9629.75</x:v>
      </x:c>
      <x:c r="Q763" s="17" t="n">
        <x:f>MAX(J763-P763-K763,0)</x:f>
        <x:v>0</x:v>
      </x:c>
      <x:c r="R763" s="13" t="n">
        <x:f>IF(D763="",MAX(TODAY()-C763,0),MAX(D763-C763,0))</x:f>
        <x:v>0</x:v>
      </x:c>
      <x:c r="S763" s="13" t="str">
        <x:f>IF(R763=0,"Em dia",IF(R763&lt;=15,"1-15 dias",IF(R763&lt;=30,"16-30 dias",IF(R763&lt;=60,"31-60 dias","Acima de 60 dias"))))</x:f>
        <x:v>Em dia</x:v>
      </x:c>
    </x:row>
    <x:row r="764">
      <x:c r="A764" s="13" t="str">
        <x:v>REC-000763</x:v>
      </x:c>
      <x:c r="B764" s="23" t="n">
        <x:v>45658</x:v>
      </x:c>
      <x:c r="C764" s="23" t="n">
        <x:v>45686</x:v>
      </x:c>
      <x:c r="D764" s="23" t="n">
        <x:v>45683</x:v>
      </x:c>
      <x:c r="E764" s="13" t="str">
        <x:v>VAL-018</x:v>
      </x:c>
      <x:c r="F764" s="13" t="str">
        <x:v>Ponto Legal Advocacia</x:v>
      </x:c>
      <x:c r="G764" s="13" t="str">
        <x:v>Serviços Profissionais</x:v>
      </x:c>
      <x:c r="H764" s="13" t="str">
        <x:v>Baixo</x:v>
      </x:c>
      <x:c r="I764" s="13" t="str">
        <x:v>Gestão</x:v>
      </x:c>
      <x:c r="J764" s="17" t="n">
        <x:v>21618.08</x:v>
      </x:c>
      <x:c r="K764" s="17" t="n">
        <x:v>0</x:v>
      </x:c>
      <x:c r="L764" s="17" t="n">
        <x:v>0</x:v>
      </x:c>
      <x:c r="M764" s="13" t="str">
        <x:v>Pago</x:v>
      </x:c>
      <x:c r="N764" s="13" t="str">
        <x:v>Sem cobrança</x:v>
      </x:c>
      <x:c r="O764" s="13" t="str">
        <x:v>Pico do descontrole</x:v>
      </x:c>
      <x:c r="P764" s="17" t="n">
        <x:f>IF(D764="",0,J764-K764+L764)</x:f>
        <x:v>21618.08</x:v>
      </x:c>
      <x:c r="Q764" s="17" t="n">
        <x:f>MAX(J764-P764-K764,0)</x:f>
        <x:v>0</x:v>
      </x:c>
      <x:c r="R764" s="13" t="n">
        <x:f>IF(D764="",MAX(TODAY()-C764,0),MAX(D764-C764,0))</x:f>
        <x:v>0</x:v>
      </x:c>
      <x:c r="S764" s="13" t="str">
        <x:f>IF(R764=0,"Em dia",IF(R764&lt;=15,"1-15 dias",IF(R764&lt;=30,"16-30 dias",IF(R764&lt;=60,"31-60 dias","Acima de 60 dias"))))</x:f>
        <x:v>Em dia</x:v>
      </x:c>
    </x:row>
    <x:row r="765">
      <x:c r="A765" s="13" t="str">
        <x:v>REC-000764</x:v>
      </x:c>
      <x:c r="B765" s="23" t="n">
        <x:v>45663</x:v>
      </x:c>
      <x:c r="C765" s="23" t="n">
        <x:v>45693</x:v>
      </x:c>
      <x:c r="D765" s="23" t="n">
        <x:v>45689</x:v>
      </x:c>
      <x:c r="E765" s="13" t="str">
        <x:v>VAL-016</x:v>
      </x:c>
      <x:c r="F765" s="13" t="str">
        <x:v>Lumina Embalagens</x:v>
      </x:c>
      <x:c r="G765" s="13" t="str">
        <x:v>Indústria Leve</x:v>
      </x:c>
      <x:c r="H765" s="13" t="str">
        <x:v>Baixo</x:v>
      </x:c>
      <x:c r="I765" s="13" t="str">
        <x:v>Enterprise</x:v>
      </x:c>
      <x:c r="J765" s="17" t="n">
        <x:v>6778.88</x:v>
      </x:c>
      <x:c r="K765" s="17" t="n">
        <x:v>58.21</x:v>
      </x:c>
      <x:c r="L765" s="17" t="n">
        <x:v>0</x:v>
      </x:c>
      <x:c r="M765" s="13" t="str">
        <x:v>Pago</x:v>
      </x:c>
      <x:c r="N765" s="13" t="str">
        <x:v>Sem cobrança</x:v>
      </x:c>
      <x:c r="O765" s="13" t="str">
        <x:v>Pico do descontrole</x:v>
      </x:c>
      <x:c r="P765" s="17" t="n">
        <x:f>IF(D765="",0,J765-K765+L765)</x:f>
        <x:v>6720.67</x:v>
      </x:c>
      <x:c r="Q765" s="17" t="n">
        <x:f>MAX(J765-P765-K765,0)</x:f>
        <x:v>3.552713678800501e-14</x:v>
      </x:c>
      <x:c r="R765" s="13" t="n">
        <x:f>IF(D765="",MAX(TODAY()-C765,0),MAX(D765-C765,0))</x:f>
        <x:v>0</x:v>
      </x:c>
      <x:c r="S765" s="13" t="str">
        <x:f>IF(R765=0,"Em dia",IF(R765&lt;=15,"1-15 dias",IF(R765&lt;=30,"16-30 dias",IF(R765&lt;=60,"31-60 dias","Acima de 60 dias"))))</x:f>
        <x:v>Em dia</x:v>
      </x:c>
    </x:row>
    <x:row r="766">
      <x:c r="A766" s="13" t="str">
        <x:v>REC-000765</x:v>
      </x:c>
      <x:c r="B766" s="23" t="n">
        <x:v>45666</x:v>
      </x:c>
      <x:c r="C766" s="23" t="n">
        <x:v>45694</x:v>
      </x:c>
      <x:c r="D766" s="23" t="n">
        <x:v>45691</x:v>
      </x:c>
      <x:c r="E766" s="13" t="str">
        <x:v>VAL-027</x:v>
      </x:c>
      <x:c r="F766" s="13" t="str">
        <x:v>Mais Lar Utilidades</x:v>
      </x:c>
      <x:c r="G766" s="13" t="str">
        <x:v>Varejo</x:v>
      </x:c>
      <x:c r="H766" s="13" t="str">
        <x:v>Baixo</x:v>
      </x:c>
      <x:c r="I766" s="13" t="str">
        <x:v>Performance</x:v>
      </x:c>
      <x:c r="J766" s="17" t="n">
        <x:v>24243.63</x:v>
      </x:c>
      <x:c r="K766" s="17" t="n">
        <x:v>0</x:v>
      </x:c>
      <x:c r="L766" s="17" t="n">
        <x:v>0</x:v>
      </x:c>
      <x:c r="M766" s="13" t="str">
        <x:v>Pago</x:v>
      </x:c>
      <x:c r="N766" s="13" t="str">
        <x:v>Sem cobrança</x:v>
      </x:c>
      <x:c r="O766" s="13" t="str">
        <x:v>Pico do descontrole</x:v>
      </x:c>
      <x:c r="P766" s="17" t="n">
        <x:f>IF(D766="",0,J766-K766+L766)</x:f>
        <x:v>24243.63</x:v>
      </x:c>
      <x:c r="Q766" s="17" t="n">
        <x:f>MAX(J766-P766-K766,0)</x:f>
        <x:v>0</x:v>
      </x:c>
      <x:c r="R766" s="13" t="n">
        <x:f>IF(D766="",MAX(TODAY()-C766,0),MAX(D766-C766,0))</x:f>
        <x:v>0</x:v>
      </x:c>
      <x:c r="S766" s="13" t="str">
        <x:f>IF(R766=0,"Em dia",IF(R766&lt;=15,"1-15 dias",IF(R766&lt;=30,"16-30 dias",IF(R766&lt;=60,"31-60 dias","Acima de 60 dias"))))</x:f>
        <x:v>Em dia</x:v>
      </x:c>
    </x:row>
    <x:row r="767">
      <x:c r="A767" s="13" t="str">
        <x:v>REC-000766</x:v>
      </x:c>
      <x:c r="B767" s="23" t="n">
        <x:v>45677</x:v>
      </x:c>
      <x:c r="C767" s="23" t="n">
        <x:v>45705</x:v>
      </x:c>
      <x:c r="D767" s="23" t="n">
        <x:v>45703</x:v>
      </x:c>
      <x:c r="E767" s="13" t="str">
        <x:v>VAL-028</x:v>
      </x:c>
      <x:c r="F767" s="13" t="str">
        <x:v>Pixel Norte</x:v>
      </x:c>
      <x:c r="G767" s="13" t="str">
        <x:v>Tecnologia</x:v>
      </x:c>
      <x:c r="H767" s="13" t="str">
        <x:v>Alto</x:v>
      </x:c>
      <x:c r="I767" s="13" t="str">
        <x:v>Enterprise</x:v>
      </x:c>
      <x:c r="J767" s="17" t="n">
        <x:v>13540.77</x:v>
      </x:c>
      <x:c r="K767" s="17" t="n">
        <x:v>0</x:v>
      </x:c>
      <x:c r="L767" s="17" t="n">
        <x:v>0</x:v>
      </x:c>
      <x:c r="M767" s="13" t="str">
        <x:v>Pago</x:v>
      </x:c>
      <x:c r="N767" s="13" t="str">
        <x:v>Sem cobrança</x:v>
      </x:c>
      <x:c r="O767" s="13" t="str">
        <x:v>Pico do descontrole</x:v>
      </x:c>
      <x:c r="P767" s="17" t="n">
        <x:f>IF(D767="",0,J767-K767+L767)</x:f>
        <x:v>13540.77</x:v>
      </x:c>
      <x:c r="Q767" s="17" t="n">
        <x:f>MAX(J767-P767-K767,0)</x:f>
        <x:v>0</x:v>
      </x:c>
      <x:c r="R767" s="13" t="n">
        <x:f>IF(D767="",MAX(TODAY()-C767,0),MAX(D767-C767,0))</x:f>
        <x:v>0</x:v>
      </x:c>
      <x:c r="S767" s="13" t="str">
        <x:f>IF(R767=0,"Em dia",IF(R767&lt;=15,"1-15 dias",IF(R767&lt;=30,"16-30 dias",IF(R767&lt;=60,"31-60 dias","Acima de 60 dias"))))</x:f>
        <x:v>Em dia</x:v>
      </x:c>
    </x:row>
    <x:row r="768">
      <x:c r="A768" s="13" t="str">
        <x:v>REC-000767</x:v>
      </x:c>
      <x:c r="B768" s="23" t="n">
        <x:v>45665</x:v>
      </x:c>
      <x:c r="C768" s="23" t="n">
        <x:v>45686</x:v>
      </x:c>
      <x:c r="D768" s="23" t="n">
        <x:v>45721</x:v>
      </x:c>
      <x:c r="E768" s="13" t="str">
        <x:v>VAL-010</x:v>
      </x:c>
      <x:c r="F768" s="13" t="str">
        <x:v>Atlas Contabilidade</x:v>
      </x:c>
      <x:c r="G768" s="13" t="str">
        <x:v>Serviços Profissionais</x:v>
      </x:c>
      <x:c r="H768" s="13" t="str">
        <x:v>Baixo</x:v>
      </x:c>
      <x:c r="I768" s="13" t="str">
        <x:v>Gestão</x:v>
      </x:c>
      <x:c r="J768" s="17" t="n">
        <x:v>27130.64</x:v>
      </x:c>
      <x:c r="K768" s="17" t="n">
        <x:v>0</x:v>
      </x:c>
      <x:c r="L768" s="17" t="n">
        <x:v>617.22</x:v>
      </x:c>
      <x:c r="M768" s="13" t="str">
        <x:v>Pago com atraso</x:v>
      </x:c>
      <x:c r="N768" s="13" t="str">
        <x:v>WhatsApp</x:v>
      </x:c>
      <x:c r="O768" s="13" t="str">
        <x:v>Pico do descontrole</x:v>
      </x:c>
      <x:c r="P768" s="17" t="n">
        <x:f>IF(D768="",0,J768-K768+L768)</x:f>
        <x:v>27747.86</x:v>
      </x:c>
      <x:c r="Q768" s="17" t="n">
        <x:f>MAX(J768-P768-K768,0)</x:f>
        <x:v>0</x:v>
      </x:c>
      <x:c r="R768" s="13" t="n">
        <x:f>IF(D768="",MAX(TODAY()-C768,0),MAX(D768-C768,0))</x:f>
        <x:v>35</x:v>
      </x:c>
      <x:c r="S768" s="13" t="str">
        <x:f>IF(R768=0,"Em dia",IF(R768&lt;=15,"1-15 dias",IF(R768&lt;=30,"16-30 dias",IF(R768&lt;=60,"31-60 dias","Acima de 60 dias"))))</x:f>
        <x:v>31-60 dias</x:v>
      </x:c>
    </x:row>
    <x:row r="769">
      <x:c r="A769" s="13" t="str">
        <x:v>REC-000768</x:v>
      </x:c>
      <x:c r="B769" s="23" t="n">
        <x:v>45662</x:v>
      </x:c>
      <x:c r="C769" s="23" t="n">
        <x:v>45677</x:v>
      </x:c>
      <x:c r="D769" s="23" t="n">
        <x:v>45676</x:v>
      </x:c>
      <x:c r="E769" s="13" t="str">
        <x:v>VAL-003</x:v>
      </x:c>
      <x:c r="F769" s="13" t="str">
        <x:v>Casa Nova Varejo</x:v>
      </x:c>
      <x:c r="G769" s="13" t="str">
        <x:v>Varejo</x:v>
      </x:c>
      <x:c r="H769" s="13" t="str">
        <x:v>Baixo</x:v>
      </x:c>
      <x:c r="I769" s="13" t="str">
        <x:v>Performance</x:v>
      </x:c>
      <x:c r="J769" s="17" t="n">
        <x:v>32669.14</x:v>
      </x:c>
      <x:c r="K769" s="17" t="n">
        <x:v>0</x:v>
      </x:c>
      <x:c r="L769" s="17" t="n">
        <x:v>0</x:v>
      </x:c>
      <x:c r="M769" s="13" t="str">
        <x:v>Pago</x:v>
      </x:c>
      <x:c r="N769" s="13" t="str">
        <x:v>Sem cobrança</x:v>
      </x:c>
      <x:c r="O769" s="13" t="str">
        <x:v>Pico do descontrole</x:v>
      </x:c>
      <x:c r="P769" s="17" t="n">
        <x:f>IF(D769="",0,J769-K769+L769)</x:f>
        <x:v>32669.14</x:v>
      </x:c>
      <x:c r="Q769" s="17" t="n">
        <x:f>MAX(J769-P769-K769,0)</x:f>
        <x:v>0</x:v>
      </x:c>
      <x:c r="R769" s="13" t="n">
        <x:f>IF(D769="",MAX(TODAY()-C769,0),MAX(D769-C769,0))</x:f>
        <x:v>0</x:v>
      </x:c>
      <x:c r="S769" s="13" t="str">
        <x:f>IF(R769=0,"Em dia",IF(R769&lt;=15,"1-15 dias",IF(R769&lt;=30,"16-30 dias",IF(R769&lt;=60,"31-60 dias","Acima de 60 dias"))))</x:f>
        <x:v>Em dia</x:v>
      </x:c>
    </x:row>
    <x:row r="770">
      <x:c r="A770" s="13" t="str">
        <x:v>REC-000769</x:v>
      </x:c>
      <x:c r="B770" s="23" t="n">
        <x:v>45675</x:v>
      </x:c>
      <x:c r="C770" s="23" t="n">
        <x:v>45696</x:v>
      </x:c>
      <x:c r="D770" s="23" t="n">
        <x:v>45693</x:v>
      </x:c>
      <x:c r="E770" s="13" t="str">
        <x:v>VAL-010</x:v>
      </x:c>
      <x:c r="F770" s="13" t="str">
        <x:v>Atlas Contabilidade</x:v>
      </x:c>
      <x:c r="G770" s="13" t="str">
        <x:v>Serviços Profissionais</x:v>
      </x:c>
      <x:c r="H770" s="13" t="str">
        <x:v>Baixo</x:v>
      </x:c>
      <x:c r="I770" s="13" t="str">
        <x:v>Gestão</x:v>
      </x:c>
      <x:c r="J770" s="17" t="n">
        <x:v>18074.99</x:v>
      </x:c>
      <x:c r="K770" s="17" t="n">
        <x:v>0</x:v>
      </x:c>
      <x:c r="L770" s="17" t="n">
        <x:v>0</x:v>
      </x:c>
      <x:c r="M770" s="13" t="str">
        <x:v>Pago</x:v>
      </x:c>
      <x:c r="N770" s="13" t="str">
        <x:v>Sem cobrança</x:v>
      </x:c>
      <x:c r="O770" s="13" t="str">
        <x:v>Pico do descontrole</x:v>
      </x:c>
      <x:c r="P770" s="17" t="n">
        <x:f>IF(D770="",0,J770-K770+L770)</x:f>
        <x:v>18074.99</x:v>
      </x:c>
      <x:c r="Q770" s="17" t="n">
        <x:f>MAX(J770-P770-K770,0)</x:f>
        <x:v>0</x:v>
      </x:c>
      <x:c r="R770" s="13" t="n">
        <x:f>IF(D770="",MAX(TODAY()-C770,0),MAX(D770-C770,0))</x:f>
        <x:v>0</x:v>
      </x:c>
      <x:c r="S770" s="13" t="str">
        <x:f>IF(R770=0,"Em dia",IF(R770&lt;=15,"1-15 dias",IF(R770&lt;=30,"16-30 dias",IF(R770&lt;=60,"31-60 dias","Acima de 60 dias"))))</x:f>
        <x:v>Em dia</x:v>
      </x:c>
    </x:row>
    <x:row r="771">
      <x:c r="A771" s="13" t="str">
        <x:v>REC-000770</x:v>
      </x:c>
      <x:c r="B771" s="23" t="n">
        <x:v>45675</x:v>
      </x:c>
      <x:c r="C771" s="23" t="n">
        <x:v>45703</x:v>
      </x:c>
      <x:c r="D771" s="23" t="n">
        <x:v>45736</x:v>
      </x:c>
      <x:c r="E771" s="13" t="str">
        <x:v>VAL-024</x:v>
      </x:c>
      <x:c r="F771" s="13" t="str">
        <x:v>NovaForma Móveis</x:v>
      </x:c>
      <x:c r="G771" s="13" t="str">
        <x:v>Indústria Leve</x:v>
      </x:c>
      <x:c r="H771" s="13" t="str">
        <x:v>Baixo</x:v>
      </x:c>
      <x:c r="I771" s="13" t="str">
        <x:v>Enterprise</x:v>
      </x:c>
      <x:c r="J771" s="17" t="n">
        <x:v>26175.44</x:v>
      </x:c>
      <x:c r="K771" s="17" t="n">
        <x:v>0</x:v>
      </x:c>
      <x:c r="L771" s="17" t="n">
        <x:v>561.46</x:v>
      </x:c>
      <x:c r="M771" s="13" t="str">
        <x:v>Pago com atraso</x:v>
      </x:c>
      <x:c r="N771" s="13" t="str">
        <x:v>Telefone</x:v>
      </x:c>
      <x:c r="O771" s="13" t="str">
        <x:v>Pico do descontrole</x:v>
      </x:c>
      <x:c r="P771" s="17" t="n">
        <x:f>IF(D771="",0,J771-K771+L771)</x:f>
        <x:v>26736.899999999998</x:v>
      </x:c>
      <x:c r="Q771" s="17" t="n">
        <x:f>MAX(J771-P771-K771,0)</x:f>
        <x:v>0</x:v>
      </x:c>
      <x:c r="R771" s="13" t="n">
        <x:f>IF(D771="",MAX(TODAY()-C771,0),MAX(D771-C771,0))</x:f>
        <x:v>33</x:v>
      </x:c>
      <x:c r="S771" s="13" t="str">
        <x:f>IF(R771=0,"Em dia",IF(R771&lt;=15,"1-15 dias",IF(R771&lt;=30,"16-30 dias",IF(R771&lt;=60,"31-60 dias","Acima de 60 dias"))))</x:f>
        <x:v>31-60 dias</x:v>
      </x:c>
    </x:row>
    <x:row r="772">
      <x:c r="A772" s="13" t="str">
        <x:v>REC-000771</x:v>
      </x:c>
      <x:c r="B772" s="23" t="n">
        <x:v>45675</x:v>
      </x:c>
      <x:c r="C772" s="23" t="n">
        <x:v>45705</x:v>
      </x:c>
      <x:c r="D772" s="23" t="n">
        <x:v>45703</x:v>
      </x:c>
      <x:c r="E772" s="13" t="str">
        <x:v>VAL-029</x:v>
      </x:c>
      <x:c r="F772" s="13" t="str">
        <x:v>Planobra Serviços</x:v>
      </x:c>
      <x:c r="G772" s="13" t="str">
        <x:v>Construção</x:v>
      </x:c>
      <x:c r="H772" s="13" t="str">
        <x:v>Baixo</x:v>
      </x:c>
      <x:c r="I772" s="13" t="str">
        <x:v>Essencial</x:v>
      </x:c>
      <x:c r="J772" s="17" t="n">
        <x:v>15780.06</x:v>
      </x:c>
      <x:c r="K772" s="17" t="n">
        <x:v>0</x:v>
      </x:c>
      <x:c r="L772" s="17" t="n">
        <x:v>0</x:v>
      </x:c>
      <x:c r="M772" s="13" t="str">
        <x:v>Pago</x:v>
      </x:c>
      <x:c r="N772" s="13" t="str">
        <x:v>Sem cobrança</x:v>
      </x:c>
      <x:c r="O772" s="13" t="str">
        <x:v>Pico do descontrole</x:v>
      </x:c>
      <x:c r="P772" s="17" t="n">
        <x:f>IF(D772="",0,J772-K772+L772)</x:f>
        <x:v>15780.06</x:v>
      </x:c>
      <x:c r="Q772" s="17" t="n">
        <x:f>MAX(J772-P772-K772,0)</x:f>
        <x:v>0</x:v>
      </x:c>
      <x:c r="R772" s="13" t="n">
        <x:f>IF(D772="",MAX(TODAY()-C772,0),MAX(D772-C772,0))</x:f>
        <x:v>0</x:v>
      </x:c>
      <x:c r="S772" s="13" t="str">
        <x:f>IF(R772=0,"Em dia",IF(R772&lt;=15,"1-15 dias",IF(R772&lt;=30,"16-30 dias",IF(R772&lt;=60,"31-60 dias","Acima de 60 dias"))))</x:f>
        <x:v>Em dia</x:v>
      </x:c>
    </x:row>
    <x:row r="773">
      <x:c r="A773" s="13" t="str">
        <x:v>REC-000772</x:v>
      </x:c>
      <x:c r="B773" s="23" t="n">
        <x:v>45674</x:v>
      </x:c>
      <x:c r="C773" s="23" t="n">
        <x:v>45695</x:v>
      </x:c>
      <x:c r="D773" s="23" t="n">
        <x:v>45695</x:v>
      </x:c>
      <x:c r="E773" s="13" t="str">
        <x:v>VAL-028</x:v>
      </x:c>
      <x:c r="F773" s="13" t="str">
        <x:v>Pixel Norte</x:v>
      </x:c>
      <x:c r="G773" s="13" t="str">
        <x:v>Tecnologia</x:v>
      </x:c>
      <x:c r="H773" s="13" t="str">
        <x:v>Alto</x:v>
      </x:c>
      <x:c r="I773" s="13" t="str">
        <x:v>Enterprise</x:v>
      </x:c>
      <x:c r="J773" s="17" t="n">
        <x:v>2778.43</x:v>
      </x:c>
      <x:c r="K773" s="17" t="n">
        <x:v>0</x:v>
      </x:c>
      <x:c r="L773" s="17" t="n">
        <x:v>0</x:v>
      </x:c>
      <x:c r="M773" s="13" t="str">
        <x:v>Pago</x:v>
      </x:c>
      <x:c r="N773" s="13" t="str">
        <x:v>Sem cobrança</x:v>
      </x:c>
      <x:c r="O773" s="13" t="str">
        <x:v>Pico do descontrole</x:v>
      </x:c>
      <x:c r="P773" s="17" t="n">
        <x:f>IF(D773="",0,J773-K773+L773)</x:f>
        <x:v>2778.43</x:v>
      </x:c>
      <x:c r="Q773" s="17" t="n">
        <x:f>MAX(J773-P773-K773,0)</x:f>
        <x:v>0</x:v>
      </x:c>
      <x:c r="R773" s="13" t="n">
        <x:f>IF(D773="",MAX(TODAY()-C773,0),MAX(D773-C773,0))</x:f>
        <x:v>0</x:v>
      </x:c>
      <x:c r="S773" s="13" t="str">
        <x:f>IF(R773=0,"Em dia",IF(R773&lt;=15,"1-15 dias",IF(R773&lt;=30,"16-30 dias",IF(R773&lt;=60,"31-60 dias","Acima de 60 dias"))))</x:f>
        <x:v>Em dia</x:v>
      </x:c>
    </x:row>
    <x:row r="774">
      <x:c r="A774" s="13" t="str">
        <x:v>REC-000773</x:v>
      </x:c>
      <x:c r="B774" s="23" t="n">
        <x:v>45660</x:v>
      </x:c>
      <x:c r="C774" s="23" t="n">
        <x:v>45690</x:v>
      </x:c>
      <x:c r="D774" s="23" t="n">
        <x:v>45689</x:v>
      </x:c>
      <x:c r="E774" s="13" t="str">
        <x:v>VAL-020</x:v>
      </x:c>
      <x:c r="F774" s="13" t="str">
        <x:v>Corelink Digital</x:v>
      </x:c>
      <x:c r="G774" s="13" t="str">
        <x:v>Tecnologia</x:v>
      </x:c>
      <x:c r="H774" s="13" t="str">
        <x:v>Baixo</x:v>
      </x:c>
      <x:c r="I774" s="13" t="str">
        <x:v>Enterprise</x:v>
      </x:c>
      <x:c r="J774" s="17" t="n">
        <x:v>23480.63</x:v>
      </x:c>
      <x:c r="K774" s="17" t="n">
        <x:v>0</x:v>
      </x:c>
      <x:c r="L774" s="17" t="n">
        <x:v>0</x:v>
      </x:c>
      <x:c r="M774" s="13" t="str">
        <x:v>Pago</x:v>
      </x:c>
      <x:c r="N774" s="13" t="str">
        <x:v>Sem cobrança</x:v>
      </x:c>
      <x:c r="O774" s="13" t="str">
        <x:v>Pico do descontrole</x:v>
      </x:c>
      <x:c r="P774" s="17" t="n">
        <x:f>IF(D774="",0,J774-K774+L774)</x:f>
        <x:v>23480.63</x:v>
      </x:c>
      <x:c r="Q774" s="17" t="n">
        <x:f>MAX(J774-P774-K774,0)</x:f>
        <x:v>0</x:v>
      </x:c>
      <x:c r="R774" s="13" t="n">
        <x:f>IF(D774="",MAX(TODAY()-C774,0),MAX(D774-C774,0))</x:f>
        <x:v>0</x:v>
      </x:c>
      <x:c r="S774" s="13" t="str">
        <x:f>IF(R774=0,"Em dia",IF(R774&lt;=15,"1-15 dias",IF(R774&lt;=30,"16-30 dias",IF(R774&lt;=60,"31-60 dias","Acima de 60 dias"))))</x:f>
        <x:v>Em dia</x:v>
      </x:c>
    </x:row>
    <x:row r="775">
      <x:c r="A775" s="13" t="str">
        <x:v>REC-000774</x:v>
      </x:c>
      <x:c r="B775" s="23" t="n">
        <x:v>45671</x:v>
      </x:c>
      <x:c r="C775" s="23" t="n">
        <x:v>45699</x:v>
      </x:c>
      <x:c r="D775" s="23" t="n">
        <x:v>45695</x:v>
      </x:c>
      <x:c r="E775" s="13" t="str">
        <x:v>VAL-025</x:v>
      </x:c>
      <x:c r="F775" s="13" t="str">
        <x:v>Bem-Estar Terapias</x:v>
      </x:c>
      <x:c r="G775" s="13" t="str">
        <x:v>Clínicas e Saúde</x:v>
      </x:c>
      <x:c r="H775" s="13" t="str">
        <x:v>Baixo</x:v>
      </x:c>
      <x:c r="I775" s="13" t="str">
        <x:v>Essencial</x:v>
      </x:c>
      <x:c r="J775" s="17" t="n">
        <x:v>22111.72</x:v>
      </x:c>
      <x:c r="K775" s="17" t="n">
        <x:v>0</x:v>
      </x:c>
      <x:c r="L775" s="17" t="n">
        <x:v>0</x:v>
      </x:c>
      <x:c r="M775" s="13" t="str">
        <x:v>Pago</x:v>
      </x:c>
      <x:c r="N775" s="13" t="str">
        <x:v>Sem cobrança</x:v>
      </x:c>
      <x:c r="O775" s="13" t="str">
        <x:v>Pico do descontrole</x:v>
      </x:c>
      <x:c r="P775" s="17" t="n">
        <x:f>IF(D775="",0,J775-K775+L775)</x:f>
        <x:v>22111.72</x:v>
      </x:c>
      <x:c r="Q775" s="17" t="n">
        <x:f>MAX(J775-P775-K775,0)</x:f>
        <x:v>0</x:v>
      </x:c>
      <x:c r="R775" s="13" t="n">
        <x:f>IF(D775="",MAX(TODAY()-C775,0),MAX(D775-C775,0))</x:f>
        <x:v>0</x:v>
      </x:c>
      <x:c r="S775" s="13" t="str">
        <x:f>IF(R775=0,"Em dia",IF(R775&lt;=15,"1-15 dias",IF(R775&lt;=30,"16-30 dias",IF(R775&lt;=60,"31-60 dias","Acima de 60 dias"))))</x:f>
        <x:v>Em dia</x:v>
      </x:c>
    </x:row>
    <x:row r="776">
      <x:c r="A776" s="13" t="str">
        <x:v>REC-000775</x:v>
      </x:c>
      <x:c r="B776" s="23" t="n">
        <x:v>45674</x:v>
      </x:c>
      <x:c r="C776" s="23" t="n">
        <x:v>45681</x:v>
      </x:c>
      <x:c r="D776" s="23" t="n">
        <x:v>45678</x:v>
      </x:c>
      <x:c r="E776" s="13" t="str">
        <x:v>VAL-015</x:v>
      </x:c>
      <x:c r="F776" s="13" t="str">
        <x:v>Mercado Click</x:v>
      </x:c>
      <x:c r="G776" s="13" t="str">
        <x:v>E-commerce</x:v>
      </x:c>
      <x:c r="H776" s="13" t="str">
        <x:v>Baixo</x:v>
      </x:c>
      <x:c r="I776" s="13" t="str">
        <x:v>Performance</x:v>
      </x:c>
      <x:c r="J776" s="17" t="n">
        <x:v>25998.25</x:v>
      </x:c>
      <x:c r="K776" s="17" t="n">
        <x:v>0</x:v>
      </x:c>
      <x:c r="L776" s="17" t="n">
        <x:v>0</x:v>
      </x:c>
      <x:c r="M776" s="13" t="str">
        <x:v>Pago</x:v>
      </x:c>
      <x:c r="N776" s="13" t="str">
        <x:v>Sem cobrança</x:v>
      </x:c>
      <x:c r="O776" s="13" t="str">
        <x:v>Pico do descontrole</x:v>
      </x:c>
      <x:c r="P776" s="17" t="n">
        <x:f>IF(D776="",0,J776-K776+L776)</x:f>
        <x:v>25998.25</x:v>
      </x:c>
      <x:c r="Q776" s="17" t="n">
        <x:f>MAX(J776-P776-K776,0)</x:f>
        <x:v>0</x:v>
      </x:c>
      <x:c r="R776" s="13" t="n">
        <x:f>IF(D776="",MAX(TODAY()-C776,0),MAX(D776-C776,0))</x:f>
        <x:v>0</x:v>
      </x:c>
      <x:c r="S776" s="13" t="str">
        <x:f>IF(R776=0,"Em dia",IF(R776&lt;=15,"1-15 dias",IF(R776&lt;=30,"16-30 dias",IF(R776&lt;=60,"31-60 dias","Acima de 60 dias"))))</x:f>
        <x:v>Em dia</x:v>
      </x:c>
    </x:row>
    <x:row r="777">
      <x:c r="A777" s="13" t="str">
        <x:v>REC-000776</x:v>
      </x:c>
      <x:c r="B777" s="23" t="n">
        <x:v>45660</x:v>
      </x:c>
      <x:c r="C777" s="23" t="n">
        <x:v>45690</x:v>
      </x:c>
      <x:c r="D777" s="23" t="n">
        <x:v>45686</x:v>
      </x:c>
      <x:c r="E777" s="13" t="str">
        <x:v>VAL-026</x:v>
      </x:c>
      <x:c r="F777" s="13" t="str">
        <x:v>Ribeiro Arquitetura</x:v>
      </x:c>
      <x:c r="G777" s="13" t="str">
        <x:v>Serviços Profissionais</x:v>
      </x:c>
      <x:c r="H777" s="13" t="str">
        <x:v>Baixo</x:v>
      </x:c>
      <x:c r="I777" s="13" t="str">
        <x:v>Gestão</x:v>
      </x:c>
      <x:c r="J777" s="17" t="n">
        <x:v>6557.83</x:v>
      </x:c>
      <x:c r="K777" s="17" t="n">
        <x:v>0</x:v>
      </x:c>
      <x:c r="L777" s="17" t="n">
        <x:v>0</x:v>
      </x:c>
      <x:c r="M777" s="13" t="str">
        <x:v>Pago</x:v>
      </x:c>
      <x:c r="N777" s="13" t="str">
        <x:v>Sem cobrança</x:v>
      </x:c>
      <x:c r="O777" s="13" t="str">
        <x:v>Pico do descontrole</x:v>
      </x:c>
      <x:c r="P777" s="17" t="n">
        <x:f>IF(D777="",0,J777-K777+L777)</x:f>
        <x:v>6557.83</x:v>
      </x:c>
      <x:c r="Q777" s="17" t="n">
        <x:f>MAX(J777-P777-K777,0)</x:f>
        <x:v>0</x:v>
      </x:c>
      <x:c r="R777" s="13" t="n">
        <x:f>IF(D777="",MAX(TODAY()-C777,0),MAX(D777-C777,0))</x:f>
        <x:v>0</x:v>
      </x:c>
      <x:c r="S777" s="13" t="str">
        <x:f>IF(R777=0,"Em dia",IF(R777&lt;=15,"1-15 dias",IF(R777&lt;=30,"16-30 dias",IF(R777&lt;=60,"31-60 dias","Acima de 60 dias"))))</x:f>
        <x:v>Em dia</x:v>
      </x:c>
    </x:row>
    <x:row r="778">
      <x:c r="A778" s="13" t="str">
        <x:v>REC-000777</x:v>
      </x:c>
      <x:c r="B778" s="23" t="n">
        <x:v>45670</x:v>
      </x:c>
      <x:c r="C778" s="23" t="n">
        <x:v>45685</x:v>
      </x:c>
      <x:c r="D778" s="23"/>
      <x:c r="E778" s="13" t="str">
        <x:v>VAL-002</x:v>
      </x:c>
      <x:c r="F778" s="13" t="str">
        <x:v>Mendes &amp; Prado Consultoria</x:v>
      </x:c>
      <x:c r="G778" s="13" t="str">
        <x:v>Serviços Profissionais</x:v>
      </x:c>
      <x:c r="H778" s="13" t="str">
        <x:v>Baixo</x:v>
      </x:c>
      <x:c r="I778" s="13" t="str">
        <x:v>Gestão</x:v>
      </x:c>
      <x:c r="J778" s="17" t="n">
        <x:v>25458.74</x:v>
      </x:c>
      <x:c r="K778" s="17" t="n">
        <x:v>0</x:v>
      </x:c>
      <x:c r="L778" s="17" t="n">
        <x:v>0</x:v>
      </x:c>
      <x:c r="M778" s="13" t="str">
        <x:v>Em aberto</x:v>
      </x:c>
      <x:c r="N778" s="13" t="str">
        <x:v>Negociação</x:v>
      </x:c>
      <x:c r="O778" s="13" t="str">
        <x:v>Pico do descontrole</x:v>
      </x:c>
      <x:c r="P778" s="17" t="n">
        <x:f>IF(D778="",0,J778-K778+L778)</x:f>
        <x:v>0</x:v>
      </x:c>
      <x:c r="Q778" s="17" t="n">
        <x:f>MAX(J778-P778-K778,0)</x:f>
        <x:v>25458.74</x:v>
      </x:c>
      <x:c r="R778" s="13" t="n">
        <x:f>IF(D778="",MAX(TODAY()-C778,0),MAX(D778-C778,0))</x:f>
        <x:v>528</x:v>
      </x:c>
      <x:c r="S778" s="13" t="str">
        <x:f>IF(R778=0,"Em dia",IF(R778&lt;=15,"1-15 dias",IF(R778&lt;=30,"16-30 dias",IF(R778&lt;=60,"31-60 dias","Acima de 60 dias"))))</x:f>
        <x:v>Acima de 60 dias</x:v>
      </x:c>
    </x:row>
    <x:row r="779">
      <x:c r="A779" s="13" t="str">
        <x:v>REC-000778</x:v>
      </x:c>
      <x:c r="B779" s="23" t="n">
        <x:v>45661</x:v>
      </x:c>
      <x:c r="C779" s="23" t="n">
        <x:v>45676</x:v>
      </x:c>
      <x:c r="D779" s="23" t="n">
        <x:v>45676</x:v>
      </x:c>
      <x:c r="E779" s="13" t="str">
        <x:v>VAL-010</x:v>
      </x:c>
      <x:c r="F779" s="13" t="str">
        <x:v>Atlas Contabilidade</x:v>
      </x:c>
      <x:c r="G779" s="13" t="str">
        <x:v>Serviços Profissionais</x:v>
      </x:c>
      <x:c r="H779" s="13" t="str">
        <x:v>Baixo</x:v>
      </x:c>
      <x:c r="I779" s="13" t="str">
        <x:v>Gestão</x:v>
      </x:c>
      <x:c r="J779" s="17" t="n">
        <x:v>25237.46</x:v>
      </x:c>
      <x:c r="K779" s="17" t="n">
        <x:v>0</x:v>
      </x:c>
      <x:c r="L779" s="17" t="n">
        <x:v>0</x:v>
      </x:c>
      <x:c r="M779" s="13" t="str">
        <x:v>Pago</x:v>
      </x:c>
      <x:c r="N779" s="13" t="str">
        <x:v>Sem cobrança</x:v>
      </x:c>
      <x:c r="O779" s="13" t="str">
        <x:v>Pico do descontrole</x:v>
      </x:c>
      <x:c r="P779" s="17" t="n">
        <x:f>IF(D779="",0,J779-K779+L779)</x:f>
        <x:v>25237.46</x:v>
      </x:c>
      <x:c r="Q779" s="17" t="n">
        <x:f>MAX(J779-P779-K779,0)</x:f>
        <x:v>0</x:v>
      </x:c>
      <x:c r="R779" s="13" t="n">
        <x:f>IF(D779="",MAX(TODAY()-C779,0),MAX(D779-C779,0))</x:f>
        <x:v>0</x:v>
      </x:c>
      <x:c r="S779" s="13" t="str">
        <x:f>IF(R779=0,"Em dia",IF(R779&lt;=15,"1-15 dias",IF(R779&lt;=30,"16-30 dias",IF(R779&lt;=60,"31-60 dias","Acima de 60 dias"))))</x:f>
        <x:v>Em dia</x:v>
      </x:c>
    </x:row>
    <x:row r="780">
      <x:c r="A780" s="13" t="str">
        <x:v>REC-000779</x:v>
      </x:c>
      <x:c r="B780" s="23" t="n">
        <x:v>45673</x:v>
      </x:c>
      <x:c r="C780" s="23" t="n">
        <x:v>45680</x:v>
      </x:c>
      <x:c r="D780" s="23" t="n">
        <x:v>45711</x:v>
      </x:c>
      <x:c r="E780" s="13" t="str">
        <x:v>VAL-021</x:v>
      </x:c>
      <x:c r="F780" s="13" t="str">
        <x:v>Base Forte Obras</x:v>
      </x:c>
      <x:c r="G780" s="13" t="str">
        <x:v>Construção</x:v>
      </x:c>
      <x:c r="H780" s="13" t="str">
        <x:v>Médio</x:v>
      </x:c>
      <x:c r="I780" s="13" t="str">
        <x:v>Essencial</x:v>
      </x:c>
      <x:c r="J780" s="17" t="n">
        <x:v>24072.52</x:v>
      </x:c>
      <x:c r="K780" s="17" t="n">
        <x:v>0</x:v>
      </x:c>
      <x:c r="L780" s="17" t="n">
        <x:v>485.06</x:v>
      </x:c>
      <x:c r="M780" s="13" t="str">
        <x:v>Pago com atraso</x:v>
      </x:c>
      <x:c r="N780" s="13" t="str">
        <x:v>WhatsApp</x:v>
      </x:c>
      <x:c r="O780" s="13" t="str">
        <x:v>Pico do descontrole</x:v>
      </x:c>
      <x:c r="P780" s="17" t="n">
        <x:f>IF(D780="",0,J780-K780+L780)</x:f>
        <x:v>24557.58</x:v>
      </x:c>
      <x:c r="Q780" s="17" t="n">
        <x:f>MAX(J780-P780-K780,0)</x:f>
        <x:v>0</x:v>
      </x:c>
      <x:c r="R780" s="13" t="n">
        <x:f>IF(D780="",MAX(TODAY()-C780,0),MAX(D780-C780,0))</x:f>
        <x:v>31</x:v>
      </x:c>
      <x:c r="S780" s="13" t="str">
        <x:f>IF(R780=0,"Em dia",IF(R780&lt;=15,"1-15 dias",IF(R780&lt;=30,"16-30 dias",IF(R780&lt;=60,"31-60 dias","Acima de 60 dias"))))</x:f>
        <x:v>31-60 dias</x:v>
      </x:c>
    </x:row>
    <x:row r="781">
      <x:c r="A781" s="13" t="str">
        <x:v>REC-000780</x:v>
      </x:c>
      <x:c r="B781" s="23" t="n">
        <x:v>45666</x:v>
      </x:c>
      <x:c r="C781" s="23" t="n">
        <x:v>45687</x:v>
      </x:c>
      <x:c r="D781" s="23" t="n">
        <x:v>45683</x:v>
      </x:c>
      <x:c r="E781" s="13" t="str">
        <x:v>VAL-003</x:v>
      </x:c>
      <x:c r="F781" s="13" t="str">
        <x:v>Casa Nova Varejo</x:v>
      </x:c>
      <x:c r="G781" s="13" t="str">
        <x:v>Varejo</x:v>
      </x:c>
      <x:c r="H781" s="13" t="str">
        <x:v>Baixo</x:v>
      </x:c>
      <x:c r="I781" s="13" t="str">
        <x:v>Performance</x:v>
      </x:c>
      <x:c r="J781" s="17" t="n">
        <x:v>25114.46</x:v>
      </x:c>
      <x:c r="K781" s="17" t="n">
        <x:v>0</x:v>
      </x:c>
      <x:c r="L781" s="17" t="n">
        <x:v>0</x:v>
      </x:c>
      <x:c r="M781" s="13" t="str">
        <x:v>Pago</x:v>
      </x:c>
      <x:c r="N781" s="13" t="str">
        <x:v>Sem cobrança</x:v>
      </x:c>
      <x:c r="O781" s="13" t="str">
        <x:v>Pico do descontrole</x:v>
      </x:c>
      <x:c r="P781" s="17" t="n">
        <x:f>IF(D781="",0,J781-K781+L781)</x:f>
        <x:v>25114.46</x:v>
      </x:c>
      <x:c r="Q781" s="17" t="n">
        <x:f>MAX(J781-P781-K781,0)</x:f>
        <x:v>0</x:v>
      </x:c>
      <x:c r="R781" s="13" t="n">
        <x:f>IF(D781="",MAX(TODAY()-C781,0),MAX(D781-C781,0))</x:f>
        <x:v>0</x:v>
      </x:c>
      <x:c r="S781" s="13" t="str">
        <x:f>IF(R781=0,"Em dia",IF(R781&lt;=15,"1-15 dias",IF(R781&lt;=30,"16-30 dias",IF(R781&lt;=60,"31-60 dias","Acima de 60 dias"))))</x:f>
        <x:v>Em dia</x:v>
      </x:c>
    </x:row>
    <x:row r="782">
      <x:c r="A782" s="13" t="str">
        <x:v>REC-000781</x:v>
      </x:c>
      <x:c r="B782" s="23" t="n">
        <x:v>45696</x:v>
      </x:c>
      <x:c r="C782" s="23" t="n">
        <x:v>45703</x:v>
      </x:c>
      <x:c r="D782" s="23" t="n">
        <x:v>45702</x:v>
      </x:c>
      <x:c r="E782" s="13" t="str">
        <x:v>VAL-023</x:v>
      </x:c>
      <x:c r="F782" s="13" t="str">
        <x:v>ShopMix Brasil</x:v>
      </x:c>
      <x:c r="G782" s="13" t="str">
        <x:v>E-commerce</x:v>
      </x:c>
      <x:c r="H782" s="13" t="str">
        <x:v>Baixo</x:v>
      </x:c>
      <x:c r="I782" s="13" t="str">
        <x:v>Performance</x:v>
      </x:c>
      <x:c r="J782" s="17" t="n">
        <x:v>31363.52</x:v>
      </x:c>
      <x:c r="K782" s="17" t="n">
        <x:v>0</x:v>
      </x:c>
      <x:c r="L782" s="17" t="n">
        <x:v>0</x:v>
      </x:c>
      <x:c r="M782" s="13" t="str">
        <x:v>Pago</x:v>
      </x:c>
      <x:c r="N782" s="13" t="str">
        <x:v>Sem cobrança</x:v>
      </x:c>
      <x:c r="O782" s="13" t="str">
        <x:v>Pico do descontrole</x:v>
      </x:c>
      <x:c r="P782" s="17" t="n">
        <x:f>IF(D782="",0,J782-K782+L782)</x:f>
        <x:v>31363.52</x:v>
      </x:c>
      <x:c r="Q782" s="17" t="n">
        <x:f>MAX(J782-P782-K782,0)</x:f>
        <x:v>0</x:v>
      </x:c>
      <x:c r="R782" s="13" t="n">
        <x:f>IF(D782="",MAX(TODAY()-C782,0),MAX(D782-C782,0))</x:f>
        <x:v>0</x:v>
      </x:c>
      <x:c r="S782" s="13" t="str">
        <x:f>IF(R782=0,"Em dia",IF(R782&lt;=15,"1-15 dias",IF(R782&lt;=30,"16-30 dias",IF(R782&lt;=60,"31-60 dias","Acima de 60 dias"))))</x:f>
        <x:v>Em dia</x:v>
      </x:c>
    </x:row>
    <x:row r="783">
      <x:c r="A783" s="13" t="str">
        <x:v>REC-000782</x:v>
      </x:c>
      <x:c r="B783" s="23" t="n">
        <x:v>45699</x:v>
      </x:c>
      <x:c r="C783" s="23" t="n">
        <x:v>45720</x:v>
      </x:c>
      <x:c r="D783" s="23" t="n">
        <x:v>45717</x:v>
      </x:c>
      <x:c r="E783" s="13" t="str">
        <x:v>VAL-029</x:v>
      </x:c>
      <x:c r="F783" s="13" t="str">
        <x:v>Planobra Serviços</x:v>
      </x:c>
      <x:c r="G783" s="13" t="str">
        <x:v>Construção</x:v>
      </x:c>
      <x:c r="H783" s="13" t="str">
        <x:v>Baixo</x:v>
      </x:c>
      <x:c r="I783" s="13" t="str">
        <x:v>Essencial</x:v>
      </x:c>
      <x:c r="J783" s="17" t="n">
        <x:v>21220.11</x:v>
      </x:c>
      <x:c r="K783" s="17" t="n">
        <x:v>0</x:v>
      </x:c>
      <x:c r="L783" s="17" t="n">
        <x:v>0</x:v>
      </x:c>
      <x:c r="M783" s="13" t="str">
        <x:v>Pago</x:v>
      </x:c>
      <x:c r="N783" s="13" t="str">
        <x:v>Sem cobrança</x:v>
      </x:c>
      <x:c r="O783" s="13" t="str">
        <x:v>Pico do descontrole</x:v>
      </x:c>
      <x:c r="P783" s="17" t="n">
        <x:f>IF(D783="",0,J783-K783+L783)</x:f>
        <x:v>21220.11</x:v>
      </x:c>
      <x:c r="Q783" s="17" t="n">
        <x:f>MAX(J783-P783-K783,0)</x:f>
        <x:v>0</x:v>
      </x:c>
      <x:c r="R783" s="13" t="n">
        <x:f>IF(D783="",MAX(TODAY()-C783,0),MAX(D783-C783,0))</x:f>
        <x:v>0</x:v>
      </x:c>
      <x:c r="S783" s="13" t="str">
        <x:f>IF(R783=0,"Em dia",IF(R783&lt;=15,"1-15 dias",IF(R783&lt;=30,"16-30 dias",IF(R783&lt;=60,"31-60 dias","Acima de 60 dias"))))</x:f>
        <x:v>Em dia</x:v>
      </x:c>
    </x:row>
    <x:row r="784">
      <x:c r="A784" s="13" t="str">
        <x:v>REC-000783</x:v>
      </x:c>
      <x:c r="B784" s="23" t="n">
        <x:v>45703</x:v>
      </x:c>
      <x:c r="C784" s="23" t="n">
        <x:v>45733</x:v>
      </x:c>
      <x:c r="D784" s="23" t="n">
        <x:v>45730</x:v>
      </x:c>
      <x:c r="E784" s="13" t="str">
        <x:v>VAL-011</x:v>
      </x:c>
      <x:c r="F784" s="13" t="str">
        <x:v>Rede Essencial</x:v>
      </x:c>
      <x:c r="G784" s="13" t="str">
        <x:v>Varejo</x:v>
      </x:c>
      <x:c r="H784" s="13" t="str">
        <x:v>Médio</x:v>
      </x:c>
      <x:c r="I784" s="13" t="str">
        <x:v>Performance</x:v>
      </x:c>
      <x:c r="J784" s="17" t="n">
        <x:v>28590.15</x:v>
      </x:c>
      <x:c r="K784" s="17" t="n">
        <x:v>0</x:v>
      </x:c>
      <x:c r="L784" s="17" t="n">
        <x:v>0</x:v>
      </x:c>
      <x:c r="M784" s="13" t="str">
        <x:v>Pago</x:v>
      </x:c>
      <x:c r="N784" s="13" t="str">
        <x:v>Sem cobrança</x:v>
      </x:c>
      <x:c r="O784" s="13" t="str">
        <x:v>Pico do descontrole</x:v>
      </x:c>
      <x:c r="P784" s="17" t="n">
        <x:f>IF(D784="",0,J784-K784+L784)</x:f>
        <x:v>28590.15</x:v>
      </x:c>
      <x:c r="Q784" s="17" t="n">
        <x:f>MAX(J784-P784-K784,0)</x:f>
        <x:v>0</x:v>
      </x:c>
      <x:c r="R784" s="13" t="n">
        <x:f>IF(D784="",MAX(TODAY()-C784,0),MAX(D784-C784,0))</x:f>
        <x:v>0</x:v>
      </x:c>
      <x:c r="S784" s="13" t="str">
        <x:f>IF(R784=0,"Em dia",IF(R784&lt;=15,"1-15 dias",IF(R784&lt;=30,"16-30 dias",IF(R784&lt;=60,"31-60 dias","Acima de 60 dias"))))</x:f>
        <x:v>Em dia</x:v>
      </x:c>
    </x:row>
    <x:row r="785">
      <x:c r="A785" s="13" t="str">
        <x:v>REC-000784</x:v>
      </x:c>
      <x:c r="B785" s="23" t="n">
        <x:v>45702</x:v>
      </x:c>
      <x:c r="C785" s="23" t="n">
        <x:v>45723</x:v>
      </x:c>
      <x:c r="D785" s="23" t="n">
        <x:v>45719</x:v>
      </x:c>
      <x:c r="E785" s="13" t="str">
        <x:v>VAL-027</x:v>
      </x:c>
      <x:c r="F785" s="13" t="str">
        <x:v>Mais Lar Utilidades</x:v>
      </x:c>
      <x:c r="G785" s="13" t="str">
        <x:v>Varejo</x:v>
      </x:c>
      <x:c r="H785" s="13" t="str">
        <x:v>Baixo</x:v>
      </x:c>
      <x:c r="I785" s="13" t="str">
        <x:v>Performance</x:v>
      </x:c>
      <x:c r="J785" s="17" t="n">
        <x:v>26370.67</x:v>
      </x:c>
      <x:c r="K785" s="17" t="n">
        <x:v>0</x:v>
      </x:c>
      <x:c r="L785" s="17" t="n">
        <x:v>0</x:v>
      </x:c>
      <x:c r="M785" s="13" t="str">
        <x:v>Pago</x:v>
      </x:c>
      <x:c r="N785" s="13" t="str">
        <x:v>Sem cobrança</x:v>
      </x:c>
      <x:c r="O785" s="13" t="str">
        <x:v>Pico do descontrole</x:v>
      </x:c>
      <x:c r="P785" s="17" t="n">
        <x:f>IF(D785="",0,J785-K785+L785)</x:f>
        <x:v>26370.67</x:v>
      </x:c>
      <x:c r="Q785" s="17" t="n">
        <x:f>MAX(J785-P785-K785,0)</x:f>
        <x:v>0</x:v>
      </x:c>
      <x:c r="R785" s="13" t="n">
        <x:f>IF(D785="",MAX(TODAY()-C785,0),MAX(D785-C785,0))</x:f>
        <x:v>0</x:v>
      </x:c>
      <x:c r="S785" s="13" t="str">
        <x:f>IF(R785=0,"Em dia",IF(R785&lt;=15,"1-15 dias",IF(R785&lt;=30,"16-30 dias",IF(R785&lt;=60,"31-60 dias","Acima de 60 dias"))))</x:f>
        <x:v>Em dia</x:v>
      </x:c>
    </x:row>
    <x:row r="786">
      <x:c r="A786" s="13" t="str">
        <x:v>REC-000785</x:v>
      </x:c>
      <x:c r="B786" s="23" t="n">
        <x:v>45702</x:v>
      </x:c>
      <x:c r="C786" s="23" t="n">
        <x:v>45723</x:v>
      </x:c>
      <x:c r="D786" s="23" t="n">
        <x:v>45723</x:v>
      </x:c>
      <x:c r="E786" s="13" t="str">
        <x:v>VAL-001</x:v>
      </x:c>
      <x:c r="F786" s="13" t="str">
        <x:v>Clínica Horizonte</x:v>
      </x:c>
      <x:c r="G786" s="13" t="str">
        <x:v>Clínicas e Saúde</x:v>
      </x:c>
      <x:c r="H786" s="13" t="str">
        <x:v>Baixo</x:v>
      </x:c>
      <x:c r="I786" s="13" t="str">
        <x:v>Essencial</x:v>
      </x:c>
      <x:c r="J786" s="17" t="n">
        <x:v>25421.29</x:v>
      </x:c>
      <x:c r="K786" s="17" t="n">
        <x:v>0</x:v>
      </x:c>
      <x:c r="L786" s="17" t="n">
        <x:v>0</x:v>
      </x:c>
      <x:c r="M786" s="13" t="str">
        <x:v>Pago</x:v>
      </x:c>
      <x:c r="N786" s="13" t="str">
        <x:v>Sem cobrança</x:v>
      </x:c>
      <x:c r="O786" s="13" t="str">
        <x:v>Pico do descontrole</x:v>
      </x:c>
      <x:c r="P786" s="17" t="n">
        <x:f>IF(D786="",0,J786-K786+L786)</x:f>
        <x:v>25421.29</x:v>
      </x:c>
      <x:c r="Q786" s="17" t="n">
        <x:f>MAX(J786-P786-K786,0)</x:f>
        <x:v>0</x:v>
      </x:c>
      <x:c r="R786" s="13" t="n">
        <x:f>IF(D786="",MAX(TODAY()-C786,0),MAX(D786-C786,0))</x:f>
        <x:v>0</x:v>
      </x:c>
      <x:c r="S786" s="13" t="str">
        <x:f>IF(R786=0,"Em dia",IF(R786&lt;=15,"1-15 dias",IF(R786&lt;=30,"16-30 dias",IF(R786&lt;=60,"31-60 dias","Acima de 60 dias"))))</x:f>
        <x:v>Em dia</x:v>
      </x:c>
    </x:row>
    <x:row r="787">
      <x:c r="A787" s="13" t="str">
        <x:v>REC-000786</x:v>
      </x:c>
      <x:c r="B787" s="23" t="n">
        <x:v>45690</x:v>
      </x:c>
      <x:c r="C787" s="23" t="n">
        <x:v>45718</x:v>
      </x:c>
      <x:c r="D787" s="23" t="n">
        <x:v>45753</x:v>
      </x:c>
      <x:c r="E787" s="13" t="str">
        <x:v>VAL-006</x:v>
      </x:c>
      <x:c r="F787" s="13" t="str">
        <x:v>Instituto Saber Mais</x:v>
      </x:c>
      <x:c r="G787" s="13" t="str">
        <x:v>Educação</x:v>
      </x:c>
      <x:c r="H787" s="13" t="str">
        <x:v>Médio</x:v>
      </x:c>
      <x:c r="I787" s="13" t="str">
        <x:v>Gestão</x:v>
      </x:c>
      <x:c r="J787" s="17" t="n">
        <x:v>13180.26</x:v>
      </x:c>
      <x:c r="K787" s="17" t="n">
        <x:v>0</x:v>
      </x:c>
      <x:c r="L787" s="17" t="n">
        <x:v>299.85</x:v>
      </x:c>
      <x:c r="M787" s="13" t="str">
        <x:v>Pago com atraso</x:v>
      </x:c>
      <x:c r="N787" s="13" t="str">
        <x:v>Régua automática</x:v>
      </x:c>
      <x:c r="O787" s="13" t="str">
        <x:v>Pico do descontrole</x:v>
      </x:c>
      <x:c r="P787" s="17" t="n">
        <x:f>IF(D787="",0,J787-K787+L787)</x:f>
        <x:v>13480.11</x:v>
      </x:c>
      <x:c r="Q787" s="17" t="n">
        <x:f>MAX(J787-P787-K787,0)</x:f>
        <x:v>0</x:v>
      </x:c>
      <x:c r="R787" s="13" t="n">
        <x:f>IF(D787="",MAX(TODAY()-C787,0),MAX(D787-C787,0))</x:f>
        <x:v>35</x:v>
      </x:c>
      <x:c r="S787" s="13" t="str">
        <x:f>IF(R787=0,"Em dia",IF(R787&lt;=15,"1-15 dias",IF(R787&lt;=30,"16-30 dias",IF(R787&lt;=60,"31-60 dias","Acima de 60 dias"))))</x:f>
        <x:v>31-60 dias</x:v>
      </x:c>
    </x:row>
    <x:row r="788">
      <x:c r="A788" s="13" t="str">
        <x:v>REC-000787</x:v>
      </x:c>
      <x:c r="B788" s="23" t="n">
        <x:v>45692</x:v>
      </x:c>
      <x:c r="C788" s="23" t="n">
        <x:v>45699</x:v>
      </x:c>
      <x:c r="D788" s="23" t="n">
        <x:v>45727</x:v>
      </x:c>
      <x:c r="E788" s="13" t="str">
        <x:v>VAL-016</x:v>
      </x:c>
      <x:c r="F788" s="13" t="str">
        <x:v>Lumina Embalagens</x:v>
      </x:c>
      <x:c r="G788" s="13" t="str">
        <x:v>Indústria Leve</x:v>
      </x:c>
      <x:c r="H788" s="13" t="str">
        <x:v>Baixo</x:v>
      </x:c>
      <x:c r="I788" s="13" t="str">
        <x:v>Enterprise</x:v>
      </x:c>
      <x:c r="J788" s="17" t="n">
        <x:v>33454.01</x:v>
      </x:c>
      <x:c r="K788" s="17" t="n">
        <x:v>0</x:v>
      </x:c>
      <x:c r="L788" s="17" t="n">
        <x:v>608.86</x:v>
      </x:c>
      <x:c r="M788" s="13" t="str">
        <x:v>Pago com atraso</x:v>
      </x:c>
      <x:c r="N788" s="13" t="str">
        <x:v>WhatsApp</x:v>
      </x:c>
      <x:c r="O788" s="13" t="str">
        <x:v>Pico do descontrole</x:v>
      </x:c>
      <x:c r="P788" s="17" t="n">
        <x:f>IF(D788="",0,J788-K788+L788)</x:f>
        <x:v>34062.87</x:v>
      </x:c>
      <x:c r="Q788" s="17" t="n">
        <x:f>MAX(J788-P788-K788,0)</x:f>
        <x:v>0</x:v>
      </x:c>
      <x:c r="R788" s="13" t="n">
        <x:f>IF(D788="",MAX(TODAY()-C788,0),MAX(D788-C788,0))</x:f>
        <x:v>28</x:v>
      </x:c>
      <x:c r="S788" s="13" t="str">
        <x:f>IF(R788=0,"Em dia",IF(R788&lt;=15,"1-15 dias",IF(R788&lt;=30,"16-30 dias",IF(R788&lt;=60,"31-60 dias","Acima de 60 dias"))))</x:f>
        <x:v>16-30 dias</x:v>
      </x:c>
    </x:row>
    <x:row r="789">
      <x:c r="A789" s="13" t="str">
        <x:v>REC-000788</x:v>
      </x:c>
      <x:c r="B789" s="23" t="n">
        <x:v>45689</x:v>
      </x:c>
      <x:c r="C789" s="23" t="n">
        <x:v>45704</x:v>
      </x:c>
      <x:c r="D789" s="23" t="n">
        <x:v>45704</x:v>
      </x:c>
      <x:c r="E789" s="13" t="str">
        <x:v>VAL-026</x:v>
      </x:c>
      <x:c r="F789" s="13" t="str">
        <x:v>Ribeiro Arquitetura</x:v>
      </x:c>
      <x:c r="G789" s="13" t="str">
        <x:v>Serviços Profissionais</x:v>
      </x:c>
      <x:c r="H789" s="13" t="str">
        <x:v>Baixo</x:v>
      </x:c>
      <x:c r="I789" s="13" t="str">
        <x:v>Gestão</x:v>
      </x:c>
      <x:c r="J789" s="17" t="n">
        <x:v>19038.04</x:v>
      </x:c>
      <x:c r="K789" s="17" t="n">
        <x:v>0</x:v>
      </x:c>
      <x:c r="L789" s="17" t="n">
        <x:v>0</x:v>
      </x:c>
      <x:c r="M789" s="13" t="str">
        <x:v>Pago</x:v>
      </x:c>
      <x:c r="N789" s="13" t="str">
        <x:v>Sem cobrança</x:v>
      </x:c>
      <x:c r="O789" s="13" t="str">
        <x:v>Pico do descontrole</x:v>
      </x:c>
      <x:c r="P789" s="17" t="n">
        <x:f>IF(D789="",0,J789-K789+L789)</x:f>
        <x:v>19038.04</x:v>
      </x:c>
      <x:c r="Q789" s="17" t="n">
        <x:f>MAX(J789-P789-K789,0)</x:f>
        <x:v>0</x:v>
      </x:c>
      <x:c r="R789" s="13" t="n">
        <x:f>IF(D789="",MAX(TODAY()-C789,0),MAX(D789-C789,0))</x:f>
        <x:v>0</x:v>
      </x:c>
      <x:c r="S789" s="13" t="str">
        <x:f>IF(R789=0,"Em dia",IF(R789&lt;=15,"1-15 dias",IF(R789&lt;=30,"16-30 dias",IF(R789&lt;=60,"31-60 dias","Acima de 60 dias"))))</x:f>
        <x:v>Em dia</x:v>
      </x:c>
    </x:row>
    <x:row r="790">
      <x:c r="A790" s="13" t="str">
        <x:v>REC-000789</x:v>
      </x:c>
      <x:c r="B790" s="23" t="n">
        <x:v>45695</x:v>
      </x:c>
      <x:c r="C790" s="23" t="n">
        <x:v>45710</x:v>
      </x:c>
      <x:c r="D790" s="23" t="n">
        <x:v>45708</x:v>
      </x:c>
      <x:c r="E790" s="13" t="str">
        <x:v>VAL-005</x:v>
      </x:c>
      <x:c r="F790" s="13" t="str">
        <x:v>Construtora Alameda</x:v>
      </x:c>
      <x:c r="G790" s="13" t="str">
        <x:v>Construção</x:v>
      </x:c>
      <x:c r="H790" s="13" t="str">
        <x:v>Médio</x:v>
      </x:c>
      <x:c r="I790" s="13" t="str">
        <x:v>Essencial</x:v>
      </x:c>
      <x:c r="J790" s="17" t="n">
        <x:v>9575.79</x:v>
      </x:c>
      <x:c r="K790" s="17" t="n">
        <x:v>0</x:v>
      </x:c>
      <x:c r="L790" s="17" t="n">
        <x:v>0</x:v>
      </x:c>
      <x:c r="M790" s="13" t="str">
        <x:v>Pago</x:v>
      </x:c>
      <x:c r="N790" s="13" t="str">
        <x:v>Sem cobrança</x:v>
      </x:c>
      <x:c r="O790" s="13" t="str">
        <x:v>Pico do descontrole</x:v>
      </x:c>
      <x:c r="P790" s="17" t="n">
        <x:f>IF(D790="",0,J790-K790+L790)</x:f>
        <x:v>9575.79</x:v>
      </x:c>
      <x:c r="Q790" s="17" t="n">
        <x:f>MAX(J790-P790-K790,0)</x:f>
        <x:v>0</x:v>
      </x:c>
      <x:c r="R790" s="13" t="n">
        <x:f>IF(D790="",MAX(TODAY()-C790,0),MAX(D790-C790,0))</x:f>
        <x:v>0</x:v>
      </x:c>
      <x:c r="S790" s="13" t="str">
        <x:f>IF(R790=0,"Em dia",IF(R790&lt;=15,"1-15 dias",IF(R790&lt;=30,"16-30 dias",IF(R790&lt;=60,"31-60 dias","Acima de 60 dias"))))</x:f>
        <x:v>Em dia</x:v>
      </x:c>
    </x:row>
    <x:row r="791">
      <x:c r="A791" s="13" t="str">
        <x:v>REC-000790</x:v>
      </x:c>
      <x:c r="B791" s="23" t="n">
        <x:v>45701</x:v>
      </x:c>
      <x:c r="C791" s="23" t="n">
        <x:v>45708</x:v>
      </x:c>
      <x:c r="D791" s="23" t="n">
        <x:v>45704</x:v>
      </x:c>
      <x:c r="E791" s="13" t="str">
        <x:v>VAL-018</x:v>
      </x:c>
      <x:c r="F791" s="13" t="str">
        <x:v>Ponto Legal Advocacia</x:v>
      </x:c>
      <x:c r="G791" s="13" t="str">
        <x:v>Serviços Profissionais</x:v>
      </x:c>
      <x:c r="H791" s="13" t="str">
        <x:v>Baixo</x:v>
      </x:c>
      <x:c r="I791" s="13" t="str">
        <x:v>Gestão</x:v>
      </x:c>
      <x:c r="J791" s="17" t="n">
        <x:v>3757.1</x:v>
      </x:c>
      <x:c r="K791" s="17" t="n">
        <x:v>0</x:v>
      </x:c>
      <x:c r="L791" s="17" t="n">
        <x:v>0</x:v>
      </x:c>
      <x:c r="M791" s="13" t="str">
        <x:v>Pago</x:v>
      </x:c>
      <x:c r="N791" s="13" t="str">
        <x:v>Sem cobrança</x:v>
      </x:c>
      <x:c r="O791" s="13" t="str">
        <x:v>Pico do descontrole</x:v>
      </x:c>
      <x:c r="P791" s="17" t="n">
        <x:f>IF(D791="",0,J791-K791+L791)</x:f>
        <x:v>3757.1</x:v>
      </x:c>
      <x:c r="Q791" s="17" t="n">
        <x:f>MAX(J791-P791-K791,0)</x:f>
        <x:v>0</x:v>
      </x:c>
      <x:c r="R791" s="13" t="n">
        <x:f>IF(D791="",MAX(TODAY()-C791,0),MAX(D791-C791,0))</x:f>
        <x:v>0</x:v>
      </x:c>
      <x:c r="S791" s="13" t="str">
        <x:f>IF(R791=0,"Em dia",IF(R791&lt;=15,"1-15 dias",IF(R791&lt;=30,"16-30 dias",IF(R791&lt;=60,"31-60 dias","Acima de 60 dias"))))</x:f>
        <x:v>Em dia</x:v>
      </x:c>
    </x:row>
    <x:row r="792">
      <x:c r="A792" s="13" t="str">
        <x:v>REC-000791</x:v>
      </x:c>
      <x:c r="B792" s="23" t="n">
        <x:v>45695</x:v>
      </x:c>
      <x:c r="C792" s="23" t="n">
        <x:v>45716</x:v>
      </x:c>
      <x:c r="D792" s="23" t="n">
        <x:v>45716</x:v>
      </x:c>
      <x:c r="E792" s="13" t="str">
        <x:v>VAL-012</x:v>
      </x:c>
      <x:c r="F792" s="13" t="str">
        <x:v>DataFlow Sistemas</x:v>
      </x:c>
      <x:c r="G792" s="13" t="str">
        <x:v>Tecnologia</x:v>
      </x:c>
      <x:c r="H792" s="13" t="str">
        <x:v>Médio</x:v>
      </x:c>
      <x:c r="I792" s="13" t="str">
        <x:v>Enterprise</x:v>
      </x:c>
      <x:c r="J792" s="17" t="n">
        <x:v>33926.99</x:v>
      </x:c>
      <x:c r="K792" s="17" t="n">
        <x:v>0</x:v>
      </x:c>
      <x:c r="L792" s="17" t="n">
        <x:v>0</x:v>
      </x:c>
      <x:c r="M792" s="13" t="str">
        <x:v>Pago</x:v>
      </x:c>
      <x:c r="N792" s="13" t="str">
        <x:v>Sem cobrança</x:v>
      </x:c>
      <x:c r="O792" s="13" t="str">
        <x:v>Pico do descontrole</x:v>
      </x:c>
      <x:c r="P792" s="17" t="n">
        <x:f>IF(D792="",0,J792-K792+L792)</x:f>
        <x:v>33926.99</x:v>
      </x:c>
      <x:c r="Q792" s="17" t="n">
        <x:f>MAX(J792-P792-K792,0)</x:f>
        <x:v>0</x:v>
      </x:c>
      <x:c r="R792" s="13" t="n">
        <x:f>IF(D792="",MAX(TODAY()-C792,0),MAX(D792-C792,0))</x:f>
        <x:v>0</x:v>
      </x:c>
      <x:c r="S792" s="13" t="str">
        <x:f>IF(R792=0,"Em dia",IF(R792&lt;=15,"1-15 dias",IF(R792&lt;=30,"16-30 dias",IF(R792&lt;=60,"31-60 dias","Acima de 60 dias"))))</x:f>
        <x:v>Em dia</x:v>
      </x:c>
    </x:row>
    <x:row r="793">
      <x:c r="A793" s="13" t="str">
        <x:v>REC-000792</x:v>
      </x:c>
      <x:c r="B793" s="23" t="n">
        <x:v>45699</x:v>
      </x:c>
      <x:c r="C793" s="23" t="n">
        <x:v>45714</x:v>
      </x:c>
      <x:c r="D793" s="23" t="n">
        <x:v>45710</x:v>
      </x:c>
      <x:c r="E793" s="13" t="str">
        <x:v>VAL-017</x:v>
      </x:c>
      <x:c r="F793" s="13" t="str">
        <x:v>Centro Médico Vida</x:v>
      </x:c>
      <x:c r="G793" s="13" t="str">
        <x:v>Clínicas e Saúde</x:v>
      </x:c>
      <x:c r="H793" s="13" t="str">
        <x:v>Baixo</x:v>
      </x:c>
      <x:c r="I793" s="13" t="str">
        <x:v>Essencial</x:v>
      </x:c>
      <x:c r="J793" s="17" t="n">
        <x:v>18857.08</x:v>
      </x:c>
      <x:c r="K793" s="17" t="n">
        <x:v>0</x:v>
      </x:c>
      <x:c r="L793" s="17" t="n">
        <x:v>0</x:v>
      </x:c>
      <x:c r="M793" s="13" t="str">
        <x:v>Pago</x:v>
      </x:c>
      <x:c r="N793" s="13" t="str">
        <x:v>Sem cobrança</x:v>
      </x:c>
      <x:c r="O793" s="13" t="str">
        <x:v>Pico do descontrole</x:v>
      </x:c>
      <x:c r="P793" s="17" t="n">
        <x:f>IF(D793="",0,J793-K793+L793)</x:f>
        <x:v>18857.08</x:v>
      </x:c>
      <x:c r="Q793" s="17" t="n">
        <x:f>MAX(J793-P793-K793,0)</x:f>
        <x:v>0</x:v>
      </x:c>
      <x:c r="R793" s="13" t="n">
        <x:f>IF(D793="",MAX(TODAY()-C793,0),MAX(D793-C793,0))</x:f>
        <x:v>0</x:v>
      </x:c>
      <x:c r="S793" s="13" t="str">
        <x:f>IF(R793=0,"Em dia",IF(R793&lt;=15,"1-15 dias",IF(R793&lt;=30,"16-30 dias",IF(R793&lt;=60,"31-60 dias","Acima de 60 dias"))))</x:f>
        <x:v>Em dia</x:v>
      </x:c>
    </x:row>
    <x:row r="794">
      <x:c r="A794" s="13" t="str">
        <x:v>REC-000793</x:v>
      </x:c>
      <x:c r="B794" s="23" t="n">
        <x:v>45698</x:v>
      </x:c>
      <x:c r="C794" s="23" t="n">
        <x:v>45728</x:v>
      </x:c>
      <x:c r="D794" s="23" t="n">
        <x:v>45724</x:v>
      </x:c>
      <x:c r="E794" s="13" t="str">
        <x:v>VAL-017</x:v>
      </x:c>
      <x:c r="F794" s="13" t="str">
        <x:v>Centro Médico Vida</x:v>
      </x:c>
      <x:c r="G794" s="13" t="str">
        <x:v>Clínicas e Saúde</x:v>
      </x:c>
      <x:c r="H794" s="13" t="str">
        <x:v>Baixo</x:v>
      </x:c>
      <x:c r="I794" s="13" t="str">
        <x:v>Essencial</x:v>
      </x:c>
      <x:c r="J794" s="17" t="n">
        <x:v>3146.21</x:v>
      </x:c>
      <x:c r="K794" s="17" t="n">
        <x:v>0</x:v>
      </x:c>
      <x:c r="L794" s="17" t="n">
        <x:v>0</x:v>
      </x:c>
      <x:c r="M794" s="13" t="str">
        <x:v>Pago</x:v>
      </x:c>
      <x:c r="N794" s="13" t="str">
        <x:v>Sem cobrança</x:v>
      </x:c>
      <x:c r="O794" s="13" t="str">
        <x:v>Pico do descontrole</x:v>
      </x:c>
      <x:c r="P794" s="17" t="n">
        <x:f>IF(D794="",0,J794-K794+L794)</x:f>
        <x:v>3146.21</x:v>
      </x:c>
      <x:c r="Q794" s="17" t="n">
        <x:f>MAX(J794-P794-K794,0)</x:f>
        <x:v>0</x:v>
      </x:c>
      <x:c r="R794" s="13" t="n">
        <x:f>IF(D794="",MAX(TODAY()-C794,0),MAX(D794-C794,0))</x:f>
        <x:v>0</x:v>
      </x:c>
      <x:c r="S794" s="13" t="str">
        <x:f>IF(R794=0,"Em dia",IF(R794&lt;=15,"1-15 dias",IF(R794&lt;=30,"16-30 dias",IF(R794&lt;=60,"31-60 dias","Acima de 60 dias"))))</x:f>
        <x:v>Em dia</x:v>
      </x:c>
    </x:row>
    <x:row r="795">
      <x:c r="A795" s="13" t="str">
        <x:v>REC-000794</x:v>
      </x:c>
      <x:c r="B795" s="23" t="n">
        <x:v>45689</x:v>
      </x:c>
      <x:c r="C795" s="23" t="n">
        <x:v>45704</x:v>
      </x:c>
      <x:c r="D795" s="23" t="n">
        <x:v>45703</x:v>
      </x:c>
      <x:c r="E795" s="13" t="str">
        <x:v>VAL-022</x:v>
      </x:c>
      <x:c r="F795" s="13" t="str">
        <x:v>Academia Evoluir</x:v>
      </x:c>
      <x:c r="G795" s="13" t="str">
        <x:v>Educação</x:v>
      </x:c>
      <x:c r="H795" s="13" t="str">
        <x:v>Alto</x:v>
      </x:c>
      <x:c r="I795" s="13" t="str">
        <x:v>Gestão</x:v>
      </x:c>
      <x:c r="J795" s="17" t="n">
        <x:v>14291.76</x:v>
      </x:c>
      <x:c r="K795" s="17" t="n">
        <x:v>0</x:v>
      </x:c>
      <x:c r="L795" s="17" t="n">
        <x:v>0</x:v>
      </x:c>
      <x:c r="M795" s="13" t="str">
        <x:v>Pago</x:v>
      </x:c>
      <x:c r="N795" s="13" t="str">
        <x:v>Sem cobrança</x:v>
      </x:c>
      <x:c r="O795" s="13" t="str">
        <x:v>Pico do descontrole</x:v>
      </x:c>
      <x:c r="P795" s="17" t="n">
        <x:f>IF(D795="",0,J795-K795+L795)</x:f>
        <x:v>14291.76</x:v>
      </x:c>
      <x:c r="Q795" s="17" t="n">
        <x:f>MAX(J795-P795-K795,0)</x:f>
        <x:v>0</x:v>
      </x:c>
      <x:c r="R795" s="13" t="n">
        <x:f>IF(D795="",MAX(TODAY()-C795,0),MAX(D795-C795,0))</x:f>
        <x:v>0</x:v>
      </x:c>
      <x:c r="S795" s="13" t="str">
        <x:f>IF(R795=0,"Em dia",IF(R795&lt;=15,"1-15 dias",IF(R795&lt;=30,"16-30 dias",IF(R795&lt;=60,"31-60 dias","Acima de 60 dias"))))</x:f>
        <x:v>Em dia</x:v>
      </x:c>
    </x:row>
    <x:row r="796">
      <x:c r="A796" s="13" t="str">
        <x:v>REC-000795</x:v>
      </x:c>
      <x:c r="B796" s="23" t="n">
        <x:v>45699</x:v>
      </x:c>
      <x:c r="C796" s="23" t="n">
        <x:v>45727</x:v>
      </x:c>
      <x:c r="D796" s="23" t="n">
        <x:v>45723</x:v>
      </x:c>
      <x:c r="E796" s="13" t="str">
        <x:v>VAL-009</x:v>
      </x:c>
      <x:c r="F796" s="13" t="str">
        <x:v>Odonto Prime</x:v>
      </x:c>
      <x:c r="G796" s="13" t="str">
        <x:v>Clínicas e Saúde</x:v>
      </x:c>
      <x:c r="H796" s="13" t="str">
        <x:v>Médio</x:v>
      </x:c>
      <x:c r="I796" s="13" t="str">
        <x:v>Essencial</x:v>
      </x:c>
      <x:c r="J796" s="17" t="n">
        <x:v>23273.35</x:v>
      </x:c>
      <x:c r="K796" s="17" t="n">
        <x:v>0</x:v>
      </x:c>
      <x:c r="L796" s="17" t="n">
        <x:v>0</x:v>
      </x:c>
      <x:c r="M796" s="13" t="str">
        <x:v>Pago</x:v>
      </x:c>
      <x:c r="N796" s="13" t="str">
        <x:v>Sem cobrança</x:v>
      </x:c>
      <x:c r="O796" s="13" t="str">
        <x:v>Pico do descontrole</x:v>
      </x:c>
      <x:c r="P796" s="17" t="n">
        <x:f>IF(D796="",0,J796-K796+L796)</x:f>
        <x:v>23273.35</x:v>
      </x:c>
      <x:c r="Q796" s="17" t="n">
        <x:f>MAX(J796-P796-K796,0)</x:f>
        <x:v>0</x:v>
      </x:c>
      <x:c r="R796" s="13" t="n">
        <x:f>IF(D796="",MAX(TODAY()-C796,0),MAX(D796-C796,0))</x:f>
        <x:v>0</x:v>
      </x:c>
      <x:c r="S796" s="13" t="str">
        <x:f>IF(R796=0,"Em dia",IF(R796&lt;=15,"1-15 dias",IF(R796&lt;=30,"16-30 dias",IF(R796&lt;=60,"31-60 dias","Acima de 60 dias"))))</x:f>
        <x:v>Em dia</x:v>
      </x:c>
    </x:row>
    <x:row r="797">
      <x:c r="A797" s="13" t="str">
        <x:v>REC-000796</x:v>
      </x:c>
      <x:c r="B797" s="23" t="n">
        <x:v>45708</x:v>
      </x:c>
      <x:c r="C797" s="23" t="n">
        <x:v>45738</x:v>
      </x:c>
      <x:c r="D797" s="23" t="n">
        <x:v>45735</x:v>
      </x:c>
      <x:c r="E797" s="13" t="str">
        <x:v>VAL-016</x:v>
      </x:c>
      <x:c r="F797" s="13" t="str">
        <x:v>Lumina Embalagens</x:v>
      </x:c>
      <x:c r="G797" s="13" t="str">
        <x:v>Indústria Leve</x:v>
      </x:c>
      <x:c r="H797" s="13" t="str">
        <x:v>Baixo</x:v>
      </x:c>
      <x:c r="I797" s="13" t="str">
        <x:v>Enterprise</x:v>
      </x:c>
      <x:c r="J797" s="17" t="n">
        <x:v>16261.02</x:v>
      </x:c>
      <x:c r="K797" s="17" t="n">
        <x:v>0</x:v>
      </x:c>
      <x:c r="L797" s="17" t="n">
        <x:v>0</x:v>
      </x:c>
      <x:c r="M797" s="13" t="str">
        <x:v>Pago</x:v>
      </x:c>
      <x:c r="N797" s="13" t="str">
        <x:v>Sem cobrança</x:v>
      </x:c>
      <x:c r="O797" s="13" t="str">
        <x:v>Pico do descontrole</x:v>
      </x:c>
      <x:c r="P797" s="17" t="n">
        <x:f>IF(D797="",0,J797-K797+L797)</x:f>
        <x:v>16261.02</x:v>
      </x:c>
      <x:c r="Q797" s="17" t="n">
        <x:f>MAX(J797-P797-K797,0)</x:f>
        <x:v>0</x:v>
      </x:c>
      <x:c r="R797" s="13" t="n">
        <x:f>IF(D797="",MAX(TODAY()-C797,0),MAX(D797-C797,0))</x:f>
        <x:v>0</x:v>
      </x:c>
      <x:c r="S797" s="13" t="str">
        <x:f>IF(R797=0,"Em dia",IF(R797&lt;=15,"1-15 dias",IF(R797&lt;=30,"16-30 dias",IF(R797&lt;=60,"31-60 dias","Acima de 60 dias"))))</x:f>
        <x:v>Em dia</x:v>
      </x:c>
    </x:row>
    <x:row r="798">
      <x:c r="A798" s="13" t="str">
        <x:v>REC-000797</x:v>
      </x:c>
      <x:c r="B798" s="23" t="n">
        <x:v>45701</x:v>
      </x:c>
      <x:c r="C798" s="23" t="n">
        <x:v>45729</x:v>
      </x:c>
      <x:c r="D798" s="23" t="n">
        <x:v>45729</x:v>
      </x:c>
      <x:c r="E798" s="13" t="str">
        <x:v>VAL-028</x:v>
      </x:c>
      <x:c r="F798" s="13" t="str">
        <x:v>Pixel Norte</x:v>
      </x:c>
      <x:c r="G798" s="13" t="str">
        <x:v>Tecnologia</x:v>
      </x:c>
      <x:c r="H798" s="13" t="str">
        <x:v>Alto</x:v>
      </x:c>
      <x:c r="I798" s="13" t="str">
        <x:v>Enterprise</x:v>
      </x:c>
      <x:c r="J798" s="17" t="n">
        <x:v>19445.39</x:v>
      </x:c>
      <x:c r="K798" s="17" t="n">
        <x:v>0</x:v>
      </x:c>
      <x:c r="L798" s="17" t="n">
        <x:v>0</x:v>
      </x:c>
      <x:c r="M798" s="13" t="str">
        <x:v>Pago</x:v>
      </x:c>
      <x:c r="N798" s="13" t="str">
        <x:v>Sem cobrança</x:v>
      </x:c>
      <x:c r="O798" s="13" t="str">
        <x:v>Pico do descontrole</x:v>
      </x:c>
      <x:c r="P798" s="17" t="n">
        <x:f>IF(D798="",0,J798-K798+L798)</x:f>
        <x:v>19445.39</x:v>
      </x:c>
      <x:c r="Q798" s="17" t="n">
        <x:f>MAX(J798-P798-K798,0)</x:f>
        <x:v>0</x:v>
      </x:c>
      <x:c r="R798" s="13" t="n">
        <x:f>IF(D798="",MAX(TODAY()-C798,0),MAX(D798-C798,0))</x:f>
        <x:v>0</x:v>
      </x:c>
      <x:c r="S798" s="13" t="str">
        <x:f>IF(R798=0,"Em dia",IF(R798&lt;=15,"1-15 dias",IF(R798&lt;=30,"16-30 dias",IF(R798&lt;=60,"31-60 dias","Acima de 60 dias"))))</x:f>
        <x:v>Em dia</x:v>
      </x:c>
    </x:row>
    <x:row r="799">
      <x:c r="A799" s="13" t="str">
        <x:v>REC-000798</x:v>
      </x:c>
      <x:c r="B799" s="23" t="n">
        <x:v>45705</x:v>
      </x:c>
      <x:c r="C799" s="23" t="n">
        <x:v>45726</x:v>
      </x:c>
      <x:c r="D799" s="23" t="n">
        <x:v>45745</x:v>
      </x:c>
      <x:c r="E799" s="13" t="str">
        <x:v>VAL-020</x:v>
      </x:c>
      <x:c r="F799" s="13" t="str">
        <x:v>Corelink Digital</x:v>
      </x:c>
      <x:c r="G799" s="13" t="str">
        <x:v>Tecnologia</x:v>
      </x:c>
      <x:c r="H799" s="13" t="str">
        <x:v>Baixo</x:v>
      </x:c>
      <x:c r="I799" s="13" t="str">
        <x:v>Enterprise</x:v>
      </x:c>
      <x:c r="J799" s="17" t="n">
        <x:v>10391.49</x:v>
      </x:c>
      <x:c r="K799" s="17" t="n">
        <x:v>0</x:v>
      </x:c>
      <x:c r="L799" s="17" t="n">
        <x:v>128.33</x:v>
      </x:c>
      <x:c r="M799" s="13" t="str">
        <x:v>Pago com atraso</x:v>
      </x:c>
      <x:c r="N799" s="13" t="str">
        <x:v>Régua automática</x:v>
      </x:c>
      <x:c r="O799" s="13" t="str">
        <x:v>Pico do descontrole</x:v>
      </x:c>
      <x:c r="P799" s="17" t="n">
        <x:f>IF(D799="",0,J799-K799+L799)</x:f>
        <x:v>10519.82</x:v>
      </x:c>
      <x:c r="Q799" s="17" t="n">
        <x:f>MAX(J799-P799-K799,0)</x:f>
        <x:v>0</x:v>
      </x:c>
      <x:c r="R799" s="13" t="n">
        <x:f>IF(D799="",MAX(TODAY()-C799,0),MAX(D799-C799,0))</x:f>
        <x:v>19</x:v>
      </x:c>
      <x:c r="S799" s="13" t="str">
        <x:f>IF(R799=0,"Em dia",IF(R799&lt;=15,"1-15 dias",IF(R799&lt;=30,"16-30 dias",IF(R799&lt;=60,"31-60 dias","Acima de 60 dias"))))</x:f>
        <x:v>16-30 dias</x:v>
      </x:c>
    </x:row>
    <x:row r="800">
      <x:c r="A800" s="13" t="str">
        <x:v>REC-000799</x:v>
      </x:c>
      <x:c r="B800" s="23" t="n">
        <x:v>45705</x:v>
      </x:c>
      <x:c r="C800" s="23" t="n">
        <x:v>45735</x:v>
      </x:c>
      <x:c r="D800" s="23" t="n">
        <x:v>45734</x:v>
      </x:c>
      <x:c r="E800" s="13" t="str">
        <x:v>VAL-011</x:v>
      </x:c>
      <x:c r="F800" s="13" t="str">
        <x:v>Rede Essencial</x:v>
      </x:c>
      <x:c r="G800" s="13" t="str">
        <x:v>Varejo</x:v>
      </x:c>
      <x:c r="H800" s="13" t="str">
        <x:v>Médio</x:v>
      </x:c>
      <x:c r="I800" s="13" t="str">
        <x:v>Performance</x:v>
      </x:c>
      <x:c r="J800" s="17" t="n">
        <x:v>16121.02</x:v>
      </x:c>
      <x:c r="K800" s="17" t="n">
        <x:v>0</x:v>
      </x:c>
      <x:c r="L800" s="17" t="n">
        <x:v>0</x:v>
      </x:c>
      <x:c r="M800" s="13" t="str">
        <x:v>Pago</x:v>
      </x:c>
      <x:c r="N800" s="13" t="str">
        <x:v>Sem cobrança</x:v>
      </x:c>
      <x:c r="O800" s="13" t="str">
        <x:v>Pico do descontrole</x:v>
      </x:c>
      <x:c r="P800" s="17" t="n">
        <x:f>IF(D800="",0,J800-K800+L800)</x:f>
        <x:v>16121.02</x:v>
      </x:c>
      <x:c r="Q800" s="17" t="n">
        <x:f>MAX(J800-P800-K800,0)</x:f>
        <x:v>0</x:v>
      </x:c>
      <x:c r="R800" s="13" t="n">
        <x:f>IF(D800="",MAX(TODAY()-C800,0),MAX(D800-C800,0))</x:f>
        <x:v>0</x:v>
      </x:c>
      <x:c r="S800" s="13" t="str">
        <x:f>IF(R800=0,"Em dia",IF(R800&lt;=15,"1-15 dias",IF(R800&lt;=30,"16-30 dias",IF(R800&lt;=60,"31-60 dias","Acima de 60 dias"))))</x:f>
        <x:v>Em dia</x:v>
      </x:c>
    </x:row>
    <x:row r="801">
      <x:c r="A801" s="13" t="str">
        <x:v>REC-000800</x:v>
      </x:c>
      <x:c r="B801" s="23" t="n">
        <x:v>45689</x:v>
      </x:c>
      <x:c r="C801" s="23" t="n">
        <x:v>45717</x:v>
      </x:c>
      <x:c r="D801" s="23" t="n">
        <x:v>45717</x:v>
      </x:c>
      <x:c r="E801" s="13" t="str">
        <x:v>VAL-010</x:v>
      </x:c>
      <x:c r="F801" s="13" t="str">
        <x:v>Atlas Contabilidade</x:v>
      </x:c>
      <x:c r="G801" s="13" t="str">
        <x:v>Serviços Profissionais</x:v>
      </x:c>
      <x:c r="H801" s="13" t="str">
        <x:v>Baixo</x:v>
      </x:c>
      <x:c r="I801" s="13" t="str">
        <x:v>Gestão</x:v>
      </x:c>
      <x:c r="J801" s="17" t="n">
        <x:v>22613.68</x:v>
      </x:c>
      <x:c r="K801" s="17" t="n">
        <x:v>0</x:v>
      </x:c>
      <x:c r="L801" s="17" t="n">
        <x:v>0</x:v>
      </x:c>
      <x:c r="M801" s="13" t="str">
        <x:v>Pago</x:v>
      </x:c>
      <x:c r="N801" s="13" t="str">
        <x:v>Sem cobrança</x:v>
      </x:c>
      <x:c r="O801" s="13" t="str">
        <x:v>Pico do descontrole</x:v>
      </x:c>
      <x:c r="P801" s="17" t="n">
        <x:f>IF(D801="",0,J801-K801+L801)</x:f>
        <x:v>22613.68</x:v>
      </x:c>
      <x:c r="Q801" s="17" t="n">
        <x:f>MAX(J801-P801-K801,0)</x:f>
        <x:v>0</x:v>
      </x:c>
      <x:c r="R801" s="13" t="n">
        <x:f>IF(D801="",MAX(TODAY()-C801,0),MAX(D801-C801,0))</x:f>
        <x:v>0</x:v>
      </x:c>
      <x:c r="S801" s="13" t="str">
        <x:f>IF(R801=0,"Em dia",IF(R801&lt;=15,"1-15 dias",IF(R801&lt;=30,"16-30 dias",IF(R801&lt;=60,"31-60 dias","Acima de 60 dias"))))</x:f>
        <x:v>Em dia</x:v>
      </x:c>
    </x:row>
    <x:row r="802">
      <x:c r="A802" s="13" t="str">
        <x:v>REC-000801</x:v>
      </x:c>
      <x:c r="B802" s="23" t="n">
        <x:v>45699</x:v>
      </x:c>
      <x:c r="C802" s="23" t="n">
        <x:v>45706</x:v>
      </x:c>
      <x:c r="D802" s="23" t="n">
        <x:v>45706</x:v>
      </x:c>
      <x:c r="E802" s="13" t="str">
        <x:v>VAL-030</x:v>
      </x:c>
      <x:c r="F802" s="13" t="str">
        <x:v>Mundo Kids Cursos</x:v>
      </x:c>
      <x:c r="G802" s="13" t="str">
        <x:v>Educação</x:v>
      </x:c>
      <x:c r="H802" s="13" t="str">
        <x:v>Alto</x:v>
      </x:c>
      <x:c r="I802" s="13" t="str">
        <x:v>Gestão</x:v>
      </x:c>
      <x:c r="J802" s="17" t="n">
        <x:v>9992.23</x:v>
      </x:c>
      <x:c r="K802" s="17" t="n">
        <x:v>0</x:v>
      </x:c>
      <x:c r="L802" s="17" t="n">
        <x:v>0</x:v>
      </x:c>
      <x:c r="M802" s="13" t="str">
        <x:v>Pago</x:v>
      </x:c>
      <x:c r="N802" s="13" t="str">
        <x:v>Sem cobrança</x:v>
      </x:c>
      <x:c r="O802" s="13" t="str">
        <x:v>Pico do descontrole</x:v>
      </x:c>
      <x:c r="P802" s="17" t="n">
        <x:f>IF(D802="",0,J802-K802+L802)</x:f>
        <x:v>9992.23</x:v>
      </x:c>
      <x:c r="Q802" s="17" t="n">
        <x:f>MAX(J802-P802-K802,0)</x:f>
        <x:v>0</x:v>
      </x:c>
      <x:c r="R802" s="13" t="n">
        <x:f>IF(D802="",MAX(TODAY()-C802,0),MAX(D802-C802,0))</x:f>
        <x:v>0</x:v>
      </x:c>
      <x:c r="S802" s="13" t="str">
        <x:f>IF(R802=0,"Em dia",IF(R802&lt;=15,"1-15 dias",IF(R802&lt;=30,"16-30 dias",IF(R802&lt;=60,"31-60 dias","Acima de 60 dias"))))</x:f>
        <x:v>Em dia</x:v>
      </x:c>
    </x:row>
    <x:row r="803">
      <x:c r="A803" s="13" t="str">
        <x:v>REC-000802</x:v>
      </x:c>
      <x:c r="B803" s="23" t="n">
        <x:v>45700</x:v>
      </x:c>
      <x:c r="C803" s="23" t="n">
        <x:v>45707</x:v>
      </x:c>
      <x:c r="D803" s="23" t="n">
        <x:v>45704</x:v>
      </x:c>
      <x:c r="E803" s="13" t="str">
        <x:v>VAL-024</x:v>
      </x:c>
      <x:c r="F803" s="13" t="str">
        <x:v>NovaForma Móveis</x:v>
      </x:c>
      <x:c r="G803" s="13" t="str">
        <x:v>Indústria Leve</x:v>
      </x:c>
      <x:c r="H803" s="13" t="str">
        <x:v>Baixo</x:v>
      </x:c>
      <x:c r="I803" s="13" t="str">
        <x:v>Enterprise</x:v>
      </x:c>
      <x:c r="J803" s="17" t="n">
        <x:v>18267.88</x:v>
      </x:c>
      <x:c r="K803" s="17" t="n">
        <x:v>0</x:v>
      </x:c>
      <x:c r="L803" s="17" t="n">
        <x:v>0</x:v>
      </x:c>
      <x:c r="M803" s="13" t="str">
        <x:v>Pago</x:v>
      </x:c>
      <x:c r="N803" s="13" t="str">
        <x:v>Sem cobrança</x:v>
      </x:c>
      <x:c r="O803" s="13" t="str">
        <x:v>Pico do descontrole</x:v>
      </x:c>
      <x:c r="P803" s="17" t="n">
        <x:f>IF(D803="",0,J803-K803+L803)</x:f>
        <x:v>18267.88</x:v>
      </x:c>
      <x:c r="Q803" s="17" t="n">
        <x:f>MAX(J803-P803-K803,0)</x:f>
        <x:v>0</x:v>
      </x:c>
      <x:c r="R803" s="13" t="n">
        <x:f>IF(D803="",MAX(TODAY()-C803,0),MAX(D803-C803,0))</x:f>
        <x:v>0</x:v>
      </x:c>
      <x:c r="S803" s="13" t="str">
        <x:f>IF(R803=0,"Em dia",IF(R803&lt;=15,"1-15 dias",IF(R803&lt;=30,"16-30 dias",IF(R803&lt;=60,"31-60 dias","Acima de 60 dias"))))</x:f>
        <x:v>Em dia</x:v>
      </x:c>
    </x:row>
    <x:row r="804">
      <x:c r="A804" s="13" t="str">
        <x:v>REC-000803</x:v>
      </x:c>
      <x:c r="B804" s="23" t="n">
        <x:v>45689</x:v>
      </x:c>
      <x:c r="C804" s="23" t="n">
        <x:v>45704</x:v>
      </x:c>
      <x:c r="D804" s="23" t="n">
        <x:v>45700</x:v>
      </x:c>
      <x:c r="E804" s="13" t="str">
        <x:v>VAL-013</x:v>
      </x:c>
      <x:c r="F804" s="13" t="str">
        <x:v>Engenharia Vértice</x:v>
      </x:c>
      <x:c r="G804" s="13" t="str">
        <x:v>Construção</x:v>
      </x:c>
      <x:c r="H804" s="13" t="str">
        <x:v>Baixo</x:v>
      </x:c>
      <x:c r="I804" s="13" t="str">
        <x:v>Essencial</x:v>
      </x:c>
      <x:c r="J804" s="17" t="n">
        <x:v>23799.94</x:v>
      </x:c>
      <x:c r="K804" s="17" t="n">
        <x:v>237.17</x:v>
      </x:c>
      <x:c r="L804" s="17" t="n">
        <x:v>0</x:v>
      </x:c>
      <x:c r="M804" s="13" t="str">
        <x:v>Pago</x:v>
      </x:c>
      <x:c r="N804" s="13" t="str">
        <x:v>Sem cobrança</x:v>
      </x:c>
      <x:c r="O804" s="13" t="str">
        <x:v>Pico do descontrole</x:v>
      </x:c>
      <x:c r="P804" s="17" t="n">
        <x:f>IF(D804="",0,J804-K804+L804)</x:f>
        <x:v>23562.77</x:v>
      </x:c>
      <x:c r="Q804" s="17" t="n">
        <x:f>MAX(J804-P804-K804,0)</x:f>
        <x:v>0</x:v>
      </x:c>
      <x:c r="R804" s="13" t="n">
        <x:f>IF(D804="",MAX(TODAY()-C804,0),MAX(D804-C804,0))</x:f>
        <x:v>0</x:v>
      </x:c>
      <x:c r="S804" s="13" t="str">
        <x:f>IF(R804=0,"Em dia",IF(R804&lt;=15,"1-15 dias",IF(R804&lt;=30,"16-30 dias",IF(R804&lt;=60,"31-60 dias","Acima de 60 dias"))))</x:f>
        <x:v>Em dia</x:v>
      </x:c>
    </x:row>
    <x:row r="805">
      <x:c r="A805" s="13" t="str">
        <x:v>REC-000804</x:v>
      </x:c>
      <x:c r="B805" s="23" t="n">
        <x:v>45708</x:v>
      </x:c>
      <x:c r="C805" s="23" t="n">
        <x:v>45736</x:v>
      </x:c>
      <x:c r="D805" s="23" t="n">
        <x:v>45736</x:v>
      </x:c>
      <x:c r="E805" s="13" t="str">
        <x:v>VAL-010</x:v>
      </x:c>
      <x:c r="F805" s="13" t="str">
        <x:v>Atlas Contabilidade</x:v>
      </x:c>
      <x:c r="G805" s="13" t="str">
        <x:v>Serviços Profissionais</x:v>
      </x:c>
      <x:c r="H805" s="13" t="str">
        <x:v>Baixo</x:v>
      </x:c>
      <x:c r="I805" s="13" t="str">
        <x:v>Gestão</x:v>
      </x:c>
      <x:c r="J805" s="17" t="n">
        <x:v>14483.92</x:v>
      </x:c>
      <x:c r="K805" s="17" t="n">
        <x:v>0</x:v>
      </x:c>
      <x:c r="L805" s="17" t="n">
        <x:v>0</x:v>
      </x:c>
      <x:c r="M805" s="13" t="str">
        <x:v>Pago</x:v>
      </x:c>
      <x:c r="N805" s="13" t="str">
        <x:v>Sem cobrança</x:v>
      </x:c>
      <x:c r="O805" s="13" t="str">
        <x:v>Pico do descontrole</x:v>
      </x:c>
      <x:c r="P805" s="17" t="n">
        <x:f>IF(D805="",0,J805-K805+L805)</x:f>
        <x:v>14483.92</x:v>
      </x:c>
      <x:c r="Q805" s="17" t="n">
        <x:f>MAX(J805-P805-K805,0)</x:f>
        <x:v>0</x:v>
      </x:c>
      <x:c r="R805" s="13" t="n">
        <x:f>IF(D805="",MAX(TODAY()-C805,0),MAX(D805-C805,0))</x:f>
        <x:v>0</x:v>
      </x:c>
      <x:c r="S805" s="13" t="str">
        <x:f>IF(R805=0,"Em dia",IF(R805&lt;=15,"1-15 dias",IF(R805&lt;=30,"16-30 dias",IF(R805&lt;=60,"31-60 dias","Acima de 60 dias"))))</x:f>
        <x:v>Em dia</x:v>
      </x:c>
    </x:row>
    <x:row r="806">
      <x:c r="A806" s="13" t="str">
        <x:v>REC-000805</x:v>
      </x:c>
      <x:c r="B806" s="23" t="n">
        <x:v>45697</x:v>
      </x:c>
      <x:c r="C806" s="23" t="n">
        <x:v>45725</x:v>
      </x:c>
      <x:c r="D806" s="23"/>
      <x:c r="E806" s="13" t="str">
        <x:v>VAL-024</x:v>
      </x:c>
      <x:c r="F806" s="13" t="str">
        <x:v>NovaForma Móveis</x:v>
      </x:c>
      <x:c r="G806" s="13" t="str">
        <x:v>Indústria Leve</x:v>
      </x:c>
      <x:c r="H806" s="13" t="str">
        <x:v>Baixo</x:v>
      </x:c>
      <x:c r="I806" s="13" t="str">
        <x:v>Enterprise</x:v>
      </x:c>
      <x:c r="J806" s="17" t="n">
        <x:v>2562.03</x:v>
      </x:c>
      <x:c r="K806" s="17" t="n">
        <x:v>0</x:v>
      </x:c>
      <x:c r="L806" s="17" t="n">
        <x:v>0</x:v>
      </x:c>
      <x:c r="M806" s="13" t="str">
        <x:v>Em aberto</x:v>
      </x:c>
      <x:c r="N806" s="13" t="str">
        <x:v>Régua automática</x:v>
      </x:c>
      <x:c r="O806" s="13" t="str">
        <x:v>Pico do descontrole</x:v>
      </x:c>
      <x:c r="P806" s="17" t="n">
        <x:f>IF(D806="",0,J806-K806+L806)</x:f>
        <x:v>0</x:v>
      </x:c>
      <x:c r="Q806" s="17" t="n">
        <x:f>MAX(J806-P806-K806,0)</x:f>
        <x:v>2562.03</x:v>
      </x:c>
      <x:c r="R806" s="13" t="n">
        <x:f>IF(D806="",MAX(TODAY()-C806,0),MAX(D806-C806,0))</x:f>
        <x:v>488</x:v>
      </x:c>
      <x:c r="S806" s="13" t="str">
        <x:f>IF(R806=0,"Em dia",IF(R806&lt;=15,"1-15 dias",IF(R806&lt;=30,"16-30 dias",IF(R806&lt;=60,"31-60 dias","Acima de 60 dias"))))</x:f>
        <x:v>Acima de 60 dias</x:v>
      </x:c>
    </x:row>
    <x:row r="807">
      <x:c r="A807" s="13" t="str">
        <x:v>REC-000806</x:v>
      </x:c>
      <x:c r="B807" s="23" t="n">
        <x:v>45701</x:v>
      </x:c>
      <x:c r="C807" s="23" t="n">
        <x:v>45729</x:v>
      </x:c>
      <x:c r="D807" s="23" t="n">
        <x:v>45725</x:v>
      </x:c>
      <x:c r="E807" s="13" t="str">
        <x:v>VAL-017</x:v>
      </x:c>
      <x:c r="F807" s="13" t="str">
        <x:v>Centro Médico Vida</x:v>
      </x:c>
      <x:c r="G807" s="13" t="str">
        <x:v>Clínicas e Saúde</x:v>
      </x:c>
      <x:c r="H807" s="13" t="str">
        <x:v>Baixo</x:v>
      </x:c>
      <x:c r="I807" s="13" t="str">
        <x:v>Essencial</x:v>
      </x:c>
      <x:c r="J807" s="17" t="n">
        <x:v>24446.75</x:v>
      </x:c>
      <x:c r="K807" s="17" t="n">
        <x:v>0</x:v>
      </x:c>
      <x:c r="L807" s="17" t="n">
        <x:v>0</x:v>
      </x:c>
      <x:c r="M807" s="13" t="str">
        <x:v>Pago</x:v>
      </x:c>
      <x:c r="N807" s="13" t="str">
        <x:v>Sem cobrança</x:v>
      </x:c>
      <x:c r="O807" s="13" t="str">
        <x:v>Pico do descontrole</x:v>
      </x:c>
      <x:c r="P807" s="17" t="n">
        <x:f>IF(D807="",0,J807-K807+L807)</x:f>
        <x:v>24446.75</x:v>
      </x:c>
      <x:c r="Q807" s="17" t="n">
        <x:f>MAX(J807-P807-K807,0)</x:f>
        <x:v>0</x:v>
      </x:c>
      <x:c r="R807" s="13" t="n">
        <x:f>IF(D807="",MAX(TODAY()-C807,0),MAX(D807-C807,0))</x:f>
        <x:v>0</x:v>
      </x:c>
      <x:c r="S807" s="13" t="str">
        <x:f>IF(R807=0,"Em dia",IF(R807&lt;=15,"1-15 dias",IF(R807&lt;=30,"16-30 dias",IF(R807&lt;=60,"31-60 dias","Acima de 60 dias"))))</x:f>
        <x:v>Em dia</x:v>
      </x:c>
    </x:row>
    <x:row r="808">
      <x:c r="A808" s="13" t="str">
        <x:v>REC-000807</x:v>
      </x:c>
      <x:c r="B808" s="23" t="n">
        <x:v>45707</x:v>
      </x:c>
      <x:c r="C808" s="23" t="n">
        <x:v>45735</x:v>
      </x:c>
      <x:c r="D808" s="23" t="n">
        <x:v>45761</x:v>
      </x:c>
      <x:c r="E808" s="13" t="str">
        <x:v>VAL-002</x:v>
      </x:c>
      <x:c r="F808" s="13" t="str">
        <x:v>Mendes &amp; Prado Consultoria</x:v>
      </x:c>
      <x:c r="G808" s="13" t="str">
        <x:v>Serviços Profissionais</x:v>
      </x:c>
      <x:c r="H808" s="13" t="str">
        <x:v>Baixo</x:v>
      </x:c>
      <x:c r="I808" s="13" t="str">
        <x:v>Gestão</x:v>
      </x:c>
      <x:c r="J808" s="17" t="n">
        <x:v>8877.12</x:v>
      </x:c>
      <x:c r="K808" s="17" t="n">
        <x:v>0</x:v>
      </x:c>
      <x:c r="L808" s="17" t="n">
        <x:v>150.02</x:v>
      </x:c>
      <x:c r="M808" s="13" t="str">
        <x:v>Pago com atraso</x:v>
      </x:c>
      <x:c r="N808" s="13" t="str">
        <x:v>Telefone</x:v>
      </x:c>
      <x:c r="O808" s="13" t="str">
        <x:v>Pico do descontrole</x:v>
      </x:c>
      <x:c r="P808" s="17" t="n">
        <x:f>IF(D808="",0,J808-K808+L808)</x:f>
        <x:v>9027.140000000001</x:v>
      </x:c>
      <x:c r="Q808" s="17" t="n">
        <x:f>MAX(J808-P808-K808,0)</x:f>
        <x:v>0</x:v>
      </x:c>
      <x:c r="R808" s="13" t="n">
        <x:f>IF(D808="",MAX(TODAY()-C808,0),MAX(D808-C808,0))</x:f>
        <x:v>26</x:v>
      </x:c>
      <x:c r="S808" s="13" t="str">
        <x:f>IF(R808=0,"Em dia",IF(R808&lt;=15,"1-15 dias",IF(R808&lt;=30,"16-30 dias",IF(R808&lt;=60,"31-60 dias","Acima de 60 dias"))))</x:f>
        <x:v>16-30 dias</x:v>
      </x:c>
    </x:row>
    <x:row r="809">
      <x:c r="A809" s="13" t="str">
        <x:v>REC-000808</x:v>
      </x:c>
      <x:c r="B809" s="23" t="n">
        <x:v>45699</x:v>
      </x:c>
      <x:c r="C809" s="23" t="n">
        <x:v>45729</x:v>
      </x:c>
      <x:c r="D809" s="23" t="n">
        <x:v>45727</x:v>
      </x:c>
      <x:c r="E809" s="13" t="str">
        <x:v>VAL-010</x:v>
      </x:c>
      <x:c r="F809" s="13" t="str">
        <x:v>Atlas Contabilidade</x:v>
      </x:c>
      <x:c r="G809" s="13" t="str">
        <x:v>Serviços Profissionais</x:v>
      </x:c>
      <x:c r="H809" s="13" t="str">
        <x:v>Baixo</x:v>
      </x:c>
      <x:c r="I809" s="13" t="str">
        <x:v>Gestão</x:v>
      </x:c>
      <x:c r="J809" s="17" t="n">
        <x:v>13151.07</x:v>
      </x:c>
      <x:c r="K809" s="17" t="n">
        <x:v>0</x:v>
      </x:c>
      <x:c r="L809" s="17" t="n">
        <x:v>0</x:v>
      </x:c>
      <x:c r="M809" s="13" t="str">
        <x:v>Pago</x:v>
      </x:c>
      <x:c r="N809" s="13" t="str">
        <x:v>Sem cobrança</x:v>
      </x:c>
      <x:c r="O809" s="13" t="str">
        <x:v>Pico do descontrole</x:v>
      </x:c>
      <x:c r="P809" s="17" t="n">
        <x:f>IF(D809="",0,J809-K809+L809)</x:f>
        <x:v>13151.07</x:v>
      </x:c>
      <x:c r="Q809" s="17" t="n">
        <x:f>MAX(J809-P809-K809,0)</x:f>
        <x:v>0</x:v>
      </x:c>
      <x:c r="R809" s="13" t="n">
        <x:f>IF(D809="",MAX(TODAY()-C809,0),MAX(D809-C809,0))</x:f>
        <x:v>0</x:v>
      </x:c>
      <x:c r="S809" s="13" t="str">
        <x:f>IF(R809=0,"Em dia",IF(R809&lt;=15,"1-15 dias",IF(R809&lt;=30,"16-30 dias",IF(R809&lt;=60,"31-60 dias","Acima de 60 dias"))))</x:f>
        <x:v>Em dia</x:v>
      </x:c>
    </x:row>
    <x:row r="810">
      <x:c r="A810" s="13" t="str">
        <x:v>REC-000809</x:v>
      </x:c>
      <x:c r="B810" s="23" t="n">
        <x:v>45695</x:v>
      </x:c>
      <x:c r="C810" s="23" t="n">
        <x:v>45723</x:v>
      </x:c>
      <x:c r="D810" s="23" t="n">
        <x:v>45722</x:v>
      </x:c>
      <x:c r="E810" s="13" t="str">
        <x:v>VAL-006</x:v>
      </x:c>
      <x:c r="F810" s="13" t="str">
        <x:v>Instituto Saber Mais</x:v>
      </x:c>
      <x:c r="G810" s="13" t="str">
        <x:v>Educação</x:v>
      </x:c>
      <x:c r="H810" s="13" t="str">
        <x:v>Médio</x:v>
      </x:c>
      <x:c r="I810" s="13" t="str">
        <x:v>Gestão</x:v>
      </x:c>
      <x:c r="J810" s="17" t="n">
        <x:v>4829.12</x:v>
      </x:c>
      <x:c r="K810" s="17" t="n">
        <x:v>47.02</x:v>
      </x:c>
      <x:c r="L810" s="17" t="n">
        <x:v>0</x:v>
      </x:c>
      <x:c r="M810" s="13" t="str">
        <x:v>Pago</x:v>
      </x:c>
      <x:c r="N810" s="13" t="str">
        <x:v>Sem cobrança</x:v>
      </x:c>
      <x:c r="O810" s="13" t="str">
        <x:v>Pico do descontrole</x:v>
      </x:c>
      <x:c r="P810" s="17" t="n">
        <x:f>IF(D810="",0,J810-K810+L810)</x:f>
        <x:v>4782.099999999999</x:v>
      </x:c>
      <x:c r="Q810" s="17" t="n">
        <x:f>MAX(J810-P810-K810,0)</x:f>
        <x:v>4.334310688136611e-13</x:v>
      </x:c>
      <x:c r="R810" s="13" t="n">
        <x:f>IF(D810="",MAX(TODAY()-C810,0),MAX(D810-C810,0))</x:f>
        <x:v>0</x:v>
      </x:c>
      <x:c r="S810" s="13" t="str">
        <x:f>IF(R810=0,"Em dia",IF(R810&lt;=15,"1-15 dias",IF(R810&lt;=30,"16-30 dias",IF(R810&lt;=60,"31-60 dias","Acima de 60 dias"))))</x:f>
        <x:v>Em dia</x:v>
      </x:c>
    </x:row>
    <x:row r="811">
      <x:c r="A811" s="13" t="str">
        <x:v>REC-000810</x:v>
      </x:c>
      <x:c r="B811" s="23" t="n">
        <x:v>45703</x:v>
      </x:c>
      <x:c r="C811" s="23" t="n">
        <x:v>45733</x:v>
      </x:c>
      <x:c r="D811" s="23" t="n">
        <x:v>45733</x:v>
      </x:c>
      <x:c r="E811" s="13" t="str">
        <x:v>VAL-006</x:v>
      </x:c>
      <x:c r="F811" s="13" t="str">
        <x:v>Instituto Saber Mais</x:v>
      </x:c>
      <x:c r="G811" s="13" t="str">
        <x:v>Educação</x:v>
      </x:c>
      <x:c r="H811" s="13" t="str">
        <x:v>Médio</x:v>
      </x:c>
      <x:c r="I811" s="13" t="str">
        <x:v>Gestão</x:v>
      </x:c>
      <x:c r="J811" s="17" t="n">
        <x:v>10427.89</x:v>
      </x:c>
      <x:c r="K811" s="17" t="n">
        <x:v>0</x:v>
      </x:c>
      <x:c r="L811" s="17" t="n">
        <x:v>0</x:v>
      </x:c>
      <x:c r="M811" s="13" t="str">
        <x:v>Pago</x:v>
      </x:c>
      <x:c r="N811" s="13" t="str">
        <x:v>Sem cobrança</x:v>
      </x:c>
      <x:c r="O811" s="13" t="str">
        <x:v>Pico do descontrole</x:v>
      </x:c>
      <x:c r="P811" s="17" t="n">
        <x:f>IF(D811="",0,J811-K811+L811)</x:f>
        <x:v>10427.89</x:v>
      </x:c>
      <x:c r="Q811" s="17" t="n">
        <x:f>MAX(J811-P811-K811,0)</x:f>
        <x:v>0</x:v>
      </x:c>
      <x:c r="R811" s="13" t="n">
        <x:f>IF(D811="",MAX(TODAY()-C811,0),MAX(D811-C811,0))</x:f>
        <x:v>0</x:v>
      </x:c>
      <x:c r="S811" s="13" t="str">
        <x:f>IF(R811=0,"Em dia",IF(R811&lt;=15,"1-15 dias",IF(R811&lt;=30,"16-30 dias",IF(R811&lt;=60,"31-60 dias","Acima de 60 dias"))))</x:f>
        <x:v>Em dia</x:v>
      </x:c>
    </x:row>
    <x:row r="812">
      <x:c r="A812" s="13" t="str">
        <x:v>REC-000811</x:v>
      </x:c>
      <x:c r="B812" s="23" t="n">
        <x:v>45702</x:v>
      </x:c>
      <x:c r="C812" s="23" t="n">
        <x:v>45717</x:v>
      </x:c>
      <x:c r="D812" s="23" t="n">
        <x:v>45747</x:v>
      </x:c>
      <x:c r="E812" s="13" t="str">
        <x:v>VAL-013</x:v>
      </x:c>
      <x:c r="F812" s="13" t="str">
        <x:v>Engenharia Vértice</x:v>
      </x:c>
      <x:c r="G812" s="13" t="str">
        <x:v>Construção</x:v>
      </x:c>
      <x:c r="H812" s="13" t="str">
        <x:v>Baixo</x:v>
      </x:c>
      <x:c r="I812" s="13" t="str">
        <x:v>Essencial</x:v>
      </x:c>
      <x:c r="J812" s="17" t="n">
        <x:v>15135.7</x:v>
      </x:c>
      <x:c r="K812" s="17" t="n">
        <x:v>0</x:v>
      </x:c>
      <x:c r="L812" s="17" t="n">
        <x:v>295.15</x:v>
      </x:c>
      <x:c r="M812" s="13" t="str">
        <x:v>Pago com atraso</x:v>
      </x:c>
      <x:c r="N812" s="13" t="str">
        <x:v>Telefone</x:v>
      </x:c>
      <x:c r="O812" s="13" t="str">
        <x:v>Pico do descontrole</x:v>
      </x:c>
      <x:c r="P812" s="17" t="n">
        <x:f>IF(D812="",0,J812-K812+L812)</x:f>
        <x:v>15430.85</x:v>
      </x:c>
      <x:c r="Q812" s="17" t="n">
        <x:f>MAX(J812-P812-K812,0)</x:f>
        <x:v>0</x:v>
      </x:c>
      <x:c r="R812" s="13" t="n">
        <x:f>IF(D812="",MAX(TODAY()-C812,0),MAX(D812-C812,0))</x:f>
        <x:v>30</x:v>
      </x:c>
      <x:c r="S812" s="13" t="str">
        <x:f>IF(R812=0,"Em dia",IF(R812&lt;=15,"1-15 dias",IF(R812&lt;=30,"16-30 dias",IF(R812&lt;=60,"31-60 dias","Acima de 60 dias"))))</x:f>
        <x:v>16-30 dias</x:v>
      </x:c>
    </x:row>
    <x:row r="813">
      <x:c r="A813" s="13" t="str">
        <x:v>REC-000812</x:v>
      </x:c>
      <x:c r="B813" s="23" t="n">
        <x:v>45699</x:v>
      </x:c>
      <x:c r="C813" s="23" t="n">
        <x:v>45714</x:v>
      </x:c>
      <x:c r="D813" s="23" t="n">
        <x:v>45714</x:v>
      </x:c>
      <x:c r="E813" s="13" t="str">
        <x:v>VAL-012</x:v>
      </x:c>
      <x:c r="F813" s="13" t="str">
        <x:v>DataFlow Sistemas</x:v>
      </x:c>
      <x:c r="G813" s="13" t="str">
        <x:v>Tecnologia</x:v>
      </x:c>
      <x:c r="H813" s="13" t="str">
        <x:v>Médio</x:v>
      </x:c>
      <x:c r="I813" s="13" t="str">
        <x:v>Enterprise</x:v>
      </x:c>
      <x:c r="J813" s="17" t="n">
        <x:v>3008.05</x:v>
      </x:c>
      <x:c r="K813" s="17" t="n">
        <x:v>0</x:v>
      </x:c>
      <x:c r="L813" s="17" t="n">
        <x:v>0</x:v>
      </x:c>
      <x:c r="M813" s="13" t="str">
        <x:v>Pago</x:v>
      </x:c>
      <x:c r="N813" s="13" t="str">
        <x:v>Sem cobrança</x:v>
      </x:c>
      <x:c r="O813" s="13" t="str">
        <x:v>Pico do descontrole</x:v>
      </x:c>
      <x:c r="P813" s="17" t="n">
        <x:f>IF(D813="",0,J813-K813+L813)</x:f>
        <x:v>3008.05</x:v>
      </x:c>
      <x:c r="Q813" s="17" t="n">
        <x:f>MAX(J813-P813-K813,0)</x:f>
        <x:v>0</x:v>
      </x:c>
      <x:c r="R813" s="13" t="n">
        <x:f>IF(D813="",MAX(TODAY()-C813,0),MAX(D813-C813,0))</x:f>
        <x:v>0</x:v>
      </x:c>
      <x:c r="S813" s="13" t="str">
        <x:f>IF(R813=0,"Em dia",IF(R813&lt;=15,"1-15 dias",IF(R813&lt;=30,"16-30 dias",IF(R813&lt;=60,"31-60 dias","Acima de 60 dias"))))</x:f>
        <x:v>Em dia</x:v>
      </x:c>
    </x:row>
    <x:row r="814">
      <x:c r="A814" s="13" t="str">
        <x:v>REC-000813</x:v>
      </x:c>
      <x:c r="B814" s="23" t="n">
        <x:v>45690</x:v>
      </x:c>
      <x:c r="C814" s="23" t="n">
        <x:v>45697</x:v>
      </x:c>
      <x:c r="D814" s="23" t="n">
        <x:v>45696</x:v>
      </x:c>
      <x:c r="E814" s="13" t="str">
        <x:v>VAL-024</x:v>
      </x:c>
      <x:c r="F814" s="13" t="str">
        <x:v>NovaForma Móveis</x:v>
      </x:c>
      <x:c r="G814" s="13" t="str">
        <x:v>Indústria Leve</x:v>
      </x:c>
      <x:c r="H814" s="13" t="str">
        <x:v>Baixo</x:v>
      </x:c>
      <x:c r="I814" s="13" t="str">
        <x:v>Enterprise</x:v>
      </x:c>
      <x:c r="J814" s="17" t="n">
        <x:v>12375.9</x:v>
      </x:c>
      <x:c r="K814" s="17" t="n">
        <x:v>101.03</x:v>
      </x:c>
      <x:c r="L814" s="17" t="n">
        <x:v>0</x:v>
      </x:c>
      <x:c r="M814" s="13" t="str">
        <x:v>Pago</x:v>
      </x:c>
      <x:c r="N814" s="13" t="str">
        <x:v>Sem cobrança</x:v>
      </x:c>
      <x:c r="O814" s="13" t="str">
        <x:v>Pico do descontrole</x:v>
      </x:c>
      <x:c r="P814" s="17" t="n">
        <x:f>IF(D814="",0,J814-K814+L814)</x:f>
        <x:v>12274.869999999999</x:v>
      </x:c>
      <x:c r="Q814" s="17" t="n">
        <x:f>MAX(J814-P814-K814,0)</x:f>
        <x:v>6.536993168992922e-13</x:v>
      </x:c>
      <x:c r="R814" s="13" t="n">
        <x:f>IF(D814="",MAX(TODAY()-C814,0),MAX(D814-C814,0))</x:f>
        <x:v>0</x:v>
      </x:c>
      <x:c r="S814" s="13" t="str">
        <x:f>IF(R814=0,"Em dia",IF(R814&lt;=15,"1-15 dias",IF(R814&lt;=30,"16-30 dias",IF(R814&lt;=60,"31-60 dias","Acima de 60 dias"))))</x:f>
        <x:v>Em dia</x:v>
      </x:c>
    </x:row>
    <x:row r="815">
      <x:c r="A815" s="13" t="str">
        <x:v>REC-000814</x:v>
      </x:c>
      <x:c r="B815" s="23" t="n">
        <x:v>45705</x:v>
      </x:c>
      <x:c r="C815" s="23" t="n">
        <x:v>45735</x:v>
      </x:c>
      <x:c r="D815" s="23" t="n">
        <x:v>45733</x:v>
      </x:c>
      <x:c r="E815" s="13" t="str">
        <x:v>VAL-012</x:v>
      </x:c>
      <x:c r="F815" s="13" t="str">
        <x:v>DataFlow Sistemas</x:v>
      </x:c>
      <x:c r="G815" s="13" t="str">
        <x:v>Tecnologia</x:v>
      </x:c>
      <x:c r="H815" s="13" t="str">
        <x:v>Médio</x:v>
      </x:c>
      <x:c r="I815" s="13" t="str">
        <x:v>Enterprise</x:v>
      </x:c>
      <x:c r="J815" s="17" t="n">
        <x:v>28259.14</x:v>
      </x:c>
      <x:c r="K815" s="17" t="n">
        <x:v>0</x:v>
      </x:c>
      <x:c r="L815" s="17" t="n">
        <x:v>0</x:v>
      </x:c>
      <x:c r="M815" s="13" t="str">
        <x:v>Pago</x:v>
      </x:c>
      <x:c r="N815" s="13" t="str">
        <x:v>Sem cobrança</x:v>
      </x:c>
      <x:c r="O815" s="13" t="str">
        <x:v>Pico do descontrole</x:v>
      </x:c>
      <x:c r="P815" s="17" t="n">
        <x:f>IF(D815="",0,J815-K815+L815)</x:f>
        <x:v>28259.14</x:v>
      </x:c>
      <x:c r="Q815" s="17" t="n">
        <x:f>MAX(J815-P815-K815,0)</x:f>
        <x:v>0</x:v>
      </x:c>
      <x:c r="R815" s="13" t="n">
        <x:f>IF(D815="",MAX(TODAY()-C815,0),MAX(D815-C815,0))</x:f>
        <x:v>0</x:v>
      </x:c>
      <x:c r="S815" s="13" t="str">
        <x:f>IF(R815=0,"Em dia",IF(R815&lt;=15,"1-15 dias",IF(R815&lt;=30,"16-30 dias",IF(R815&lt;=60,"31-60 dias","Acima de 60 dias"))))</x:f>
        <x:v>Em dia</x:v>
      </x:c>
    </x:row>
    <x:row r="816">
      <x:c r="A816" s="13" t="str">
        <x:v>REC-000815</x:v>
      </x:c>
      <x:c r="B816" s="23" t="n">
        <x:v>45691</x:v>
      </x:c>
      <x:c r="C816" s="23" t="n">
        <x:v>45719</x:v>
      </x:c>
      <x:c r="D816" s="23" t="n">
        <x:v>45716</x:v>
      </x:c>
      <x:c r="E816" s="13" t="str">
        <x:v>VAL-024</x:v>
      </x:c>
      <x:c r="F816" s="13" t="str">
        <x:v>NovaForma Móveis</x:v>
      </x:c>
      <x:c r="G816" s="13" t="str">
        <x:v>Indústria Leve</x:v>
      </x:c>
      <x:c r="H816" s="13" t="str">
        <x:v>Baixo</x:v>
      </x:c>
      <x:c r="I816" s="13" t="str">
        <x:v>Enterprise</x:v>
      </x:c>
      <x:c r="J816" s="17" t="n">
        <x:v>29517.03</x:v>
      </x:c>
      <x:c r="K816" s="17" t="n">
        <x:v>0</x:v>
      </x:c>
      <x:c r="L816" s="17" t="n">
        <x:v>0</x:v>
      </x:c>
      <x:c r="M816" s="13" t="str">
        <x:v>Pago</x:v>
      </x:c>
      <x:c r="N816" s="13" t="str">
        <x:v>Sem cobrança</x:v>
      </x:c>
      <x:c r="O816" s="13" t="str">
        <x:v>Pico do descontrole</x:v>
      </x:c>
      <x:c r="P816" s="17" t="n">
        <x:f>IF(D816="",0,J816-K816+L816)</x:f>
        <x:v>29517.03</x:v>
      </x:c>
      <x:c r="Q816" s="17" t="n">
        <x:f>MAX(J816-P816-K816,0)</x:f>
        <x:v>0</x:v>
      </x:c>
      <x:c r="R816" s="13" t="n">
        <x:f>IF(D816="",MAX(TODAY()-C816,0),MAX(D816-C816,0))</x:f>
        <x:v>0</x:v>
      </x:c>
      <x:c r="S816" s="13" t="str">
        <x:f>IF(R816=0,"Em dia",IF(R816&lt;=15,"1-15 dias",IF(R816&lt;=30,"16-30 dias",IF(R816&lt;=60,"31-60 dias","Acima de 60 dias"))))</x:f>
        <x:v>Em dia</x:v>
      </x:c>
    </x:row>
    <x:row r="817">
      <x:c r="A817" s="13" t="str">
        <x:v>REC-000816</x:v>
      </x:c>
      <x:c r="B817" s="23" t="n">
        <x:v>45708</x:v>
      </x:c>
      <x:c r="C817" s="23" t="n">
        <x:v>45729</x:v>
      </x:c>
      <x:c r="D817" s="23" t="n">
        <x:v>45726</x:v>
      </x:c>
      <x:c r="E817" s="13" t="str">
        <x:v>VAL-003</x:v>
      </x:c>
      <x:c r="F817" s="13" t="str">
        <x:v>Casa Nova Varejo</x:v>
      </x:c>
      <x:c r="G817" s="13" t="str">
        <x:v>Varejo</x:v>
      </x:c>
      <x:c r="H817" s="13" t="str">
        <x:v>Baixo</x:v>
      </x:c>
      <x:c r="I817" s="13" t="str">
        <x:v>Performance</x:v>
      </x:c>
      <x:c r="J817" s="17" t="n">
        <x:v>15555.19</x:v>
      </x:c>
      <x:c r="K817" s="17" t="n">
        <x:v>0</x:v>
      </x:c>
      <x:c r="L817" s="17" t="n">
        <x:v>0</x:v>
      </x:c>
      <x:c r="M817" s="13" t="str">
        <x:v>Pago</x:v>
      </x:c>
      <x:c r="N817" s="13" t="str">
        <x:v>Sem cobrança</x:v>
      </x:c>
      <x:c r="O817" s="13" t="str">
        <x:v>Pico do descontrole</x:v>
      </x:c>
      <x:c r="P817" s="17" t="n">
        <x:f>IF(D817="",0,J817-K817+L817)</x:f>
        <x:v>15555.19</x:v>
      </x:c>
      <x:c r="Q817" s="17" t="n">
        <x:f>MAX(J817-P817-K817,0)</x:f>
        <x:v>0</x:v>
      </x:c>
      <x:c r="R817" s="13" t="n">
        <x:f>IF(D817="",MAX(TODAY()-C817,0),MAX(D817-C817,0))</x:f>
        <x:v>0</x:v>
      </x:c>
      <x:c r="S817" s="13" t="str">
        <x:f>IF(R817=0,"Em dia",IF(R817&lt;=15,"1-15 dias",IF(R817&lt;=30,"16-30 dias",IF(R817&lt;=60,"31-60 dias","Acima de 60 dias"))))</x:f>
        <x:v>Em dia</x:v>
      </x:c>
    </x:row>
    <x:row r="818">
      <x:c r="A818" s="13" t="str">
        <x:v>REC-000817</x:v>
      </x:c>
      <x:c r="B818" s="23" t="n">
        <x:v>45706</x:v>
      </x:c>
      <x:c r="C818" s="23" t="n">
        <x:v>45736</x:v>
      </x:c>
      <x:c r="D818" s="23" t="n">
        <x:v>45736</x:v>
      </x:c>
      <x:c r="E818" s="13" t="str">
        <x:v>VAL-020</x:v>
      </x:c>
      <x:c r="F818" s="13" t="str">
        <x:v>Corelink Digital</x:v>
      </x:c>
      <x:c r="G818" s="13" t="str">
        <x:v>Tecnologia</x:v>
      </x:c>
      <x:c r="H818" s="13" t="str">
        <x:v>Baixo</x:v>
      </x:c>
      <x:c r="I818" s="13" t="str">
        <x:v>Enterprise</x:v>
      </x:c>
      <x:c r="J818" s="17" t="n">
        <x:v>18775.06</x:v>
      </x:c>
      <x:c r="K818" s="17" t="n">
        <x:v>0</x:v>
      </x:c>
      <x:c r="L818" s="17" t="n">
        <x:v>0</x:v>
      </x:c>
      <x:c r="M818" s="13" t="str">
        <x:v>Pago</x:v>
      </x:c>
      <x:c r="N818" s="13" t="str">
        <x:v>Sem cobrança</x:v>
      </x:c>
      <x:c r="O818" s="13" t="str">
        <x:v>Pico do descontrole</x:v>
      </x:c>
      <x:c r="P818" s="17" t="n">
        <x:f>IF(D818="",0,J818-K818+L818)</x:f>
        <x:v>18775.06</x:v>
      </x:c>
      <x:c r="Q818" s="17" t="n">
        <x:f>MAX(J818-P818-K818,0)</x:f>
        <x:v>0</x:v>
      </x:c>
      <x:c r="R818" s="13" t="n">
        <x:f>IF(D818="",MAX(TODAY()-C818,0),MAX(D818-C818,0))</x:f>
        <x:v>0</x:v>
      </x:c>
      <x:c r="S818" s="13" t="str">
        <x:f>IF(R818=0,"Em dia",IF(R818&lt;=15,"1-15 dias",IF(R818&lt;=30,"16-30 dias",IF(R818&lt;=60,"31-60 dias","Acima de 60 dias"))))</x:f>
        <x:v>Em dia</x:v>
      </x:c>
    </x:row>
    <x:row r="819">
      <x:c r="A819" s="13" t="str">
        <x:v>REC-000818</x:v>
      </x:c>
      <x:c r="B819" s="23" t="n">
        <x:v>45690</x:v>
      </x:c>
      <x:c r="C819" s="23" t="n">
        <x:v>45697</x:v>
      </x:c>
      <x:c r="D819" s="23" t="n">
        <x:v>45696</x:v>
      </x:c>
      <x:c r="E819" s="13" t="str">
        <x:v>VAL-018</x:v>
      </x:c>
      <x:c r="F819" s="13" t="str">
        <x:v>Ponto Legal Advocacia</x:v>
      </x:c>
      <x:c r="G819" s="13" t="str">
        <x:v>Serviços Profissionais</x:v>
      </x:c>
      <x:c r="H819" s="13" t="str">
        <x:v>Baixo</x:v>
      </x:c>
      <x:c r="I819" s="13" t="str">
        <x:v>Gestão</x:v>
      </x:c>
      <x:c r="J819" s="17" t="n">
        <x:v>11900.15</x:v>
      </x:c>
      <x:c r="K819" s="17" t="n">
        <x:v>0</x:v>
      </x:c>
      <x:c r="L819" s="17" t="n">
        <x:v>0</x:v>
      </x:c>
      <x:c r="M819" s="13" t="str">
        <x:v>Pago</x:v>
      </x:c>
      <x:c r="N819" s="13" t="str">
        <x:v>Sem cobrança</x:v>
      </x:c>
      <x:c r="O819" s="13" t="str">
        <x:v>Pico do descontrole</x:v>
      </x:c>
      <x:c r="P819" s="17" t="n">
        <x:f>IF(D819="",0,J819-K819+L819)</x:f>
        <x:v>11900.15</x:v>
      </x:c>
      <x:c r="Q819" s="17" t="n">
        <x:f>MAX(J819-P819-K819,0)</x:f>
        <x:v>0</x:v>
      </x:c>
      <x:c r="R819" s="13" t="n">
        <x:f>IF(D819="",MAX(TODAY()-C819,0),MAX(D819-C819,0))</x:f>
        <x:v>0</x:v>
      </x:c>
      <x:c r="S819" s="13" t="str">
        <x:f>IF(R819=0,"Em dia",IF(R819&lt;=15,"1-15 dias",IF(R819&lt;=30,"16-30 dias",IF(R819&lt;=60,"31-60 dias","Acima de 60 dias"))))</x:f>
        <x:v>Em dia</x:v>
      </x:c>
    </x:row>
    <x:row r="820">
      <x:c r="A820" s="13" t="str">
        <x:v>REC-000819</x:v>
      </x:c>
      <x:c r="B820" s="23" t="n">
        <x:v>45696</x:v>
      </x:c>
      <x:c r="C820" s="23" t="n">
        <x:v>45717</x:v>
      </x:c>
      <x:c r="D820" s="23" t="n">
        <x:v>45737</x:v>
      </x:c>
      <x:c r="E820" s="13" t="str">
        <x:v>VAL-026</x:v>
      </x:c>
      <x:c r="F820" s="13" t="str">
        <x:v>Ribeiro Arquitetura</x:v>
      </x:c>
      <x:c r="G820" s="13" t="str">
        <x:v>Serviços Profissionais</x:v>
      </x:c>
      <x:c r="H820" s="13" t="str">
        <x:v>Baixo</x:v>
      </x:c>
      <x:c r="I820" s="13" t="str">
        <x:v>Gestão</x:v>
      </x:c>
      <x:c r="J820" s="17" t="n">
        <x:v>6355.41</x:v>
      </x:c>
      <x:c r="K820" s="17" t="n">
        <x:v>0</x:v>
      </x:c>
      <x:c r="L820" s="17" t="n">
        <x:v>82.62</x:v>
      </x:c>
      <x:c r="M820" s="13" t="str">
        <x:v>Pago com atraso</x:v>
      </x:c>
      <x:c r="N820" s="13" t="str">
        <x:v>Telefone</x:v>
      </x:c>
      <x:c r="O820" s="13" t="str">
        <x:v>Pico do descontrole</x:v>
      </x:c>
      <x:c r="P820" s="17" t="n">
        <x:f>IF(D820="",0,J820-K820+L820)</x:f>
        <x:v>6438.03</x:v>
      </x:c>
      <x:c r="Q820" s="17" t="n">
        <x:f>MAX(J820-P820-K820,0)</x:f>
        <x:v>0</x:v>
      </x:c>
      <x:c r="R820" s="13" t="n">
        <x:f>IF(D820="",MAX(TODAY()-C820,0),MAX(D820-C820,0))</x:f>
        <x:v>20</x:v>
      </x:c>
      <x:c r="S820" s="13" t="str">
        <x:f>IF(R820=0,"Em dia",IF(R820&lt;=15,"1-15 dias",IF(R820&lt;=30,"16-30 dias",IF(R820&lt;=60,"31-60 dias","Acima de 60 dias"))))</x:f>
        <x:v>16-30 dias</x:v>
      </x:c>
    </x:row>
    <x:row r="821">
      <x:c r="A821" s="13" t="str">
        <x:v>REC-000820</x:v>
      </x:c>
      <x:c r="B821" s="23" t="n">
        <x:v>45692</x:v>
      </x:c>
      <x:c r="C821" s="23" t="n">
        <x:v>45699</x:v>
      </x:c>
      <x:c r="D821" s="23" t="n">
        <x:v>45697</x:v>
      </x:c>
      <x:c r="E821" s="13" t="str">
        <x:v>VAL-030</x:v>
      </x:c>
      <x:c r="F821" s="13" t="str">
        <x:v>Mundo Kids Cursos</x:v>
      </x:c>
      <x:c r="G821" s="13" t="str">
        <x:v>Educação</x:v>
      </x:c>
      <x:c r="H821" s="13" t="str">
        <x:v>Alto</x:v>
      </x:c>
      <x:c r="I821" s="13" t="str">
        <x:v>Gestão</x:v>
      </x:c>
      <x:c r="J821" s="17" t="n">
        <x:v>8375.99</x:v>
      </x:c>
      <x:c r="K821" s="17" t="n">
        <x:v>0</x:v>
      </x:c>
      <x:c r="L821" s="17" t="n">
        <x:v>0</x:v>
      </x:c>
      <x:c r="M821" s="13" t="str">
        <x:v>Pago</x:v>
      </x:c>
      <x:c r="N821" s="13" t="str">
        <x:v>Sem cobrança</x:v>
      </x:c>
      <x:c r="O821" s="13" t="str">
        <x:v>Pico do descontrole</x:v>
      </x:c>
      <x:c r="P821" s="17" t="n">
        <x:f>IF(D821="",0,J821-K821+L821)</x:f>
        <x:v>8375.99</x:v>
      </x:c>
      <x:c r="Q821" s="17" t="n">
        <x:f>MAX(J821-P821-K821,0)</x:f>
        <x:v>0</x:v>
      </x:c>
      <x:c r="R821" s="13" t="n">
        <x:f>IF(D821="",MAX(TODAY()-C821,0),MAX(D821-C821,0))</x:f>
        <x:v>0</x:v>
      </x:c>
      <x:c r="S821" s="13" t="str">
        <x:f>IF(R821=0,"Em dia",IF(R821&lt;=15,"1-15 dias",IF(R821&lt;=30,"16-30 dias",IF(R821&lt;=60,"31-60 dias","Acima de 60 dias"))))</x:f>
        <x:v>Em dia</x:v>
      </x:c>
    </x:row>
    <x:row r="822">
      <x:c r="A822" s="13" t="str">
        <x:v>REC-000821</x:v>
      </x:c>
      <x:c r="B822" s="23" t="n">
        <x:v>45691</x:v>
      </x:c>
      <x:c r="C822" s="23" t="n">
        <x:v>45698</x:v>
      </x:c>
      <x:c r="D822" s="23" t="n">
        <x:v>45697</x:v>
      </x:c>
      <x:c r="E822" s="13" t="str">
        <x:v>VAL-005</x:v>
      </x:c>
      <x:c r="F822" s="13" t="str">
        <x:v>Construtora Alameda</x:v>
      </x:c>
      <x:c r="G822" s="13" t="str">
        <x:v>Construção</x:v>
      </x:c>
      <x:c r="H822" s="13" t="str">
        <x:v>Médio</x:v>
      </x:c>
      <x:c r="I822" s="13" t="str">
        <x:v>Essencial</x:v>
      </x:c>
      <x:c r="J822" s="17" t="n">
        <x:v>19381.93</x:v>
      </x:c>
      <x:c r="K822" s="17" t="n">
        <x:v>0</x:v>
      </x:c>
      <x:c r="L822" s="17" t="n">
        <x:v>0</x:v>
      </x:c>
      <x:c r="M822" s="13" t="str">
        <x:v>Pago</x:v>
      </x:c>
      <x:c r="N822" s="13" t="str">
        <x:v>Sem cobrança</x:v>
      </x:c>
      <x:c r="O822" s="13" t="str">
        <x:v>Pico do descontrole</x:v>
      </x:c>
      <x:c r="P822" s="17" t="n">
        <x:f>IF(D822="",0,J822-K822+L822)</x:f>
        <x:v>19381.93</x:v>
      </x:c>
      <x:c r="Q822" s="17" t="n">
        <x:f>MAX(J822-P822-K822,0)</x:f>
        <x:v>0</x:v>
      </x:c>
      <x:c r="R822" s="13" t="n">
        <x:f>IF(D822="",MAX(TODAY()-C822,0),MAX(D822-C822,0))</x:f>
        <x:v>0</x:v>
      </x:c>
      <x:c r="S822" s="13" t="str">
        <x:f>IF(R822=0,"Em dia",IF(R822&lt;=15,"1-15 dias",IF(R822&lt;=30,"16-30 dias",IF(R822&lt;=60,"31-60 dias","Acima de 60 dias"))))</x:f>
        <x:v>Em dia</x:v>
      </x:c>
    </x:row>
    <x:row r="823">
      <x:c r="A823" s="13" t="str">
        <x:v>REC-000822</x:v>
      </x:c>
      <x:c r="B823" s="23" t="n">
        <x:v>45705</x:v>
      </x:c>
      <x:c r="C823" s="23" t="n">
        <x:v>45733</x:v>
      </x:c>
      <x:c r="D823" s="23"/>
      <x:c r="E823" s="13" t="str">
        <x:v>VAL-023</x:v>
      </x:c>
      <x:c r="F823" s="13" t="str">
        <x:v>ShopMix Brasil</x:v>
      </x:c>
      <x:c r="G823" s="13" t="str">
        <x:v>E-commerce</x:v>
      </x:c>
      <x:c r="H823" s="13" t="str">
        <x:v>Baixo</x:v>
      </x:c>
      <x:c r="I823" s="13" t="str">
        <x:v>Performance</x:v>
      </x:c>
      <x:c r="J823" s="17" t="n">
        <x:v>15501.82</x:v>
      </x:c>
      <x:c r="K823" s="17" t="n">
        <x:v>0</x:v>
      </x:c>
      <x:c r="L823" s="17" t="n">
        <x:v>0</x:v>
      </x:c>
      <x:c r="M823" s="13" t="str">
        <x:v>Em aberto</x:v>
      </x:c>
      <x:c r="N823" s="13" t="str">
        <x:v>WhatsApp</x:v>
      </x:c>
      <x:c r="O823" s="13" t="str">
        <x:v>Pico do descontrole</x:v>
      </x:c>
      <x:c r="P823" s="17" t="n">
        <x:f>IF(D823="",0,J823-K823+L823)</x:f>
        <x:v>0</x:v>
      </x:c>
      <x:c r="Q823" s="17" t="n">
        <x:f>MAX(J823-P823-K823,0)</x:f>
        <x:v>15501.82</x:v>
      </x:c>
      <x:c r="R823" s="13" t="n">
        <x:f>IF(D823="",MAX(TODAY()-C823,0),MAX(D823-C823,0))</x:f>
        <x:v>480</x:v>
      </x:c>
      <x:c r="S823" s="13" t="str">
        <x:f>IF(R823=0,"Em dia",IF(R823&lt;=15,"1-15 dias",IF(R823&lt;=30,"16-30 dias",IF(R823&lt;=60,"31-60 dias","Acima de 60 dias"))))</x:f>
        <x:v>Acima de 60 dias</x:v>
      </x:c>
    </x:row>
    <x:row r="824">
      <x:c r="A824" s="13" t="str">
        <x:v>REC-000823</x:v>
      </x:c>
      <x:c r="B824" s="23" t="n">
        <x:v>45689</x:v>
      </x:c>
      <x:c r="C824" s="23" t="n">
        <x:v>45696</x:v>
      </x:c>
      <x:c r="D824" s="23" t="n">
        <x:v>45694</x:v>
      </x:c>
      <x:c r="E824" s="13" t="str">
        <x:v>VAL-013</x:v>
      </x:c>
      <x:c r="F824" s="13" t="str">
        <x:v>Engenharia Vértice</x:v>
      </x:c>
      <x:c r="G824" s="13" t="str">
        <x:v>Construção</x:v>
      </x:c>
      <x:c r="H824" s="13" t="str">
        <x:v>Baixo</x:v>
      </x:c>
      <x:c r="I824" s="13" t="str">
        <x:v>Essencial</x:v>
      </x:c>
      <x:c r="J824" s="17" t="n">
        <x:v>6761.05</x:v>
      </x:c>
      <x:c r="K824" s="17" t="n">
        <x:v>63.6</x:v>
      </x:c>
      <x:c r="L824" s="17" t="n">
        <x:v>0</x:v>
      </x:c>
      <x:c r="M824" s="13" t="str">
        <x:v>Pago</x:v>
      </x:c>
      <x:c r="N824" s="13" t="str">
        <x:v>Sem cobrança</x:v>
      </x:c>
      <x:c r="O824" s="13" t="str">
        <x:v>Pico do descontrole</x:v>
      </x:c>
      <x:c r="P824" s="17" t="n">
        <x:f>IF(D824="",0,J824-K824+L824)</x:f>
        <x:v>6697.45</x:v>
      </x:c>
      <x:c r="Q824" s="17" t="n">
        <x:f>MAX(J824-P824-K824,0)</x:f>
        <x:v>3.623767952376511e-13</x:v>
      </x:c>
      <x:c r="R824" s="13" t="n">
        <x:f>IF(D824="",MAX(TODAY()-C824,0),MAX(D824-C824,0))</x:f>
        <x:v>0</x:v>
      </x:c>
      <x:c r="S824" s="13" t="str">
        <x:f>IF(R824=0,"Em dia",IF(R824&lt;=15,"1-15 dias",IF(R824&lt;=30,"16-30 dias",IF(R824&lt;=60,"31-60 dias","Acima de 60 dias"))))</x:f>
        <x:v>Em dia</x:v>
      </x:c>
    </x:row>
    <x:row r="825">
      <x:c r="A825" s="13" t="str">
        <x:v>REC-000824</x:v>
      </x:c>
      <x:c r="B825" s="23" t="n">
        <x:v>45706</x:v>
      </x:c>
      <x:c r="C825" s="23" t="n">
        <x:v>45721</x:v>
      </x:c>
      <x:c r="D825" s="23" t="n">
        <x:v>45721</x:v>
      </x:c>
      <x:c r="E825" s="13" t="str">
        <x:v>VAL-025</x:v>
      </x:c>
      <x:c r="F825" s="13" t="str">
        <x:v>Bem-Estar Terapias</x:v>
      </x:c>
      <x:c r="G825" s="13" t="str">
        <x:v>Clínicas e Saúde</x:v>
      </x:c>
      <x:c r="H825" s="13" t="str">
        <x:v>Baixo</x:v>
      </x:c>
      <x:c r="I825" s="13" t="str">
        <x:v>Essencial</x:v>
      </x:c>
      <x:c r="J825" s="17" t="n">
        <x:v>10163.22</x:v>
      </x:c>
      <x:c r="K825" s="17" t="n">
        <x:v>70.34</x:v>
      </x:c>
      <x:c r="L825" s="17" t="n">
        <x:v>0</x:v>
      </x:c>
      <x:c r="M825" s="13" t="str">
        <x:v>Pago</x:v>
      </x:c>
      <x:c r="N825" s="13" t="str">
        <x:v>Sem cobrança</x:v>
      </x:c>
      <x:c r="O825" s="13" t="str">
        <x:v>Pico do descontrole</x:v>
      </x:c>
      <x:c r="P825" s="17" t="n">
        <x:f>IF(D825="",0,J825-K825+L825)</x:f>
        <x:v>10092.88</x:v>
      </x:c>
      <x:c r="Q825" s="17" t="n">
        <x:f>MAX(J825-P825-K825,0)</x:f>
        <x:v>1.4210854715202004e-13</x:v>
      </x:c>
      <x:c r="R825" s="13" t="n">
        <x:f>IF(D825="",MAX(TODAY()-C825,0),MAX(D825-C825,0))</x:f>
        <x:v>0</x:v>
      </x:c>
      <x:c r="S825" s="13" t="str">
        <x:f>IF(R825=0,"Em dia",IF(R825&lt;=15,"1-15 dias",IF(R825&lt;=30,"16-30 dias",IF(R825&lt;=60,"31-60 dias","Acima de 60 dias"))))</x:f>
        <x:v>Em dia</x:v>
      </x:c>
    </x:row>
    <x:row r="826">
      <x:c r="A826" s="13" t="str">
        <x:v>REC-000825</x:v>
      </x:c>
      <x:c r="B826" s="23" t="n">
        <x:v>45694</x:v>
      </x:c>
      <x:c r="C826" s="23" t="n">
        <x:v>45715</x:v>
      </x:c>
      <x:c r="D826" s="23" t="n">
        <x:v>45713</x:v>
      </x:c>
      <x:c r="E826" s="13" t="str">
        <x:v>VAL-024</x:v>
      </x:c>
      <x:c r="F826" s="13" t="str">
        <x:v>NovaForma Móveis</x:v>
      </x:c>
      <x:c r="G826" s="13" t="str">
        <x:v>Indústria Leve</x:v>
      </x:c>
      <x:c r="H826" s="13" t="str">
        <x:v>Baixo</x:v>
      </x:c>
      <x:c r="I826" s="13" t="str">
        <x:v>Enterprise</x:v>
      </x:c>
      <x:c r="J826" s="17" t="n">
        <x:v>9797.36</x:v>
      </x:c>
      <x:c r="K826" s="17" t="n">
        <x:v>0</x:v>
      </x:c>
      <x:c r="L826" s="17" t="n">
        <x:v>0</x:v>
      </x:c>
      <x:c r="M826" s="13" t="str">
        <x:v>Pago</x:v>
      </x:c>
      <x:c r="N826" s="13" t="str">
        <x:v>Sem cobrança</x:v>
      </x:c>
      <x:c r="O826" s="13" t="str">
        <x:v>Pico do descontrole</x:v>
      </x:c>
      <x:c r="P826" s="17" t="n">
        <x:f>IF(D826="",0,J826-K826+L826)</x:f>
        <x:v>9797.36</x:v>
      </x:c>
      <x:c r="Q826" s="17" t="n">
        <x:f>MAX(J826-P826-K826,0)</x:f>
        <x:v>0</x:v>
      </x:c>
      <x:c r="R826" s="13" t="n">
        <x:f>IF(D826="",MAX(TODAY()-C826,0),MAX(D826-C826,0))</x:f>
        <x:v>0</x:v>
      </x:c>
      <x:c r="S826" s="13" t="str">
        <x:f>IF(R826=0,"Em dia",IF(R826&lt;=15,"1-15 dias",IF(R826&lt;=30,"16-30 dias",IF(R826&lt;=60,"31-60 dias","Acima de 60 dias"))))</x:f>
        <x:v>Em dia</x:v>
      </x:c>
    </x:row>
    <x:row r="827">
      <x:c r="A827" s="13" t="str">
        <x:v>REC-000826</x:v>
      </x:c>
      <x:c r="B827" s="23" t="n">
        <x:v>45693</x:v>
      </x:c>
      <x:c r="C827" s="23" t="n">
        <x:v>45714</x:v>
      </x:c>
      <x:c r="D827" s="23" t="n">
        <x:v>45711</x:v>
      </x:c>
      <x:c r="E827" s="13" t="str">
        <x:v>VAL-029</x:v>
      </x:c>
      <x:c r="F827" s="13" t="str">
        <x:v>Planobra Serviços</x:v>
      </x:c>
      <x:c r="G827" s="13" t="str">
        <x:v>Construção</x:v>
      </x:c>
      <x:c r="H827" s="13" t="str">
        <x:v>Baixo</x:v>
      </x:c>
      <x:c r="I827" s="13" t="str">
        <x:v>Essencial</x:v>
      </x:c>
      <x:c r="J827" s="17" t="n">
        <x:v>18722.61</x:v>
      </x:c>
      <x:c r="K827" s="17" t="n">
        <x:v>0</x:v>
      </x:c>
      <x:c r="L827" s="17" t="n">
        <x:v>0</x:v>
      </x:c>
      <x:c r="M827" s="13" t="str">
        <x:v>Pago</x:v>
      </x:c>
      <x:c r="N827" s="13" t="str">
        <x:v>Sem cobrança</x:v>
      </x:c>
      <x:c r="O827" s="13" t="str">
        <x:v>Pico do descontrole</x:v>
      </x:c>
      <x:c r="P827" s="17" t="n">
        <x:f>IF(D827="",0,J827-K827+L827)</x:f>
        <x:v>18722.61</x:v>
      </x:c>
      <x:c r="Q827" s="17" t="n">
        <x:f>MAX(J827-P827-K827,0)</x:f>
        <x:v>0</x:v>
      </x:c>
      <x:c r="R827" s="13" t="n">
        <x:f>IF(D827="",MAX(TODAY()-C827,0),MAX(D827-C827,0))</x:f>
        <x:v>0</x:v>
      </x:c>
      <x:c r="S827" s="13" t="str">
        <x:f>IF(R827=0,"Em dia",IF(R827&lt;=15,"1-15 dias",IF(R827&lt;=30,"16-30 dias",IF(R827&lt;=60,"31-60 dias","Acima de 60 dias"))))</x:f>
        <x:v>Em dia</x:v>
      </x:c>
    </x:row>
    <x:row r="828">
      <x:c r="A828" s="13" t="str">
        <x:v>REC-000827</x:v>
      </x:c>
      <x:c r="B828" s="23" t="n">
        <x:v>45696</x:v>
      </x:c>
      <x:c r="C828" s="23" t="n">
        <x:v>45724</x:v>
      </x:c>
      <x:c r="D828" s="23" t="n">
        <x:v>45721</x:v>
      </x:c>
      <x:c r="E828" s="13" t="str">
        <x:v>VAL-028</x:v>
      </x:c>
      <x:c r="F828" s="13" t="str">
        <x:v>Pixel Norte</x:v>
      </x:c>
      <x:c r="G828" s="13" t="str">
        <x:v>Tecnologia</x:v>
      </x:c>
      <x:c r="H828" s="13" t="str">
        <x:v>Alto</x:v>
      </x:c>
      <x:c r="I828" s="13" t="str">
        <x:v>Enterprise</x:v>
      </x:c>
      <x:c r="J828" s="17" t="n">
        <x:v>22184.99</x:v>
      </x:c>
      <x:c r="K828" s="17" t="n">
        <x:v>0</x:v>
      </x:c>
      <x:c r="L828" s="17" t="n">
        <x:v>0</x:v>
      </x:c>
      <x:c r="M828" s="13" t="str">
        <x:v>Pago</x:v>
      </x:c>
      <x:c r="N828" s="13" t="str">
        <x:v>Sem cobrança</x:v>
      </x:c>
      <x:c r="O828" s="13" t="str">
        <x:v>Pico do descontrole</x:v>
      </x:c>
      <x:c r="P828" s="17" t="n">
        <x:f>IF(D828="",0,J828-K828+L828)</x:f>
        <x:v>22184.99</x:v>
      </x:c>
      <x:c r="Q828" s="17" t="n">
        <x:f>MAX(J828-P828-K828,0)</x:f>
        <x:v>0</x:v>
      </x:c>
      <x:c r="R828" s="13" t="n">
        <x:f>IF(D828="",MAX(TODAY()-C828,0),MAX(D828-C828,0))</x:f>
        <x:v>0</x:v>
      </x:c>
      <x:c r="S828" s="13" t="str">
        <x:f>IF(R828=0,"Em dia",IF(R828&lt;=15,"1-15 dias",IF(R828&lt;=30,"16-30 dias",IF(R828&lt;=60,"31-60 dias","Acima de 60 dias"))))</x:f>
        <x:v>Em dia</x:v>
      </x:c>
    </x:row>
    <x:row r="829">
      <x:c r="A829" s="13" t="str">
        <x:v>REC-000828</x:v>
      </x:c>
      <x:c r="B829" s="23" t="n">
        <x:v>45702</x:v>
      </x:c>
      <x:c r="C829" s="23" t="n">
        <x:v>45730</x:v>
      </x:c>
      <x:c r="D829" s="23" t="n">
        <x:v>45726</x:v>
      </x:c>
      <x:c r="E829" s="13" t="str">
        <x:v>VAL-009</x:v>
      </x:c>
      <x:c r="F829" s="13" t="str">
        <x:v>Odonto Prime</x:v>
      </x:c>
      <x:c r="G829" s="13" t="str">
        <x:v>Clínicas e Saúde</x:v>
      </x:c>
      <x:c r="H829" s="13" t="str">
        <x:v>Médio</x:v>
      </x:c>
      <x:c r="I829" s="13" t="str">
        <x:v>Essencial</x:v>
      </x:c>
      <x:c r="J829" s="17" t="n">
        <x:v>23053.31</x:v>
      </x:c>
      <x:c r="K829" s="17" t="n">
        <x:v>0</x:v>
      </x:c>
      <x:c r="L829" s="17" t="n">
        <x:v>0</x:v>
      </x:c>
      <x:c r="M829" s="13" t="str">
        <x:v>Pago</x:v>
      </x:c>
      <x:c r="N829" s="13" t="str">
        <x:v>Sem cobrança</x:v>
      </x:c>
      <x:c r="O829" s="13" t="str">
        <x:v>Pico do descontrole</x:v>
      </x:c>
      <x:c r="P829" s="17" t="n">
        <x:f>IF(D829="",0,J829-K829+L829)</x:f>
        <x:v>23053.31</x:v>
      </x:c>
      <x:c r="Q829" s="17" t="n">
        <x:f>MAX(J829-P829-K829,0)</x:f>
        <x:v>0</x:v>
      </x:c>
      <x:c r="R829" s="13" t="n">
        <x:f>IF(D829="",MAX(TODAY()-C829,0),MAX(D829-C829,0))</x:f>
        <x:v>0</x:v>
      </x:c>
      <x:c r="S829" s="13" t="str">
        <x:f>IF(R829=0,"Em dia",IF(R829&lt;=15,"1-15 dias",IF(R829&lt;=30,"16-30 dias",IF(R829&lt;=60,"31-60 dias","Acima de 60 dias"))))</x:f>
        <x:v>Em dia</x:v>
      </x:c>
    </x:row>
    <x:row r="830">
      <x:c r="A830" s="13" t="str">
        <x:v>REC-000829</x:v>
      </x:c>
      <x:c r="B830" s="23" t="n">
        <x:v>45701</x:v>
      </x:c>
      <x:c r="C830" s="23" t="n">
        <x:v>45716</x:v>
      </x:c>
      <x:c r="D830" s="23" t="n">
        <x:v>45714</x:v>
      </x:c>
      <x:c r="E830" s="13" t="str">
        <x:v>VAL-022</x:v>
      </x:c>
      <x:c r="F830" s="13" t="str">
        <x:v>Academia Evoluir</x:v>
      </x:c>
      <x:c r="G830" s="13" t="str">
        <x:v>Educação</x:v>
      </x:c>
      <x:c r="H830" s="13" t="str">
        <x:v>Alto</x:v>
      </x:c>
      <x:c r="I830" s="13" t="str">
        <x:v>Gestão</x:v>
      </x:c>
      <x:c r="J830" s="17" t="n">
        <x:v>12629.16</x:v>
      </x:c>
      <x:c r="K830" s="17" t="n">
        <x:v>0</x:v>
      </x:c>
      <x:c r="L830" s="17" t="n">
        <x:v>0</x:v>
      </x:c>
      <x:c r="M830" s="13" t="str">
        <x:v>Pago</x:v>
      </x:c>
      <x:c r="N830" s="13" t="str">
        <x:v>Sem cobrança</x:v>
      </x:c>
      <x:c r="O830" s="13" t="str">
        <x:v>Pico do descontrole</x:v>
      </x:c>
      <x:c r="P830" s="17" t="n">
        <x:f>IF(D830="",0,J830-K830+L830)</x:f>
        <x:v>12629.16</x:v>
      </x:c>
      <x:c r="Q830" s="17" t="n">
        <x:f>MAX(J830-P830-K830,0)</x:f>
        <x:v>0</x:v>
      </x:c>
      <x:c r="R830" s="13" t="n">
        <x:f>IF(D830="",MAX(TODAY()-C830,0),MAX(D830-C830,0))</x:f>
        <x:v>0</x:v>
      </x:c>
      <x:c r="S830" s="13" t="str">
        <x:f>IF(R830=0,"Em dia",IF(R830&lt;=15,"1-15 dias",IF(R830&lt;=30,"16-30 dias",IF(R830&lt;=60,"31-60 dias","Acima de 60 dias"))))</x:f>
        <x:v>Em dia</x:v>
      </x:c>
    </x:row>
    <x:row r="831">
      <x:c r="A831" s="13" t="str">
        <x:v>REC-000830</x:v>
      </x:c>
      <x:c r="B831" s="23" t="n">
        <x:v>45699</x:v>
      </x:c>
      <x:c r="C831" s="23" t="n">
        <x:v>45727</x:v>
      </x:c>
      <x:c r="D831" s="23" t="n">
        <x:v>45725</x:v>
      </x:c>
      <x:c r="E831" s="13" t="str">
        <x:v>VAL-018</x:v>
      </x:c>
      <x:c r="F831" s="13" t="str">
        <x:v>Ponto Legal Advocacia</x:v>
      </x:c>
      <x:c r="G831" s="13" t="str">
        <x:v>Serviços Profissionais</x:v>
      </x:c>
      <x:c r="H831" s="13" t="str">
        <x:v>Baixo</x:v>
      </x:c>
      <x:c r="I831" s="13" t="str">
        <x:v>Gestão</x:v>
      </x:c>
      <x:c r="J831" s="17" t="n">
        <x:v>14328.6</x:v>
      </x:c>
      <x:c r="K831" s="17" t="n">
        <x:v>0</x:v>
      </x:c>
      <x:c r="L831" s="17" t="n">
        <x:v>0</x:v>
      </x:c>
      <x:c r="M831" s="13" t="str">
        <x:v>Pago</x:v>
      </x:c>
      <x:c r="N831" s="13" t="str">
        <x:v>Sem cobrança</x:v>
      </x:c>
      <x:c r="O831" s="13" t="str">
        <x:v>Pico do descontrole</x:v>
      </x:c>
      <x:c r="P831" s="17" t="n">
        <x:f>IF(D831="",0,J831-K831+L831)</x:f>
        <x:v>14328.6</x:v>
      </x:c>
      <x:c r="Q831" s="17" t="n">
        <x:f>MAX(J831-P831-K831,0)</x:f>
        <x:v>0</x:v>
      </x:c>
      <x:c r="R831" s="13" t="n">
        <x:f>IF(D831="",MAX(TODAY()-C831,0),MAX(D831-C831,0))</x:f>
        <x:v>0</x:v>
      </x:c>
      <x:c r="S831" s="13" t="str">
        <x:f>IF(R831=0,"Em dia",IF(R831&lt;=15,"1-15 dias",IF(R831&lt;=30,"16-30 dias",IF(R831&lt;=60,"31-60 dias","Acima de 60 dias"))))</x:f>
        <x:v>Em dia</x:v>
      </x:c>
    </x:row>
    <x:row r="832">
      <x:c r="A832" s="13" t="str">
        <x:v>REC-000831</x:v>
      </x:c>
      <x:c r="B832" s="23" t="n">
        <x:v>45699</x:v>
      </x:c>
      <x:c r="C832" s="23" t="n">
        <x:v>45727</x:v>
      </x:c>
      <x:c r="D832" s="23" t="n">
        <x:v>45724</x:v>
      </x:c>
      <x:c r="E832" s="13" t="str">
        <x:v>VAL-020</x:v>
      </x:c>
      <x:c r="F832" s="13" t="str">
        <x:v>Corelink Digital</x:v>
      </x:c>
      <x:c r="G832" s="13" t="str">
        <x:v>Tecnologia</x:v>
      </x:c>
      <x:c r="H832" s="13" t="str">
        <x:v>Baixo</x:v>
      </x:c>
      <x:c r="I832" s="13" t="str">
        <x:v>Enterprise</x:v>
      </x:c>
      <x:c r="J832" s="17" t="n">
        <x:v>30983.98</x:v>
      </x:c>
      <x:c r="K832" s="17" t="n">
        <x:v>494.63</x:v>
      </x:c>
      <x:c r="L832" s="17" t="n">
        <x:v>0</x:v>
      </x:c>
      <x:c r="M832" s="13" t="str">
        <x:v>Pago</x:v>
      </x:c>
      <x:c r="N832" s="13" t="str">
        <x:v>Sem cobrança</x:v>
      </x:c>
      <x:c r="O832" s="13" t="str">
        <x:v>Pico do descontrole</x:v>
      </x:c>
      <x:c r="P832" s="17" t="n">
        <x:f>IF(D832="",0,J832-K832+L832)</x:f>
        <x:v>30489.35</x:v>
      </x:c>
      <x:c r="Q832" s="17" t="n">
        <x:f>MAX(J832-P832-K832,0)</x:f>
        <x:v>1.0231815394945443e-12</x:v>
      </x:c>
      <x:c r="R832" s="13" t="n">
        <x:f>IF(D832="",MAX(TODAY()-C832,0),MAX(D832-C832,0))</x:f>
        <x:v>0</x:v>
      </x:c>
      <x:c r="S832" s="13" t="str">
        <x:f>IF(R832=0,"Em dia",IF(R832&lt;=15,"1-15 dias",IF(R832&lt;=30,"16-30 dias",IF(R832&lt;=60,"31-60 dias","Acima de 60 dias"))))</x:f>
        <x:v>Em dia</x:v>
      </x:c>
    </x:row>
    <x:row r="833">
      <x:c r="A833" s="13" t="str">
        <x:v>REC-000832</x:v>
      </x:c>
      <x:c r="B833" s="23" t="n">
        <x:v>45698</x:v>
      </x:c>
      <x:c r="C833" s="23" t="n">
        <x:v>45726</x:v>
      </x:c>
      <x:c r="D833" s="23" t="n">
        <x:v>45724</x:v>
      </x:c>
      <x:c r="E833" s="13" t="str">
        <x:v>VAL-020</x:v>
      </x:c>
      <x:c r="F833" s="13" t="str">
        <x:v>Corelink Digital</x:v>
      </x:c>
      <x:c r="G833" s="13" t="str">
        <x:v>Tecnologia</x:v>
      </x:c>
      <x:c r="H833" s="13" t="str">
        <x:v>Baixo</x:v>
      </x:c>
      <x:c r="I833" s="13" t="str">
        <x:v>Enterprise</x:v>
      </x:c>
      <x:c r="J833" s="17" t="n">
        <x:v>8462.61</x:v>
      </x:c>
      <x:c r="K833" s="17" t="n">
        <x:v>0</x:v>
      </x:c>
      <x:c r="L833" s="17" t="n">
        <x:v>0</x:v>
      </x:c>
      <x:c r="M833" s="13" t="str">
        <x:v>Pago</x:v>
      </x:c>
      <x:c r="N833" s="13" t="str">
        <x:v>Sem cobrança</x:v>
      </x:c>
      <x:c r="O833" s="13" t="str">
        <x:v>Pico do descontrole</x:v>
      </x:c>
      <x:c r="P833" s="17" t="n">
        <x:f>IF(D833="",0,J833-K833+L833)</x:f>
        <x:v>8462.61</x:v>
      </x:c>
      <x:c r="Q833" s="17" t="n">
        <x:f>MAX(J833-P833-K833,0)</x:f>
        <x:v>0</x:v>
      </x:c>
      <x:c r="R833" s="13" t="n">
        <x:f>IF(D833="",MAX(TODAY()-C833,0),MAX(D833-C833,0))</x:f>
        <x:v>0</x:v>
      </x:c>
      <x:c r="S833" s="13" t="str">
        <x:f>IF(R833=0,"Em dia",IF(R833&lt;=15,"1-15 dias",IF(R833&lt;=30,"16-30 dias",IF(R833&lt;=60,"31-60 dias","Acima de 60 dias"))))</x:f>
        <x:v>Em dia</x:v>
      </x:c>
    </x:row>
    <x:row r="834">
      <x:c r="A834" s="13" t="str">
        <x:v>REC-000833</x:v>
      </x:c>
      <x:c r="B834" s="23" t="n">
        <x:v>45690</x:v>
      </x:c>
      <x:c r="C834" s="23" t="n">
        <x:v>45720</x:v>
      </x:c>
      <x:c r="D834" s="23" t="n">
        <x:v>45716</x:v>
      </x:c>
      <x:c r="E834" s="13" t="str">
        <x:v>VAL-007</x:v>
      </x:c>
      <x:c r="F834" s="13" t="str">
        <x:v>Loja Prisma Online</x:v>
      </x:c>
      <x:c r="G834" s="13" t="str">
        <x:v>E-commerce</x:v>
      </x:c>
      <x:c r="H834" s="13" t="str">
        <x:v>Médio</x:v>
      </x:c>
      <x:c r="I834" s="13" t="str">
        <x:v>Performance</x:v>
      </x:c>
      <x:c r="J834" s="17" t="n">
        <x:v>7266.65</x:v>
      </x:c>
      <x:c r="K834" s="17" t="n">
        <x:v>98.38</x:v>
      </x:c>
      <x:c r="L834" s="17" t="n">
        <x:v>0</x:v>
      </x:c>
      <x:c r="M834" s="13" t="str">
        <x:v>Pago</x:v>
      </x:c>
      <x:c r="N834" s="13" t="str">
        <x:v>Sem cobrança</x:v>
      </x:c>
      <x:c r="O834" s="13" t="str">
        <x:v>Pico do descontrole</x:v>
      </x:c>
      <x:c r="P834" s="17" t="n">
        <x:f>IF(D834="",0,J834-K834+L834)</x:f>
        <x:v>7168.2699999999995</x:v>
      </x:c>
      <x:c r="Q834" s="17" t="n">
        <x:f>MAX(J834-P834-K834,0)</x:f>
        <x:v>1.1368683772161603e-13</x:v>
      </x:c>
      <x:c r="R834" s="13" t="n">
        <x:f>IF(D834="",MAX(TODAY()-C834,0),MAX(D834-C834,0))</x:f>
        <x:v>0</x:v>
      </x:c>
      <x:c r="S834" s="13" t="str">
        <x:f>IF(R834=0,"Em dia",IF(R834&lt;=15,"1-15 dias",IF(R834&lt;=30,"16-30 dias",IF(R834&lt;=60,"31-60 dias","Acima de 60 dias"))))</x:f>
        <x:v>Em dia</x:v>
      </x:c>
    </x:row>
    <x:row r="835">
      <x:c r="A835" s="13" t="str">
        <x:v>REC-000834</x:v>
      </x:c>
      <x:c r="B835" s="23" t="n">
        <x:v>45694</x:v>
      </x:c>
      <x:c r="C835" s="23" t="n">
        <x:v>45709</x:v>
      </x:c>
      <x:c r="D835" s="23" t="n">
        <x:v>45709</x:v>
      </x:c>
      <x:c r="E835" s="13" t="str">
        <x:v>VAL-017</x:v>
      </x:c>
      <x:c r="F835" s="13" t="str">
        <x:v>Centro Médico Vida</x:v>
      </x:c>
      <x:c r="G835" s="13" t="str">
        <x:v>Clínicas e Saúde</x:v>
      </x:c>
      <x:c r="H835" s="13" t="str">
        <x:v>Baixo</x:v>
      </x:c>
      <x:c r="I835" s="13" t="str">
        <x:v>Essencial</x:v>
      </x:c>
      <x:c r="J835" s="17" t="n">
        <x:v>8535.34</x:v>
      </x:c>
      <x:c r="K835" s="17" t="n">
        <x:v>0</x:v>
      </x:c>
      <x:c r="L835" s="17" t="n">
        <x:v>0</x:v>
      </x:c>
      <x:c r="M835" s="13" t="str">
        <x:v>Pago</x:v>
      </x:c>
      <x:c r="N835" s="13" t="str">
        <x:v>Sem cobrança</x:v>
      </x:c>
      <x:c r="O835" s="13" t="str">
        <x:v>Pico do descontrole</x:v>
      </x:c>
      <x:c r="P835" s="17" t="n">
        <x:f>IF(D835="",0,J835-K835+L835)</x:f>
        <x:v>8535.34</x:v>
      </x:c>
      <x:c r="Q835" s="17" t="n">
        <x:f>MAX(J835-P835-K835,0)</x:f>
        <x:v>0</x:v>
      </x:c>
      <x:c r="R835" s="13" t="n">
        <x:f>IF(D835="",MAX(TODAY()-C835,0),MAX(D835-C835,0))</x:f>
        <x:v>0</x:v>
      </x:c>
      <x:c r="S835" s="13" t="str">
        <x:f>IF(R835=0,"Em dia",IF(R835&lt;=15,"1-15 dias",IF(R835&lt;=30,"16-30 dias",IF(R835&lt;=60,"31-60 dias","Acima de 60 dias"))))</x:f>
        <x:v>Em dia</x:v>
      </x:c>
    </x:row>
    <x:row r="836">
      <x:c r="A836" s="13" t="str">
        <x:v>REC-000835</x:v>
      </x:c>
      <x:c r="B836" s="23" t="n">
        <x:v>45706</x:v>
      </x:c>
      <x:c r="C836" s="23" t="n">
        <x:v>45721</x:v>
      </x:c>
      <x:c r="D836" s="23" t="n">
        <x:v>45721</x:v>
      </x:c>
      <x:c r="E836" s="13" t="str">
        <x:v>VAL-015</x:v>
      </x:c>
      <x:c r="F836" s="13" t="str">
        <x:v>Mercado Click</x:v>
      </x:c>
      <x:c r="G836" s="13" t="str">
        <x:v>E-commerce</x:v>
      </x:c>
      <x:c r="H836" s="13" t="str">
        <x:v>Baixo</x:v>
      </x:c>
      <x:c r="I836" s="13" t="str">
        <x:v>Performance</x:v>
      </x:c>
      <x:c r="J836" s="17" t="n">
        <x:v>2117.05</x:v>
      </x:c>
      <x:c r="K836" s="17" t="n">
        <x:v>0</x:v>
      </x:c>
      <x:c r="L836" s="17" t="n">
        <x:v>0</x:v>
      </x:c>
      <x:c r="M836" s="13" t="str">
        <x:v>Pago</x:v>
      </x:c>
      <x:c r="N836" s="13" t="str">
        <x:v>Sem cobrança</x:v>
      </x:c>
      <x:c r="O836" s="13" t="str">
        <x:v>Pico do descontrole</x:v>
      </x:c>
      <x:c r="P836" s="17" t="n">
        <x:f>IF(D836="",0,J836-K836+L836)</x:f>
        <x:v>2117.05</x:v>
      </x:c>
      <x:c r="Q836" s="17" t="n">
        <x:f>MAX(J836-P836-K836,0)</x:f>
        <x:v>0</x:v>
      </x:c>
      <x:c r="R836" s="13" t="n">
        <x:f>IF(D836="",MAX(TODAY()-C836,0),MAX(D836-C836,0))</x:f>
        <x:v>0</x:v>
      </x:c>
      <x:c r="S836" s="13" t="str">
        <x:f>IF(R836=0,"Em dia",IF(R836&lt;=15,"1-15 dias",IF(R836&lt;=30,"16-30 dias",IF(R836&lt;=60,"31-60 dias","Acima de 60 dias"))))</x:f>
        <x:v>Em dia</x:v>
      </x:c>
    </x:row>
    <x:row r="837">
      <x:c r="A837" s="13" t="str">
        <x:v>REC-000836</x:v>
      </x:c>
      <x:c r="B837" s="23" t="n">
        <x:v>45698</x:v>
      </x:c>
      <x:c r="C837" s="23" t="n">
        <x:v>45713</x:v>
      </x:c>
      <x:c r="D837" s="23" t="n">
        <x:v>45712</x:v>
      </x:c>
      <x:c r="E837" s="13" t="str">
        <x:v>VAL-006</x:v>
      </x:c>
      <x:c r="F837" s="13" t="str">
        <x:v>Instituto Saber Mais</x:v>
      </x:c>
      <x:c r="G837" s="13" t="str">
        <x:v>Educação</x:v>
      </x:c>
      <x:c r="H837" s="13" t="str">
        <x:v>Médio</x:v>
      </x:c>
      <x:c r="I837" s="13" t="str">
        <x:v>Gestão</x:v>
      </x:c>
      <x:c r="J837" s="17" t="n">
        <x:v>27215.67</x:v>
      </x:c>
      <x:c r="K837" s="17" t="n">
        <x:v>0</x:v>
      </x:c>
      <x:c r="L837" s="17" t="n">
        <x:v>0</x:v>
      </x:c>
      <x:c r="M837" s="13" t="str">
        <x:v>Pago</x:v>
      </x:c>
      <x:c r="N837" s="13" t="str">
        <x:v>Sem cobrança</x:v>
      </x:c>
      <x:c r="O837" s="13" t="str">
        <x:v>Pico do descontrole</x:v>
      </x:c>
      <x:c r="P837" s="17" t="n">
        <x:f>IF(D837="",0,J837-K837+L837)</x:f>
        <x:v>27215.67</x:v>
      </x:c>
      <x:c r="Q837" s="17" t="n">
        <x:f>MAX(J837-P837-K837,0)</x:f>
        <x:v>0</x:v>
      </x:c>
      <x:c r="R837" s="13" t="n">
        <x:f>IF(D837="",MAX(TODAY()-C837,0),MAX(D837-C837,0))</x:f>
        <x:v>0</x:v>
      </x:c>
      <x:c r="S837" s="13" t="str">
        <x:f>IF(R837=0,"Em dia",IF(R837&lt;=15,"1-15 dias",IF(R837&lt;=30,"16-30 dias",IF(R837&lt;=60,"31-60 dias","Acima de 60 dias"))))</x:f>
        <x:v>Em dia</x:v>
      </x:c>
    </x:row>
    <x:row r="838">
      <x:c r="A838" s="13" t="str">
        <x:v>REC-000837</x:v>
      </x:c>
      <x:c r="B838" s="23" t="n">
        <x:v>45692</x:v>
      </x:c>
      <x:c r="C838" s="23" t="n">
        <x:v>45707</x:v>
      </x:c>
      <x:c r="D838" s="23" t="n">
        <x:v>45706</x:v>
      </x:c>
      <x:c r="E838" s="13" t="str">
        <x:v>VAL-018</x:v>
      </x:c>
      <x:c r="F838" s="13" t="str">
        <x:v>Ponto Legal Advocacia</x:v>
      </x:c>
      <x:c r="G838" s="13" t="str">
        <x:v>Serviços Profissionais</x:v>
      </x:c>
      <x:c r="H838" s="13" t="str">
        <x:v>Baixo</x:v>
      </x:c>
      <x:c r="I838" s="13" t="str">
        <x:v>Gestão</x:v>
      </x:c>
      <x:c r="J838" s="17" t="n">
        <x:v>7853.24</x:v>
      </x:c>
      <x:c r="K838" s="17" t="n">
        <x:v>0</x:v>
      </x:c>
      <x:c r="L838" s="17" t="n">
        <x:v>0</x:v>
      </x:c>
      <x:c r="M838" s="13" t="str">
        <x:v>Pago</x:v>
      </x:c>
      <x:c r="N838" s="13" t="str">
        <x:v>Sem cobrança</x:v>
      </x:c>
      <x:c r="O838" s="13" t="str">
        <x:v>Pico do descontrole</x:v>
      </x:c>
      <x:c r="P838" s="17" t="n">
        <x:f>IF(D838="",0,J838-K838+L838)</x:f>
        <x:v>7853.24</x:v>
      </x:c>
      <x:c r="Q838" s="17" t="n">
        <x:f>MAX(J838-P838-K838,0)</x:f>
        <x:v>0</x:v>
      </x:c>
      <x:c r="R838" s="13" t="n">
        <x:f>IF(D838="",MAX(TODAY()-C838,0),MAX(D838-C838,0))</x:f>
        <x:v>0</x:v>
      </x:c>
      <x:c r="S838" s="13" t="str">
        <x:f>IF(R838=0,"Em dia",IF(R838&lt;=15,"1-15 dias",IF(R838&lt;=30,"16-30 dias",IF(R838&lt;=60,"31-60 dias","Acima de 60 dias"))))</x:f>
        <x:v>Em dia</x:v>
      </x:c>
    </x:row>
    <x:row r="839">
      <x:c r="A839" s="13" t="str">
        <x:v>REC-000838</x:v>
      </x:c>
      <x:c r="B839" s="23" t="n">
        <x:v>45695</x:v>
      </x:c>
      <x:c r="C839" s="23" t="n">
        <x:v>45725</x:v>
      </x:c>
      <x:c r="D839" s="23" t="n">
        <x:v>45722</x:v>
      </x:c>
      <x:c r="E839" s="13" t="str">
        <x:v>VAL-025</x:v>
      </x:c>
      <x:c r="F839" s="13" t="str">
        <x:v>Bem-Estar Terapias</x:v>
      </x:c>
      <x:c r="G839" s="13" t="str">
        <x:v>Clínicas e Saúde</x:v>
      </x:c>
      <x:c r="H839" s="13" t="str">
        <x:v>Baixo</x:v>
      </x:c>
      <x:c r="I839" s="13" t="str">
        <x:v>Essencial</x:v>
      </x:c>
      <x:c r="J839" s="17" t="n">
        <x:v>10955.73</x:v>
      </x:c>
      <x:c r="K839" s="17" t="n">
        <x:v>0</x:v>
      </x:c>
      <x:c r="L839" s="17" t="n">
        <x:v>0</x:v>
      </x:c>
      <x:c r="M839" s="13" t="str">
        <x:v>Pago</x:v>
      </x:c>
      <x:c r="N839" s="13" t="str">
        <x:v>Sem cobrança</x:v>
      </x:c>
      <x:c r="O839" s="13" t="str">
        <x:v>Pico do descontrole</x:v>
      </x:c>
      <x:c r="P839" s="17" t="n">
        <x:f>IF(D839="",0,J839-K839+L839)</x:f>
        <x:v>10955.73</x:v>
      </x:c>
      <x:c r="Q839" s="17" t="n">
        <x:f>MAX(J839-P839-K839,0)</x:f>
        <x:v>0</x:v>
      </x:c>
      <x:c r="R839" s="13" t="n">
        <x:f>IF(D839="",MAX(TODAY()-C839,0),MAX(D839-C839,0))</x:f>
        <x:v>0</x:v>
      </x:c>
      <x:c r="S839" s="13" t="str">
        <x:f>IF(R839=0,"Em dia",IF(R839&lt;=15,"1-15 dias",IF(R839&lt;=30,"16-30 dias",IF(R839&lt;=60,"31-60 dias","Acima de 60 dias"))))</x:f>
        <x:v>Em dia</x:v>
      </x:c>
    </x:row>
    <x:row r="840">
      <x:c r="A840" s="13" t="str">
        <x:v>REC-000839</x:v>
      </x:c>
      <x:c r="B840" s="23" t="n">
        <x:v>45691</x:v>
      </x:c>
      <x:c r="C840" s="23" t="n">
        <x:v>45698</x:v>
      </x:c>
      <x:c r="D840" s="23" t="n">
        <x:v>45698</x:v>
      </x:c>
      <x:c r="E840" s="13" t="str">
        <x:v>VAL-013</x:v>
      </x:c>
      <x:c r="F840" s="13" t="str">
        <x:v>Engenharia Vértice</x:v>
      </x:c>
      <x:c r="G840" s="13" t="str">
        <x:v>Construção</x:v>
      </x:c>
      <x:c r="H840" s="13" t="str">
        <x:v>Baixo</x:v>
      </x:c>
      <x:c r="I840" s="13" t="str">
        <x:v>Essencial</x:v>
      </x:c>
      <x:c r="J840" s="17" t="n">
        <x:v>16061.28</x:v>
      </x:c>
      <x:c r="K840" s="17" t="n">
        <x:v>0</x:v>
      </x:c>
      <x:c r="L840" s="17" t="n">
        <x:v>0</x:v>
      </x:c>
      <x:c r="M840" s="13" t="str">
        <x:v>Pago</x:v>
      </x:c>
      <x:c r="N840" s="13" t="str">
        <x:v>Sem cobrança</x:v>
      </x:c>
      <x:c r="O840" s="13" t="str">
        <x:v>Pico do descontrole</x:v>
      </x:c>
      <x:c r="P840" s="17" t="n">
        <x:f>IF(D840="",0,J840-K840+L840)</x:f>
        <x:v>16061.28</x:v>
      </x:c>
      <x:c r="Q840" s="17" t="n">
        <x:f>MAX(J840-P840-K840,0)</x:f>
        <x:v>0</x:v>
      </x:c>
      <x:c r="R840" s="13" t="n">
        <x:f>IF(D840="",MAX(TODAY()-C840,0),MAX(D840-C840,0))</x:f>
        <x:v>0</x:v>
      </x:c>
      <x:c r="S840" s="13" t="str">
        <x:f>IF(R840=0,"Em dia",IF(R840&lt;=15,"1-15 dias",IF(R840&lt;=30,"16-30 dias",IF(R840&lt;=60,"31-60 dias","Acima de 60 dias"))))</x:f>
        <x:v>Em dia</x:v>
      </x:c>
    </x:row>
    <x:row r="841">
      <x:c r="A841" s="13" t="str">
        <x:v>REC-000840</x:v>
      </x:c>
      <x:c r="B841" s="23" t="n">
        <x:v>45701</x:v>
      </x:c>
      <x:c r="C841" s="23" t="n">
        <x:v>45731</x:v>
      </x:c>
      <x:c r="D841" s="23" t="n">
        <x:v>45730</x:v>
      </x:c>
      <x:c r="E841" s="13" t="str">
        <x:v>VAL-022</x:v>
      </x:c>
      <x:c r="F841" s="13" t="str">
        <x:v>Academia Evoluir</x:v>
      </x:c>
      <x:c r="G841" s="13" t="str">
        <x:v>Educação</x:v>
      </x:c>
      <x:c r="H841" s="13" t="str">
        <x:v>Alto</x:v>
      </x:c>
      <x:c r="I841" s="13" t="str">
        <x:v>Gestão</x:v>
      </x:c>
      <x:c r="J841" s="17" t="n">
        <x:v>3767.58</x:v>
      </x:c>
      <x:c r="K841" s="17" t="n">
        <x:v>0</x:v>
      </x:c>
      <x:c r="L841" s="17" t="n">
        <x:v>0</x:v>
      </x:c>
      <x:c r="M841" s="13" t="str">
        <x:v>Pago</x:v>
      </x:c>
      <x:c r="N841" s="13" t="str">
        <x:v>Sem cobrança</x:v>
      </x:c>
      <x:c r="O841" s="13" t="str">
        <x:v>Pico do descontrole</x:v>
      </x:c>
      <x:c r="P841" s="17" t="n">
        <x:f>IF(D841="",0,J841-K841+L841)</x:f>
        <x:v>3767.58</x:v>
      </x:c>
      <x:c r="Q841" s="17" t="n">
        <x:f>MAX(J841-P841-K841,0)</x:f>
        <x:v>0</x:v>
      </x:c>
      <x:c r="R841" s="13" t="n">
        <x:f>IF(D841="",MAX(TODAY()-C841,0),MAX(D841-C841,0))</x:f>
        <x:v>0</x:v>
      </x:c>
      <x:c r="S841" s="13" t="str">
        <x:f>IF(R841=0,"Em dia",IF(R841&lt;=15,"1-15 dias",IF(R841&lt;=30,"16-30 dias",IF(R841&lt;=60,"31-60 dias","Acima de 60 dias"))))</x:f>
        <x:v>Em dia</x:v>
      </x:c>
    </x:row>
    <x:row r="842">
      <x:c r="A842" s="13" t="str">
        <x:v>REC-000841</x:v>
      </x:c>
      <x:c r="B842" s="23" t="n">
        <x:v>45725</x:v>
      </x:c>
      <x:c r="C842" s="23" t="n">
        <x:v>45740</x:v>
      </x:c>
      <x:c r="D842" s="23" t="n">
        <x:v>45738</x:v>
      </x:c>
      <x:c r="E842" s="13" t="str">
        <x:v>VAL-012</x:v>
      </x:c>
      <x:c r="F842" s="13" t="str">
        <x:v>DataFlow Sistemas</x:v>
      </x:c>
      <x:c r="G842" s="13" t="str">
        <x:v>Tecnologia</x:v>
      </x:c>
      <x:c r="H842" s="13" t="str">
        <x:v>Médio</x:v>
      </x:c>
      <x:c r="I842" s="13" t="str">
        <x:v>Enterprise</x:v>
      </x:c>
      <x:c r="J842" s="17" t="n">
        <x:v>6757.37</x:v>
      </x:c>
      <x:c r="K842" s="17" t="n">
        <x:v>0</x:v>
      </x:c>
      <x:c r="L842" s="17" t="n">
        <x:v>0</x:v>
      </x:c>
      <x:c r="M842" s="13" t="str">
        <x:v>Pago</x:v>
      </x:c>
      <x:c r="N842" s="13" t="str">
        <x:v>Sem cobrança</x:v>
      </x:c>
      <x:c r="O842" s="13" t="str">
        <x:v>Pico do descontrole</x:v>
      </x:c>
      <x:c r="P842" s="17" t="n">
        <x:f>IF(D842="",0,J842-K842+L842)</x:f>
        <x:v>6757.37</x:v>
      </x:c>
      <x:c r="Q842" s="17" t="n">
        <x:f>MAX(J842-P842-K842,0)</x:f>
        <x:v>0</x:v>
      </x:c>
      <x:c r="R842" s="13" t="n">
        <x:f>IF(D842="",MAX(TODAY()-C842,0),MAX(D842-C842,0))</x:f>
        <x:v>0</x:v>
      </x:c>
      <x:c r="S842" s="13" t="str">
        <x:f>IF(R842=0,"Em dia",IF(R842&lt;=15,"1-15 dias",IF(R842&lt;=30,"16-30 dias",IF(R842&lt;=60,"31-60 dias","Acima de 60 dias"))))</x:f>
        <x:v>Em dia</x:v>
      </x:c>
    </x:row>
    <x:row r="843">
      <x:c r="A843" s="13" t="str">
        <x:v>REC-000842</x:v>
      </x:c>
      <x:c r="B843" s="23" t="n">
        <x:v>45723</x:v>
      </x:c>
      <x:c r="C843" s="23" t="n">
        <x:v>45744</x:v>
      </x:c>
      <x:c r="D843" s="23" t="n">
        <x:v>45742</x:v>
      </x:c>
      <x:c r="E843" s="13" t="str">
        <x:v>VAL-021</x:v>
      </x:c>
      <x:c r="F843" s="13" t="str">
        <x:v>Base Forte Obras</x:v>
      </x:c>
      <x:c r="G843" s="13" t="str">
        <x:v>Construção</x:v>
      </x:c>
      <x:c r="H843" s="13" t="str">
        <x:v>Médio</x:v>
      </x:c>
      <x:c r="I843" s="13" t="str">
        <x:v>Essencial</x:v>
      </x:c>
      <x:c r="J843" s="17" t="n">
        <x:v>27687.61</x:v>
      </x:c>
      <x:c r="K843" s="17" t="n">
        <x:v>0</x:v>
      </x:c>
      <x:c r="L843" s="17" t="n">
        <x:v>0</x:v>
      </x:c>
      <x:c r="M843" s="13" t="str">
        <x:v>Pago</x:v>
      </x:c>
      <x:c r="N843" s="13" t="str">
        <x:v>Sem cobrança</x:v>
      </x:c>
      <x:c r="O843" s="13" t="str">
        <x:v>Pico do descontrole</x:v>
      </x:c>
      <x:c r="P843" s="17" t="n">
        <x:f>IF(D843="",0,J843-K843+L843)</x:f>
        <x:v>27687.61</x:v>
      </x:c>
      <x:c r="Q843" s="17" t="n">
        <x:f>MAX(J843-P843-K843,0)</x:f>
        <x:v>0</x:v>
      </x:c>
      <x:c r="R843" s="13" t="n">
        <x:f>IF(D843="",MAX(TODAY()-C843,0),MAX(D843-C843,0))</x:f>
        <x:v>0</x:v>
      </x:c>
      <x:c r="S843" s="13" t="str">
        <x:f>IF(R843=0,"Em dia",IF(R843&lt;=15,"1-15 dias",IF(R843&lt;=30,"16-30 dias",IF(R843&lt;=60,"31-60 dias","Acima de 60 dias"))))</x:f>
        <x:v>Em dia</x:v>
      </x:c>
    </x:row>
    <x:row r="844">
      <x:c r="A844" s="13" t="str">
        <x:v>REC-000843</x:v>
      </x:c>
      <x:c r="B844" s="23" t="n">
        <x:v>45728</x:v>
      </x:c>
      <x:c r="C844" s="23" t="n">
        <x:v>45749</x:v>
      </x:c>
      <x:c r="D844" s="23" t="n">
        <x:v>45749</x:v>
      </x:c>
      <x:c r="E844" s="13" t="str">
        <x:v>VAL-029</x:v>
      </x:c>
      <x:c r="F844" s="13" t="str">
        <x:v>Planobra Serviços</x:v>
      </x:c>
      <x:c r="G844" s="13" t="str">
        <x:v>Construção</x:v>
      </x:c>
      <x:c r="H844" s="13" t="str">
        <x:v>Baixo</x:v>
      </x:c>
      <x:c r="I844" s="13" t="str">
        <x:v>Essencial</x:v>
      </x:c>
      <x:c r="J844" s="17" t="n">
        <x:v>24080.79</x:v>
      </x:c>
      <x:c r="K844" s="17" t="n">
        <x:v>0</x:v>
      </x:c>
      <x:c r="L844" s="17" t="n">
        <x:v>0</x:v>
      </x:c>
      <x:c r="M844" s="13" t="str">
        <x:v>Pago</x:v>
      </x:c>
      <x:c r="N844" s="13" t="str">
        <x:v>Sem cobrança</x:v>
      </x:c>
      <x:c r="O844" s="13" t="str">
        <x:v>Pico do descontrole</x:v>
      </x:c>
      <x:c r="P844" s="17" t="n">
        <x:f>IF(D844="",0,J844-K844+L844)</x:f>
        <x:v>24080.79</x:v>
      </x:c>
      <x:c r="Q844" s="17" t="n">
        <x:f>MAX(J844-P844-K844,0)</x:f>
        <x:v>0</x:v>
      </x:c>
      <x:c r="R844" s="13" t="n">
        <x:f>IF(D844="",MAX(TODAY()-C844,0),MAX(D844-C844,0))</x:f>
        <x:v>0</x:v>
      </x:c>
      <x:c r="S844" s="13" t="str">
        <x:f>IF(R844=0,"Em dia",IF(R844&lt;=15,"1-15 dias",IF(R844&lt;=30,"16-30 dias",IF(R844&lt;=60,"31-60 dias","Acima de 60 dias"))))</x:f>
        <x:v>Em dia</x:v>
      </x:c>
    </x:row>
    <x:row r="845">
      <x:c r="A845" s="13" t="str">
        <x:v>REC-000844</x:v>
      </x:c>
      <x:c r="B845" s="23" t="n">
        <x:v>45731</x:v>
      </x:c>
      <x:c r="C845" s="23" t="n">
        <x:v>45738</x:v>
      </x:c>
      <x:c r="D845" s="23" t="n">
        <x:v>45735</x:v>
      </x:c>
      <x:c r="E845" s="13" t="str">
        <x:v>VAL-029</x:v>
      </x:c>
      <x:c r="F845" s="13" t="str">
        <x:v>Planobra Serviços</x:v>
      </x:c>
      <x:c r="G845" s="13" t="str">
        <x:v>Construção</x:v>
      </x:c>
      <x:c r="H845" s="13" t="str">
        <x:v>Baixo</x:v>
      </x:c>
      <x:c r="I845" s="13" t="str">
        <x:v>Essencial</x:v>
      </x:c>
      <x:c r="J845" s="17" t="n">
        <x:v>21710.8</x:v>
      </x:c>
      <x:c r="K845" s="17" t="n">
        <x:v>0</x:v>
      </x:c>
      <x:c r="L845" s="17" t="n">
        <x:v>0</x:v>
      </x:c>
      <x:c r="M845" s="13" t="str">
        <x:v>Pago</x:v>
      </x:c>
      <x:c r="N845" s="13" t="str">
        <x:v>Sem cobrança</x:v>
      </x:c>
      <x:c r="O845" s="13" t="str">
        <x:v>Pico do descontrole</x:v>
      </x:c>
      <x:c r="P845" s="17" t="n">
        <x:f>IF(D845="",0,J845-K845+L845)</x:f>
        <x:v>21710.8</x:v>
      </x:c>
      <x:c r="Q845" s="17" t="n">
        <x:f>MAX(J845-P845-K845,0)</x:f>
        <x:v>0</x:v>
      </x:c>
      <x:c r="R845" s="13" t="n">
        <x:f>IF(D845="",MAX(TODAY()-C845,0),MAX(D845-C845,0))</x:f>
        <x:v>0</x:v>
      </x:c>
      <x:c r="S845" s="13" t="str">
        <x:f>IF(R845=0,"Em dia",IF(R845&lt;=15,"1-15 dias",IF(R845&lt;=30,"16-30 dias",IF(R845&lt;=60,"31-60 dias","Acima de 60 dias"))))</x:f>
        <x:v>Em dia</x:v>
      </x:c>
    </x:row>
    <x:row r="846">
      <x:c r="A846" s="13" t="str">
        <x:v>REC-000845</x:v>
      </x:c>
      <x:c r="B846" s="23" t="n">
        <x:v>45725</x:v>
      </x:c>
      <x:c r="C846" s="23" t="n">
        <x:v>45755</x:v>
      </x:c>
      <x:c r="D846" s="23" t="n">
        <x:v>45753</x:v>
      </x:c>
      <x:c r="E846" s="13" t="str">
        <x:v>VAL-016</x:v>
      </x:c>
      <x:c r="F846" s="13" t="str">
        <x:v>Lumina Embalagens</x:v>
      </x:c>
      <x:c r="G846" s="13" t="str">
        <x:v>Indústria Leve</x:v>
      </x:c>
      <x:c r="H846" s="13" t="str">
        <x:v>Baixo</x:v>
      </x:c>
      <x:c r="I846" s="13" t="str">
        <x:v>Enterprise</x:v>
      </x:c>
      <x:c r="J846" s="17" t="n">
        <x:v>12229.18</x:v>
      </x:c>
      <x:c r="K846" s="17" t="n">
        <x:v>0</x:v>
      </x:c>
      <x:c r="L846" s="17" t="n">
        <x:v>0</x:v>
      </x:c>
      <x:c r="M846" s="13" t="str">
        <x:v>Pago</x:v>
      </x:c>
      <x:c r="N846" s="13" t="str">
        <x:v>Sem cobrança</x:v>
      </x:c>
      <x:c r="O846" s="13" t="str">
        <x:v>Pico do descontrole</x:v>
      </x:c>
      <x:c r="P846" s="17" t="n">
        <x:f>IF(D846="",0,J846-K846+L846)</x:f>
        <x:v>12229.18</x:v>
      </x:c>
      <x:c r="Q846" s="17" t="n">
        <x:f>MAX(J846-P846-K846,0)</x:f>
        <x:v>0</x:v>
      </x:c>
      <x:c r="R846" s="13" t="n">
        <x:f>IF(D846="",MAX(TODAY()-C846,0),MAX(D846-C846,0))</x:f>
        <x:v>0</x:v>
      </x:c>
      <x:c r="S846" s="13" t="str">
        <x:f>IF(R846=0,"Em dia",IF(R846&lt;=15,"1-15 dias",IF(R846&lt;=30,"16-30 dias",IF(R846&lt;=60,"31-60 dias","Acima de 60 dias"))))</x:f>
        <x:v>Em dia</x:v>
      </x:c>
    </x:row>
    <x:row r="847">
      <x:c r="A847" s="13" t="str">
        <x:v>REC-000846</x:v>
      </x:c>
      <x:c r="B847" s="23" t="n">
        <x:v>45718</x:v>
      </x:c>
      <x:c r="C847" s="23" t="n">
        <x:v>45739</x:v>
      </x:c>
      <x:c r="D847" s="23" t="n">
        <x:v>45736</x:v>
      </x:c>
      <x:c r="E847" s="13" t="str">
        <x:v>VAL-023</x:v>
      </x:c>
      <x:c r="F847" s="13" t="str">
        <x:v>ShopMix Brasil</x:v>
      </x:c>
      <x:c r="G847" s="13" t="str">
        <x:v>E-commerce</x:v>
      </x:c>
      <x:c r="H847" s="13" t="str">
        <x:v>Baixo</x:v>
      </x:c>
      <x:c r="I847" s="13" t="str">
        <x:v>Performance</x:v>
      </x:c>
      <x:c r="J847" s="17" t="n">
        <x:v>14963.45</x:v>
      </x:c>
      <x:c r="K847" s="17" t="n">
        <x:v>0</x:v>
      </x:c>
      <x:c r="L847" s="17" t="n">
        <x:v>0</x:v>
      </x:c>
      <x:c r="M847" s="13" t="str">
        <x:v>Pago</x:v>
      </x:c>
      <x:c r="N847" s="13" t="str">
        <x:v>Sem cobrança</x:v>
      </x:c>
      <x:c r="O847" s="13" t="str">
        <x:v>Pico do descontrole</x:v>
      </x:c>
      <x:c r="P847" s="17" t="n">
        <x:f>IF(D847="",0,J847-K847+L847)</x:f>
        <x:v>14963.45</x:v>
      </x:c>
      <x:c r="Q847" s="17" t="n">
        <x:f>MAX(J847-P847-K847,0)</x:f>
        <x:v>0</x:v>
      </x:c>
      <x:c r="R847" s="13" t="n">
        <x:f>IF(D847="",MAX(TODAY()-C847,0),MAX(D847-C847,0))</x:f>
        <x:v>0</x:v>
      </x:c>
      <x:c r="S847" s="13" t="str">
        <x:f>IF(R847=0,"Em dia",IF(R847&lt;=15,"1-15 dias",IF(R847&lt;=30,"16-30 dias",IF(R847&lt;=60,"31-60 dias","Acima de 60 dias"))))</x:f>
        <x:v>Em dia</x:v>
      </x:c>
    </x:row>
    <x:row r="848">
      <x:c r="A848" s="13" t="str">
        <x:v>REC-000847</x:v>
      </x:c>
      <x:c r="B848" s="23" t="n">
        <x:v>45729</x:v>
      </x:c>
      <x:c r="C848" s="23" t="n">
        <x:v>45736</x:v>
      </x:c>
      <x:c r="D848" s="23" t="n">
        <x:v>45732</x:v>
      </x:c>
      <x:c r="E848" s="13" t="str">
        <x:v>VAL-024</x:v>
      </x:c>
      <x:c r="F848" s="13" t="str">
        <x:v>NovaForma Móveis</x:v>
      </x:c>
      <x:c r="G848" s="13" t="str">
        <x:v>Indústria Leve</x:v>
      </x:c>
      <x:c r="H848" s="13" t="str">
        <x:v>Baixo</x:v>
      </x:c>
      <x:c r="I848" s="13" t="str">
        <x:v>Enterprise</x:v>
      </x:c>
      <x:c r="J848" s="17" t="n">
        <x:v>1204.36</x:v>
      </x:c>
      <x:c r="K848" s="17" t="n">
        <x:v>0</x:v>
      </x:c>
      <x:c r="L848" s="17" t="n">
        <x:v>0</x:v>
      </x:c>
      <x:c r="M848" s="13" t="str">
        <x:v>Pago</x:v>
      </x:c>
      <x:c r="N848" s="13" t="str">
        <x:v>Sem cobrança</x:v>
      </x:c>
      <x:c r="O848" s="13" t="str">
        <x:v>Pico do descontrole</x:v>
      </x:c>
      <x:c r="P848" s="17" t="n">
        <x:f>IF(D848="",0,J848-K848+L848)</x:f>
        <x:v>1204.36</x:v>
      </x:c>
      <x:c r="Q848" s="17" t="n">
        <x:f>MAX(J848-P848-K848,0)</x:f>
        <x:v>0</x:v>
      </x:c>
      <x:c r="R848" s="13" t="n">
        <x:f>IF(D848="",MAX(TODAY()-C848,0),MAX(D848-C848,0))</x:f>
        <x:v>0</x:v>
      </x:c>
      <x:c r="S848" s="13" t="str">
        <x:f>IF(R848=0,"Em dia",IF(R848&lt;=15,"1-15 dias",IF(R848&lt;=30,"16-30 dias",IF(R848&lt;=60,"31-60 dias","Acima de 60 dias"))))</x:f>
        <x:v>Em dia</x:v>
      </x:c>
    </x:row>
    <x:row r="849">
      <x:c r="A849" s="13" t="str">
        <x:v>REC-000848</x:v>
      </x:c>
      <x:c r="B849" s="23" t="n">
        <x:v>45720</x:v>
      </x:c>
      <x:c r="C849" s="23" t="n">
        <x:v>45741</x:v>
      </x:c>
      <x:c r="D849" s="23" t="n">
        <x:v>45739</x:v>
      </x:c>
      <x:c r="E849" s="13" t="str">
        <x:v>VAL-012</x:v>
      </x:c>
      <x:c r="F849" s="13" t="str">
        <x:v>DataFlow Sistemas</x:v>
      </x:c>
      <x:c r="G849" s="13" t="str">
        <x:v>Tecnologia</x:v>
      </x:c>
      <x:c r="H849" s="13" t="str">
        <x:v>Médio</x:v>
      </x:c>
      <x:c r="I849" s="13" t="str">
        <x:v>Enterprise</x:v>
      </x:c>
      <x:c r="J849" s="17" t="n">
        <x:v>9385.75</x:v>
      </x:c>
      <x:c r="K849" s="17" t="n">
        <x:v>0</x:v>
      </x:c>
      <x:c r="L849" s="17" t="n">
        <x:v>0</x:v>
      </x:c>
      <x:c r="M849" s="13" t="str">
        <x:v>Pago</x:v>
      </x:c>
      <x:c r="N849" s="13" t="str">
        <x:v>Sem cobrança</x:v>
      </x:c>
      <x:c r="O849" s="13" t="str">
        <x:v>Pico do descontrole</x:v>
      </x:c>
      <x:c r="P849" s="17" t="n">
        <x:f>IF(D849="",0,J849-K849+L849)</x:f>
        <x:v>9385.75</x:v>
      </x:c>
      <x:c r="Q849" s="17" t="n">
        <x:f>MAX(J849-P849-K849,0)</x:f>
        <x:v>0</x:v>
      </x:c>
      <x:c r="R849" s="13" t="n">
        <x:f>IF(D849="",MAX(TODAY()-C849,0),MAX(D849-C849,0))</x:f>
        <x:v>0</x:v>
      </x:c>
      <x:c r="S849" s="13" t="str">
        <x:f>IF(R849=0,"Em dia",IF(R849&lt;=15,"1-15 dias",IF(R849&lt;=30,"16-30 dias",IF(R849&lt;=60,"31-60 dias","Acima de 60 dias"))))</x:f>
        <x:v>Em dia</x:v>
      </x:c>
    </x:row>
    <x:row r="850">
      <x:c r="A850" s="13" t="str">
        <x:v>REC-000849</x:v>
      </x:c>
      <x:c r="B850" s="23" t="n">
        <x:v>45724</x:v>
      </x:c>
      <x:c r="C850" s="23" t="n">
        <x:v>45752</x:v>
      </x:c>
      <x:c r="D850" s="23" t="n">
        <x:v>45749</x:v>
      </x:c>
      <x:c r="E850" s="13" t="str">
        <x:v>VAL-003</x:v>
      </x:c>
      <x:c r="F850" s="13" t="str">
        <x:v>Casa Nova Varejo</x:v>
      </x:c>
      <x:c r="G850" s="13" t="str">
        <x:v>Varejo</x:v>
      </x:c>
      <x:c r="H850" s="13" t="str">
        <x:v>Baixo</x:v>
      </x:c>
      <x:c r="I850" s="13" t="str">
        <x:v>Performance</x:v>
      </x:c>
      <x:c r="J850" s="17" t="n">
        <x:v>3674.49</x:v>
      </x:c>
      <x:c r="K850" s="17" t="n">
        <x:v>0</x:v>
      </x:c>
      <x:c r="L850" s="17" t="n">
        <x:v>0</x:v>
      </x:c>
      <x:c r="M850" s="13" t="str">
        <x:v>Pago</x:v>
      </x:c>
      <x:c r="N850" s="13" t="str">
        <x:v>Sem cobrança</x:v>
      </x:c>
      <x:c r="O850" s="13" t="str">
        <x:v>Pico do descontrole</x:v>
      </x:c>
      <x:c r="P850" s="17" t="n">
        <x:f>IF(D850="",0,J850-K850+L850)</x:f>
        <x:v>3674.49</x:v>
      </x:c>
      <x:c r="Q850" s="17" t="n">
        <x:f>MAX(J850-P850-K850,0)</x:f>
        <x:v>0</x:v>
      </x:c>
      <x:c r="R850" s="13" t="n">
        <x:f>IF(D850="",MAX(TODAY()-C850,0),MAX(D850-C850,0))</x:f>
        <x:v>0</x:v>
      </x:c>
      <x:c r="S850" s="13" t="str">
        <x:f>IF(R850=0,"Em dia",IF(R850&lt;=15,"1-15 dias",IF(R850&lt;=30,"16-30 dias",IF(R850&lt;=60,"31-60 dias","Acima de 60 dias"))))</x:f>
        <x:v>Em dia</x:v>
      </x:c>
    </x:row>
    <x:row r="851">
      <x:c r="A851" s="13" t="str">
        <x:v>REC-000850</x:v>
      </x:c>
      <x:c r="B851" s="23" t="n">
        <x:v>45735</x:v>
      </x:c>
      <x:c r="C851" s="23" t="n">
        <x:v>45750</x:v>
      </x:c>
      <x:c r="D851" s="23" t="n">
        <x:v>45766</x:v>
      </x:c>
      <x:c r="E851" s="13" t="str">
        <x:v>VAL-025</x:v>
      </x:c>
      <x:c r="F851" s="13" t="str">
        <x:v>Bem-Estar Terapias</x:v>
      </x:c>
      <x:c r="G851" s="13" t="str">
        <x:v>Clínicas e Saúde</x:v>
      </x:c>
      <x:c r="H851" s="13" t="str">
        <x:v>Baixo</x:v>
      </x:c>
      <x:c r="I851" s="13" t="str">
        <x:v>Essencial</x:v>
      </x:c>
      <x:c r="J851" s="17" t="n">
        <x:v>12618.67</x:v>
      </x:c>
      <x:c r="K851" s="17" t="n">
        <x:v>0</x:v>
      </x:c>
      <x:c r="L851" s="17" t="n">
        <x:v>131.23</x:v>
      </x:c>
      <x:c r="M851" s="13" t="str">
        <x:v>Pago com atraso</x:v>
      </x:c>
      <x:c r="N851" s="13" t="str">
        <x:v>Régua automática</x:v>
      </x:c>
      <x:c r="O851" s="13" t="str">
        <x:v>Pico do descontrole</x:v>
      </x:c>
      <x:c r="P851" s="17" t="n">
        <x:f>IF(D851="",0,J851-K851+L851)</x:f>
        <x:v>12749.9</x:v>
      </x:c>
      <x:c r="Q851" s="17" t="n">
        <x:f>MAX(J851-P851-K851,0)</x:f>
        <x:v>0</x:v>
      </x:c>
      <x:c r="R851" s="13" t="n">
        <x:f>IF(D851="",MAX(TODAY()-C851,0),MAX(D851-C851,0))</x:f>
        <x:v>16</x:v>
      </x:c>
      <x:c r="S851" s="13" t="str">
        <x:f>IF(R851=0,"Em dia",IF(R851&lt;=15,"1-15 dias",IF(R851&lt;=30,"16-30 dias",IF(R851&lt;=60,"31-60 dias","Acima de 60 dias"))))</x:f>
        <x:v>16-30 dias</x:v>
      </x:c>
    </x:row>
    <x:row r="852">
      <x:c r="A852" s="13" t="str">
        <x:v>REC-000851</x:v>
      </x:c>
      <x:c r="B852" s="23" t="n">
        <x:v>45732</x:v>
      </x:c>
      <x:c r="C852" s="23" t="n">
        <x:v>45760</x:v>
      </x:c>
      <x:c r="D852" s="23" t="n">
        <x:v>45760</x:v>
      </x:c>
      <x:c r="E852" s="13" t="str">
        <x:v>VAL-006</x:v>
      </x:c>
      <x:c r="F852" s="13" t="str">
        <x:v>Instituto Saber Mais</x:v>
      </x:c>
      <x:c r="G852" s="13" t="str">
        <x:v>Educação</x:v>
      </x:c>
      <x:c r="H852" s="13" t="str">
        <x:v>Médio</x:v>
      </x:c>
      <x:c r="I852" s="13" t="str">
        <x:v>Gestão</x:v>
      </x:c>
      <x:c r="J852" s="17" t="n">
        <x:v>4747.26</x:v>
      </x:c>
      <x:c r="K852" s="17" t="n">
        <x:v>0</x:v>
      </x:c>
      <x:c r="L852" s="17" t="n">
        <x:v>0</x:v>
      </x:c>
      <x:c r="M852" s="13" t="str">
        <x:v>Pago</x:v>
      </x:c>
      <x:c r="N852" s="13" t="str">
        <x:v>Sem cobrança</x:v>
      </x:c>
      <x:c r="O852" s="13" t="str">
        <x:v>Pico do descontrole</x:v>
      </x:c>
      <x:c r="P852" s="17" t="n">
        <x:f>IF(D852="",0,J852-K852+L852)</x:f>
        <x:v>4747.26</x:v>
      </x:c>
      <x:c r="Q852" s="17" t="n">
        <x:f>MAX(J852-P852-K852,0)</x:f>
        <x:v>0</x:v>
      </x:c>
      <x:c r="R852" s="13" t="n">
        <x:f>IF(D852="",MAX(TODAY()-C852,0),MAX(D852-C852,0))</x:f>
        <x:v>0</x:v>
      </x:c>
      <x:c r="S852" s="13" t="str">
        <x:f>IF(R852=0,"Em dia",IF(R852&lt;=15,"1-15 dias",IF(R852&lt;=30,"16-30 dias",IF(R852&lt;=60,"31-60 dias","Acima de 60 dias"))))</x:f>
        <x:v>Em dia</x:v>
      </x:c>
    </x:row>
    <x:row r="853">
      <x:c r="A853" s="13" t="str">
        <x:v>REC-000852</x:v>
      </x:c>
      <x:c r="B853" s="23" t="n">
        <x:v>45726</x:v>
      </x:c>
      <x:c r="C853" s="23" t="n">
        <x:v>45747</x:v>
      </x:c>
      <x:c r="D853" s="23" t="n">
        <x:v>45746</x:v>
      </x:c>
      <x:c r="E853" s="13" t="str">
        <x:v>VAL-017</x:v>
      </x:c>
      <x:c r="F853" s="13" t="str">
        <x:v>Centro Médico Vida</x:v>
      </x:c>
      <x:c r="G853" s="13" t="str">
        <x:v>Clínicas e Saúde</x:v>
      </x:c>
      <x:c r="H853" s="13" t="str">
        <x:v>Baixo</x:v>
      </x:c>
      <x:c r="I853" s="13" t="str">
        <x:v>Essencial</x:v>
      </x:c>
      <x:c r="J853" s="17" t="n">
        <x:v>23921.81</x:v>
      </x:c>
      <x:c r="K853" s="17" t="n">
        <x:v>0</x:v>
      </x:c>
      <x:c r="L853" s="17" t="n">
        <x:v>0</x:v>
      </x:c>
      <x:c r="M853" s="13" t="str">
        <x:v>Pago</x:v>
      </x:c>
      <x:c r="N853" s="13" t="str">
        <x:v>Sem cobrança</x:v>
      </x:c>
      <x:c r="O853" s="13" t="str">
        <x:v>Pico do descontrole</x:v>
      </x:c>
      <x:c r="P853" s="17" t="n">
        <x:f>IF(D853="",0,J853-K853+L853)</x:f>
        <x:v>23921.81</x:v>
      </x:c>
      <x:c r="Q853" s="17" t="n">
        <x:f>MAX(J853-P853-K853,0)</x:f>
        <x:v>0</x:v>
      </x:c>
      <x:c r="R853" s="13" t="n">
        <x:f>IF(D853="",MAX(TODAY()-C853,0),MAX(D853-C853,0))</x:f>
        <x:v>0</x:v>
      </x:c>
      <x:c r="S853" s="13" t="str">
        <x:f>IF(R853=0,"Em dia",IF(R853&lt;=15,"1-15 dias",IF(R853&lt;=30,"16-30 dias",IF(R853&lt;=60,"31-60 dias","Acima de 60 dias"))))</x:f>
        <x:v>Em dia</x:v>
      </x:c>
    </x:row>
    <x:row r="854">
      <x:c r="A854" s="13" t="str">
        <x:v>REC-000853</x:v>
      </x:c>
      <x:c r="B854" s="23" t="n">
        <x:v>45723</x:v>
      </x:c>
      <x:c r="C854" s="23" t="n">
        <x:v>45730</x:v>
      </x:c>
      <x:c r="D854" s="23" t="n">
        <x:v>45727</x:v>
      </x:c>
      <x:c r="E854" s="13" t="str">
        <x:v>VAL-016</x:v>
      </x:c>
      <x:c r="F854" s="13" t="str">
        <x:v>Lumina Embalagens</x:v>
      </x:c>
      <x:c r="G854" s="13" t="str">
        <x:v>Indústria Leve</x:v>
      </x:c>
      <x:c r="H854" s="13" t="str">
        <x:v>Baixo</x:v>
      </x:c>
      <x:c r="I854" s="13" t="str">
        <x:v>Enterprise</x:v>
      </x:c>
      <x:c r="J854" s="17" t="n">
        <x:v>9077.99</x:v>
      </x:c>
      <x:c r="K854" s="17" t="n">
        <x:v>0</x:v>
      </x:c>
      <x:c r="L854" s="17" t="n">
        <x:v>0</x:v>
      </x:c>
      <x:c r="M854" s="13" t="str">
        <x:v>Pago</x:v>
      </x:c>
      <x:c r="N854" s="13" t="str">
        <x:v>Sem cobrança</x:v>
      </x:c>
      <x:c r="O854" s="13" t="str">
        <x:v>Pico do descontrole</x:v>
      </x:c>
      <x:c r="P854" s="17" t="n">
        <x:f>IF(D854="",0,J854-K854+L854)</x:f>
        <x:v>9077.99</x:v>
      </x:c>
      <x:c r="Q854" s="17" t="n">
        <x:f>MAX(J854-P854-K854,0)</x:f>
        <x:v>0</x:v>
      </x:c>
      <x:c r="R854" s="13" t="n">
        <x:f>IF(D854="",MAX(TODAY()-C854,0),MAX(D854-C854,0))</x:f>
        <x:v>0</x:v>
      </x:c>
      <x:c r="S854" s="13" t="str">
        <x:f>IF(R854=0,"Em dia",IF(R854&lt;=15,"1-15 dias",IF(R854&lt;=30,"16-30 dias",IF(R854&lt;=60,"31-60 dias","Acima de 60 dias"))))</x:f>
        <x:v>Em dia</x:v>
      </x:c>
    </x:row>
    <x:row r="855">
      <x:c r="A855" s="13" t="str">
        <x:v>REC-000854</x:v>
      </x:c>
      <x:c r="B855" s="23" t="n">
        <x:v>45731</x:v>
      </x:c>
      <x:c r="C855" s="23" t="n">
        <x:v>45752</x:v>
      </x:c>
      <x:c r="D855" s="23" t="n">
        <x:v>45750</x:v>
      </x:c>
      <x:c r="E855" s="13" t="str">
        <x:v>VAL-020</x:v>
      </x:c>
      <x:c r="F855" s="13" t="str">
        <x:v>Corelink Digital</x:v>
      </x:c>
      <x:c r="G855" s="13" t="str">
        <x:v>Tecnologia</x:v>
      </x:c>
      <x:c r="H855" s="13" t="str">
        <x:v>Baixo</x:v>
      </x:c>
      <x:c r="I855" s="13" t="str">
        <x:v>Enterprise</x:v>
      </x:c>
      <x:c r="J855" s="17" t="n">
        <x:v>28265.06</x:v>
      </x:c>
      <x:c r="K855" s="17" t="n">
        <x:v>0</x:v>
      </x:c>
      <x:c r="L855" s="17" t="n">
        <x:v>0</x:v>
      </x:c>
      <x:c r="M855" s="13" t="str">
        <x:v>Pago</x:v>
      </x:c>
      <x:c r="N855" s="13" t="str">
        <x:v>Sem cobrança</x:v>
      </x:c>
      <x:c r="O855" s="13" t="str">
        <x:v>Pico do descontrole</x:v>
      </x:c>
      <x:c r="P855" s="17" t="n">
        <x:f>IF(D855="",0,J855-K855+L855)</x:f>
        <x:v>28265.06</x:v>
      </x:c>
      <x:c r="Q855" s="17" t="n">
        <x:f>MAX(J855-P855-K855,0)</x:f>
        <x:v>0</x:v>
      </x:c>
      <x:c r="R855" s="13" t="n">
        <x:f>IF(D855="",MAX(TODAY()-C855,0),MAX(D855-C855,0))</x:f>
        <x:v>0</x:v>
      </x:c>
      <x:c r="S855" s="13" t="str">
        <x:f>IF(R855=0,"Em dia",IF(R855&lt;=15,"1-15 dias",IF(R855&lt;=30,"16-30 dias",IF(R855&lt;=60,"31-60 dias","Acima de 60 dias"))))</x:f>
        <x:v>Em dia</x:v>
      </x:c>
    </x:row>
    <x:row r="856">
      <x:c r="A856" s="13" t="str">
        <x:v>REC-000855</x:v>
      </x:c>
      <x:c r="B856" s="23" t="n">
        <x:v>45729</x:v>
      </x:c>
      <x:c r="C856" s="23" t="n">
        <x:v>45757</x:v>
      </x:c>
      <x:c r="D856" s="23" t="n">
        <x:v>45757</x:v>
      </x:c>
      <x:c r="E856" s="13" t="str">
        <x:v>VAL-016</x:v>
      </x:c>
      <x:c r="F856" s="13" t="str">
        <x:v>Lumina Embalagens</x:v>
      </x:c>
      <x:c r="G856" s="13" t="str">
        <x:v>Indústria Leve</x:v>
      </x:c>
      <x:c r="H856" s="13" t="str">
        <x:v>Baixo</x:v>
      </x:c>
      <x:c r="I856" s="13" t="str">
        <x:v>Enterprise</x:v>
      </x:c>
      <x:c r="J856" s="17" t="n">
        <x:v>14616.61</x:v>
      </x:c>
      <x:c r="K856" s="17" t="n">
        <x:v>0</x:v>
      </x:c>
      <x:c r="L856" s="17" t="n">
        <x:v>0</x:v>
      </x:c>
      <x:c r="M856" s="13" t="str">
        <x:v>Pago</x:v>
      </x:c>
      <x:c r="N856" s="13" t="str">
        <x:v>Sem cobrança</x:v>
      </x:c>
      <x:c r="O856" s="13" t="str">
        <x:v>Pico do descontrole</x:v>
      </x:c>
      <x:c r="P856" s="17" t="n">
        <x:f>IF(D856="",0,J856-K856+L856)</x:f>
        <x:v>14616.61</x:v>
      </x:c>
      <x:c r="Q856" s="17" t="n">
        <x:f>MAX(J856-P856-K856,0)</x:f>
        <x:v>0</x:v>
      </x:c>
      <x:c r="R856" s="13" t="n">
        <x:f>IF(D856="",MAX(TODAY()-C856,0),MAX(D856-C856,0))</x:f>
        <x:v>0</x:v>
      </x:c>
      <x:c r="S856" s="13" t="str">
        <x:f>IF(R856=0,"Em dia",IF(R856&lt;=15,"1-15 dias",IF(R856&lt;=30,"16-30 dias",IF(R856&lt;=60,"31-60 dias","Acima de 60 dias"))))</x:f>
        <x:v>Em dia</x:v>
      </x:c>
    </x:row>
    <x:row r="857">
      <x:c r="A857" s="13" t="str">
        <x:v>REC-000856</x:v>
      </x:c>
      <x:c r="B857" s="23" t="n">
        <x:v>45729</x:v>
      </x:c>
      <x:c r="C857" s="23" t="n">
        <x:v>45744</x:v>
      </x:c>
      <x:c r="D857" s="23" t="n">
        <x:v>45744</x:v>
      </x:c>
      <x:c r="E857" s="13" t="str">
        <x:v>VAL-025</x:v>
      </x:c>
      <x:c r="F857" s="13" t="str">
        <x:v>Bem-Estar Terapias</x:v>
      </x:c>
      <x:c r="G857" s="13" t="str">
        <x:v>Clínicas e Saúde</x:v>
      </x:c>
      <x:c r="H857" s="13" t="str">
        <x:v>Baixo</x:v>
      </x:c>
      <x:c r="I857" s="13" t="str">
        <x:v>Essencial</x:v>
      </x:c>
      <x:c r="J857" s="17" t="n">
        <x:v>22139.8</x:v>
      </x:c>
      <x:c r="K857" s="17" t="n">
        <x:v>0</x:v>
      </x:c>
      <x:c r="L857" s="17" t="n">
        <x:v>0</x:v>
      </x:c>
      <x:c r="M857" s="13" t="str">
        <x:v>Pago</x:v>
      </x:c>
      <x:c r="N857" s="13" t="str">
        <x:v>Sem cobrança</x:v>
      </x:c>
      <x:c r="O857" s="13" t="str">
        <x:v>Pico do descontrole</x:v>
      </x:c>
      <x:c r="P857" s="17" t="n">
        <x:f>IF(D857="",0,J857-K857+L857)</x:f>
        <x:v>22139.8</x:v>
      </x:c>
      <x:c r="Q857" s="17" t="n">
        <x:f>MAX(J857-P857-K857,0)</x:f>
        <x:v>0</x:v>
      </x:c>
      <x:c r="R857" s="13" t="n">
        <x:f>IF(D857="",MAX(TODAY()-C857,0),MAX(D857-C857,0))</x:f>
        <x:v>0</x:v>
      </x:c>
      <x:c r="S857" s="13" t="str">
        <x:f>IF(R857=0,"Em dia",IF(R857&lt;=15,"1-15 dias",IF(R857&lt;=30,"16-30 dias",IF(R857&lt;=60,"31-60 dias","Acima de 60 dias"))))</x:f>
        <x:v>Em dia</x:v>
      </x:c>
    </x:row>
    <x:row r="858">
      <x:c r="A858" s="13" t="str">
        <x:v>REC-000857</x:v>
      </x:c>
      <x:c r="B858" s="23" t="n">
        <x:v>45731</x:v>
      </x:c>
      <x:c r="C858" s="23" t="n">
        <x:v>45752</x:v>
      </x:c>
      <x:c r="D858" s="23" t="n">
        <x:v>45749</x:v>
      </x:c>
      <x:c r="E858" s="13" t="str">
        <x:v>VAL-006</x:v>
      </x:c>
      <x:c r="F858" s="13" t="str">
        <x:v>Instituto Saber Mais</x:v>
      </x:c>
      <x:c r="G858" s="13" t="str">
        <x:v>Educação</x:v>
      </x:c>
      <x:c r="H858" s="13" t="str">
        <x:v>Médio</x:v>
      </x:c>
      <x:c r="I858" s="13" t="str">
        <x:v>Gestão</x:v>
      </x:c>
      <x:c r="J858" s="17" t="n">
        <x:v>12921.56</x:v>
      </x:c>
      <x:c r="K858" s="17" t="n">
        <x:v>0</x:v>
      </x:c>
      <x:c r="L858" s="17" t="n">
        <x:v>0</x:v>
      </x:c>
      <x:c r="M858" s="13" t="str">
        <x:v>Pago</x:v>
      </x:c>
      <x:c r="N858" s="13" t="str">
        <x:v>Sem cobrança</x:v>
      </x:c>
      <x:c r="O858" s="13" t="str">
        <x:v>Pico do descontrole</x:v>
      </x:c>
      <x:c r="P858" s="17" t="n">
        <x:f>IF(D858="",0,J858-K858+L858)</x:f>
        <x:v>12921.56</x:v>
      </x:c>
      <x:c r="Q858" s="17" t="n">
        <x:f>MAX(J858-P858-K858,0)</x:f>
        <x:v>0</x:v>
      </x:c>
      <x:c r="R858" s="13" t="n">
        <x:f>IF(D858="",MAX(TODAY()-C858,0),MAX(D858-C858,0))</x:f>
        <x:v>0</x:v>
      </x:c>
      <x:c r="S858" s="13" t="str">
        <x:f>IF(R858=0,"Em dia",IF(R858&lt;=15,"1-15 dias",IF(R858&lt;=30,"16-30 dias",IF(R858&lt;=60,"31-60 dias","Acima de 60 dias"))))</x:f>
        <x:v>Em dia</x:v>
      </x:c>
    </x:row>
    <x:row r="859">
      <x:c r="A859" s="13" t="str">
        <x:v>REC-000858</x:v>
      </x:c>
      <x:c r="B859" s="23" t="n">
        <x:v>45736</x:v>
      </x:c>
      <x:c r="C859" s="23" t="n">
        <x:v>45757</x:v>
      </x:c>
      <x:c r="D859" s="23" t="n">
        <x:v>45791</x:v>
      </x:c>
      <x:c r="E859" s="13" t="str">
        <x:v>VAL-026</x:v>
      </x:c>
      <x:c r="F859" s="13" t="str">
        <x:v>Ribeiro Arquitetura</x:v>
      </x:c>
      <x:c r="G859" s="13" t="str">
        <x:v>Serviços Profissionais</x:v>
      </x:c>
      <x:c r="H859" s="13" t="str">
        <x:v>Baixo</x:v>
      </x:c>
      <x:c r="I859" s="13" t="str">
        <x:v>Gestão</x:v>
      </x:c>
      <x:c r="J859" s="17" t="n">
        <x:v>26323.93</x:v>
      </x:c>
      <x:c r="K859" s="17" t="n">
        <x:v>0</x:v>
      </x:c>
      <x:c r="L859" s="17" t="n">
        <x:v>581.76</x:v>
      </x:c>
      <x:c r="M859" s="13" t="str">
        <x:v>Pago com atraso</x:v>
      </x:c>
      <x:c r="N859" s="13" t="str">
        <x:v>WhatsApp</x:v>
      </x:c>
      <x:c r="O859" s="13" t="str">
        <x:v>Pico do descontrole</x:v>
      </x:c>
      <x:c r="P859" s="17" t="n">
        <x:f>IF(D859="",0,J859-K859+L859)</x:f>
        <x:v>26905.69</x:v>
      </x:c>
      <x:c r="Q859" s="17" t="n">
        <x:f>MAX(J859-P859-K859,0)</x:f>
        <x:v>0</x:v>
      </x:c>
      <x:c r="R859" s="13" t="n">
        <x:f>IF(D859="",MAX(TODAY()-C859,0),MAX(D859-C859,0))</x:f>
        <x:v>34</x:v>
      </x:c>
      <x:c r="S859" s="13" t="str">
        <x:f>IF(R859=0,"Em dia",IF(R859&lt;=15,"1-15 dias",IF(R859&lt;=30,"16-30 dias",IF(R859&lt;=60,"31-60 dias","Acima de 60 dias"))))</x:f>
        <x:v>31-60 dias</x:v>
      </x:c>
    </x:row>
    <x:row r="860">
      <x:c r="A860" s="13" t="str">
        <x:v>REC-000859</x:v>
      </x:c>
      <x:c r="B860" s="23" t="n">
        <x:v>45728</x:v>
      </x:c>
      <x:c r="C860" s="23" t="n">
        <x:v>45735</x:v>
      </x:c>
      <x:c r="D860" s="23" t="n">
        <x:v>45733</x:v>
      </x:c>
      <x:c r="E860" s="13" t="str">
        <x:v>VAL-007</x:v>
      </x:c>
      <x:c r="F860" s="13" t="str">
        <x:v>Loja Prisma Online</x:v>
      </x:c>
      <x:c r="G860" s="13" t="str">
        <x:v>E-commerce</x:v>
      </x:c>
      <x:c r="H860" s="13" t="str">
        <x:v>Médio</x:v>
      </x:c>
      <x:c r="I860" s="13" t="str">
        <x:v>Performance</x:v>
      </x:c>
      <x:c r="J860" s="17" t="n">
        <x:v>2433.28</x:v>
      </x:c>
      <x:c r="K860" s="17" t="n">
        <x:v>0</x:v>
      </x:c>
      <x:c r="L860" s="17" t="n">
        <x:v>0</x:v>
      </x:c>
      <x:c r="M860" s="13" t="str">
        <x:v>Pago</x:v>
      </x:c>
      <x:c r="N860" s="13" t="str">
        <x:v>Sem cobrança</x:v>
      </x:c>
      <x:c r="O860" s="13" t="str">
        <x:v>Pico do descontrole</x:v>
      </x:c>
      <x:c r="P860" s="17" t="n">
        <x:f>IF(D860="",0,J860-K860+L860)</x:f>
        <x:v>2433.28</x:v>
      </x:c>
      <x:c r="Q860" s="17" t="n">
        <x:f>MAX(J860-P860-K860,0)</x:f>
        <x:v>0</x:v>
      </x:c>
      <x:c r="R860" s="13" t="n">
        <x:f>IF(D860="",MAX(TODAY()-C860,0),MAX(D860-C860,0))</x:f>
        <x:v>0</x:v>
      </x:c>
      <x:c r="S860" s="13" t="str">
        <x:f>IF(R860=0,"Em dia",IF(R860&lt;=15,"1-15 dias",IF(R860&lt;=30,"16-30 dias",IF(R860&lt;=60,"31-60 dias","Acima de 60 dias"))))</x:f>
        <x:v>Em dia</x:v>
      </x:c>
    </x:row>
    <x:row r="861">
      <x:c r="A861" s="13" t="str">
        <x:v>REC-000860</x:v>
      </x:c>
      <x:c r="B861" s="23" t="n">
        <x:v>45728</x:v>
      </x:c>
      <x:c r="C861" s="23" t="n">
        <x:v>45749</x:v>
      </x:c>
      <x:c r="D861" s="23" t="n">
        <x:v>45746</x:v>
      </x:c>
      <x:c r="E861" s="13" t="str">
        <x:v>VAL-028</x:v>
      </x:c>
      <x:c r="F861" s="13" t="str">
        <x:v>Pixel Norte</x:v>
      </x:c>
      <x:c r="G861" s="13" t="str">
        <x:v>Tecnologia</x:v>
      </x:c>
      <x:c r="H861" s="13" t="str">
        <x:v>Alto</x:v>
      </x:c>
      <x:c r="I861" s="13" t="str">
        <x:v>Enterprise</x:v>
      </x:c>
      <x:c r="J861" s="17" t="n">
        <x:v>20038.04</x:v>
      </x:c>
      <x:c r="K861" s="17" t="n">
        <x:v>0</x:v>
      </x:c>
      <x:c r="L861" s="17" t="n">
        <x:v>0</x:v>
      </x:c>
      <x:c r="M861" s="13" t="str">
        <x:v>Pago</x:v>
      </x:c>
      <x:c r="N861" s="13" t="str">
        <x:v>Sem cobrança</x:v>
      </x:c>
      <x:c r="O861" s="13" t="str">
        <x:v>Pico do descontrole</x:v>
      </x:c>
      <x:c r="P861" s="17" t="n">
        <x:f>IF(D861="",0,J861-K861+L861)</x:f>
        <x:v>20038.04</x:v>
      </x:c>
      <x:c r="Q861" s="17" t="n">
        <x:f>MAX(J861-P861-K861,0)</x:f>
        <x:v>0</x:v>
      </x:c>
      <x:c r="R861" s="13" t="n">
        <x:f>IF(D861="",MAX(TODAY()-C861,0),MAX(D861-C861,0))</x:f>
        <x:v>0</x:v>
      </x:c>
      <x:c r="S861" s="13" t="str">
        <x:f>IF(R861=0,"Em dia",IF(R861&lt;=15,"1-15 dias",IF(R861&lt;=30,"16-30 dias",IF(R861&lt;=60,"31-60 dias","Acima de 60 dias"))))</x:f>
        <x:v>Em dia</x:v>
      </x:c>
    </x:row>
    <x:row r="862">
      <x:c r="A862" s="13" t="str">
        <x:v>REC-000861</x:v>
      </x:c>
      <x:c r="B862" s="23" t="n">
        <x:v>45720</x:v>
      </x:c>
      <x:c r="C862" s="23" t="n">
        <x:v>45727</x:v>
      </x:c>
      <x:c r="D862" s="23" t="n">
        <x:v>45750</x:v>
      </x:c>
      <x:c r="E862" s="13" t="str">
        <x:v>VAL-022</x:v>
      </x:c>
      <x:c r="F862" s="13" t="str">
        <x:v>Academia Evoluir</x:v>
      </x:c>
      <x:c r="G862" s="13" t="str">
        <x:v>Educação</x:v>
      </x:c>
      <x:c r="H862" s="13" t="str">
        <x:v>Alto</x:v>
      </x:c>
      <x:c r="I862" s="13" t="str">
        <x:v>Gestão</x:v>
      </x:c>
      <x:c r="J862" s="17" t="n">
        <x:v>5929.94</x:v>
      </x:c>
      <x:c r="K862" s="17" t="n">
        <x:v>0</x:v>
      </x:c>
      <x:c r="L862" s="17" t="n">
        <x:v>88.65</x:v>
      </x:c>
      <x:c r="M862" s="13" t="str">
        <x:v>Pago com atraso</x:v>
      </x:c>
      <x:c r="N862" s="13" t="str">
        <x:v>E-mail</x:v>
      </x:c>
      <x:c r="O862" s="13" t="str">
        <x:v>Pico do descontrole</x:v>
      </x:c>
      <x:c r="P862" s="17" t="n">
        <x:f>IF(D862="",0,J862-K862+L862)</x:f>
        <x:v>6018.589999999999</x:v>
      </x:c>
      <x:c r="Q862" s="17" t="n">
        <x:f>MAX(J862-P862-K862,0)</x:f>
        <x:v>0</x:v>
      </x:c>
      <x:c r="R862" s="13" t="n">
        <x:f>IF(D862="",MAX(TODAY()-C862,0),MAX(D862-C862,0))</x:f>
        <x:v>23</x:v>
      </x:c>
      <x:c r="S862" s="13" t="str">
        <x:f>IF(R862=0,"Em dia",IF(R862&lt;=15,"1-15 dias",IF(R862&lt;=30,"16-30 dias",IF(R862&lt;=60,"31-60 dias","Acima de 60 dias"))))</x:f>
        <x:v>16-30 dias</x:v>
      </x:c>
    </x:row>
    <x:row r="863">
      <x:c r="A863" s="13" t="str">
        <x:v>REC-000862</x:v>
      </x:c>
      <x:c r="B863" s="23" t="n">
        <x:v>45733</x:v>
      </x:c>
      <x:c r="C863" s="23" t="n">
        <x:v>45740</x:v>
      </x:c>
      <x:c r="D863" s="23" t="n">
        <x:v>45738</x:v>
      </x:c>
      <x:c r="E863" s="13" t="str">
        <x:v>VAL-029</x:v>
      </x:c>
      <x:c r="F863" s="13" t="str">
        <x:v>Planobra Serviços</x:v>
      </x:c>
      <x:c r="G863" s="13" t="str">
        <x:v>Construção</x:v>
      </x:c>
      <x:c r="H863" s="13" t="str">
        <x:v>Baixo</x:v>
      </x:c>
      <x:c r="I863" s="13" t="str">
        <x:v>Essencial</x:v>
      </x:c>
      <x:c r="J863" s="17" t="n">
        <x:v>25760.14</x:v>
      </x:c>
      <x:c r="K863" s="17" t="n">
        <x:v>0</x:v>
      </x:c>
      <x:c r="L863" s="17" t="n">
        <x:v>0</x:v>
      </x:c>
      <x:c r="M863" s="13" t="str">
        <x:v>Pago</x:v>
      </x:c>
      <x:c r="N863" s="13" t="str">
        <x:v>Sem cobrança</x:v>
      </x:c>
      <x:c r="O863" s="13" t="str">
        <x:v>Pico do descontrole</x:v>
      </x:c>
      <x:c r="P863" s="17" t="n">
        <x:f>IF(D863="",0,J863-K863+L863)</x:f>
        <x:v>25760.14</x:v>
      </x:c>
      <x:c r="Q863" s="17" t="n">
        <x:f>MAX(J863-P863-K863,0)</x:f>
        <x:v>0</x:v>
      </x:c>
      <x:c r="R863" s="13" t="n">
        <x:f>IF(D863="",MAX(TODAY()-C863,0),MAX(D863-C863,0))</x:f>
        <x:v>0</x:v>
      </x:c>
      <x:c r="S863" s="13" t="str">
        <x:f>IF(R863=0,"Em dia",IF(R863&lt;=15,"1-15 dias",IF(R863&lt;=30,"16-30 dias",IF(R863&lt;=60,"31-60 dias","Acima de 60 dias"))))</x:f>
        <x:v>Em dia</x:v>
      </x:c>
    </x:row>
    <x:row r="864">
      <x:c r="A864" s="13" t="str">
        <x:v>REC-000863</x:v>
      </x:c>
      <x:c r="B864" s="23" t="n">
        <x:v>45730</x:v>
      </x:c>
      <x:c r="C864" s="23" t="n">
        <x:v>45745</x:v>
      </x:c>
      <x:c r="D864" s="23" t="n">
        <x:v>45743</x:v>
      </x:c>
      <x:c r="E864" s="13" t="str">
        <x:v>VAL-001</x:v>
      </x:c>
      <x:c r="F864" s="13" t="str">
        <x:v>Clínica Horizonte</x:v>
      </x:c>
      <x:c r="G864" s="13" t="str">
        <x:v>Clínicas e Saúde</x:v>
      </x:c>
      <x:c r="H864" s="13" t="str">
        <x:v>Baixo</x:v>
      </x:c>
      <x:c r="I864" s="13" t="str">
        <x:v>Essencial</x:v>
      </x:c>
      <x:c r="J864" s="17" t="n">
        <x:v>8965.73</x:v>
      </x:c>
      <x:c r="K864" s="17" t="n">
        <x:v>0</x:v>
      </x:c>
      <x:c r="L864" s="17" t="n">
        <x:v>0</x:v>
      </x:c>
      <x:c r="M864" s="13" t="str">
        <x:v>Pago</x:v>
      </x:c>
      <x:c r="N864" s="13" t="str">
        <x:v>Sem cobrança</x:v>
      </x:c>
      <x:c r="O864" s="13" t="str">
        <x:v>Pico do descontrole</x:v>
      </x:c>
      <x:c r="P864" s="17" t="n">
        <x:f>IF(D864="",0,J864-K864+L864)</x:f>
        <x:v>8965.73</x:v>
      </x:c>
      <x:c r="Q864" s="17" t="n">
        <x:f>MAX(J864-P864-K864,0)</x:f>
        <x:v>0</x:v>
      </x:c>
      <x:c r="R864" s="13" t="n">
        <x:f>IF(D864="",MAX(TODAY()-C864,0),MAX(D864-C864,0))</x:f>
        <x:v>0</x:v>
      </x:c>
      <x:c r="S864" s="13" t="str">
        <x:f>IF(R864=0,"Em dia",IF(R864&lt;=15,"1-15 dias",IF(R864&lt;=30,"16-30 dias",IF(R864&lt;=60,"31-60 dias","Acima de 60 dias"))))</x:f>
        <x:v>Em dia</x:v>
      </x:c>
    </x:row>
    <x:row r="865">
      <x:c r="A865" s="13" t="str">
        <x:v>REC-000864</x:v>
      </x:c>
      <x:c r="B865" s="23" t="n">
        <x:v>45726</x:v>
      </x:c>
      <x:c r="C865" s="23" t="n">
        <x:v>45756</x:v>
      </x:c>
      <x:c r="D865" s="23" t="n">
        <x:v>45754</x:v>
      </x:c>
      <x:c r="E865" s="13" t="str">
        <x:v>VAL-005</x:v>
      </x:c>
      <x:c r="F865" s="13" t="str">
        <x:v>Construtora Alameda</x:v>
      </x:c>
      <x:c r="G865" s="13" t="str">
        <x:v>Construção</x:v>
      </x:c>
      <x:c r="H865" s="13" t="str">
        <x:v>Médio</x:v>
      </x:c>
      <x:c r="I865" s="13" t="str">
        <x:v>Essencial</x:v>
      </x:c>
      <x:c r="J865" s="17" t="n">
        <x:v>3138.45</x:v>
      </x:c>
      <x:c r="K865" s="17" t="n">
        <x:v>0</x:v>
      </x:c>
      <x:c r="L865" s="17" t="n">
        <x:v>0</x:v>
      </x:c>
      <x:c r="M865" s="13" t="str">
        <x:v>Pago</x:v>
      </x:c>
      <x:c r="N865" s="13" t="str">
        <x:v>Sem cobrança</x:v>
      </x:c>
      <x:c r="O865" s="13" t="str">
        <x:v>Pico do descontrole</x:v>
      </x:c>
      <x:c r="P865" s="17" t="n">
        <x:f>IF(D865="",0,J865-K865+L865)</x:f>
        <x:v>3138.45</x:v>
      </x:c>
      <x:c r="Q865" s="17" t="n">
        <x:f>MAX(J865-P865-K865,0)</x:f>
        <x:v>0</x:v>
      </x:c>
      <x:c r="R865" s="13" t="n">
        <x:f>IF(D865="",MAX(TODAY()-C865,0),MAX(D865-C865,0))</x:f>
        <x:v>0</x:v>
      </x:c>
      <x:c r="S865" s="13" t="str">
        <x:f>IF(R865=0,"Em dia",IF(R865&lt;=15,"1-15 dias",IF(R865&lt;=30,"16-30 dias",IF(R865&lt;=60,"31-60 dias","Acima de 60 dias"))))</x:f>
        <x:v>Em dia</x:v>
      </x:c>
    </x:row>
    <x:row r="866">
      <x:c r="A866" s="13" t="str">
        <x:v>REC-000865</x:v>
      </x:c>
      <x:c r="B866" s="23" t="n">
        <x:v>45730</x:v>
      </x:c>
      <x:c r="C866" s="23" t="n">
        <x:v>45737</x:v>
      </x:c>
      <x:c r="D866" s="23" t="n">
        <x:v>45734</x:v>
      </x:c>
      <x:c r="E866" s="13" t="str">
        <x:v>VAL-002</x:v>
      </x:c>
      <x:c r="F866" s="13" t="str">
        <x:v>Mendes &amp; Prado Consultoria</x:v>
      </x:c>
      <x:c r="G866" s="13" t="str">
        <x:v>Serviços Profissionais</x:v>
      </x:c>
      <x:c r="H866" s="13" t="str">
        <x:v>Baixo</x:v>
      </x:c>
      <x:c r="I866" s="13" t="str">
        <x:v>Gestão</x:v>
      </x:c>
      <x:c r="J866" s="17" t="n">
        <x:v>7355.87</x:v>
      </x:c>
      <x:c r="K866" s="17" t="n">
        <x:v>0</x:v>
      </x:c>
      <x:c r="L866" s="17" t="n">
        <x:v>0</x:v>
      </x:c>
      <x:c r="M866" s="13" t="str">
        <x:v>Pago</x:v>
      </x:c>
      <x:c r="N866" s="13" t="str">
        <x:v>Sem cobrança</x:v>
      </x:c>
      <x:c r="O866" s="13" t="str">
        <x:v>Pico do descontrole</x:v>
      </x:c>
      <x:c r="P866" s="17" t="n">
        <x:f>IF(D866="",0,J866-K866+L866)</x:f>
        <x:v>7355.87</x:v>
      </x:c>
      <x:c r="Q866" s="17" t="n">
        <x:f>MAX(J866-P866-K866,0)</x:f>
        <x:v>0</x:v>
      </x:c>
      <x:c r="R866" s="13" t="n">
        <x:f>IF(D866="",MAX(TODAY()-C866,0),MAX(D866-C866,0))</x:f>
        <x:v>0</x:v>
      </x:c>
      <x:c r="S866" s="13" t="str">
        <x:f>IF(R866=0,"Em dia",IF(R866&lt;=15,"1-15 dias",IF(R866&lt;=30,"16-30 dias",IF(R866&lt;=60,"31-60 dias","Acima de 60 dias"))))</x:f>
        <x:v>Em dia</x:v>
      </x:c>
    </x:row>
    <x:row r="867">
      <x:c r="A867" s="13" t="str">
        <x:v>REC-000866</x:v>
      </x:c>
      <x:c r="B867" s="23" t="n">
        <x:v>45721</x:v>
      </x:c>
      <x:c r="C867" s="23" t="n">
        <x:v>45736</x:v>
      </x:c>
      <x:c r="D867" s="23" t="n">
        <x:v>45733</x:v>
      </x:c>
      <x:c r="E867" s="13" t="str">
        <x:v>VAL-003</x:v>
      </x:c>
      <x:c r="F867" s="13" t="str">
        <x:v>Casa Nova Varejo</x:v>
      </x:c>
      <x:c r="G867" s="13" t="str">
        <x:v>Varejo</x:v>
      </x:c>
      <x:c r="H867" s="13" t="str">
        <x:v>Baixo</x:v>
      </x:c>
      <x:c r="I867" s="13" t="str">
        <x:v>Performance</x:v>
      </x:c>
      <x:c r="J867" s="17" t="n">
        <x:v>7920.59</x:v>
      </x:c>
      <x:c r="K867" s="17" t="n">
        <x:v>0</x:v>
      </x:c>
      <x:c r="L867" s="17" t="n">
        <x:v>0</x:v>
      </x:c>
      <x:c r="M867" s="13" t="str">
        <x:v>Pago</x:v>
      </x:c>
      <x:c r="N867" s="13" t="str">
        <x:v>Sem cobrança</x:v>
      </x:c>
      <x:c r="O867" s="13" t="str">
        <x:v>Pico do descontrole</x:v>
      </x:c>
      <x:c r="P867" s="17" t="n">
        <x:f>IF(D867="",0,J867-K867+L867)</x:f>
        <x:v>7920.59</x:v>
      </x:c>
      <x:c r="Q867" s="17" t="n">
        <x:f>MAX(J867-P867-K867,0)</x:f>
        <x:v>0</x:v>
      </x:c>
      <x:c r="R867" s="13" t="n">
        <x:f>IF(D867="",MAX(TODAY()-C867,0),MAX(D867-C867,0))</x:f>
        <x:v>0</x:v>
      </x:c>
      <x:c r="S867" s="13" t="str">
        <x:f>IF(R867=0,"Em dia",IF(R867&lt;=15,"1-15 dias",IF(R867&lt;=30,"16-30 dias",IF(R867&lt;=60,"31-60 dias","Acima de 60 dias"))))</x:f>
        <x:v>Em dia</x:v>
      </x:c>
    </x:row>
    <x:row r="868">
      <x:c r="A868" s="13" t="str">
        <x:v>REC-000867</x:v>
      </x:c>
      <x:c r="B868" s="23" t="n">
        <x:v>45720</x:v>
      </x:c>
      <x:c r="C868" s="23" t="n">
        <x:v>45741</x:v>
      </x:c>
      <x:c r="D868" s="23" t="n">
        <x:v>45737</x:v>
      </x:c>
      <x:c r="E868" s="13" t="str">
        <x:v>VAL-024</x:v>
      </x:c>
      <x:c r="F868" s="13" t="str">
        <x:v>NovaForma Móveis</x:v>
      </x:c>
      <x:c r="G868" s="13" t="str">
        <x:v>Indústria Leve</x:v>
      </x:c>
      <x:c r="H868" s="13" t="str">
        <x:v>Baixo</x:v>
      </x:c>
      <x:c r="I868" s="13" t="str">
        <x:v>Enterprise</x:v>
      </x:c>
      <x:c r="J868" s="17" t="n">
        <x:v>24565.11</x:v>
      </x:c>
      <x:c r="K868" s="17" t="n">
        <x:v>0</x:v>
      </x:c>
      <x:c r="L868" s="17" t="n">
        <x:v>0</x:v>
      </x:c>
      <x:c r="M868" s="13" t="str">
        <x:v>Pago</x:v>
      </x:c>
      <x:c r="N868" s="13" t="str">
        <x:v>Sem cobrança</x:v>
      </x:c>
      <x:c r="O868" s="13" t="str">
        <x:v>Pico do descontrole</x:v>
      </x:c>
      <x:c r="P868" s="17" t="n">
        <x:f>IF(D868="",0,J868-K868+L868)</x:f>
        <x:v>24565.11</x:v>
      </x:c>
      <x:c r="Q868" s="17" t="n">
        <x:f>MAX(J868-P868-K868,0)</x:f>
        <x:v>0</x:v>
      </x:c>
      <x:c r="R868" s="13" t="n">
        <x:f>IF(D868="",MAX(TODAY()-C868,0),MAX(D868-C868,0))</x:f>
        <x:v>0</x:v>
      </x:c>
      <x:c r="S868" s="13" t="str">
        <x:f>IF(R868=0,"Em dia",IF(R868&lt;=15,"1-15 dias",IF(R868&lt;=30,"16-30 dias",IF(R868&lt;=60,"31-60 dias","Acima de 60 dias"))))</x:f>
        <x:v>Em dia</x:v>
      </x:c>
    </x:row>
    <x:row r="869">
      <x:c r="A869" s="13" t="str">
        <x:v>REC-000868</x:v>
      </x:c>
      <x:c r="B869" s="23" t="n">
        <x:v>45718</x:v>
      </x:c>
      <x:c r="C869" s="23" t="n">
        <x:v>45739</x:v>
      </x:c>
      <x:c r="D869" s="23" t="n">
        <x:v>45736</x:v>
      </x:c>
      <x:c r="E869" s="13" t="str">
        <x:v>VAL-014</x:v>
      </x:c>
      <x:c r="F869" s="13" t="str">
        <x:v>Colégio Caminhos</x:v>
      </x:c>
      <x:c r="G869" s="13" t="str">
        <x:v>Educação</x:v>
      </x:c>
      <x:c r="H869" s="13" t="str">
        <x:v>Médio</x:v>
      </x:c>
      <x:c r="I869" s="13" t="str">
        <x:v>Gestão</x:v>
      </x:c>
      <x:c r="J869" s="17" t="n">
        <x:v>10432.82</x:v>
      </x:c>
      <x:c r="K869" s="17" t="n">
        <x:v>0</x:v>
      </x:c>
      <x:c r="L869" s="17" t="n">
        <x:v>0</x:v>
      </x:c>
      <x:c r="M869" s="13" t="str">
        <x:v>Pago</x:v>
      </x:c>
      <x:c r="N869" s="13" t="str">
        <x:v>Sem cobrança</x:v>
      </x:c>
      <x:c r="O869" s="13" t="str">
        <x:v>Pico do descontrole</x:v>
      </x:c>
      <x:c r="P869" s="17" t="n">
        <x:f>IF(D869="",0,J869-K869+L869)</x:f>
        <x:v>10432.82</x:v>
      </x:c>
      <x:c r="Q869" s="17" t="n">
        <x:f>MAX(J869-P869-K869,0)</x:f>
        <x:v>0</x:v>
      </x:c>
      <x:c r="R869" s="13" t="n">
        <x:f>IF(D869="",MAX(TODAY()-C869,0),MAX(D869-C869,0))</x:f>
        <x:v>0</x:v>
      </x:c>
      <x:c r="S869" s="13" t="str">
        <x:f>IF(R869=0,"Em dia",IF(R869&lt;=15,"1-15 dias",IF(R869&lt;=30,"16-30 dias",IF(R869&lt;=60,"31-60 dias","Acima de 60 dias"))))</x:f>
        <x:v>Em dia</x:v>
      </x:c>
    </x:row>
    <x:row r="870">
      <x:c r="A870" s="13" t="str">
        <x:v>REC-000869</x:v>
      </x:c>
      <x:c r="B870" s="23" t="n">
        <x:v>45722</x:v>
      </x:c>
      <x:c r="C870" s="23" t="n">
        <x:v>45729</x:v>
      </x:c>
      <x:c r="D870" s="23" t="n">
        <x:v>45727</x:v>
      </x:c>
      <x:c r="E870" s="13" t="str">
        <x:v>VAL-014</x:v>
      </x:c>
      <x:c r="F870" s="13" t="str">
        <x:v>Colégio Caminhos</x:v>
      </x:c>
      <x:c r="G870" s="13" t="str">
        <x:v>Educação</x:v>
      </x:c>
      <x:c r="H870" s="13" t="str">
        <x:v>Médio</x:v>
      </x:c>
      <x:c r="I870" s="13" t="str">
        <x:v>Gestão</x:v>
      </x:c>
      <x:c r="J870" s="17" t="n">
        <x:v>8587.1</x:v>
      </x:c>
      <x:c r="K870" s="17" t="n">
        <x:v>0</x:v>
      </x:c>
      <x:c r="L870" s="17" t="n">
        <x:v>0</x:v>
      </x:c>
      <x:c r="M870" s="13" t="str">
        <x:v>Pago</x:v>
      </x:c>
      <x:c r="N870" s="13" t="str">
        <x:v>Sem cobrança</x:v>
      </x:c>
      <x:c r="O870" s="13" t="str">
        <x:v>Pico do descontrole</x:v>
      </x:c>
      <x:c r="P870" s="17" t="n">
        <x:f>IF(D870="",0,J870-K870+L870)</x:f>
        <x:v>8587.1</x:v>
      </x:c>
      <x:c r="Q870" s="17" t="n">
        <x:f>MAX(J870-P870-K870,0)</x:f>
        <x:v>0</x:v>
      </x:c>
      <x:c r="R870" s="13" t="n">
        <x:f>IF(D870="",MAX(TODAY()-C870,0),MAX(D870-C870,0))</x:f>
        <x:v>0</x:v>
      </x:c>
      <x:c r="S870" s="13" t="str">
        <x:f>IF(R870=0,"Em dia",IF(R870&lt;=15,"1-15 dias",IF(R870&lt;=30,"16-30 dias",IF(R870&lt;=60,"31-60 dias","Acima de 60 dias"))))</x:f>
        <x:v>Em dia</x:v>
      </x:c>
    </x:row>
    <x:row r="871">
      <x:c r="A871" s="13" t="str">
        <x:v>REC-000870</x:v>
      </x:c>
      <x:c r="B871" s="23" t="n">
        <x:v>45721</x:v>
      </x:c>
      <x:c r="C871" s="23" t="n">
        <x:v>45749</x:v>
      </x:c>
      <x:c r="D871" s="23" t="n">
        <x:v>45776</x:v>
      </x:c>
      <x:c r="E871" s="13" t="str">
        <x:v>VAL-006</x:v>
      </x:c>
      <x:c r="F871" s="13" t="str">
        <x:v>Instituto Saber Mais</x:v>
      </x:c>
      <x:c r="G871" s="13" t="str">
        <x:v>Educação</x:v>
      </x:c>
      <x:c r="H871" s="13" t="str">
        <x:v>Médio</x:v>
      </x:c>
      <x:c r="I871" s="13" t="str">
        <x:v>Gestão</x:v>
      </x:c>
      <x:c r="J871" s="17" t="n">
        <x:v>2212</x:v>
      </x:c>
      <x:c r="K871" s="17" t="n">
        <x:v>0</x:v>
      </x:c>
      <x:c r="L871" s="17" t="n">
        <x:v>38.82</x:v>
      </x:c>
      <x:c r="M871" s="13" t="str">
        <x:v>Pago com atraso</x:v>
      </x:c>
      <x:c r="N871" s="13" t="str">
        <x:v>Régua automática</x:v>
      </x:c>
      <x:c r="O871" s="13" t="str">
        <x:v>Pico do descontrole</x:v>
      </x:c>
      <x:c r="P871" s="17" t="n">
        <x:f>IF(D871="",0,J871-K871+L871)</x:f>
        <x:v>2250.82</x:v>
      </x:c>
      <x:c r="Q871" s="17" t="n">
        <x:f>MAX(J871-P871-K871,0)</x:f>
        <x:v>0</x:v>
      </x:c>
      <x:c r="R871" s="13" t="n">
        <x:f>IF(D871="",MAX(TODAY()-C871,0),MAX(D871-C871,0))</x:f>
        <x:v>27</x:v>
      </x:c>
      <x:c r="S871" s="13" t="str">
        <x:f>IF(R871=0,"Em dia",IF(R871&lt;=15,"1-15 dias",IF(R871&lt;=30,"16-30 dias",IF(R871&lt;=60,"31-60 dias","Acima de 60 dias"))))</x:f>
        <x:v>16-30 dias</x:v>
      </x:c>
    </x:row>
    <x:row r="872">
      <x:c r="A872" s="13" t="str">
        <x:v>REC-000871</x:v>
      </x:c>
      <x:c r="B872" s="23" t="n">
        <x:v>45719</x:v>
      </x:c>
      <x:c r="C872" s="23" t="n">
        <x:v>45734</x:v>
      </x:c>
      <x:c r="D872" s="23" t="n">
        <x:v>45734</x:v>
      </x:c>
      <x:c r="E872" s="13" t="str">
        <x:v>VAL-030</x:v>
      </x:c>
      <x:c r="F872" s="13" t="str">
        <x:v>Mundo Kids Cursos</x:v>
      </x:c>
      <x:c r="G872" s="13" t="str">
        <x:v>Educação</x:v>
      </x:c>
      <x:c r="H872" s="13" t="str">
        <x:v>Alto</x:v>
      </x:c>
      <x:c r="I872" s="13" t="str">
        <x:v>Gestão</x:v>
      </x:c>
      <x:c r="J872" s="17" t="n">
        <x:v>5733.65</x:v>
      </x:c>
      <x:c r="K872" s="17" t="n">
        <x:v>0</x:v>
      </x:c>
      <x:c r="L872" s="17" t="n">
        <x:v>0</x:v>
      </x:c>
      <x:c r="M872" s="13" t="str">
        <x:v>Pago</x:v>
      </x:c>
      <x:c r="N872" s="13" t="str">
        <x:v>Sem cobrança</x:v>
      </x:c>
      <x:c r="O872" s="13" t="str">
        <x:v>Pico do descontrole</x:v>
      </x:c>
      <x:c r="P872" s="17" t="n">
        <x:f>IF(D872="",0,J872-K872+L872)</x:f>
        <x:v>5733.65</x:v>
      </x:c>
      <x:c r="Q872" s="17" t="n">
        <x:f>MAX(J872-P872-K872,0)</x:f>
        <x:v>0</x:v>
      </x:c>
      <x:c r="R872" s="13" t="n">
        <x:f>IF(D872="",MAX(TODAY()-C872,0),MAX(D872-C872,0))</x:f>
        <x:v>0</x:v>
      </x:c>
      <x:c r="S872" s="13" t="str">
        <x:f>IF(R872=0,"Em dia",IF(R872&lt;=15,"1-15 dias",IF(R872&lt;=30,"16-30 dias",IF(R872&lt;=60,"31-60 dias","Acima de 60 dias"))))</x:f>
        <x:v>Em dia</x:v>
      </x:c>
    </x:row>
    <x:row r="873">
      <x:c r="A873" s="13" t="str">
        <x:v>REC-000872</x:v>
      </x:c>
      <x:c r="B873" s="23" t="n">
        <x:v>45718</x:v>
      </x:c>
      <x:c r="C873" s="23" t="n">
        <x:v>45746</x:v>
      </x:c>
      <x:c r="D873" s="23" t="n">
        <x:v>45744</x:v>
      </x:c>
      <x:c r="E873" s="13" t="str">
        <x:v>VAL-029</x:v>
      </x:c>
      <x:c r="F873" s="13" t="str">
        <x:v>Planobra Serviços</x:v>
      </x:c>
      <x:c r="G873" s="13" t="str">
        <x:v>Construção</x:v>
      </x:c>
      <x:c r="H873" s="13" t="str">
        <x:v>Baixo</x:v>
      </x:c>
      <x:c r="I873" s="13" t="str">
        <x:v>Essencial</x:v>
      </x:c>
      <x:c r="J873" s="17" t="n">
        <x:v>20947.63</x:v>
      </x:c>
      <x:c r="K873" s="17" t="n">
        <x:v>0</x:v>
      </x:c>
      <x:c r="L873" s="17" t="n">
        <x:v>0</x:v>
      </x:c>
      <x:c r="M873" s="13" t="str">
        <x:v>Pago</x:v>
      </x:c>
      <x:c r="N873" s="13" t="str">
        <x:v>Sem cobrança</x:v>
      </x:c>
      <x:c r="O873" s="13" t="str">
        <x:v>Pico do descontrole</x:v>
      </x:c>
      <x:c r="P873" s="17" t="n">
        <x:f>IF(D873="",0,J873-K873+L873)</x:f>
        <x:v>20947.63</x:v>
      </x:c>
      <x:c r="Q873" s="17" t="n">
        <x:f>MAX(J873-P873-K873,0)</x:f>
        <x:v>0</x:v>
      </x:c>
      <x:c r="R873" s="13" t="n">
        <x:f>IF(D873="",MAX(TODAY()-C873,0),MAX(D873-C873,0))</x:f>
        <x:v>0</x:v>
      </x:c>
      <x:c r="S873" s="13" t="str">
        <x:f>IF(R873=0,"Em dia",IF(R873&lt;=15,"1-15 dias",IF(R873&lt;=30,"16-30 dias",IF(R873&lt;=60,"31-60 dias","Acima de 60 dias"))))</x:f>
        <x:v>Em dia</x:v>
      </x:c>
    </x:row>
    <x:row r="874">
      <x:c r="A874" s="13" t="str">
        <x:v>REC-000873</x:v>
      </x:c>
      <x:c r="B874" s="23" t="n">
        <x:v>45717</x:v>
      </x:c>
      <x:c r="C874" s="23" t="n">
        <x:v>45724</x:v>
      </x:c>
      <x:c r="D874" s="23" t="n">
        <x:v>45722</x:v>
      </x:c>
      <x:c r="E874" s="13" t="str">
        <x:v>VAL-023</x:v>
      </x:c>
      <x:c r="F874" s="13" t="str">
        <x:v>ShopMix Brasil</x:v>
      </x:c>
      <x:c r="G874" s="13" t="str">
        <x:v>E-commerce</x:v>
      </x:c>
      <x:c r="H874" s="13" t="str">
        <x:v>Baixo</x:v>
      </x:c>
      <x:c r="I874" s="13" t="str">
        <x:v>Performance</x:v>
      </x:c>
      <x:c r="J874" s="17" t="n">
        <x:v>3989.07</x:v>
      </x:c>
      <x:c r="K874" s="17" t="n">
        <x:v>0</x:v>
      </x:c>
      <x:c r="L874" s="17" t="n">
        <x:v>0</x:v>
      </x:c>
      <x:c r="M874" s="13" t="str">
        <x:v>Pago</x:v>
      </x:c>
      <x:c r="N874" s="13" t="str">
        <x:v>Sem cobrança</x:v>
      </x:c>
      <x:c r="O874" s="13" t="str">
        <x:v>Pico do descontrole</x:v>
      </x:c>
      <x:c r="P874" s="17" t="n">
        <x:f>IF(D874="",0,J874-K874+L874)</x:f>
        <x:v>3989.07</x:v>
      </x:c>
      <x:c r="Q874" s="17" t="n">
        <x:f>MAX(J874-P874-K874,0)</x:f>
        <x:v>0</x:v>
      </x:c>
      <x:c r="R874" s="13" t="n">
        <x:f>IF(D874="",MAX(TODAY()-C874,0),MAX(D874-C874,0))</x:f>
        <x:v>0</x:v>
      </x:c>
      <x:c r="S874" s="13" t="str">
        <x:f>IF(R874=0,"Em dia",IF(R874&lt;=15,"1-15 dias",IF(R874&lt;=30,"16-30 dias",IF(R874&lt;=60,"31-60 dias","Acima de 60 dias"))))</x:f>
        <x:v>Em dia</x:v>
      </x:c>
    </x:row>
    <x:row r="875">
      <x:c r="A875" s="13" t="str">
        <x:v>REC-000874</x:v>
      </x:c>
      <x:c r="B875" s="23" t="n">
        <x:v>45729</x:v>
      </x:c>
      <x:c r="C875" s="23" t="n">
        <x:v>45744</x:v>
      </x:c>
      <x:c r="D875" s="23" t="n">
        <x:v>45744</x:v>
      </x:c>
      <x:c r="E875" s="13" t="str">
        <x:v>VAL-028</x:v>
      </x:c>
      <x:c r="F875" s="13" t="str">
        <x:v>Pixel Norte</x:v>
      </x:c>
      <x:c r="G875" s="13" t="str">
        <x:v>Tecnologia</x:v>
      </x:c>
      <x:c r="H875" s="13" t="str">
        <x:v>Alto</x:v>
      </x:c>
      <x:c r="I875" s="13" t="str">
        <x:v>Enterprise</x:v>
      </x:c>
      <x:c r="J875" s="17" t="n">
        <x:v>23494.28</x:v>
      </x:c>
      <x:c r="K875" s="17" t="n">
        <x:v>211.1</x:v>
      </x:c>
      <x:c r="L875" s="17" t="n">
        <x:v>0</x:v>
      </x:c>
      <x:c r="M875" s="13" t="str">
        <x:v>Pago</x:v>
      </x:c>
      <x:c r="N875" s="13" t="str">
        <x:v>Sem cobrança</x:v>
      </x:c>
      <x:c r="O875" s="13" t="str">
        <x:v>Pico do descontrole</x:v>
      </x:c>
      <x:c r="P875" s="17" t="n">
        <x:f>IF(D875="",0,J875-K875+L875)</x:f>
        <x:v>23283.18</x:v>
      </x:c>
      <x:c r="Q875" s="17" t="n">
        <x:f>MAX(J875-P875-K875,0)</x:f>
        <x:v>0</x:v>
      </x:c>
      <x:c r="R875" s="13" t="n">
        <x:f>IF(D875="",MAX(TODAY()-C875,0),MAX(D875-C875,0))</x:f>
        <x:v>0</x:v>
      </x:c>
      <x:c r="S875" s="13" t="str">
        <x:f>IF(R875=0,"Em dia",IF(R875&lt;=15,"1-15 dias",IF(R875&lt;=30,"16-30 dias",IF(R875&lt;=60,"31-60 dias","Acima de 60 dias"))))</x:f>
        <x:v>Em dia</x:v>
      </x:c>
    </x:row>
    <x:row r="876">
      <x:c r="A876" s="13" t="str">
        <x:v>REC-000875</x:v>
      </x:c>
      <x:c r="B876" s="23" t="n">
        <x:v>45719</x:v>
      </x:c>
      <x:c r="C876" s="23" t="n">
        <x:v>45740</x:v>
      </x:c>
      <x:c r="D876" s="23" t="n">
        <x:v>45739</x:v>
      </x:c>
      <x:c r="E876" s="13" t="str">
        <x:v>VAL-028</x:v>
      </x:c>
      <x:c r="F876" s="13" t="str">
        <x:v>Pixel Norte</x:v>
      </x:c>
      <x:c r="G876" s="13" t="str">
        <x:v>Tecnologia</x:v>
      </x:c>
      <x:c r="H876" s="13" t="str">
        <x:v>Alto</x:v>
      </x:c>
      <x:c r="I876" s="13" t="str">
        <x:v>Enterprise</x:v>
      </x:c>
      <x:c r="J876" s="17" t="n">
        <x:v>30637.18</x:v>
      </x:c>
      <x:c r="K876" s="17" t="n">
        <x:v>0</x:v>
      </x:c>
      <x:c r="L876" s="17" t="n">
        <x:v>0</x:v>
      </x:c>
      <x:c r="M876" s="13" t="str">
        <x:v>Pago</x:v>
      </x:c>
      <x:c r="N876" s="13" t="str">
        <x:v>Sem cobrança</x:v>
      </x:c>
      <x:c r="O876" s="13" t="str">
        <x:v>Pico do descontrole</x:v>
      </x:c>
      <x:c r="P876" s="17" t="n">
        <x:f>IF(D876="",0,J876-K876+L876)</x:f>
        <x:v>30637.18</x:v>
      </x:c>
      <x:c r="Q876" s="17" t="n">
        <x:f>MAX(J876-P876-K876,0)</x:f>
        <x:v>0</x:v>
      </x:c>
      <x:c r="R876" s="13" t="n">
        <x:f>IF(D876="",MAX(TODAY()-C876,0),MAX(D876-C876,0))</x:f>
        <x:v>0</x:v>
      </x:c>
      <x:c r="S876" s="13" t="str">
        <x:f>IF(R876=0,"Em dia",IF(R876&lt;=15,"1-15 dias",IF(R876&lt;=30,"16-30 dias",IF(R876&lt;=60,"31-60 dias","Acima de 60 dias"))))</x:f>
        <x:v>Em dia</x:v>
      </x:c>
    </x:row>
    <x:row r="877">
      <x:c r="A877" s="13" t="str">
        <x:v>REC-000876</x:v>
      </x:c>
      <x:c r="B877" s="23" t="n">
        <x:v>45727</x:v>
      </x:c>
      <x:c r="C877" s="23" t="n">
        <x:v>45748</x:v>
      </x:c>
      <x:c r="D877" s="23" t="n">
        <x:v>45747</x:v>
      </x:c>
      <x:c r="E877" s="13" t="str">
        <x:v>VAL-022</x:v>
      </x:c>
      <x:c r="F877" s="13" t="str">
        <x:v>Academia Evoluir</x:v>
      </x:c>
      <x:c r="G877" s="13" t="str">
        <x:v>Educação</x:v>
      </x:c>
      <x:c r="H877" s="13" t="str">
        <x:v>Alto</x:v>
      </x:c>
      <x:c r="I877" s="13" t="str">
        <x:v>Gestão</x:v>
      </x:c>
      <x:c r="J877" s="17" t="n">
        <x:v>18822.14</x:v>
      </x:c>
      <x:c r="K877" s="17" t="n">
        <x:v>0</x:v>
      </x:c>
      <x:c r="L877" s="17" t="n">
        <x:v>0</x:v>
      </x:c>
      <x:c r="M877" s="13" t="str">
        <x:v>Pago</x:v>
      </x:c>
      <x:c r="N877" s="13" t="str">
        <x:v>Sem cobrança</x:v>
      </x:c>
      <x:c r="O877" s="13" t="str">
        <x:v>Pico do descontrole</x:v>
      </x:c>
      <x:c r="P877" s="17" t="n">
        <x:f>IF(D877="",0,J877-K877+L877)</x:f>
        <x:v>18822.14</x:v>
      </x:c>
      <x:c r="Q877" s="17" t="n">
        <x:f>MAX(J877-P877-K877,0)</x:f>
        <x:v>0</x:v>
      </x:c>
      <x:c r="R877" s="13" t="n">
        <x:f>IF(D877="",MAX(TODAY()-C877,0),MAX(D877-C877,0))</x:f>
        <x:v>0</x:v>
      </x:c>
      <x:c r="S877" s="13" t="str">
        <x:f>IF(R877=0,"Em dia",IF(R877&lt;=15,"1-15 dias",IF(R877&lt;=30,"16-30 dias",IF(R877&lt;=60,"31-60 dias","Acima de 60 dias"))))</x:f>
        <x:v>Em dia</x:v>
      </x:c>
    </x:row>
    <x:row r="878">
      <x:c r="A878" s="13" t="str">
        <x:v>REC-000877</x:v>
      </x:c>
      <x:c r="B878" s="23" t="n">
        <x:v>45720</x:v>
      </x:c>
      <x:c r="C878" s="23" t="n">
        <x:v>45735</x:v>
      </x:c>
      <x:c r="D878" s="23" t="n">
        <x:v>45745</x:v>
      </x:c>
      <x:c r="E878" s="13" t="str">
        <x:v>VAL-004</x:v>
      </x:c>
      <x:c r="F878" s="13" t="str">
        <x:v>NuvemBase Tecnologia</x:v>
      </x:c>
      <x:c r="G878" s="13" t="str">
        <x:v>Tecnologia</x:v>
      </x:c>
      <x:c r="H878" s="13" t="str">
        <x:v>Baixo</x:v>
      </x:c>
      <x:c r="I878" s="13" t="str">
        <x:v>Enterprise</x:v>
      </x:c>
      <x:c r="J878" s="17" t="n">
        <x:v>10585.75</x:v>
      </x:c>
      <x:c r="K878" s="17" t="n">
        <x:v>0</x:v>
      </x:c>
      <x:c r="L878" s="17" t="n">
        <x:v>68.81</x:v>
      </x:c>
      <x:c r="M878" s="13" t="str">
        <x:v>Pago com atraso</x:v>
      </x:c>
      <x:c r="N878" s="13" t="str">
        <x:v>Régua automática</x:v>
      </x:c>
      <x:c r="O878" s="13" t="str">
        <x:v>Pico do descontrole</x:v>
      </x:c>
      <x:c r="P878" s="17" t="n">
        <x:f>IF(D878="",0,J878-K878+L878)</x:f>
        <x:v>10654.56</x:v>
      </x:c>
      <x:c r="Q878" s="17" t="n">
        <x:f>MAX(J878-P878-K878,0)</x:f>
        <x:v>0</x:v>
      </x:c>
      <x:c r="R878" s="13" t="n">
        <x:f>IF(D878="",MAX(TODAY()-C878,0),MAX(D878-C878,0))</x:f>
        <x:v>10</x:v>
      </x:c>
      <x:c r="S878" s="13" t="str">
        <x:f>IF(R878=0,"Em dia",IF(R878&lt;=15,"1-15 dias",IF(R878&lt;=30,"16-30 dias",IF(R878&lt;=60,"31-60 dias","Acima de 60 dias"))))</x:f>
        <x:v>1-15 dias</x:v>
      </x:c>
    </x:row>
    <x:row r="879">
      <x:c r="A879" s="13" t="str">
        <x:v>REC-000878</x:v>
      </x:c>
      <x:c r="B879" s="23" t="n">
        <x:v>45720</x:v>
      </x:c>
      <x:c r="C879" s="23" t="n">
        <x:v>45735</x:v>
      </x:c>
      <x:c r="D879" s="23" t="n">
        <x:v>45735</x:v>
      </x:c>
      <x:c r="E879" s="13" t="str">
        <x:v>VAL-010</x:v>
      </x:c>
      <x:c r="F879" s="13" t="str">
        <x:v>Atlas Contabilidade</x:v>
      </x:c>
      <x:c r="G879" s="13" t="str">
        <x:v>Serviços Profissionais</x:v>
      </x:c>
      <x:c r="H879" s="13" t="str">
        <x:v>Baixo</x:v>
      </x:c>
      <x:c r="I879" s="13" t="str">
        <x:v>Gestão</x:v>
      </x:c>
      <x:c r="J879" s="17" t="n">
        <x:v>8495.21</x:v>
      </x:c>
      <x:c r="K879" s="17" t="n">
        <x:v>0</x:v>
      </x:c>
      <x:c r="L879" s="17" t="n">
        <x:v>0</x:v>
      </x:c>
      <x:c r="M879" s="13" t="str">
        <x:v>Pago</x:v>
      </x:c>
      <x:c r="N879" s="13" t="str">
        <x:v>Sem cobrança</x:v>
      </x:c>
      <x:c r="O879" s="13" t="str">
        <x:v>Pico do descontrole</x:v>
      </x:c>
      <x:c r="P879" s="17" t="n">
        <x:f>IF(D879="",0,J879-K879+L879)</x:f>
        <x:v>8495.21</x:v>
      </x:c>
      <x:c r="Q879" s="17" t="n">
        <x:f>MAX(J879-P879-K879,0)</x:f>
        <x:v>0</x:v>
      </x:c>
      <x:c r="R879" s="13" t="n">
        <x:f>IF(D879="",MAX(TODAY()-C879,0),MAX(D879-C879,0))</x:f>
        <x:v>0</x:v>
      </x:c>
      <x:c r="S879" s="13" t="str">
        <x:f>IF(R879=0,"Em dia",IF(R879&lt;=15,"1-15 dias",IF(R879&lt;=30,"16-30 dias",IF(R879&lt;=60,"31-60 dias","Acima de 60 dias"))))</x:f>
        <x:v>Em dia</x:v>
      </x:c>
    </x:row>
    <x:row r="880">
      <x:c r="A880" s="13" t="str">
        <x:v>REC-000879</x:v>
      </x:c>
      <x:c r="B880" s="23" t="n">
        <x:v>45719</x:v>
      </x:c>
      <x:c r="C880" s="23" t="n">
        <x:v>45740</x:v>
      </x:c>
      <x:c r="D880" s="23" t="n">
        <x:v>45736</x:v>
      </x:c>
      <x:c r="E880" s="13" t="str">
        <x:v>VAL-013</x:v>
      </x:c>
      <x:c r="F880" s="13" t="str">
        <x:v>Engenharia Vértice</x:v>
      </x:c>
      <x:c r="G880" s="13" t="str">
        <x:v>Construção</x:v>
      </x:c>
      <x:c r="H880" s="13" t="str">
        <x:v>Baixo</x:v>
      </x:c>
      <x:c r="I880" s="13" t="str">
        <x:v>Essencial</x:v>
      </x:c>
      <x:c r="J880" s="17" t="n">
        <x:v>18478.45</x:v>
      </x:c>
      <x:c r="K880" s="17" t="n">
        <x:v>0</x:v>
      </x:c>
      <x:c r="L880" s="17" t="n">
        <x:v>0</x:v>
      </x:c>
      <x:c r="M880" s="13" t="str">
        <x:v>Pago</x:v>
      </x:c>
      <x:c r="N880" s="13" t="str">
        <x:v>Sem cobrança</x:v>
      </x:c>
      <x:c r="O880" s="13" t="str">
        <x:v>Pico do descontrole</x:v>
      </x:c>
      <x:c r="P880" s="17" t="n">
        <x:f>IF(D880="",0,J880-K880+L880)</x:f>
        <x:v>18478.45</x:v>
      </x:c>
      <x:c r="Q880" s="17" t="n">
        <x:f>MAX(J880-P880-K880,0)</x:f>
        <x:v>0</x:v>
      </x:c>
      <x:c r="R880" s="13" t="n">
        <x:f>IF(D880="",MAX(TODAY()-C880,0),MAX(D880-C880,0))</x:f>
        <x:v>0</x:v>
      </x:c>
      <x:c r="S880" s="13" t="str">
        <x:f>IF(R880=0,"Em dia",IF(R880&lt;=15,"1-15 dias",IF(R880&lt;=30,"16-30 dias",IF(R880&lt;=60,"31-60 dias","Acima de 60 dias"))))</x:f>
        <x:v>Em dia</x:v>
      </x:c>
    </x:row>
    <x:row r="881">
      <x:c r="A881" s="13" t="str">
        <x:v>REC-000880</x:v>
      </x:c>
      <x:c r="B881" s="23" t="n">
        <x:v>45726</x:v>
      </x:c>
      <x:c r="C881" s="23" t="n">
        <x:v>45741</x:v>
      </x:c>
      <x:c r="D881" s="23" t="n">
        <x:v>45766</x:v>
      </x:c>
      <x:c r="E881" s="13" t="str">
        <x:v>VAL-011</x:v>
      </x:c>
      <x:c r="F881" s="13" t="str">
        <x:v>Rede Essencial</x:v>
      </x:c>
      <x:c r="G881" s="13" t="str">
        <x:v>Varejo</x:v>
      </x:c>
      <x:c r="H881" s="13" t="str">
        <x:v>Médio</x:v>
      </x:c>
      <x:c r="I881" s="13" t="str">
        <x:v>Performance</x:v>
      </x:c>
      <x:c r="J881" s="17" t="n">
        <x:v>10057.98</x:v>
      </x:c>
      <x:c r="K881" s="17" t="n">
        <x:v>0</x:v>
      </x:c>
      <x:c r="L881" s="17" t="n">
        <x:v>163.44</x:v>
      </x:c>
      <x:c r="M881" s="13" t="str">
        <x:v>Pago com atraso</x:v>
      </x:c>
      <x:c r="N881" s="13" t="str">
        <x:v>Régua automática</x:v>
      </x:c>
      <x:c r="O881" s="13" t="str">
        <x:v>Pico do descontrole</x:v>
      </x:c>
      <x:c r="P881" s="17" t="n">
        <x:f>IF(D881="",0,J881-K881+L881)</x:f>
        <x:v>10221.42</x:v>
      </x:c>
      <x:c r="Q881" s="17" t="n">
        <x:f>MAX(J881-P881-K881,0)</x:f>
        <x:v>0</x:v>
      </x:c>
      <x:c r="R881" s="13" t="n">
        <x:f>IF(D881="",MAX(TODAY()-C881,0),MAX(D881-C881,0))</x:f>
        <x:v>25</x:v>
      </x:c>
      <x:c r="S881" s="13" t="str">
        <x:f>IF(R881=0,"Em dia",IF(R881&lt;=15,"1-15 dias",IF(R881&lt;=30,"16-30 dias",IF(R881&lt;=60,"31-60 dias","Acima de 60 dias"))))</x:f>
        <x:v>16-30 dias</x:v>
      </x:c>
    </x:row>
    <x:row r="882">
      <x:c r="A882" s="13" t="str">
        <x:v>REC-000881</x:v>
      </x:c>
      <x:c r="B882" s="23" t="n">
        <x:v>45732</x:v>
      </x:c>
      <x:c r="C882" s="23" t="n">
        <x:v>45739</x:v>
      </x:c>
      <x:c r="D882" s="23" t="n">
        <x:v>45736</x:v>
      </x:c>
      <x:c r="E882" s="13" t="str">
        <x:v>VAL-010</x:v>
      </x:c>
      <x:c r="F882" s="13" t="str">
        <x:v>Atlas Contabilidade</x:v>
      </x:c>
      <x:c r="G882" s="13" t="str">
        <x:v>Serviços Profissionais</x:v>
      </x:c>
      <x:c r="H882" s="13" t="str">
        <x:v>Baixo</x:v>
      </x:c>
      <x:c r="I882" s="13" t="str">
        <x:v>Gestão</x:v>
      </x:c>
      <x:c r="J882" s="17" t="n">
        <x:v>11159.7</x:v>
      </x:c>
      <x:c r="K882" s="17" t="n">
        <x:v>0</x:v>
      </x:c>
      <x:c r="L882" s="17" t="n">
        <x:v>0</x:v>
      </x:c>
      <x:c r="M882" s="13" t="str">
        <x:v>Pago</x:v>
      </x:c>
      <x:c r="N882" s="13" t="str">
        <x:v>Sem cobrança</x:v>
      </x:c>
      <x:c r="O882" s="13" t="str">
        <x:v>Pico do descontrole</x:v>
      </x:c>
      <x:c r="P882" s="17" t="n">
        <x:f>IF(D882="",0,J882-K882+L882)</x:f>
        <x:v>11159.7</x:v>
      </x:c>
      <x:c r="Q882" s="17" t="n">
        <x:f>MAX(J882-P882-K882,0)</x:f>
        <x:v>0</x:v>
      </x:c>
      <x:c r="R882" s="13" t="n">
        <x:f>IF(D882="",MAX(TODAY()-C882,0),MAX(D882-C882,0))</x:f>
        <x:v>0</x:v>
      </x:c>
      <x:c r="S882" s="13" t="str">
        <x:f>IF(R882=0,"Em dia",IF(R882&lt;=15,"1-15 dias",IF(R882&lt;=30,"16-30 dias",IF(R882&lt;=60,"31-60 dias","Acima de 60 dias"))))</x:f>
        <x:v>Em dia</x:v>
      </x:c>
    </x:row>
    <x:row r="883">
      <x:c r="A883" s="13" t="str">
        <x:v>REC-000882</x:v>
      </x:c>
      <x:c r="B883" s="23" t="n">
        <x:v>45718</x:v>
      </x:c>
      <x:c r="C883" s="23" t="n">
        <x:v>45739</x:v>
      </x:c>
      <x:c r="D883" s="23" t="n">
        <x:v>45739</x:v>
      </x:c>
      <x:c r="E883" s="13" t="str">
        <x:v>VAL-024</x:v>
      </x:c>
      <x:c r="F883" s="13" t="str">
        <x:v>NovaForma Móveis</x:v>
      </x:c>
      <x:c r="G883" s="13" t="str">
        <x:v>Indústria Leve</x:v>
      </x:c>
      <x:c r="H883" s="13" t="str">
        <x:v>Baixo</x:v>
      </x:c>
      <x:c r="I883" s="13" t="str">
        <x:v>Enterprise</x:v>
      </x:c>
      <x:c r="J883" s="17" t="n">
        <x:v>14218.92</x:v>
      </x:c>
      <x:c r="K883" s="17" t="n">
        <x:v>0</x:v>
      </x:c>
      <x:c r="L883" s="17" t="n">
        <x:v>0</x:v>
      </x:c>
      <x:c r="M883" s="13" t="str">
        <x:v>Pago</x:v>
      </x:c>
      <x:c r="N883" s="13" t="str">
        <x:v>Sem cobrança</x:v>
      </x:c>
      <x:c r="O883" s="13" t="str">
        <x:v>Pico do descontrole</x:v>
      </x:c>
      <x:c r="P883" s="17" t="n">
        <x:f>IF(D883="",0,J883-K883+L883)</x:f>
        <x:v>14218.92</x:v>
      </x:c>
      <x:c r="Q883" s="17" t="n">
        <x:f>MAX(J883-P883-K883,0)</x:f>
        <x:v>0</x:v>
      </x:c>
      <x:c r="R883" s="13" t="n">
        <x:f>IF(D883="",MAX(TODAY()-C883,0),MAX(D883-C883,0))</x:f>
        <x:v>0</x:v>
      </x:c>
      <x:c r="S883" s="13" t="str">
        <x:f>IF(R883=0,"Em dia",IF(R883&lt;=15,"1-15 dias",IF(R883&lt;=30,"16-30 dias",IF(R883&lt;=60,"31-60 dias","Acima de 60 dias"))))</x:f>
        <x:v>Em dia</x:v>
      </x:c>
    </x:row>
    <x:row r="884">
      <x:c r="A884" s="13" t="str">
        <x:v>REC-000883</x:v>
      </x:c>
      <x:c r="B884" s="23" t="n">
        <x:v>45719</x:v>
      </x:c>
      <x:c r="C884" s="23" t="n">
        <x:v>45747</x:v>
      </x:c>
      <x:c r="D884" s="23" t="n">
        <x:v>45796</x:v>
      </x:c>
      <x:c r="E884" s="13" t="str">
        <x:v>VAL-001</x:v>
      </x:c>
      <x:c r="F884" s="13" t="str">
        <x:v>Clínica Horizonte</x:v>
      </x:c>
      <x:c r="G884" s="13" t="str">
        <x:v>Clínicas e Saúde</x:v>
      </x:c>
      <x:c r="H884" s="13" t="str">
        <x:v>Baixo</x:v>
      </x:c>
      <x:c r="I884" s="13" t="str">
        <x:v>Essencial</x:v>
      </x:c>
      <x:c r="J884" s="17" t="n">
        <x:v>6493.68</x:v>
      </x:c>
      <x:c r="K884" s="17" t="n">
        <x:v>0</x:v>
      </x:c>
      <x:c r="L884" s="17" t="n">
        <x:v>162.34</x:v>
      </x:c>
      <x:c r="M884" s="13" t="str">
        <x:v>Pago com atraso</x:v>
      </x:c>
      <x:c r="N884" s="13" t="str">
        <x:v>Telefone</x:v>
      </x:c>
      <x:c r="O884" s="13" t="str">
        <x:v>Pico do descontrole</x:v>
      </x:c>
      <x:c r="P884" s="17" t="n">
        <x:f>IF(D884="",0,J884-K884+L884)</x:f>
        <x:v>6656.02</x:v>
      </x:c>
      <x:c r="Q884" s="17" t="n">
        <x:f>MAX(J884-P884-K884,0)</x:f>
        <x:v>0</x:v>
      </x:c>
      <x:c r="R884" s="13" t="n">
        <x:f>IF(D884="",MAX(TODAY()-C884,0),MAX(D884-C884,0))</x:f>
        <x:v>49</x:v>
      </x:c>
      <x:c r="S884" s="13" t="str">
        <x:f>IF(R884=0,"Em dia",IF(R884&lt;=15,"1-15 dias",IF(R884&lt;=30,"16-30 dias",IF(R884&lt;=60,"31-60 dias","Acima de 60 dias"))))</x:f>
        <x:v>31-60 dias</x:v>
      </x:c>
    </x:row>
    <x:row r="885">
      <x:c r="A885" s="13" t="str">
        <x:v>REC-000884</x:v>
      </x:c>
      <x:c r="B885" s="23" t="n">
        <x:v>45726</x:v>
      </x:c>
      <x:c r="C885" s="23" t="n">
        <x:v>45747</x:v>
      </x:c>
      <x:c r="D885" s="23" t="n">
        <x:v>45745</x:v>
      </x:c>
      <x:c r="E885" s="13" t="str">
        <x:v>VAL-010</x:v>
      </x:c>
      <x:c r="F885" s="13" t="str">
        <x:v>Atlas Contabilidade</x:v>
      </x:c>
      <x:c r="G885" s="13" t="str">
        <x:v>Serviços Profissionais</x:v>
      </x:c>
      <x:c r="H885" s="13" t="str">
        <x:v>Baixo</x:v>
      </x:c>
      <x:c r="I885" s="13" t="str">
        <x:v>Gestão</x:v>
      </x:c>
      <x:c r="J885" s="17" t="n">
        <x:v>12019.72</x:v>
      </x:c>
      <x:c r="K885" s="17" t="n">
        <x:v>0</x:v>
      </x:c>
      <x:c r="L885" s="17" t="n">
        <x:v>0</x:v>
      </x:c>
      <x:c r="M885" s="13" t="str">
        <x:v>Pago</x:v>
      </x:c>
      <x:c r="N885" s="13" t="str">
        <x:v>Sem cobrança</x:v>
      </x:c>
      <x:c r="O885" s="13" t="str">
        <x:v>Pico do descontrole</x:v>
      </x:c>
      <x:c r="P885" s="17" t="n">
        <x:f>IF(D885="",0,J885-K885+L885)</x:f>
        <x:v>12019.72</x:v>
      </x:c>
      <x:c r="Q885" s="17" t="n">
        <x:f>MAX(J885-P885-K885,0)</x:f>
        <x:v>0</x:v>
      </x:c>
      <x:c r="R885" s="13" t="n">
        <x:f>IF(D885="",MAX(TODAY()-C885,0),MAX(D885-C885,0))</x:f>
        <x:v>0</x:v>
      </x:c>
      <x:c r="S885" s="13" t="str">
        <x:f>IF(R885=0,"Em dia",IF(R885&lt;=15,"1-15 dias",IF(R885&lt;=30,"16-30 dias",IF(R885&lt;=60,"31-60 dias","Acima de 60 dias"))))</x:f>
        <x:v>Em dia</x:v>
      </x:c>
    </x:row>
    <x:row r="886">
      <x:c r="A886" s="13" t="str">
        <x:v>REC-000885</x:v>
      </x:c>
      <x:c r="B886" s="23" t="n">
        <x:v>45718</x:v>
      </x:c>
      <x:c r="C886" s="23" t="n">
        <x:v>45733</x:v>
      </x:c>
      <x:c r="D886" s="23" t="n">
        <x:v>45732</x:v>
      </x:c>
      <x:c r="E886" s="13" t="str">
        <x:v>VAL-029</x:v>
      </x:c>
      <x:c r="F886" s="13" t="str">
        <x:v>Planobra Serviços</x:v>
      </x:c>
      <x:c r="G886" s="13" t="str">
        <x:v>Construção</x:v>
      </x:c>
      <x:c r="H886" s="13" t="str">
        <x:v>Baixo</x:v>
      </x:c>
      <x:c r="I886" s="13" t="str">
        <x:v>Essencial</x:v>
      </x:c>
      <x:c r="J886" s="17" t="n">
        <x:v>24625.75</x:v>
      </x:c>
      <x:c r="K886" s="17" t="n">
        <x:v>0</x:v>
      </x:c>
      <x:c r="L886" s="17" t="n">
        <x:v>0</x:v>
      </x:c>
      <x:c r="M886" s="13" t="str">
        <x:v>Pago</x:v>
      </x:c>
      <x:c r="N886" s="13" t="str">
        <x:v>Sem cobrança</x:v>
      </x:c>
      <x:c r="O886" s="13" t="str">
        <x:v>Pico do descontrole</x:v>
      </x:c>
      <x:c r="P886" s="17" t="n">
        <x:f>IF(D886="",0,J886-K886+L886)</x:f>
        <x:v>24625.75</x:v>
      </x:c>
      <x:c r="Q886" s="17" t="n">
        <x:f>MAX(J886-P886-K886,0)</x:f>
        <x:v>0</x:v>
      </x:c>
      <x:c r="R886" s="13" t="n">
        <x:f>IF(D886="",MAX(TODAY()-C886,0),MAX(D886-C886,0))</x:f>
        <x:v>0</x:v>
      </x:c>
      <x:c r="S886" s="13" t="str">
        <x:f>IF(R886=0,"Em dia",IF(R886&lt;=15,"1-15 dias",IF(R886&lt;=30,"16-30 dias",IF(R886&lt;=60,"31-60 dias","Acima de 60 dias"))))</x:f>
        <x:v>Em dia</x:v>
      </x:c>
    </x:row>
    <x:row r="887">
      <x:c r="A887" s="13" t="str">
        <x:v>REC-000886</x:v>
      </x:c>
      <x:c r="B887" s="23" t="n">
        <x:v>45723</x:v>
      </x:c>
      <x:c r="C887" s="23" t="n">
        <x:v>45753</x:v>
      </x:c>
      <x:c r="D887" s="23" t="n">
        <x:v>45749</x:v>
      </x:c>
      <x:c r="E887" s="13" t="str">
        <x:v>VAL-006</x:v>
      </x:c>
      <x:c r="F887" s="13" t="str">
        <x:v>Instituto Saber Mais</x:v>
      </x:c>
      <x:c r="G887" s="13" t="str">
        <x:v>Educação</x:v>
      </x:c>
      <x:c r="H887" s="13" t="str">
        <x:v>Médio</x:v>
      </x:c>
      <x:c r="I887" s="13" t="str">
        <x:v>Gestão</x:v>
      </x:c>
      <x:c r="J887" s="17" t="n">
        <x:v>23042.48</x:v>
      </x:c>
      <x:c r="K887" s="17" t="n">
        <x:v>249.4</x:v>
      </x:c>
      <x:c r="L887" s="17" t="n">
        <x:v>0</x:v>
      </x:c>
      <x:c r="M887" s="13" t="str">
        <x:v>Pago</x:v>
      </x:c>
      <x:c r="N887" s="13" t="str">
        <x:v>Sem cobrança</x:v>
      </x:c>
      <x:c r="O887" s="13" t="str">
        <x:v>Pico do descontrole</x:v>
      </x:c>
      <x:c r="P887" s="17" t="n">
        <x:f>IF(D887="",0,J887-K887+L887)</x:f>
        <x:v>22793.079999999998</x:v>
      </x:c>
      <x:c r="Q887" s="17" t="n">
        <x:f>MAX(J887-P887-K887,0)</x:f>
        <x:v>1.4495071809506044e-12</x:v>
      </x:c>
      <x:c r="R887" s="13" t="n">
        <x:f>IF(D887="",MAX(TODAY()-C887,0),MAX(D887-C887,0))</x:f>
        <x:v>0</x:v>
      </x:c>
      <x:c r="S887" s="13" t="str">
        <x:f>IF(R887=0,"Em dia",IF(R887&lt;=15,"1-15 dias",IF(R887&lt;=30,"16-30 dias",IF(R887&lt;=60,"31-60 dias","Acima de 60 dias"))))</x:f>
        <x:v>Em dia</x:v>
      </x:c>
    </x:row>
    <x:row r="888">
      <x:c r="A888" s="13" t="str">
        <x:v>REC-000887</x:v>
      </x:c>
      <x:c r="B888" s="23" t="n">
        <x:v>45731</x:v>
      </x:c>
      <x:c r="C888" s="23" t="n">
        <x:v>45746</x:v>
      </x:c>
      <x:c r="D888" s="23" t="n">
        <x:v>45788</x:v>
      </x:c>
      <x:c r="E888" s="13" t="str">
        <x:v>VAL-014</x:v>
      </x:c>
      <x:c r="F888" s="13" t="str">
        <x:v>Colégio Caminhos</x:v>
      </x:c>
      <x:c r="G888" s="13" t="str">
        <x:v>Educação</x:v>
      </x:c>
      <x:c r="H888" s="13" t="str">
        <x:v>Médio</x:v>
      </x:c>
      <x:c r="I888" s="13" t="str">
        <x:v>Gestão</x:v>
      </x:c>
      <x:c r="J888" s="17" t="n">
        <x:v>17702.05</x:v>
      </x:c>
      <x:c r="K888" s="17" t="n">
        <x:v>0</x:v>
      </x:c>
      <x:c r="L888" s="17" t="n">
        <x:v>442.55</x:v>
      </x:c>
      <x:c r="M888" s="13" t="str">
        <x:v>Pago com atraso</x:v>
      </x:c>
      <x:c r="N888" s="13" t="str">
        <x:v>Régua automática</x:v>
      </x:c>
      <x:c r="O888" s="13" t="str">
        <x:v>Pico do descontrole</x:v>
      </x:c>
      <x:c r="P888" s="17" t="n">
        <x:f>IF(D888="",0,J888-K888+L888)</x:f>
        <x:v>18144.6</x:v>
      </x:c>
      <x:c r="Q888" s="17" t="n">
        <x:f>MAX(J888-P888-K888,0)</x:f>
        <x:v>0</x:v>
      </x:c>
      <x:c r="R888" s="13" t="n">
        <x:f>IF(D888="",MAX(TODAY()-C888,0),MAX(D888-C888,0))</x:f>
        <x:v>42</x:v>
      </x:c>
      <x:c r="S888" s="13" t="str">
        <x:f>IF(R888=0,"Em dia",IF(R888&lt;=15,"1-15 dias",IF(R888&lt;=30,"16-30 dias",IF(R888&lt;=60,"31-60 dias","Acima de 60 dias"))))</x:f>
        <x:v>31-60 dias</x:v>
      </x:c>
    </x:row>
    <x:row r="889">
      <x:c r="A889" s="13" t="str">
        <x:v>REC-000888</x:v>
      </x:c>
      <x:c r="B889" s="23" t="n">
        <x:v>45735</x:v>
      </x:c>
      <x:c r="C889" s="23" t="n">
        <x:v>45765</x:v>
      </x:c>
      <x:c r="D889" s="23" t="n">
        <x:v>45765</x:v>
      </x:c>
      <x:c r="E889" s="13" t="str">
        <x:v>VAL-010</x:v>
      </x:c>
      <x:c r="F889" s="13" t="str">
        <x:v>Atlas Contabilidade</x:v>
      </x:c>
      <x:c r="G889" s="13" t="str">
        <x:v>Serviços Profissionais</x:v>
      </x:c>
      <x:c r="H889" s="13" t="str">
        <x:v>Baixo</x:v>
      </x:c>
      <x:c r="I889" s="13" t="str">
        <x:v>Gestão</x:v>
      </x:c>
      <x:c r="J889" s="17" t="n">
        <x:v>26565.3</x:v>
      </x:c>
      <x:c r="K889" s="17" t="n">
        <x:v>0</x:v>
      </x:c>
      <x:c r="L889" s="17" t="n">
        <x:v>0</x:v>
      </x:c>
      <x:c r="M889" s="13" t="str">
        <x:v>Pago</x:v>
      </x:c>
      <x:c r="N889" s="13" t="str">
        <x:v>Sem cobrança</x:v>
      </x:c>
      <x:c r="O889" s="13" t="str">
        <x:v>Pico do descontrole</x:v>
      </x:c>
      <x:c r="P889" s="17" t="n">
        <x:f>IF(D889="",0,J889-K889+L889)</x:f>
        <x:v>26565.3</x:v>
      </x:c>
      <x:c r="Q889" s="17" t="n">
        <x:f>MAX(J889-P889-K889,0)</x:f>
        <x:v>0</x:v>
      </x:c>
      <x:c r="R889" s="13" t="n">
        <x:f>IF(D889="",MAX(TODAY()-C889,0),MAX(D889-C889,0))</x:f>
        <x:v>0</x:v>
      </x:c>
      <x:c r="S889" s="13" t="str">
        <x:f>IF(R889=0,"Em dia",IF(R889&lt;=15,"1-15 dias",IF(R889&lt;=30,"16-30 dias",IF(R889&lt;=60,"31-60 dias","Acima de 60 dias"))))</x:f>
        <x:v>Em dia</x:v>
      </x:c>
    </x:row>
    <x:row r="890">
      <x:c r="A890" s="13" t="str">
        <x:v>REC-000889</x:v>
      </x:c>
      <x:c r="B890" s="23" t="n">
        <x:v>45728</x:v>
      </x:c>
      <x:c r="C890" s="23" t="n">
        <x:v>45743</x:v>
      </x:c>
      <x:c r="D890" s="23" t="n">
        <x:v>45743</x:v>
      </x:c>
      <x:c r="E890" s="13" t="str">
        <x:v>VAL-029</x:v>
      </x:c>
      <x:c r="F890" s="13" t="str">
        <x:v>Planobra Serviços</x:v>
      </x:c>
      <x:c r="G890" s="13" t="str">
        <x:v>Construção</x:v>
      </x:c>
      <x:c r="H890" s="13" t="str">
        <x:v>Baixo</x:v>
      </x:c>
      <x:c r="I890" s="13" t="str">
        <x:v>Essencial</x:v>
      </x:c>
      <x:c r="J890" s="17" t="n">
        <x:v>929.35</x:v>
      </x:c>
      <x:c r="K890" s="17" t="n">
        <x:v>0</x:v>
      </x:c>
      <x:c r="L890" s="17" t="n">
        <x:v>0</x:v>
      </x:c>
      <x:c r="M890" s="13" t="str">
        <x:v>Pago</x:v>
      </x:c>
      <x:c r="N890" s="13" t="str">
        <x:v>Sem cobrança</x:v>
      </x:c>
      <x:c r="O890" s="13" t="str">
        <x:v>Pico do descontrole</x:v>
      </x:c>
      <x:c r="P890" s="17" t="n">
        <x:f>IF(D890="",0,J890-K890+L890)</x:f>
        <x:v>929.35</x:v>
      </x:c>
      <x:c r="Q890" s="17" t="n">
        <x:f>MAX(J890-P890-K890,0)</x:f>
        <x:v>0</x:v>
      </x:c>
      <x:c r="R890" s="13" t="n">
        <x:f>IF(D890="",MAX(TODAY()-C890,0),MAX(D890-C890,0))</x:f>
        <x:v>0</x:v>
      </x:c>
      <x:c r="S890" s="13" t="str">
        <x:f>IF(R890=0,"Em dia",IF(R890&lt;=15,"1-15 dias",IF(R890&lt;=30,"16-30 dias",IF(R890&lt;=60,"31-60 dias","Acima de 60 dias"))))</x:f>
        <x:v>Em dia</x:v>
      </x:c>
    </x:row>
    <x:row r="891">
      <x:c r="A891" s="13" t="str">
        <x:v>REC-000890</x:v>
      </x:c>
      <x:c r="B891" s="23" t="n">
        <x:v>45733</x:v>
      </x:c>
      <x:c r="C891" s="23" t="n">
        <x:v>45740</x:v>
      </x:c>
      <x:c r="D891" s="23" t="n">
        <x:v>45736</x:v>
      </x:c>
      <x:c r="E891" s="13" t="str">
        <x:v>VAL-014</x:v>
      </x:c>
      <x:c r="F891" s="13" t="str">
        <x:v>Colégio Caminhos</x:v>
      </x:c>
      <x:c r="G891" s="13" t="str">
        <x:v>Educação</x:v>
      </x:c>
      <x:c r="H891" s="13" t="str">
        <x:v>Médio</x:v>
      </x:c>
      <x:c r="I891" s="13" t="str">
        <x:v>Gestão</x:v>
      </x:c>
      <x:c r="J891" s="17" t="n">
        <x:v>20300.42</x:v>
      </x:c>
      <x:c r="K891" s="17" t="n">
        <x:v>0</x:v>
      </x:c>
      <x:c r="L891" s="17" t="n">
        <x:v>0</x:v>
      </x:c>
      <x:c r="M891" s="13" t="str">
        <x:v>Pago</x:v>
      </x:c>
      <x:c r="N891" s="13" t="str">
        <x:v>Sem cobrança</x:v>
      </x:c>
      <x:c r="O891" s="13" t="str">
        <x:v>Pico do descontrole</x:v>
      </x:c>
      <x:c r="P891" s="17" t="n">
        <x:f>IF(D891="",0,J891-K891+L891)</x:f>
        <x:v>20300.42</x:v>
      </x:c>
      <x:c r="Q891" s="17" t="n">
        <x:f>MAX(J891-P891-K891,0)</x:f>
        <x:v>0</x:v>
      </x:c>
      <x:c r="R891" s="13" t="n">
        <x:f>IF(D891="",MAX(TODAY()-C891,0),MAX(D891-C891,0))</x:f>
        <x:v>0</x:v>
      </x:c>
      <x:c r="S891" s="13" t="str">
        <x:f>IF(R891=0,"Em dia",IF(R891&lt;=15,"1-15 dias",IF(R891&lt;=30,"16-30 dias",IF(R891&lt;=60,"31-60 dias","Acima de 60 dias"))))</x:f>
        <x:v>Em dia</x:v>
      </x:c>
    </x:row>
    <x:row r="892">
      <x:c r="A892" s="13" t="str">
        <x:v>REC-000891</x:v>
      </x:c>
      <x:c r="B892" s="23" t="n">
        <x:v>45724</x:v>
      </x:c>
      <x:c r="C892" s="23" t="n">
        <x:v>45731</x:v>
      </x:c>
      <x:c r="D892" s="23" t="n">
        <x:v>45728</x:v>
      </x:c>
      <x:c r="E892" s="13" t="str">
        <x:v>VAL-025</x:v>
      </x:c>
      <x:c r="F892" s="13" t="str">
        <x:v>Bem-Estar Terapias</x:v>
      </x:c>
      <x:c r="G892" s="13" t="str">
        <x:v>Clínicas e Saúde</x:v>
      </x:c>
      <x:c r="H892" s="13" t="str">
        <x:v>Baixo</x:v>
      </x:c>
      <x:c r="I892" s="13" t="str">
        <x:v>Essencial</x:v>
      </x:c>
      <x:c r="J892" s="17" t="n">
        <x:v>12834</x:v>
      </x:c>
      <x:c r="K892" s="17" t="n">
        <x:v>0</x:v>
      </x:c>
      <x:c r="L892" s="17" t="n">
        <x:v>0</x:v>
      </x:c>
      <x:c r="M892" s="13" t="str">
        <x:v>Pago</x:v>
      </x:c>
      <x:c r="N892" s="13" t="str">
        <x:v>Sem cobrança</x:v>
      </x:c>
      <x:c r="O892" s="13" t="str">
        <x:v>Pico do descontrole</x:v>
      </x:c>
      <x:c r="P892" s="17" t="n">
        <x:f>IF(D892="",0,J892-K892+L892)</x:f>
        <x:v>12834</x:v>
      </x:c>
      <x:c r="Q892" s="17" t="n">
        <x:f>MAX(J892-P892-K892,0)</x:f>
        <x:v>0</x:v>
      </x:c>
      <x:c r="R892" s="13" t="n">
        <x:f>IF(D892="",MAX(TODAY()-C892,0),MAX(D892-C892,0))</x:f>
        <x:v>0</x:v>
      </x:c>
      <x:c r="S892" s="13" t="str">
        <x:f>IF(R892=0,"Em dia",IF(R892&lt;=15,"1-15 dias",IF(R892&lt;=30,"16-30 dias",IF(R892&lt;=60,"31-60 dias","Acima de 60 dias"))))</x:f>
        <x:v>Em dia</x:v>
      </x:c>
    </x:row>
    <x:row r="893">
      <x:c r="A893" s="13" t="str">
        <x:v>REC-000892</x:v>
      </x:c>
      <x:c r="B893" s="23" t="n">
        <x:v>45734</x:v>
      </x:c>
      <x:c r="C893" s="23" t="n">
        <x:v>45762</x:v>
      </x:c>
      <x:c r="D893" s="23" t="n">
        <x:v>45760</x:v>
      </x:c>
      <x:c r="E893" s="13" t="str">
        <x:v>VAL-027</x:v>
      </x:c>
      <x:c r="F893" s="13" t="str">
        <x:v>Mais Lar Utilidades</x:v>
      </x:c>
      <x:c r="G893" s="13" t="str">
        <x:v>Varejo</x:v>
      </x:c>
      <x:c r="H893" s="13" t="str">
        <x:v>Baixo</x:v>
      </x:c>
      <x:c r="I893" s="13" t="str">
        <x:v>Performance</x:v>
      </x:c>
      <x:c r="J893" s="17" t="n">
        <x:v>7279.12</x:v>
      </x:c>
      <x:c r="K893" s="17" t="n">
        <x:v>0</x:v>
      </x:c>
      <x:c r="L893" s="17" t="n">
        <x:v>0</x:v>
      </x:c>
      <x:c r="M893" s="13" t="str">
        <x:v>Pago</x:v>
      </x:c>
      <x:c r="N893" s="13" t="str">
        <x:v>Sem cobrança</x:v>
      </x:c>
      <x:c r="O893" s="13" t="str">
        <x:v>Pico do descontrole</x:v>
      </x:c>
      <x:c r="P893" s="17" t="n">
        <x:f>IF(D893="",0,J893-K893+L893)</x:f>
        <x:v>7279.12</x:v>
      </x:c>
      <x:c r="Q893" s="17" t="n">
        <x:f>MAX(J893-P893-K893,0)</x:f>
        <x:v>0</x:v>
      </x:c>
      <x:c r="R893" s="13" t="n">
        <x:f>IF(D893="",MAX(TODAY()-C893,0),MAX(D893-C893,0))</x:f>
        <x:v>0</x:v>
      </x:c>
      <x:c r="S893" s="13" t="str">
        <x:f>IF(R893=0,"Em dia",IF(R893&lt;=15,"1-15 dias",IF(R893&lt;=30,"16-30 dias",IF(R893&lt;=60,"31-60 dias","Acima de 60 dias"))))</x:f>
        <x:v>Em dia</x:v>
      </x:c>
    </x:row>
    <x:row r="894">
      <x:c r="A894" s="13" t="str">
        <x:v>REC-000893</x:v>
      </x:c>
      <x:c r="B894" s="23" t="n">
        <x:v>45728</x:v>
      </x:c>
      <x:c r="C894" s="23" t="n">
        <x:v>45735</x:v>
      </x:c>
      <x:c r="D894" s="23" t="n">
        <x:v>45733</x:v>
      </x:c>
      <x:c r="E894" s="13" t="str">
        <x:v>VAL-013</x:v>
      </x:c>
      <x:c r="F894" s="13" t="str">
        <x:v>Engenharia Vértice</x:v>
      </x:c>
      <x:c r="G894" s="13" t="str">
        <x:v>Construção</x:v>
      </x:c>
      <x:c r="H894" s="13" t="str">
        <x:v>Baixo</x:v>
      </x:c>
      <x:c r="I894" s="13" t="str">
        <x:v>Essencial</x:v>
      </x:c>
      <x:c r="J894" s="17" t="n">
        <x:v>15835.83</x:v>
      </x:c>
      <x:c r="K894" s="17" t="n">
        <x:v>0</x:v>
      </x:c>
      <x:c r="L894" s="17" t="n">
        <x:v>0</x:v>
      </x:c>
      <x:c r="M894" s="13" t="str">
        <x:v>Pago</x:v>
      </x:c>
      <x:c r="N894" s="13" t="str">
        <x:v>Sem cobrança</x:v>
      </x:c>
      <x:c r="O894" s="13" t="str">
        <x:v>Pico do descontrole</x:v>
      </x:c>
      <x:c r="P894" s="17" t="n">
        <x:f>IF(D894="",0,J894-K894+L894)</x:f>
        <x:v>15835.83</x:v>
      </x:c>
      <x:c r="Q894" s="17" t="n">
        <x:f>MAX(J894-P894-K894,0)</x:f>
        <x:v>0</x:v>
      </x:c>
      <x:c r="R894" s="13" t="n">
        <x:f>IF(D894="",MAX(TODAY()-C894,0),MAX(D894-C894,0))</x:f>
        <x:v>0</x:v>
      </x:c>
      <x:c r="S894" s="13" t="str">
        <x:f>IF(R894=0,"Em dia",IF(R894&lt;=15,"1-15 dias",IF(R894&lt;=30,"16-30 dias",IF(R894&lt;=60,"31-60 dias","Acima de 60 dias"))))</x:f>
        <x:v>Em dia</x:v>
      </x:c>
    </x:row>
    <x:row r="895">
      <x:c r="A895" s="13" t="str">
        <x:v>REC-000894</x:v>
      </x:c>
      <x:c r="B895" s="23" t="n">
        <x:v>45717</x:v>
      </x:c>
      <x:c r="C895" s="23" t="n">
        <x:v>45738</x:v>
      </x:c>
      <x:c r="D895" s="23" t="n">
        <x:v>45737</x:v>
      </x:c>
      <x:c r="E895" s="13" t="str">
        <x:v>VAL-029</x:v>
      </x:c>
      <x:c r="F895" s="13" t="str">
        <x:v>Planobra Serviços</x:v>
      </x:c>
      <x:c r="G895" s="13" t="str">
        <x:v>Construção</x:v>
      </x:c>
      <x:c r="H895" s="13" t="str">
        <x:v>Baixo</x:v>
      </x:c>
      <x:c r="I895" s="13" t="str">
        <x:v>Essencial</x:v>
      </x:c>
      <x:c r="J895" s="17" t="n">
        <x:v>8585.45</x:v>
      </x:c>
      <x:c r="K895" s="17" t="n">
        <x:v>0</x:v>
      </x:c>
      <x:c r="L895" s="17" t="n">
        <x:v>0</x:v>
      </x:c>
      <x:c r="M895" s="13" t="str">
        <x:v>Pago</x:v>
      </x:c>
      <x:c r="N895" s="13" t="str">
        <x:v>Sem cobrança</x:v>
      </x:c>
      <x:c r="O895" s="13" t="str">
        <x:v>Pico do descontrole</x:v>
      </x:c>
      <x:c r="P895" s="17" t="n">
        <x:f>IF(D895="",0,J895-K895+L895)</x:f>
        <x:v>8585.45</x:v>
      </x:c>
      <x:c r="Q895" s="17" t="n">
        <x:f>MAX(J895-P895-K895,0)</x:f>
        <x:v>0</x:v>
      </x:c>
      <x:c r="R895" s="13" t="n">
        <x:f>IF(D895="",MAX(TODAY()-C895,0),MAX(D895-C895,0))</x:f>
        <x:v>0</x:v>
      </x:c>
      <x:c r="S895" s="13" t="str">
        <x:f>IF(R895=0,"Em dia",IF(R895&lt;=15,"1-15 dias",IF(R895&lt;=30,"16-30 dias",IF(R895&lt;=60,"31-60 dias","Acima de 60 dias"))))</x:f>
        <x:v>Em dia</x:v>
      </x:c>
    </x:row>
    <x:row r="896">
      <x:c r="A896" s="13" t="str">
        <x:v>REC-000895</x:v>
      </x:c>
      <x:c r="B896" s="23" t="n">
        <x:v>45734</x:v>
      </x:c>
      <x:c r="C896" s="23" t="n">
        <x:v>45749</x:v>
      </x:c>
      <x:c r="D896" s="23" t="n">
        <x:v>45748</x:v>
      </x:c>
      <x:c r="E896" s="13" t="str">
        <x:v>VAL-021</x:v>
      </x:c>
      <x:c r="F896" s="13" t="str">
        <x:v>Base Forte Obras</x:v>
      </x:c>
      <x:c r="G896" s="13" t="str">
        <x:v>Construção</x:v>
      </x:c>
      <x:c r="H896" s="13" t="str">
        <x:v>Médio</x:v>
      </x:c>
      <x:c r="I896" s="13" t="str">
        <x:v>Essencial</x:v>
      </x:c>
      <x:c r="J896" s="17" t="n">
        <x:v>14143.73</x:v>
      </x:c>
      <x:c r="K896" s="17" t="n">
        <x:v>0</x:v>
      </x:c>
      <x:c r="L896" s="17" t="n">
        <x:v>0</x:v>
      </x:c>
      <x:c r="M896" s="13" t="str">
        <x:v>Pago</x:v>
      </x:c>
      <x:c r="N896" s="13" t="str">
        <x:v>Sem cobrança</x:v>
      </x:c>
      <x:c r="O896" s="13" t="str">
        <x:v>Pico do descontrole</x:v>
      </x:c>
      <x:c r="P896" s="17" t="n">
        <x:f>IF(D896="",0,J896-K896+L896)</x:f>
        <x:v>14143.73</x:v>
      </x:c>
      <x:c r="Q896" s="17" t="n">
        <x:f>MAX(J896-P896-K896,0)</x:f>
        <x:v>0</x:v>
      </x:c>
      <x:c r="R896" s="13" t="n">
        <x:f>IF(D896="",MAX(TODAY()-C896,0),MAX(D896-C896,0))</x:f>
        <x:v>0</x:v>
      </x:c>
      <x:c r="S896" s="13" t="str">
        <x:f>IF(R896=0,"Em dia",IF(R896&lt;=15,"1-15 dias",IF(R896&lt;=30,"16-30 dias",IF(R896&lt;=60,"31-60 dias","Acima de 60 dias"))))</x:f>
        <x:v>Em dia</x:v>
      </x:c>
    </x:row>
    <x:row r="897">
      <x:c r="A897" s="13" t="str">
        <x:v>REC-000896</x:v>
      </x:c>
      <x:c r="B897" s="23" t="n">
        <x:v>45728</x:v>
      </x:c>
      <x:c r="C897" s="23" t="n">
        <x:v>45758</x:v>
      </x:c>
      <x:c r="D897" s="23" t="n">
        <x:v>45758</x:v>
      </x:c>
      <x:c r="E897" s="13" t="str">
        <x:v>VAL-013</x:v>
      </x:c>
      <x:c r="F897" s="13" t="str">
        <x:v>Engenharia Vértice</x:v>
      </x:c>
      <x:c r="G897" s="13" t="str">
        <x:v>Construção</x:v>
      </x:c>
      <x:c r="H897" s="13" t="str">
        <x:v>Baixo</x:v>
      </x:c>
      <x:c r="I897" s="13" t="str">
        <x:v>Essencial</x:v>
      </x:c>
      <x:c r="J897" s="17" t="n">
        <x:v>11924.07</x:v>
      </x:c>
      <x:c r="K897" s="17" t="n">
        <x:v>0</x:v>
      </x:c>
      <x:c r="L897" s="17" t="n">
        <x:v>0</x:v>
      </x:c>
      <x:c r="M897" s="13" t="str">
        <x:v>Pago</x:v>
      </x:c>
      <x:c r="N897" s="13" t="str">
        <x:v>Sem cobrança</x:v>
      </x:c>
      <x:c r="O897" s="13" t="str">
        <x:v>Pico do descontrole</x:v>
      </x:c>
      <x:c r="P897" s="17" t="n">
        <x:f>IF(D897="",0,J897-K897+L897)</x:f>
        <x:v>11924.07</x:v>
      </x:c>
      <x:c r="Q897" s="17" t="n">
        <x:f>MAX(J897-P897-K897,0)</x:f>
        <x:v>0</x:v>
      </x:c>
      <x:c r="R897" s="13" t="n">
        <x:f>IF(D897="",MAX(TODAY()-C897,0),MAX(D897-C897,0))</x:f>
        <x:v>0</x:v>
      </x:c>
      <x:c r="S897" s="13" t="str">
        <x:f>IF(R897=0,"Em dia",IF(R897&lt;=15,"1-15 dias",IF(R897&lt;=30,"16-30 dias",IF(R897&lt;=60,"31-60 dias","Acima de 60 dias"))))</x:f>
        <x:v>Em dia</x:v>
      </x:c>
    </x:row>
    <x:row r="898">
      <x:c r="A898" s="13" t="str">
        <x:v>REC-000897</x:v>
      </x:c>
      <x:c r="B898" s="23" t="n">
        <x:v>45730</x:v>
      </x:c>
      <x:c r="C898" s="23" t="n">
        <x:v>45745</x:v>
      </x:c>
      <x:c r="D898" s="23" t="n">
        <x:v>45741</x:v>
      </x:c>
      <x:c r="E898" s="13" t="str">
        <x:v>VAL-009</x:v>
      </x:c>
      <x:c r="F898" s="13" t="str">
        <x:v>Odonto Prime</x:v>
      </x:c>
      <x:c r="G898" s="13" t="str">
        <x:v>Clínicas e Saúde</x:v>
      </x:c>
      <x:c r="H898" s="13" t="str">
        <x:v>Médio</x:v>
      </x:c>
      <x:c r="I898" s="13" t="str">
        <x:v>Essencial</x:v>
      </x:c>
      <x:c r="J898" s="17" t="n">
        <x:v>17966.74</x:v>
      </x:c>
      <x:c r="K898" s="17" t="n">
        <x:v>0</x:v>
      </x:c>
      <x:c r="L898" s="17" t="n">
        <x:v>0</x:v>
      </x:c>
      <x:c r="M898" s="13" t="str">
        <x:v>Pago</x:v>
      </x:c>
      <x:c r="N898" s="13" t="str">
        <x:v>Sem cobrança</x:v>
      </x:c>
      <x:c r="O898" s="13" t="str">
        <x:v>Pico do descontrole</x:v>
      </x:c>
      <x:c r="P898" s="17" t="n">
        <x:f>IF(D898="",0,J898-K898+L898)</x:f>
        <x:v>17966.74</x:v>
      </x:c>
      <x:c r="Q898" s="17" t="n">
        <x:f>MAX(J898-P898-K898,0)</x:f>
        <x:v>0</x:v>
      </x:c>
      <x:c r="R898" s="13" t="n">
        <x:f>IF(D898="",MAX(TODAY()-C898,0),MAX(D898-C898,0))</x:f>
        <x:v>0</x:v>
      </x:c>
      <x:c r="S898" s="13" t="str">
        <x:f>IF(R898=0,"Em dia",IF(R898&lt;=15,"1-15 dias",IF(R898&lt;=30,"16-30 dias",IF(R898&lt;=60,"31-60 dias","Acima de 60 dias"))))</x:f>
        <x:v>Em dia</x:v>
      </x:c>
    </x:row>
    <x:row r="899">
      <x:c r="A899" s="13" t="str">
        <x:v>REC-000898</x:v>
      </x:c>
      <x:c r="B899" s="23" t="n">
        <x:v>45731</x:v>
      </x:c>
      <x:c r="C899" s="23" t="n">
        <x:v>45738</x:v>
      </x:c>
      <x:c r="D899" s="23" t="n">
        <x:v>45737</x:v>
      </x:c>
      <x:c r="E899" s="13" t="str">
        <x:v>VAL-026</x:v>
      </x:c>
      <x:c r="F899" s="13" t="str">
        <x:v>Ribeiro Arquitetura</x:v>
      </x:c>
      <x:c r="G899" s="13" t="str">
        <x:v>Serviços Profissionais</x:v>
      </x:c>
      <x:c r="H899" s="13" t="str">
        <x:v>Baixo</x:v>
      </x:c>
      <x:c r="I899" s="13" t="str">
        <x:v>Gestão</x:v>
      </x:c>
      <x:c r="J899" s="17" t="n">
        <x:v>18474.51</x:v>
      </x:c>
      <x:c r="K899" s="17" t="n">
        <x:v>0</x:v>
      </x:c>
      <x:c r="L899" s="17" t="n">
        <x:v>0</x:v>
      </x:c>
      <x:c r="M899" s="13" t="str">
        <x:v>Pago</x:v>
      </x:c>
      <x:c r="N899" s="13" t="str">
        <x:v>Sem cobrança</x:v>
      </x:c>
      <x:c r="O899" s="13" t="str">
        <x:v>Pico do descontrole</x:v>
      </x:c>
      <x:c r="P899" s="17" t="n">
        <x:f>IF(D899="",0,J899-K899+L899)</x:f>
        <x:v>18474.51</x:v>
      </x:c>
      <x:c r="Q899" s="17" t="n">
        <x:f>MAX(J899-P899-K899,0)</x:f>
        <x:v>0</x:v>
      </x:c>
      <x:c r="R899" s="13" t="n">
        <x:f>IF(D899="",MAX(TODAY()-C899,0),MAX(D899-C899,0))</x:f>
        <x:v>0</x:v>
      </x:c>
      <x:c r="S899" s="13" t="str">
        <x:f>IF(R899=0,"Em dia",IF(R899&lt;=15,"1-15 dias",IF(R899&lt;=30,"16-30 dias",IF(R899&lt;=60,"31-60 dias","Acima de 60 dias"))))</x:f>
        <x:v>Em dia</x:v>
      </x:c>
    </x:row>
    <x:row r="900">
      <x:c r="A900" s="13" t="str">
        <x:v>REC-000899</x:v>
      </x:c>
      <x:c r="B900" s="23" t="n">
        <x:v>45730</x:v>
      </x:c>
      <x:c r="C900" s="23" t="n">
        <x:v>45745</x:v>
      </x:c>
      <x:c r="D900" s="23" t="n">
        <x:v>45743</x:v>
      </x:c>
      <x:c r="E900" s="13" t="str">
        <x:v>VAL-010</x:v>
      </x:c>
      <x:c r="F900" s="13" t="str">
        <x:v>Atlas Contabilidade</x:v>
      </x:c>
      <x:c r="G900" s="13" t="str">
        <x:v>Serviços Profissionais</x:v>
      </x:c>
      <x:c r="H900" s="13" t="str">
        <x:v>Baixo</x:v>
      </x:c>
      <x:c r="I900" s="13" t="str">
        <x:v>Gestão</x:v>
      </x:c>
      <x:c r="J900" s="17" t="n">
        <x:v>25933.83</x:v>
      </x:c>
      <x:c r="K900" s="17" t="n">
        <x:v>0</x:v>
      </x:c>
      <x:c r="L900" s="17" t="n">
        <x:v>0</x:v>
      </x:c>
      <x:c r="M900" s="13" t="str">
        <x:v>Pago</x:v>
      </x:c>
      <x:c r="N900" s="13" t="str">
        <x:v>Sem cobrança</x:v>
      </x:c>
      <x:c r="O900" s="13" t="str">
        <x:v>Pico do descontrole</x:v>
      </x:c>
      <x:c r="P900" s="17" t="n">
        <x:f>IF(D900="",0,J900-K900+L900)</x:f>
        <x:v>25933.83</x:v>
      </x:c>
      <x:c r="Q900" s="17" t="n">
        <x:f>MAX(J900-P900-K900,0)</x:f>
        <x:v>0</x:v>
      </x:c>
      <x:c r="R900" s="13" t="n">
        <x:f>IF(D900="",MAX(TODAY()-C900,0),MAX(D900-C900,0))</x:f>
        <x:v>0</x:v>
      </x:c>
      <x:c r="S900" s="13" t="str">
        <x:f>IF(R900=0,"Em dia",IF(R900&lt;=15,"1-15 dias",IF(R900&lt;=30,"16-30 dias",IF(R900&lt;=60,"31-60 dias","Acima de 60 dias"))))</x:f>
        <x:v>Em dia</x:v>
      </x:c>
    </x:row>
    <x:row r="901">
      <x:c r="A901" s="13" t="str">
        <x:v>REC-000900</x:v>
      </x:c>
      <x:c r="B901" s="23" t="n">
        <x:v>45736</x:v>
      </x:c>
      <x:c r="C901" s="23" t="n">
        <x:v>45766</x:v>
      </x:c>
      <x:c r="D901" s="23" t="n">
        <x:v>45762</x:v>
      </x:c>
      <x:c r="E901" s="13" t="str">
        <x:v>VAL-024</x:v>
      </x:c>
      <x:c r="F901" s="13" t="str">
        <x:v>NovaForma Móveis</x:v>
      </x:c>
      <x:c r="G901" s="13" t="str">
        <x:v>Indústria Leve</x:v>
      </x:c>
      <x:c r="H901" s="13" t="str">
        <x:v>Baixo</x:v>
      </x:c>
      <x:c r="I901" s="13" t="str">
        <x:v>Enterprise</x:v>
      </x:c>
      <x:c r="J901" s="17" t="n">
        <x:v>3361.25</x:v>
      </x:c>
      <x:c r="K901" s="17" t="n">
        <x:v>0</x:v>
      </x:c>
      <x:c r="L901" s="17" t="n">
        <x:v>0</x:v>
      </x:c>
      <x:c r="M901" s="13" t="str">
        <x:v>Pago</x:v>
      </x:c>
      <x:c r="N901" s="13" t="str">
        <x:v>Sem cobrança</x:v>
      </x:c>
      <x:c r="O901" s="13" t="str">
        <x:v>Pico do descontrole</x:v>
      </x:c>
      <x:c r="P901" s="17" t="n">
        <x:f>IF(D901="",0,J901-K901+L901)</x:f>
        <x:v>3361.25</x:v>
      </x:c>
      <x:c r="Q901" s="17" t="n">
        <x:f>MAX(J901-P901-K901,0)</x:f>
        <x:v>0</x:v>
      </x:c>
      <x:c r="R901" s="13" t="n">
        <x:f>IF(D901="",MAX(TODAY()-C901,0),MAX(D901-C901,0))</x:f>
        <x:v>0</x:v>
      </x:c>
      <x:c r="S901" s="13" t="str">
        <x:f>IF(R901=0,"Em dia",IF(R901&lt;=15,"1-15 dias",IF(R901&lt;=30,"16-30 dias",IF(R901&lt;=60,"31-60 dias","Acima de 60 dias"))))</x:f>
        <x:v>Em dia</x:v>
      </x:c>
    </x:row>
    <x:row r="902">
      <x:c r="A902" s="13" t="str">
        <x:v>REC-000901</x:v>
      </x:c>
      <x:c r="B902" s="23" t="n">
        <x:v>45755</x:v>
      </x:c>
      <x:c r="C902" s="23" t="n">
        <x:v>45776</x:v>
      </x:c>
      <x:c r="D902" s="23" t="n">
        <x:v>45776</x:v>
      </x:c>
      <x:c r="E902" s="13" t="str">
        <x:v>VAL-005</x:v>
      </x:c>
      <x:c r="F902" s="13" t="str">
        <x:v>Construtora Alameda</x:v>
      </x:c>
      <x:c r="G902" s="13" t="str">
        <x:v>Construção</x:v>
      </x:c>
      <x:c r="H902" s="13" t="str">
        <x:v>Médio</x:v>
      </x:c>
      <x:c r="I902" s="13" t="str">
        <x:v>Essencial</x:v>
      </x:c>
      <x:c r="J902" s="17" t="n">
        <x:v>20470.25</x:v>
      </x:c>
      <x:c r="K902" s="17" t="n">
        <x:v>0</x:v>
      </x:c>
      <x:c r="L902" s="17" t="n">
        <x:v>0</x:v>
      </x:c>
      <x:c r="M902" s="13" t="str">
        <x:v>Pago</x:v>
      </x:c>
      <x:c r="N902" s="13" t="str">
        <x:v>Sem cobrança</x:v>
      </x:c>
      <x:c r="O902" s="13" t="str">
        <x:v>Pico do descontrole</x:v>
      </x:c>
      <x:c r="P902" s="17" t="n">
        <x:f>IF(D902="",0,J902-K902+L902)</x:f>
        <x:v>20470.25</x:v>
      </x:c>
      <x:c r="Q902" s="17" t="n">
        <x:f>MAX(J902-P902-K902,0)</x:f>
        <x:v>0</x:v>
      </x:c>
      <x:c r="R902" s="13" t="n">
        <x:f>IF(D902="",MAX(TODAY()-C902,0),MAX(D902-C902,0))</x:f>
        <x:v>0</x:v>
      </x:c>
      <x:c r="S902" s="13" t="str">
        <x:f>IF(R902=0,"Em dia",IF(R902&lt;=15,"1-15 dias",IF(R902&lt;=30,"16-30 dias",IF(R902&lt;=60,"31-60 dias","Acima de 60 dias"))))</x:f>
        <x:v>Em dia</x:v>
      </x:c>
    </x:row>
    <x:row r="903">
      <x:c r="A903" s="13" t="str">
        <x:v>REC-000902</x:v>
      </x:c>
      <x:c r="B903" s="23" t="n">
        <x:v>45759</x:v>
      </x:c>
      <x:c r="C903" s="23" t="n">
        <x:v>45780</x:v>
      </x:c>
      <x:c r="D903" s="23"/>
      <x:c r="E903" s="13" t="str">
        <x:v>VAL-027</x:v>
      </x:c>
      <x:c r="F903" s="13" t="str">
        <x:v>Mais Lar Utilidades</x:v>
      </x:c>
      <x:c r="G903" s="13" t="str">
        <x:v>Varejo</x:v>
      </x:c>
      <x:c r="H903" s="13" t="str">
        <x:v>Baixo</x:v>
      </x:c>
      <x:c r="I903" s="13" t="str">
        <x:v>Performance</x:v>
      </x:c>
      <x:c r="J903" s="17" t="n">
        <x:v>4851.18</x:v>
      </x:c>
      <x:c r="K903" s="17" t="n">
        <x:v>0</x:v>
      </x:c>
      <x:c r="L903" s="17" t="n">
        <x:v>0</x:v>
      </x:c>
      <x:c r="M903" s="13" t="str">
        <x:v>Em aberto</x:v>
      </x:c>
      <x:c r="N903" s="13" t="str">
        <x:v>WhatsApp</x:v>
      </x:c>
      <x:c r="O903" s="13" t="str">
        <x:v>Pico do descontrole</x:v>
      </x:c>
      <x:c r="P903" s="17" t="n">
        <x:f>IF(D903="",0,J903-K903+L903)</x:f>
        <x:v>0</x:v>
      </x:c>
      <x:c r="Q903" s="17" t="n">
        <x:f>MAX(J903-P903-K903,0)</x:f>
        <x:v>4851.18</x:v>
      </x:c>
      <x:c r="R903" s="13" t="n">
        <x:f>IF(D903="",MAX(TODAY()-C903,0),MAX(D903-C903,0))</x:f>
        <x:v>433</x:v>
      </x:c>
      <x:c r="S903" s="13" t="str">
        <x:f>IF(R903=0,"Em dia",IF(R903&lt;=15,"1-15 dias",IF(R903&lt;=30,"16-30 dias",IF(R903&lt;=60,"31-60 dias","Acima de 60 dias"))))</x:f>
        <x:v>Acima de 60 dias</x:v>
      </x:c>
    </x:row>
    <x:row r="904">
      <x:c r="A904" s="13" t="str">
        <x:v>REC-000903</x:v>
      </x:c>
      <x:c r="B904" s="23" t="n">
        <x:v>45760</x:v>
      </x:c>
      <x:c r="C904" s="23" t="n">
        <x:v>45767</x:v>
      </x:c>
      <x:c r="D904" s="23" t="n">
        <x:v>45766</x:v>
      </x:c>
      <x:c r="E904" s="13" t="str">
        <x:v>VAL-017</x:v>
      </x:c>
      <x:c r="F904" s="13" t="str">
        <x:v>Centro Médico Vida</x:v>
      </x:c>
      <x:c r="G904" s="13" t="str">
        <x:v>Clínicas e Saúde</x:v>
      </x:c>
      <x:c r="H904" s="13" t="str">
        <x:v>Baixo</x:v>
      </x:c>
      <x:c r="I904" s="13" t="str">
        <x:v>Essencial</x:v>
      </x:c>
      <x:c r="J904" s="17" t="n">
        <x:v>16235.09</x:v>
      </x:c>
      <x:c r="K904" s="17" t="n">
        <x:v>0</x:v>
      </x:c>
      <x:c r="L904" s="17" t="n">
        <x:v>0</x:v>
      </x:c>
      <x:c r="M904" s="13" t="str">
        <x:v>Pago</x:v>
      </x:c>
      <x:c r="N904" s="13" t="str">
        <x:v>Sem cobrança</x:v>
      </x:c>
      <x:c r="O904" s="13" t="str">
        <x:v>Pico do descontrole</x:v>
      </x:c>
      <x:c r="P904" s="17" t="n">
        <x:f>IF(D904="",0,J904-K904+L904)</x:f>
        <x:v>16235.09</x:v>
      </x:c>
      <x:c r="Q904" s="17" t="n">
        <x:f>MAX(J904-P904-K904,0)</x:f>
        <x:v>0</x:v>
      </x:c>
      <x:c r="R904" s="13" t="n">
        <x:f>IF(D904="",MAX(TODAY()-C904,0),MAX(D904-C904,0))</x:f>
        <x:v>0</x:v>
      </x:c>
      <x:c r="S904" s="13" t="str">
        <x:f>IF(R904=0,"Em dia",IF(R904&lt;=15,"1-15 dias",IF(R904&lt;=30,"16-30 dias",IF(R904&lt;=60,"31-60 dias","Acima de 60 dias"))))</x:f>
        <x:v>Em dia</x:v>
      </x:c>
    </x:row>
    <x:row r="905">
      <x:c r="A905" s="13" t="str">
        <x:v>REC-000904</x:v>
      </x:c>
      <x:c r="B905" s="23" t="n">
        <x:v>45755</x:v>
      </x:c>
      <x:c r="C905" s="23" t="n">
        <x:v>45770</x:v>
      </x:c>
      <x:c r="D905" s="23" t="n">
        <x:v>45769</x:v>
      </x:c>
      <x:c r="E905" s="13" t="str">
        <x:v>VAL-010</x:v>
      </x:c>
      <x:c r="F905" s="13" t="str">
        <x:v>Atlas Contabilidade</x:v>
      </x:c>
      <x:c r="G905" s="13" t="str">
        <x:v>Serviços Profissionais</x:v>
      </x:c>
      <x:c r="H905" s="13" t="str">
        <x:v>Baixo</x:v>
      </x:c>
      <x:c r="I905" s="13" t="str">
        <x:v>Gestão</x:v>
      </x:c>
      <x:c r="J905" s="17" t="n">
        <x:v>17330.5</x:v>
      </x:c>
      <x:c r="K905" s="17" t="n">
        <x:v>0</x:v>
      </x:c>
      <x:c r="L905" s="17" t="n">
        <x:v>0</x:v>
      </x:c>
      <x:c r="M905" s="13" t="str">
        <x:v>Pago</x:v>
      </x:c>
      <x:c r="N905" s="13" t="str">
        <x:v>Sem cobrança</x:v>
      </x:c>
      <x:c r="O905" s="13" t="str">
        <x:v>Pico do descontrole</x:v>
      </x:c>
      <x:c r="P905" s="17" t="n">
        <x:f>IF(D905="",0,J905-K905+L905)</x:f>
        <x:v>17330.5</x:v>
      </x:c>
      <x:c r="Q905" s="17" t="n">
        <x:f>MAX(J905-P905-K905,0)</x:f>
        <x:v>0</x:v>
      </x:c>
      <x:c r="R905" s="13" t="n">
        <x:f>IF(D905="",MAX(TODAY()-C905,0),MAX(D905-C905,0))</x:f>
        <x:v>0</x:v>
      </x:c>
      <x:c r="S905" s="13" t="str">
        <x:f>IF(R905=0,"Em dia",IF(R905&lt;=15,"1-15 dias",IF(R905&lt;=30,"16-30 dias",IF(R905&lt;=60,"31-60 dias","Acima de 60 dias"))))</x:f>
        <x:v>Em dia</x:v>
      </x:c>
    </x:row>
    <x:row r="906">
      <x:c r="A906" s="13" t="str">
        <x:v>REC-000905</x:v>
      </x:c>
      <x:c r="B906" s="23" t="n">
        <x:v>45749</x:v>
      </x:c>
      <x:c r="C906" s="23" t="n">
        <x:v>45777</x:v>
      </x:c>
      <x:c r="D906" s="23" t="n">
        <x:v>45776</x:v>
      </x:c>
      <x:c r="E906" s="13" t="str">
        <x:v>VAL-010</x:v>
      </x:c>
      <x:c r="F906" s="13" t="str">
        <x:v>Atlas Contabilidade</x:v>
      </x:c>
      <x:c r="G906" s="13" t="str">
        <x:v>Serviços Profissionais</x:v>
      </x:c>
      <x:c r="H906" s="13" t="str">
        <x:v>Baixo</x:v>
      </x:c>
      <x:c r="I906" s="13" t="str">
        <x:v>Gestão</x:v>
      </x:c>
      <x:c r="J906" s="17" t="n">
        <x:v>14875.22</x:v>
      </x:c>
      <x:c r="K906" s="17" t="n">
        <x:v>0</x:v>
      </x:c>
      <x:c r="L906" s="17" t="n">
        <x:v>0</x:v>
      </x:c>
      <x:c r="M906" s="13" t="str">
        <x:v>Pago</x:v>
      </x:c>
      <x:c r="N906" s="13" t="str">
        <x:v>Sem cobrança</x:v>
      </x:c>
      <x:c r="O906" s="13" t="str">
        <x:v>Pico do descontrole</x:v>
      </x:c>
      <x:c r="P906" s="17" t="n">
        <x:f>IF(D906="",0,J906-K906+L906)</x:f>
        <x:v>14875.22</x:v>
      </x:c>
      <x:c r="Q906" s="17" t="n">
        <x:f>MAX(J906-P906-K906,0)</x:f>
        <x:v>0</x:v>
      </x:c>
      <x:c r="R906" s="13" t="n">
        <x:f>IF(D906="",MAX(TODAY()-C906,0),MAX(D906-C906,0))</x:f>
        <x:v>0</x:v>
      </x:c>
      <x:c r="S906" s="13" t="str">
        <x:f>IF(R906=0,"Em dia",IF(R906&lt;=15,"1-15 dias",IF(R906&lt;=30,"16-30 dias",IF(R906&lt;=60,"31-60 dias","Acima de 60 dias"))))</x:f>
        <x:v>Em dia</x:v>
      </x:c>
    </x:row>
    <x:row r="907">
      <x:c r="A907" s="13" t="str">
        <x:v>REC-000906</x:v>
      </x:c>
      <x:c r="B907" s="23" t="n">
        <x:v>45762</x:v>
      </x:c>
      <x:c r="C907" s="23" t="n">
        <x:v>45777</x:v>
      </x:c>
      <x:c r="D907" s="23" t="n">
        <x:v>45777</x:v>
      </x:c>
      <x:c r="E907" s="13" t="str">
        <x:v>VAL-015</x:v>
      </x:c>
      <x:c r="F907" s="13" t="str">
        <x:v>Mercado Click</x:v>
      </x:c>
      <x:c r="G907" s="13" t="str">
        <x:v>E-commerce</x:v>
      </x:c>
      <x:c r="H907" s="13" t="str">
        <x:v>Baixo</x:v>
      </x:c>
      <x:c r="I907" s="13" t="str">
        <x:v>Performance</x:v>
      </x:c>
      <x:c r="J907" s="17" t="n">
        <x:v>11677.9</x:v>
      </x:c>
      <x:c r="K907" s="17" t="n">
        <x:v>0</x:v>
      </x:c>
      <x:c r="L907" s="17" t="n">
        <x:v>0</x:v>
      </x:c>
      <x:c r="M907" s="13" t="str">
        <x:v>Pago</x:v>
      </x:c>
      <x:c r="N907" s="13" t="str">
        <x:v>Sem cobrança</x:v>
      </x:c>
      <x:c r="O907" s="13" t="str">
        <x:v>Pico do descontrole</x:v>
      </x:c>
      <x:c r="P907" s="17" t="n">
        <x:f>IF(D907="",0,J907-K907+L907)</x:f>
        <x:v>11677.9</x:v>
      </x:c>
      <x:c r="Q907" s="17" t="n">
        <x:f>MAX(J907-P907-K907,0)</x:f>
        <x:v>0</x:v>
      </x:c>
      <x:c r="R907" s="13" t="n">
        <x:f>IF(D907="",MAX(TODAY()-C907,0),MAX(D907-C907,0))</x:f>
        <x:v>0</x:v>
      </x:c>
      <x:c r="S907" s="13" t="str">
        <x:f>IF(R907=0,"Em dia",IF(R907&lt;=15,"1-15 dias",IF(R907&lt;=30,"16-30 dias",IF(R907&lt;=60,"31-60 dias","Acima de 60 dias"))))</x:f>
        <x:v>Em dia</x:v>
      </x:c>
    </x:row>
    <x:row r="908">
      <x:c r="A908" s="13" t="str">
        <x:v>REC-000907</x:v>
      </x:c>
      <x:c r="B908" s="23" t="n">
        <x:v>45751</x:v>
      </x:c>
      <x:c r="C908" s="23" t="n">
        <x:v>45772</x:v>
      </x:c>
      <x:c r="D908" s="23" t="n">
        <x:v>45768</x:v>
      </x:c>
      <x:c r="E908" s="13" t="str">
        <x:v>VAL-026</x:v>
      </x:c>
      <x:c r="F908" s="13" t="str">
        <x:v>Ribeiro Arquitetura</x:v>
      </x:c>
      <x:c r="G908" s="13" t="str">
        <x:v>Serviços Profissionais</x:v>
      </x:c>
      <x:c r="H908" s="13" t="str">
        <x:v>Baixo</x:v>
      </x:c>
      <x:c r="I908" s="13" t="str">
        <x:v>Gestão</x:v>
      </x:c>
      <x:c r="J908" s="17" t="n">
        <x:v>16529.4</x:v>
      </x:c>
      <x:c r="K908" s="17" t="n">
        <x:v>0</x:v>
      </x:c>
      <x:c r="L908" s="17" t="n">
        <x:v>0</x:v>
      </x:c>
      <x:c r="M908" s="13" t="str">
        <x:v>Pago</x:v>
      </x:c>
      <x:c r="N908" s="13" t="str">
        <x:v>Sem cobrança</x:v>
      </x:c>
      <x:c r="O908" s="13" t="str">
        <x:v>Pico do descontrole</x:v>
      </x:c>
      <x:c r="P908" s="17" t="n">
        <x:f>IF(D908="",0,J908-K908+L908)</x:f>
        <x:v>16529.4</x:v>
      </x:c>
      <x:c r="Q908" s="17" t="n">
        <x:f>MAX(J908-P908-K908,0)</x:f>
        <x:v>0</x:v>
      </x:c>
      <x:c r="R908" s="13" t="n">
        <x:f>IF(D908="",MAX(TODAY()-C908,0),MAX(D908-C908,0))</x:f>
        <x:v>0</x:v>
      </x:c>
      <x:c r="S908" s="13" t="str">
        <x:f>IF(R908=0,"Em dia",IF(R908&lt;=15,"1-15 dias",IF(R908&lt;=30,"16-30 dias",IF(R908&lt;=60,"31-60 dias","Acima de 60 dias"))))</x:f>
        <x:v>Em dia</x:v>
      </x:c>
    </x:row>
    <x:row r="909">
      <x:c r="A909" s="13" t="str">
        <x:v>REC-000908</x:v>
      </x:c>
      <x:c r="B909" s="23" t="n">
        <x:v>45751</x:v>
      </x:c>
      <x:c r="C909" s="23" t="n">
        <x:v>45758</x:v>
      </x:c>
      <x:c r="D909" s="23" t="n">
        <x:v>45756</x:v>
      </x:c>
      <x:c r="E909" s="13" t="str">
        <x:v>VAL-017</x:v>
      </x:c>
      <x:c r="F909" s="13" t="str">
        <x:v>Centro Médico Vida</x:v>
      </x:c>
      <x:c r="G909" s="13" t="str">
        <x:v>Clínicas e Saúde</x:v>
      </x:c>
      <x:c r="H909" s="13" t="str">
        <x:v>Baixo</x:v>
      </x:c>
      <x:c r="I909" s="13" t="str">
        <x:v>Essencial</x:v>
      </x:c>
      <x:c r="J909" s="17" t="n">
        <x:v>10809.75</x:v>
      </x:c>
      <x:c r="K909" s="17" t="n">
        <x:v>0</x:v>
      </x:c>
      <x:c r="L909" s="17" t="n">
        <x:v>0</x:v>
      </x:c>
      <x:c r="M909" s="13" t="str">
        <x:v>Pago</x:v>
      </x:c>
      <x:c r="N909" s="13" t="str">
        <x:v>Sem cobrança</x:v>
      </x:c>
      <x:c r="O909" s="13" t="str">
        <x:v>Pico do descontrole</x:v>
      </x:c>
      <x:c r="P909" s="17" t="n">
        <x:f>IF(D909="",0,J909-K909+L909)</x:f>
        <x:v>10809.75</x:v>
      </x:c>
      <x:c r="Q909" s="17" t="n">
        <x:f>MAX(J909-P909-K909,0)</x:f>
        <x:v>0</x:v>
      </x:c>
      <x:c r="R909" s="13" t="n">
        <x:f>IF(D909="",MAX(TODAY()-C909,0),MAX(D909-C909,0))</x:f>
        <x:v>0</x:v>
      </x:c>
      <x:c r="S909" s="13" t="str">
        <x:f>IF(R909=0,"Em dia",IF(R909&lt;=15,"1-15 dias",IF(R909&lt;=30,"16-30 dias",IF(R909&lt;=60,"31-60 dias","Acima de 60 dias"))))</x:f>
        <x:v>Em dia</x:v>
      </x:c>
    </x:row>
    <x:row r="910">
      <x:c r="A910" s="13" t="str">
        <x:v>REC-000909</x:v>
      </x:c>
      <x:c r="B910" s="23" t="n">
        <x:v>45753</x:v>
      </x:c>
      <x:c r="C910" s="23" t="n">
        <x:v>45768</x:v>
      </x:c>
      <x:c r="D910" s="23" t="n">
        <x:v>45765</x:v>
      </x:c>
      <x:c r="E910" s="13" t="str">
        <x:v>VAL-020</x:v>
      </x:c>
      <x:c r="F910" s="13" t="str">
        <x:v>Corelink Digital</x:v>
      </x:c>
      <x:c r="G910" s="13" t="str">
        <x:v>Tecnologia</x:v>
      </x:c>
      <x:c r="H910" s="13" t="str">
        <x:v>Baixo</x:v>
      </x:c>
      <x:c r="I910" s="13" t="str">
        <x:v>Enterprise</x:v>
      </x:c>
      <x:c r="J910" s="17" t="n">
        <x:v>15265.4</x:v>
      </x:c>
      <x:c r="K910" s="17" t="n">
        <x:v>0</x:v>
      </x:c>
      <x:c r="L910" s="17" t="n">
        <x:v>0</x:v>
      </x:c>
      <x:c r="M910" s="13" t="str">
        <x:v>Pago</x:v>
      </x:c>
      <x:c r="N910" s="13" t="str">
        <x:v>Sem cobrança</x:v>
      </x:c>
      <x:c r="O910" s="13" t="str">
        <x:v>Pico do descontrole</x:v>
      </x:c>
      <x:c r="P910" s="17" t="n">
        <x:f>IF(D910="",0,J910-K910+L910)</x:f>
        <x:v>15265.4</x:v>
      </x:c>
      <x:c r="Q910" s="17" t="n">
        <x:f>MAX(J910-P910-K910,0)</x:f>
        <x:v>0</x:v>
      </x:c>
      <x:c r="R910" s="13" t="n">
        <x:f>IF(D910="",MAX(TODAY()-C910,0),MAX(D910-C910,0))</x:f>
        <x:v>0</x:v>
      </x:c>
      <x:c r="S910" s="13" t="str">
        <x:f>IF(R910=0,"Em dia",IF(R910&lt;=15,"1-15 dias",IF(R910&lt;=30,"16-30 dias",IF(R910&lt;=60,"31-60 dias","Acima de 60 dias"))))</x:f>
        <x:v>Em dia</x:v>
      </x:c>
    </x:row>
    <x:row r="911">
      <x:c r="A911" s="13" t="str">
        <x:v>REC-000910</x:v>
      </x:c>
      <x:c r="B911" s="23" t="n">
        <x:v>45749</x:v>
      </x:c>
      <x:c r="C911" s="23" t="n">
        <x:v>45770</x:v>
      </x:c>
      <x:c r="D911" s="23" t="n">
        <x:v>45769</x:v>
      </x:c>
      <x:c r="E911" s="13" t="str">
        <x:v>VAL-004</x:v>
      </x:c>
      <x:c r="F911" s="13" t="str">
        <x:v>NuvemBase Tecnologia</x:v>
      </x:c>
      <x:c r="G911" s="13" t="str">
        <x:v>Tecnologia</x:v>
      </x:c>
      <x:c r="H911" s="13" t="str">
        <x:v>Baixo</x:v>
      </x:c>
      <x:c r="I911" s="13" t="str">
        <x:v>Enterprise</x:v>
      </x:c>
      <x:c r="J911" s="17" t="n">
        <x:v>34247.78</x:v>
      </x:c>
      <x:c r="K911" s="17" t="n">
        <x:v>0</x:v>
      </x:c>
      <x:c r="L911" s="17" t="n">
        <x:v>0</x:v>
      </x:c>
      <x:c r="M911" s="13" t="str">
        <x:v>Pago</x:v>
      </x:c>
      <x:c r="N911" s="13" t="str">
        <x:v>Sem cobrança</x:v>
      </x:c>
      <x:c r="O911" s="13" t="str">
        <x:v>Pico do descontrole</x:v>
      </x:c>
      <x:c r="P911" s="17" t="n">
        <x:f>IF(D911="",0,J911-K911+L911)</x:f>
        <x:v>34247.78</x:v>
      </x:c>
      <x:c r="Q911" s="17" t="n">
        <x:f>MAX(J911-P911-K911,0)</x:f>
        <x:v>0</x:v>
      </x:c>
      <x:c r="R911" s="13" t="n">
        <x:f>IF(D911="",MAX(TODAY()-C911,0),MAX(D911-C911,0))</x:f>
        <x:v>0</x:v>
      </x:c>
      <x:c r="S911" s="13" t="str">
        <x:f>IF(R911=0,"Em dia",IF(R911&lt;=15,"1-15 dias",IF(R911&lt;=30,"16-30 dias",IF(R911&lt;=60,"31-60 dias","Acima de 60 dias"))))</x:f>
        <x:v>Em dia</x:v>
      </x:c>
    </x:row>
    <x:row r="912">
      <x:c r="A912" s="13" t="str">
        <x:v>REC-000911</x:v>
      </x:c>
      <x:c r="B912" s="23" t="n">
        <x:v>45757</x:v>
      </x:c>
      <x:c r="C912" s="23" t="n">
        <x:v>45778</x:v>
      </x:c>
      <x:c r="D912" s="23" t="n">
        <x:v>45777</x:v>
      </x:c>
      <x:c r="E912" s="13" t="str">
        <x:v>VAL-009</x:v>
      </x:c>
      <x:c r="F912" s="13" t="str">
        <x:v>Odonto Prime</x:v>
      </x:c>
      <x:c r="G912" s="13" t="str">
        <x:v>Clínicas e Saúde</x:v>
      </x:c>
      <x:c r="H912" s="13" t="str">
        <x:v>Médio</x:v>
      </x:c>
      <x:c r="I912" s="13" t="str">
        <x:v>Essencial</x:v>
      </x:c>
      <x:c r="J912" s="17" t="n">
        <x:v>26070.19</x:v>
      </x:c>
      <x:c r="K912" s="17" t="n">
        <x:v>0</x:v>
      </x:c>
      <x:c r="L912" s="17" t="n">
        <x:v>0</x:v>
      </x:c>
      <x:c r="M912" s="13" t="str">
        <x:v>Pago</x:v>
      </x:c>
      <x:c r="N912" s="13" t="str">
        <x:v>Sem cobrança</x:v>
      </x:c>
      <x:c r="O912" s="13" t="str">
        <x:v>Pico do descontrole</x:v>
      </x:c>
      <x:c r="P912" s="17" t="n">
        <x:f>IF(D912="",0,J912-K912+L912)</x:f>
        <x:v>26070.19</x:v>
      </x:c>
      <x:c r="Q912" s="17" t="n">
        <x:f>MAX(J912-P912-K912,0)</x:f>
        <x:v>0</x:v>
      </x:c>
      <x:c r="R912" s="13" t="n">
        <x:f>IF(D912="",MAX(TODAY()-C912,0),MAX(D912-C912,0))</x:f>
        <x:v>0</x:v>
      </x:c>
      <x:c r="S912" s="13" t="str">
        <x:f>IF(R912=0,"Em dia",IF(R912&lt;=15,"1-15 dias",IF(R912&lt;=30,"16-30 dias",IF(R912&lt;=60,"31-60 dias","Acima de 60 dias"))))</x:f>
        <x:v>Em dia</x:v>
      </x:c>
    </x:row>
    <x:row r="913">
      <x:c r="A913" s="13" t="str">
        <x:v>REC-000912</x:v>
      </x:c>
      <x:c r="B913" s="23" t="n">
        <x:v>45750</x:v>
      </x:c>
      <x:c r="C913" s="23" t="n">
        <x:v>45771</x:v>
      </x:c>
      <x:c r="D913" s="23" t="n">
        <x:v>45769</x:v>
      </x:c>
      <x:c r="E913" s="13" t="str">
        <x:v>VAL-014</x:v>
      </x:c>
      <x:c r="F913" s="13" t="str">
        <x:v>Colégio Caminhos</x:v>
      </x:c>
      <x:c r="G913" s="13" t="str">
        <x:v>Educação</x:v>
      </x:c>
      <x:c r="H913" s="13" t="str">
        <x:v>Médio</x:v>
      </x:c>
      <x:c r="I913" s="13" t="str">
        <x:v>Gestão</x:v>
      </x:c>
      <x:c r="J913" s="17" t="n">
        <x:v>23803.57</x:v>
      </x:c>
      <x:c r="K913" s="17" t="n">
        <x:v>0</x:v>
      </x:c>
      <x:c r="L913" s="17" t="n">
        <x:v>0</x:v>
      </x:c>
      <x:c r="M913" s="13" t="str">
        <x:v>Pago</x:v>
      </x:c>
      <x:c r="N913" s="13" t="str">
        <x:v>Sem cobrança</x:v>
      </x:c>
      <x:c r="O913" s="13" t="str">
        <x:v>Pico do descontrole</x:v>
      </x:c>
      <x:c r="P913" s="17" t="n">
        <x:f>IF(D913="",0,J913-K913+L913)</x:f>
        <x:v>23803.57</x:v>
      </x:c>
      <x:c r="Q913" s="17" t="n">
        <x:f>MAX(J913-P913-K913,0)</x:f>
        <x:v>0</x:v>
      </x:c>
      <x:c r="R913" s="13" t="n">
        <x:f>IF(D913="",MAX(TODAY()-C913,0),MAX(D913-C913,0))</x:f>
        <x:v>0</x:v>
      </x:c>
      <x:c r="S913" s="13" t="str">
        <x:f>IF(R913=0,"Em dia",IF(R913&lt;=15,"1-15 dias",IF(R913&lt;=30,"16-30 dias",IF(R913&lt;=60,"31-60 dias","Acima de 60 dias"))))</x:f>
        <x:v>Em dia</x:v>
      </x:c>
    </x:row>
    <x:row r="914">
      <x:c r="A914" s="13" t="str">
        <x:v>REC-000913</x:v>
      </x:c>
      <x:c r="B914" s="23" t="n">
        <x:v>45749</x:v>
      </x:c>
      <x:c r="C914" s="23" t="n">
        <x:v>45756</x:v>
      </x:c>
      <x:c r="D914" s="23" t="n">
        <x:v>45754</x:v>
      </x:c>
      <x:c r="E914" s="13" t="str">
        <x:v>VAL-021</x:v>
      </x:c>
      <x:c r="F914" s="13" t="str">
        <x:v>Base Forte Obras</x:v>
      </x:c>
      <x:c r="G914" s="13" t="str">
        <x:v>Construção</x:v>
      </x:c>
      <x:c r="H914" s="13" t="str">
        <x:v>Médio</x:v>
      </x:c>
      <x:c r="I914" s="13" t="str">
        <x:v>Essencial</x:v>
      </x:c>
      <x:c r="J914" s="17" t="n">
        <x:v>2816.13</x:v>
      </x:c>
      <x:c r="K914" s="17" t="n">
        <x:v>0</x:v>
      </x:c>
      <x:c r="L914" s="17" t="n">
        <x:v>0</x:v>
      </x:c>
      <x:c r="M914" s="13" t="str">
        <x:v>Pago</x:v>
      </x:c>
      <x:c r="N914" s="13" t="str">
        <x:v>Sem cobrança</x:v>
      </x:c>
      <x:c r="O914" s="13" t="str">
        <x:v>Pico do descontrole</x:v>
      </x:c>
      <x:c r="P914" s="17" t="n">
        <x:f>IF(D914="",0,J914-K914+L914)</x:f>
        <x:v>2816.13</x:v>
      </x:c>
      <x:c r="Q914" s="17" t="n">
        <x:f>MAX(J914-P914-K914,0)</x:f>
        <x:v>0</x:v>
      </x:c>
      <x:c r="R914" s="13" t="n">
        <x:f>IF(D914="",MAX(TODAY()-C914,0),MAX(D914-C914,0))</x:f>
        <x:v>0</x:v>
      </x:c>
      <x:c r="S914" s="13" t="str">
        <x:f>IF(R914=0,"Em dia",IF(R914&lt;=15,"1-15 dias",IF(R914&lt;=30,"16-30 dias",IF(R914&lt;=60,"31-60 dias","Acima de 60 dias"))))</x:f>
        <x:v>Em dia</x:v>
      </x:c>
    </x:row>
    <x:row r="915">
      <x:c r="A915" s="13" t="str">
        <x:v>REC-000914</x:v>
      </x:c>
      <x:c r="B915" s="23" t="n">
        <x:v>45756</x:v>
      </x:c>
      <x:c r="C915" s="23" t="n">
        <x:v>45786</x:v>
      </x:c>
      <x:c r="D915" s="23" t="n">
        <x:v>45785</x:v>
      </x:c>
      <x:c r="E915" s="13" t="str">
        <x:v>VAL-017</x:v>
      </x:c>
      <x:c r="F915" s="13" t="str">
        <x:v>Centro Médico Vida</x:v>
      </x:c>
      <x:c r="G915" s="13" t="str">
        <x:v>Clínicas e Saúde</x:v>
      </x:c>
      <x:c r="H915" s="13" t="str">
        <x:v>Baixo</x:v>
      </x:c>
      <x:c r="I915" s="13" t="str">
        <x:v>Essencial</x:v>
      </x:c>
      <x:c r="J915" s="17" t="n">
        <x:v>2850.6</x:v>
      </x:c>
      <x:c r="K915" s="17" t="n">
        <x:v>45.25</x:v>
      </x:c>
      <x:c r="L915" s="17" t="n">
        <x:v>0</x:v>
      </x:c>
      <x:c r="M915" s="13" t="str">
        <x:v>Pago</x:v>
      </x:c>
      <x:c r="N915" s="13" t="str">
        <x:v>Sem cobrança</x:v>
      </x:c>
      <x:c r="O915" s="13" t="str">
        <x:v>Pico do descontrole</x:v>
      </x:c>
      <x:c r="P915" s="17" t="n">
        <x:f>IF(D915="",0,J915-K915+L915)</x:f>
        <x:v>2805.35</x:v>
      </x:c>
      <x:c r="Q915" s="17" t="n">
        <x:f>MAX(J915-P915-K915,0)</x:f>
        <x:v>0</x:v>
      </x:c>
      <x:c r="R915" s="13" t="n">
        <x:f>IF(D915="",MAX(TODAY()-C915,0),MAX(D915-C915,0))</x:f>
        <x:v>0</x:v>
      </x:c>
      <x:c r="S915" s="13" t="str">
        <x:f>IF(R915=0,"Em dia",IF(R915&lt;=15,"1-15 dias",IF(R915&lt;=30,"16-30 dias",IF(R915&lt;=60,"31-60 dias","Acima de 60 dias"))))</x:f>
        <x:v>Em dia</x:v>
      </x:c>
    </x:row>
    <x:row r="916">
      <x:c r="A916" s="13" t="str">
        <x:v>REC-000915</x:v>
      </x:c>
      <x:c r="B916" s="23" t="n">
        <x:v>45763</x:v>
      </x:c>
      <x:c r="C916" s="23" t="n">
        <x:v>45784</x:v>
      </x:c>
      <x:c r="D916" s="23" t="n">
        <x:v>45812</x:v>
      </x:c>
      <x:c r="E916" s="13" t="str">
        <x:v>VAL-029</x:v>
      </x:c>
      <x:c r="F916" s="13" t="str">
        <x:v>Planobra Serviços</x:v>
      </x:c>
      <x:c r="G916" s="13" t="str">
        <x:v>Construção</x:v>
      </x:c>
      <x:c r="H916" s="13" t="str">
        <x:v>Baixo</x:v>
      </x:c>
      <x:c r="I916" s="13" t="str">
        <x:v>Essencial</x:v>
      </x:c>
      <x:c r="J916" s="17" t="n">
        <x:v>6790.16</x:v>
      </x:c>
      <x:c r="K916" s="17" t="n">
        <x:v>0</x:v>
      </x:c>
      <x:c r="L916" s="17" t="n">
        <x:v>123.58</x:v>
      </x:c>
      <x:c r="M916" s="13" t="str">
        <x:v>Pago com atraso</x:v>
      </x:c>
      <x:c r="N916" s="13" t="str">
        <x:v>WhatsApp</x:v>
      </x:c>
      <x:c r="O916" s="13" t="str">
        <x:v>Pico do descontrole</x:v>
      </x:c>
      <x:c r="P916" s="17" t="n">
        <x:f>IF(D916="",0,J916-K916+L916)</x:f>
        <x:v>6913.74</x:v>
      </x:c>
      <x:c r="Q916" s="17" t="n">
        <x:f>MAX(J916-P916-K916,0)</x:f>
        <x:v>0</x:v>
      </x:c>
      <x:c r="R916" s="13" t="n">
        <x:f>IF(D916="",MAX(TODAY()-C916,0),MAX(D916-C916,0))</x:f>
        <x:v>28</x:v>
      </x:c>
      <x:c r="S916" s="13" t="str">
        <x:f>IF(R916=0,"Em dia",IF(R916&lt;=15,"1-15 dias",IF(R916&lt;=30,"16-30 dias",IF(R916&lt;=60,"31-60 dias","Acima de 60 dias"))))</x:f>
        <x:v>16-30 dias</x:v>
      </x:c>
    </x:row>
    <x:row r="917">
      <x:c r="A917" s="13" t="str">
        <x:v>REC-000916</x:v>
      </x:c>
      <x:c r="B917" s="23" t="n">
        <x:v>45748</x:v>
      </x:c>
      <x:c r="C917" s="23" t="n">
        <x:v>45769</x:v>
      </x:c>
      <x:c r="D917" s="23" t="n">
        <x:v>45765</x:v>
      </x:c>
      <x:c r="E917" s="13" t="str">
        <x:v>VAL-027</x:v>
      </x:c>
      <x:c r="F917" s="13" t="str">
        <x:v>Mais Lar Utilidades</x:v>
      </x:c>
      <x:c r="G917" s="13" t="str">
        <x:v>Varejo</x:v>
      </x:c>
      <x:c r="H917" s="13" t="str">
        <x:v>Baixo</x:v>
      </x:c>
      <x:c r="I917" s="13" t="str">
        <x:v>Performance</x:v>
      </x:c>
      <x:c r="J917" s="17" t="n">
        <x:v>32419.69</x:v>
      </x:c>
      <x:c r="K917" s="17" t="n">
        <x:v>0</x:v>
      </x:c>
      <x:c r="L917" s="17" t="n">
        <x:v>0</x:v>
      </x:c>
      <x:c r="M917" s="13" t="str">
        <x:v>Pago</x:v>
      </x:c>
      <x:c r="N917" s="13" t="str">
        <x:v>Sem cobrança</x:v>
      </x:c>
      <x:c r="O917" s="13" t="str">
        <x:v>Pico do descontrole</x:v>
      </x:c>
      <x:c r="P917" s="17" t="n">
        <x:f>IF(D917="",0,J917-K917+L917)</x:f>
        <x:v>32419.69</x:v>
      </x:c>
      <x:c r="Q917" s="17" t="n">
        <x:f>MAX(J917-P917-K917,0)</x:f>
        <x:v>0</x:v>
      </x:c>
      <x:c r="R917" s="13" t="n">
        <x:f>IF(D917="",MAX(TODAY()-C917,0),MAX(D917-C917,0))</x:f>
        <x:v>0</x:v>
      </x:c>
      <x:c r="S917" s="13" t="str">
        <x:f>IF(R917=0,"Em dia",IF(R917&lt;=15,"1-15 dias",IF(R917&lt;=30,"16-30 dias",IF(R917&lt;=60,"31-60 dias","Acima de 60 dias"))))</x:f>
        <x:v>Em dia</x:v>
      </x:c>
    </x:row>
    <x:row r="918">
      <x:c r="A918" s="13" t="str">
        <x:v>REC-000917</x:v>
      </x:c>
      <x:c r="B918" s="23" t="n">
        <x:v>45764</x:v>
      </x:c>
      <x:c r="C918" s="23" t="n">
        <x:v>45779</x:v>
      </x:c>
      <x:c r="D918" s="23" t="n">
        <x:v>45777</x:v>
      </x:c>
      <x:c r="E918" s="13" t="str">
        <x:v>VAL-014</x:v>
      </x:c>
      <x:c r="F918" s="13" t="str">
        <x:v>Colégio Caminhos</x:v>
      </x:c>
      <x:c r="G918" s="13" t="str">
        <x:v>Educação</x:v>
      </x:c>
      <x:c r="H918" s="13" t="str">
        <x:v>Médio</x:v>
      </x:c>
      <x:c r="I918" s="13" t="str">
        <x:v>Gestão</x:v>
      </x:c>
      <x:c r="J918" s="17" t="n">
        <x:v>20160.89</x:v>
      </x:c>
      <x:c r="K918" s="17" t="n">
        <x:v>0</x:v>
      </x:c>
      <x:c r="L918" s="17" t="n">
        <x:v>0</x:v>
      </x:c>
      <x:c r="M918" s="13" t="str">
        <x:v>Pago</x:v>
      </x:c>
      <x:c r="N918" s="13" t="str">
        <x:v>Sem cobrança</x:v>
      </x:c>
      <x:c r="O918" s="13" t="str">
        <x:v>Pico do descontrole</x:v>
      </x:c>
      <x:c r="P918" s="17" t="n">
        <x:f>IF(D918="",0,J918-K918+L918)</x:f>
        <x:v>20160.89</x:v>
      </x:c>
      <x:c r="Q918" s="17" t="n">
        <x:f>MAX(J918-P918-K918,0)</x:f>
        <x:v>0</x:v>
      </x:c>
      <x:c r="R918" s="13" t="n">
        <x:f>IF(D918="",MAX(TODAY()-C918,0),MAX(D918-C918,0))</x:f>
        <x:v>0</x:v>
      </x:c>
      <x:c r="S918" s="13" t="str">
        <x:f>IF(R918=0,"Em dia",IF(R918&lt;=15,"1-15 dias",IF(R918&lt;=30,"16-30 dias",IF(R918&lt;=60,"31-60 dias","Acima de 60 dias"))))</x:f>
        <x:v>Em dia</x:v>
      </x:c>
    </x:row>
    <x:row r="919">
      <x:c r="A919" s="13" t="str">
        <x:v>REC-000918</x:v>
      </x:c>
      <x:c r="B919" s="23" t="n">
        <x:v>45756</x:v>
      </x:c>
      <x:c r="C919" s="23" t="n">
        <x:v>45771</x:v>
      </x:c>
      <x:c r="D919" s="23" t="n">
        <x:v>45776</x:v>
      </x:c>
      <x:c r="E919" s="13" t="str">
        <x:v>VAL-018</x:v>
      </x:c>
      <x:c r="F919" s="13" t="str">
        <x:v>Ponto Legal Advocacia</x:v>
      </x:c>
      <x:c r="G919" s="13" t="str">
        <x:v>Serviços Profissionais</x:v>
      </x:c>
      <x:c r="H919" s="13" t="str">
        <x:v>Baixo</x:v>
      </x:c>
      <x:c r="I919" s="13" t="str">
        <x:v>Gestão</x:v>
      </x:c>
      <x:c r="J919" s="17" t="n">
        <x:v>26335.12</x:v>
      </x:c>
      <x:c r="K919" s="17" t="n">
        <x:v>0</x:v>
      </x:c>
      <x:c r="L919" s="17" t="n">
        <x:v>85.59</x:v>
      </x:c>
      <x:c r="M919" s="13" t="str">
        <x:v>Pago com atraso</x:v>
      </x:c>
      <x:c r="N919" s="13" t="str">
        <x:v>Régua automática</x:v>
      </x:c>
      <x:c r="O919" s="13" t="str">
        <x:v>Pico do descontrole</x:v>
      </x:c>
      <x:c r="P919" s="17" t="n">
        <x:f>IF(D919="",0,J919-K919+L919)</x:f>
        <x:v>26420.71</x:v>
      </x:c>
      <x:c r="Q919" s="17" t="n">
        <x:f>MAX(J919-P919-K919,0)</x:f>
        <x:v>0</x:v>
      </x:c>
      <x:c r="R919" s="13" t="n">
        <x:f>IF(D919="",MAX(TODAY()-C919,0),MAX(D919-C919,0))</x:f>
        <x:v>5</x:v>
      </x:c>
      <x:c r="S919" s="13" t="str">
        <x:f>IF(R919=0,"Em dia",IF(R919&lt;=15,"1-15 dias",IF(R919&lt;=30,"16-30 dias",IF(R919&lt;=60,"31-60 dias","Acima de 60 dias"))))</x:f>
        <x:v>1-15 dias</x:v>
      </x:c>
    </x:row>
    <x:row r="920">
      <x:c r="A920" s="13" t="str">
        <x:v>REC-000919</x:v>
      </x:c>
      <x:c r="B920" s="23" t="n">
        <x:v>45751</x:v>
      </x:c>
      <x:c r="C920" s="23" t="n">
        <x:v>45772</x:v>
      </x:c>
      <x:c r="D920" s="23" t="n">
        <x:v>45769</x:v>
      </x:c>
      <x:c r="E920" s="13" t="str">
        <x:v>VAL-001</x:v>
      </x:c>
      <x:c r="F920" s="13" t="str">
        <x:v>Clínica Horizonte</x:v>
      </x:c>
      <x:c r="G920" s="13" t="str">
        <x:v>Clínicas e Saúde</x:v>
      </x:c>
      <x:c r="H920" s="13" t="str">
        <x:v>Baixo</x:v>
      </x:c>
      <x:c r="I920" s="13" t="str">
        <x:v>Essencial</x:v>
      </x:c>
      <x:c r="J920" s="17" t="n">
        <x:v>10915.13</x:v>
      </x:c>
      <x:c r="K920" s="17" t="n">
        <x:v>0</x:v>
      </x:c>
      <x:c r="L920" s="17" t="n">
        <x:v>0</x:v>
      </x:c>
      <x:c r="M920" s="13" t="str">
        <x:v>Pago</x:v>
      </x:c>
      <x:c r="N920" s="13" t="str">
        <x:v>Sem cobrança</x:v>
      </x:c>
      <x:c r="O920" s="13" t="str">
        <x:v>Pico do descontrole</x:v>
      </x:c>
      <x:c r="P920" s="17" t="n">
        <x:f>IF(D920="",0,J920-K920+L920)</x:f>
        <x:v>10915.13</x:v>
      </x:c>
      <x:c r="Q920" s="17" t="n">
        <x:f>MAX(J920-P920-K920,0)</x:f>
        <x:v>0</x:v>
      </x:c>
      <x:c r="R920" s="13" t="n">
        <x:f>IF(D920="",MAX(TODAY()-C920,0),MAX(D920-C920,0))</x:f>
        <x:v>0</x:v>
      </x:c>
      <x:c r="S920" s="13" t="str">
        <x:f>IF(R920=0,"Em dia",IF(R920&lt;=15,"1-15 dias",IF(R920&lt;=30,"16-30 dias",IF(R920&lt;=60,"31-60 dias","Acima de 60 dias"))))</x:f>
        <x:v>Em dia</x:v>
      </x:c>
    </x:row>
    <x:row r="921">
      <x:c r="A921" s="13" t="str">
        <x:v>REC-000920</x:v>
      </x:c>
      <x:c r="B921" s="23" t="n">
        <x:v>45755</x:v>
      </x:c>
      <x:c r="C921" s="23" t="n">
        <x:v>45770</x:v>
      </x:c>
      <x:c r="D921" s="23" t="n">
        <x:v>45781</x:v>
      </x:c>
      <x:c r="E921" s="13" t="str">
        <x:v>VAL-029</x:v>
      </x:c>
      <x:c r="F921" s="13" t="str">
        <x:v>Planobra Serviços</x:v>
      </x:c>
      <x:c r="G921" s="13" t="str">
        <x:v>Construção</x:v>
      </x:c>
      <x:c r="H921" s="13" t="str">
        <x:v>Baixo</x:v>
      </x:c>
      <x:c r="I921" s="13" t="str">
        <x:v>Essencial</x:v>
      </x:c>
      <x:c r="J921" s="17" t="n">
        <x:v>14291.26</x:v>
      </x:c>
      <x:c r="K921" s="17" t="n">
        <x:v>0</x:v>
      </x:c>
      <x:c r="L921" s="17" t="n">
        <x:v>102.18</x:v>
      </x:c>
      <x:c r="M921" s="13" t="str">
        <x:v>Pago com atraso</x:v>
      </x:c>
      <x:c r="N921" s="13" t="str">
        <x:v>Régua automática</x:v>
      </x:c>
      <x:c r="O921" s="13" t="str">
        <x:v>Pico do descontrole</x:v>
      </x:c>
      <x:c r="P921" s="17" t="n">
        <x:f>IF(D921="",0,J921-K921+L921)</x:f>
        <x:v>14393.44</x:v>
      </x:c>
      <x:c r="Q921" s="17" t="n">
        <x:f>MAX(J921-P921-K921,0)</x:f>
        <x:v>0</x:v>
      </x:c>
      <x:c r="R921" s="13" t="n">
        <x:f>IF(D921="",MAX(TODAY()-C921,0),MAX(D921-C921,0))</x:f>
        <x:v>11</x:v>
      </x:c>
      <x:c r="S921" s="13" t="str">
        <x:f>IF(R921=0,"Em dia",IF(R921&lt;=15,"1-15 dias",IF(R921&lt;=30,"16-30 dias",IF(R921&lt;=60,"31-60 dias","Acima de 60 dias"))))</x:f>
        <x:v>1-15 dias</x:v>
      </x:c>
    </x:row>
    <x:row r="922">
      <x:c r="A922" s="13" t="str">
        <x:v>REC-000921</x:v>
      </x:c>
      <x:c r="B922" s="23" t="n">
        <x:v>45752</x:v>
      </x:c>
      <x:c r="C922" s="23" t="n">
        <x:v>45759</x:v>
      </x:c>
      <x:c r="D922" s="23" t="n">
        <x:v>45755</x:v>
      </x:c>
      <x:c r="E922" s="13" t="str">
        <x:v>VAL-009</x:v>
      </x:c>
      <x:c r="F922" s="13" t="str">
        <x:v>Odonto Prime</x:v>
      </x:c>
      <x:c r="G922" s="13" t="str">
        <x:v>Clínicas e Saúde</x:v>
      </x:c>
      <x:c r="H922" s="13" t="str">
        <x:v>Médio</x:v>
      </x:c>
      <x:c r="I922" s="13" t="str">
        <x:v>Essencial</x:v>
      </x:c>
      <x:c r="J922" s="17" t="n">
        <x:v>11220.41</x:v>
      </x:c>
      <x:c r="K922" s="17" t="n">
        <x:v>0</x:v>
      </x:c>
      <x:c r="L922" s="17" t="n">
        <x:v>0</x:v>
      </x:c>
      <x:c r="M922" s="13" t="str">
        <x:v>Pago</x:v>
      </x:c>
      <x:c r="N922" s="13" t="str">
        <x:v>Sem cobrança</x:v>
      </x:c>
      <x:c r="O922" s="13" t="str">
        <x:v>Pico do descontrole</x:v>
      </x:c>
      <x:c r="P922" s="17" t="n">
        <x:f>IF(D922="",0,J922-K922+L922)</x:f>
        <x:v>11220.41</x:v>
      </x:c>
      <x:c r="Q922" s="17" t="n">
        <x:f>MAX(J922-P922-K922,0)</x:f>
        <x:v>0</x:v>
      </x:c>
      <x:c r="R922" s="13" t="n">
        <x:f>IF(D922="",MAX(TODAY()-C922,0),MAX(D922-C922,0))</x:f>
        <x:v>0</x:v>
      </x:c>
      <x:c r="S922" s="13" t="str">
        <x:f>IF(R922=0,"Em dia",IF(R922&lt;=15,"1-15 dias",IF(R922&lt;=30,"16-30 dias",IF(R922&lt;=60,"31-60 dias","Acima de 60 dias"))))</x:f>
        <x:v>Em dia</x:v>
      </x:c>
    </x:row>
    <x:row r="923">
      <x:c r="A923" s="13" t="str">
        <x:v>REC-000922</x:v>
      </x:c>
      <x:c r="B923" s="23" t="n">
        <x:v>45759</x:v>
      </x:c>
      <x:c r="C923" s="23" t="n">
        <x:v>45787</x:v>
      </x:c>
      <x:c r="D923" s="23" t="n">
        <x:v>45783</x:v>
      </x:c>
      <x:c r="E923" s="13" t="str">
        <x:v>VAL-022</x:v>
      </x:c>
      <x:c r="F923" s="13" t="str">
        <x:v>Academia Evoluir</x:v>
      </x:c>
      <x:c r="G923" s="13" t="str">
        <x:v>Educação</x:v>
      </x:c>
      <x:c r="H923" s="13" t="str">
        <x:v>Alto</x:v>
      </x:c>
      <x:c r="I923" s="13" t="str">
        <x:v>Gestão</x:v>
      </x:c>
      <x:c r="J923" s="17" t="n">
        <x:v>12482.22</x:v>
      </x:c>
      <x:c r="K923" s="17" t="n">
        <x:v>0</x:v>
      </x:c>
      <x:c r="L923" s="17" t="n">
        <x:v>0</x:v>
      </x:c>
      <x:c r="M923" s="13" t="str">
        <x:v>Pago</x:v>
      </x:c>
      <x:c r="N923" s="13" t="str">
        <x:v>Sem cobrança</x:v>
      </x:c>
      <x:c r="O923" s="13" t="str">
        <x:v>Pico do descontrole</x:v>
      </x:c>
      <x:c r="P923" s="17" t="n">
        <x:f>IF(D923="",0,J923-K923+L923)</x:f>
        <x:v>12482.22</x:v>
      </x:c>
      <x:c r="Q923" s="17" t="n">
        <x:f>MAX(J923-P923-K923,0)</x:f>
        <x:v>0</x:v>
      </x:c>
      <x:c r="R923" s="13" t="n">
        <x:f>IF(D923="",MAX(TODAY()-C923,0),MAX(D923-C923,0))</x:f>
        <x:v>0</x:v>
      </x:c>
      <x:c r="S923" s="13" t="str">
        <x:f>IF(R923=0,"Em dia",IF(R923&lt;=15,"1-15 dias",IF(R923&lt;=30,"16-30 dias",IF(R923&lt;=60,"31-60 dias","Acima de 60 dias"))))</x:f>
        <x:v>Em dia</x:v>
      </x:c>
    </x:row>
    <x:row r="924">
      <x:c r="A924" s="13" t="str">
        <x:v>REC-000923</x:v>
      </x:c>
      <x:c r="B924" s="23" t="n">
        <x:v>45766</x:v>
      </x:c>
      <x:c r="C924" s="23" t="n">
        <x:v>45773</x:v>
      </x:c>
      <x:c r="D924" s="23" t="n">
        <x:v>45770</x:v>
      </x:c>
      <x:c r="E924" s="13" t="str">
        <x:v>VAL-029</x:v>
      </x:c>
      <x:c r="F924" s="13" t="str">
        <x:v>Planobra Serviços</x:v>
      </x:c>
      <x:c r="G924" s="13" t="str">
        <x:v>Construção</x:v>
      </x:c>
      <x:c r="H924" s="13" t="str">
        <x:v>Baixo</x:v>
      </x:c>
      <x:c r="I924" s="13" t="str">
        <x:v>Essencial</x:v>
      </x:c>
      <x:c r="J924" s="17" t="n">
        <x:v>2948.14</x:v>
      </x:c>
      <x:c r="K924" s="17" t="n">
        <x:v>0</x:v>
      </x:c>
      <x:c r="L924" s="17" t="n">
        <x:v>0</x:v>
      </x:c>
      <x:c r="M924" s="13" t="str">
        <x:v>Pago</x:v>
      </x:c>
      <x:c r="N924" s="13" t="str">
        <x:v>Sem cobrança</x:v>
      </x:c>
      <x:c r="O924" s="13" t="str">
        <x:v>Pico do descontrole</x:v>
      </x:c>
      <x:c r="P924" s="17" t="n">
        <x:f>IF(D924="",0,J924-K924+L924)</x:f>
        <x:v>2948.14</x:v>
      </x:c>
      <x:c r="Q924" s="17" t="n">
        <x:f>MAX(J924-P924-K924,0)</x:f>
        <x:v>0</x:v>
      </x:c>
      <x:c r="R924" s="13" t="n">
        <x:f>IF(D924="",MAX(TODAY()-C924,0),MAX(D924-C924,0))</x:f>
        <x:v>0</x:v>
      </x:c>
      <x:c r="S924" s="13" t="str">
        <x:f>IF(R924=0,"Em dia",IF(R924&lt;=15,"1-15 dias",IF(R924&lt;=30,"16-30 dias",IF(R924&lt;=60,"31-60 dias","Acima de 60 dias"))))</x:f>
        <x:v>Em dia</x:v>
      </x:c>
    </x:row>
    <x:row r="925">
      <x:c r="A925" s="13" t="str">
        <x:v>REC-000924</x:v>
      </x:c>
      <x:c r="B925" s="23" t="n">
        <x:v>45765</x:v>
      </x:c>
      <x:c r="C925" s="23" t="n">
        <x:v>45780</x:v>
      </x:c>
      <x:c r="D925" s="23" t="n">
        <x:v>45811</x:v>
      </x:c>
      <x:c r="E925" s="13" t="str">
        <x:v>VAL-012</x:v>
      </x:c>
      <x:c r="F925" s="13" t="str">
        <x:v>DataFlow Sistemas</x:v>
      </x:c>
      <x:c r="G925" s="13" t="str">
        <x:v>Tecnologia</x:v>
      </x:c>
      <x:c r="H925" s="13" t="str">
        <x:v>Médio</x:v>
      </x:c>
      <x:c r="I925" s="13" t="str">
        <x:v>Enterprise</x:v>
      </x:c>
      <x:c r="J925" s="17" t="n">
        <x:v>11893.03</x:v>
      </x:c>
      <x:c r="K925" s="17" t="n">
        <x:v>0</x:v>
      </x:c>
      <x:c r="L925" s="17" t="n">
        <x:v>239.64</x:v>
      </x:c>
      <x:c r="M925" s="13" t="str">
        <x:v>Pago com atraso</x:v>
      </x:c>
      <x:c r="N925" s="13" t="str">
        <x:v>WhatsApp</x:v>
      </x:c>
      <x:c r="O925" s="13" t="str">
        <x:v>Pico do descontrole</x:v>
      </x:c>
      <x:c r="P925" s="17" t="n">
        <x:f>IF(D925="",0,J925-K925+L925)</x:f>
        <x:v>12132.67</x:v>
      </x:c>
      <x:c r="Q925" s="17" t="n">
        <x:f>MAX(J925-P925-K925,0)</x:f>
        <x:v>0</x:v>
      </x:c>
      <x:c r="R925" s="13" t="n">
        <x:f>IF(D925="",MAX(TODAY()-C925,0),MAX(D925-C925,0))</x:f>
        <x:v>31</x:v>
      </x:c>
      <x:c r="S925" s="13" t="str">
        <x:f>IF(R925=0,"Em dia",IF(R925&lt;=15,"1-15 dias",IF(R925&lt;=30,"16-30 dias",IF(R925&lt;=60,"31-60 dias","Acima de 60 dias"))))</x:f>
        <x:v>31-60 dias</x:v>
      </x:c>
    </x:row>
    <x:row r="926">
      <x:c r="A926" s="13" t="str">
        <x:v>REC-000925</x:v>
      </x:c>
      <x:c r="B926" s="23" t="n">
        <x:v>45757</x:v>
      </x:c>
      <x:c r="C926" s="23" t="n">
        <x:v>45785</x:v>
      </x:c>
      <x:c r="D926" s="23" t="n">
        <x:v>45781</x:v>
      </x:c>
      <x:c r="E926" s="13" t="str">
        <x:v>VAL-002</x:v>
      </x:c>
      <x:c r="F926" s="13" t="str">
        <x:v>Mendes &amp; Prado Consultoria</x:v>
      </x:c>
      <x:c r="G926" s="13" t="str">
        <x:v>Serviços Profissionais</x:v>
      </x:c>
      <x:c r="H926" s="13" t="str">
        <x:v>Baixo</x:v>
      </x:c>
      <x:c r="I926" s="13" t="str">
        <x:v>Gestão</x:v>
      </x:c>
      <x:c r="J926" s="17" t="n">
        <x:v>26350.93</x:v>
      </x:c>
      <x:c r="K926" s="17" t="n">
        <x:v>0</x:v>
      </x:c>
      <x:c r="L926" s="17" t="n">
        <x:v>0</x:v>
      </x:c>
      <x:c r="M926" s="13" t="str">
        <x:v>Pago</x:v>
      </x:c>
      <x:c r="N926" s="13" t="str">
        <x:v>Sem cobrança</x:v>
      </x:c>
      <x:c r="O926" s="13" t="str">
        <x:v>Pico do descontrole</x:v>
      </x:c>
      <x:c r="P926" s="17" t="n">
        <x:f>IF(D926="",0,J926-K926+L926)</x:f>
        <x:v>26350.93</x:v>
      </x:c>
      <x:c r="Q926" s="17" t="n">
        <x:f>MAX(J926-P926-K926,0)</x:f>
        <x:v>0</x:v>
      </x:c>
      <x:c r="R926" s="13" t="n">
        <x:f>IF(D926="",MAX(TODAY()-C926,0),MAX(D926-C926,0))</x:f>
        <x:v>0</x:v>
      </x:c>
      <x:c r="S926" s="13" t="str">
        <x:f>IF(R926=0,"Em dia",IF(R926&lt;=15,"1-15 dias",IF(R926&lt;=30,"16-30 dias",IF(R926&lt;=60,"31-60 dias","Acima de 60 dias"))))</x:f>
        <x:v>Em dia</x:v>
      </x:c>
    </x:row>
    <x:row r="927">
      <x:c r="A927" s="13" t="str">
        <x:v>REC-000926</x:v>
      </x:c>
      <x:c r="B927" s="23" t="n">
        <x:v>45766</x:v>
      </x:c>
      <x:c r="C927" s="23" t="n">
        <x:v>45796</x:v>
      </x:c>
      <x:c r="D927" s="23" t="n">
        <x:v>45792</x:v>
      </x:c>
      <x:c r="E927" s="13" t="str">
        <x:v>VAL-015</x:v>
      </x:c>
      <x:c r="F927" s="13" t="str">
        <x:v>Mercado Click</x:v>
      </x:c>
      <x:c r="G927" s="13" t="str">
        <x:v>E-commerce</x:v>
      </x:c>
      <x:c r="H927" s="13" t="str">
        <x:v>Baixo</x:v>
      </x:c>
      <x:c r="I927" s="13" t="str">
        <x:v>Performance</x:v>
      </x:c>
      <x:c r="J927" s="17" t="n">
        <x:v>17373.24</x:v>
      </x:c>
      <x:c r="K927" s="17" t="n">
        <x:v>0</x:v>
      </x:c>
      <x:c r="L927" s="17" t="n">
        <x:v>0</x:v>
      </x:c>
      <x:c r="M927" s="13" t="str">
        <x:v>Pago</x:v>
      </x:c>
      <x:c r="N927" s="13" t="str">
        <x:v>Sem cobrança</x:v>
      </x:c>
      <x:c r="O927" s="13" t="str">
        <x:v>Pico do descontrole</x:v>
      </x:c>
      <x:c r="P927" s="17" t="n">
        <x:f>IF(D927="",0,J927-K927+L927)</x:f>
        <x:v>17373.24</x:v>
      </x:c>
      <x:c r="Q927" s="17" t="n">
        <x:f>MAX(J927-P927-K927,0)</x:f>
        <x:v>0</x:v>
      </x:c>
      <x:c r="R927" s="13" t="n">
        <x:f>IF(D927="",MAX(TODAY()-C927,0),MAX(D927-C927,0))</x:f>
        <x:v>0</x:v>
      </x:c>
      <x:c r="S927" s="13" t="str">
        <x:f>IF(R927=0,"Em dia",IF(R927&lt;=15,"1-15 dias",IF(R927&lt;=30,"16-30 dias",IF(R927&lt;=60,"31-60 dias","Acima de 60 dias"))))</x:f>
        <x:v>Em dia</x:v>
      </x:c>
    </x:row>
    <x:row r="928">
      <x:c r="A928" s="13" t="str">
        <x:v>REC-000927</x:v>
      </x:c>
      <x:c r="B928" s="23" t="n">
        <x:v>45767</x:v>
      </x:c>
      <x:c r="C928" s="23" t="n">
        <x:v>45782</x:v>
      </x:c>
      <x:c r="D928" s="23" t="n">
        <x:v>45781</x:v>
      </x:c>
      <x:c r="E928" s="13" t="str">
        <x:v>VAL-018</x:v>
      </x:c>
      <x:c r="F928" s="13" t="str">
        <x:v>Ponto Legal Advocacia</x:v>
      </x:c>
      <x:c r="G928" s="13" t="str">
        <x:v>Serviços Profissionais</x:v>
      </x:c>
      <x:c r="H928" s="13" t="str">
        <x:v>Baixo</x:v>
      </x:c>
      <x:c r="I928" s="13" t="str">
        <x:v>Gestão</x:v>
      </x:c>
      <x:c r="J928" s="17" t="n">
        <x:v>10196.07</x:v>
      </x:c>
      <x:c r="K928" s="17" t="n">
        <x:v>0</x:v>
      </x:c>
      <x:c r="L928" s="17" t="n">
        <x:v>0</x:v>
      </x:c>
      <x:c r="M928" s="13" t="str">
        <x:v>Pago</x:v>
      </x:c>
      <x:c r="N928" s="13" t="str">
        <x:v>Sem cobrança</x:v>
      </x:c>
      <x:c r="O928" s="13" t="str">
        <x:v>Pico do descontrole</x:v>
      </x:c>
      <x:c r="P928" s="17" t="n">
        <x:f>IF(D928="",0,J928-K928+L928)</x:f>
        <x:v>10196.07</x:v>
      </x:c>
      <x:c r="Q928" s="17" t="n">
        <x:f>MAX(J928-P928-K928,0)</x:f>
        <x:v>0</x:v>
      </x:c>
      <x:c r="R928" s="13" t="n">
        <x:f>IF(D928="",MAX(TODAY()-C928,0),MAX(D928-C928,0))</x:f>
        <x:v>0</x:v>
      </x:c>
      <x:c r="S928" s="13" t="str">
        <x:f>IF(R928=0,"Em dia",IF(R928&lt;=15,"1-15 dias",IF(R928&lt;=30,"16-30 dias",IF(R928&lt;=60,"31-60 dias","Acima de 60 dias"))))</x:f>
        <x:v>Em dia</x:v>
      </x:c>
    </x:row>
    <x:row r="929">
      <x:c r="A929" s="13" t="str">
        <x:v>REC-000928</x:v>
      </x:c>
      <x:c r="B929" s="23" t="n">
        <x:v>45763</x:v>
      </x:c>
      <x:c r="C929" s="23" t="n">
        <x:v>45791</x:v>
      </x:c>
      <x:c r="D929" s="23"/>
      <x:c r="E929" s="13" t="str">
        <x:v>VAL-011</x:v>
      </x:c>
      <x:c r="F929" s="13" t="str">
        <x:v>Rede Essencial</x:v>
      </x:c>
      <x:c r="G929" s="13" t="str">
        <x:v>Varejo</x:v>
      </x:c>
      <x:c r="H929" s="13" t="str">
        <x:v>Médio</x:v>
      </x:c>
      <x:c r="I929" s="13" t="str">
        <x:v>Performance</x:v>
      </x:c>
      <x:c r="J929" s="17" t="n">
        <x:v>8338.45</x:v>
      </x:c>
      <x:c r="K929" s="17" t="n">
        <x:v>0</x:v>
      </x:c>
      <x:c r="L929" s="17" t="n">
        <x:v>0</x:v>
      </x:c>
      <x:c r="M929" s="13" t="str">
        <x:v>Em aberto</x:v>
      </x:c>
      <x:c r="N929" s="13" t="str">
        <x:v>Telefone</x:v>
      </x:c>
      <x:c r="O929" s="13" t="str">
        <x:v>Pico do descontrole</x:v>
      </x:c>
      <x:c r="P929" s="17" t="n">
        <x:f>IF(D929="",0,J929-K929+L929)</x:f>
        <x:v>0</x:v>
      </x:c>
      <x:c r="Q929" s="17" t="n">
        <x:f>MAX(J929-P929-K929,0)</x:f>
        <x:v>8338.45</x:v>
      </x:c>
      <x:c r="R929" s="13" t="n">
        <x:f>IF(D929="",MAX(TODAY()-C929,0),MAX(D929-C929,0))</x:f>
        <x:v>422</x:v>
      </x:c>
      <x:c r="S929" s="13" t="str">
        <x:f>IF(R929=0,"Em dia",IF(R929&lt;=15,"1-15 dias",IF(R929&lt;=30,"16-30 dias",IF(R929&lt;=60,"31-60 dias","Acima de 60 dias"))))</x:f>
        <x:v>Acima de 60 dias</x:v>
      </x:c>
    </x:row>
    <x:row r="930">
      <x:c r="A930" s="13" t="str">
        <x:v>REC-000929</x:v>
      </x:c>
      <x:c r="B930" s="23" t="n">
        <x:v>45748</x:v>
      </x:c>
      <x:c r="C930" s="23" t="n">
        <x:v>45776</x:v>
      </x:c>
      <x:c r="D930" s="23" t="n">
        <x:v>45781</x:v>
      </x:c>
      <x:c r="E930" s="13" t="str">
        <x:v>VAL-001</x:v>
      </x:c>
      <x:c r="F930" s="13" t="str">
        <x:v>Clínica Horizonte</x:v>
      </x:c>
      <x:c r="G930" s="13" t="str">
        <x:v>Clínicas e Saúde</x:v>
      </x:c>
      <x:c r="H930" s="13" t="str">
        <x:v>Baixo</x:v>
      </x:c>
      <x:c r="I930" s="13" t="str">
        <x:v>Essencial</x:v>
      </x:c>
      <x:c r="J930" s="17" t="n">
        <x:v>11033.56</x:v>
      </x:c>
      <x:c r="K930" s="17" t="n">
        <x:v>0</x:v>
      </x:c>
      <x:c r="L930" s="17" t="n">
        <x:v>35.86</x:v>
      </x:c>
      <x:c r="M930" s="13" t="str">
        <x:v>Pago com atraso</x:v>
      </x:c>
      <x:c r="N930" s="13" t="str">
        <x:v>Telefone</x:v>
      </x:c>
      <x:c r="O930" s="13" t="str">
        <x:v>Pico do descontrole</x:v>
      </x:c>
      <x:c r="P930" s="17" t="n">
        <x:f>IF(D930="",0,J930-K930+L930)</x:f>
        <x:v>11069.42</x:v>
      </x:c>
      <x:c r="Q930" s="17" t="n">
        <x:f>MAX(J930-P930-K930,0)</x:f>
        <x:v>0</x:v>
      </x:c>
      <x:c r="R930" s="13" t="n">
        <x:f>IF(D930="",MAX(TODAY()-C930,0),MAX(D930-C930,0))</x:f>
        <x:v>5</x:v>
      </x:c>
      <x:c r="S930" s="13" t="str">
        <x:f>IF(R930=0,"Em dia",IF(R930&lt;=15,"1-15 dias",IF(R930&lt;=30,"16-30 dias",IF(R930&lt;=60,"31-60 dias","Acima de 60 dias"))))</x:f>
        <x:v>1-15 dias</x:v>
      </x:c>
    </x:row>
    <x:row r="931">
      <x:c r="A931" s="13" t="str">
        <x:v>REC-000930</x:v>
      </x:c>
      <x:c r="B931" s="23" t="n">
        <x:v>45756</x:v>
      </x:c>
      <x:c r="C931" s="23" t="n">
        <x:v>45777</x:v>
      </x:c>
      <x:c r="D931" s="23" t="n">
        <x:v>45774</x:v>
      </x:c>
      <x:c r="E931" s="13" t="str">
        <x:v>VAL-002</x:v>
      </x:c>
      <x:c r="F931" s="13" t="str">
        <x:v>Mendes &amp; Prado Consultoria</x:v>
      </x:c>
      <x:c r="G931" s="13" t="str">
        <x:v>Serviços Profissionais</x:v>
      </x:c>
      <x:c r="H931" s="13" t="str">
        <x:v>Baixo</x:v>
      </x:c>
      <x:c r="I931" s="13" t="str">
        <x:v>Gestão</x:v>
      </x:c>
      <x:c r="J931" s="17" t="n">
        <x:v>5522.15</x:v>
      </x:c>
      <x:c r="K931" s="17" t="n">
        <x:v>0</x:v>
      </x:c>
      <x:c r="L931" s="17" t="n">
        <x:v>0</x:v>
      </x:c>
      <x:c r="M931" s="13" t="str">
        <x:v>Pago</x:v>
      </x:c>
      <x:c r="N931" s="13" t="str">
        <x:v>Sem cobrança</x:v>
      </x:c>
      <x:c r="O931" s="13" t="str">
        <x:v>Pico do descontrole</x:v>
      </x:c>
      <x:c r="P931" s="17" t="n">
        <x:f>IF(D931="",0,J931-K931+L931)</x:f>
        <x:v>5522.15</x:v>
      </x:c>
      <x:c r="Q931" s="17" t="n">
        <x:f>MAX(J931-P931-K931,0)</x:f>
        <x:v>0</x:v>
      </x:c>
      <x:c r="R931" s="13" t="n">
        <x:f>IF(D931="",MAX(TODAY()-C931,0),MAX(D931-C931,0))</x:f>
        <x:v>0</x:v>
      </x:c>
      <x:c r="S931" s="13" t="str">
        <x:f>IF(R931=0,"Em dia",IF(R931&lt;=15,"1-15 dias",IF(R931&lt;=30,"16-30 dias",IF(R931&lt;=60,"31-60 dias","Acima de 60 dias"))))</x:f>
        <x:v>Em dia</x:v>
      </x:c>
    </x:row>
    <x:row r="932">
      <x:c r="A932" s="13" t="str">
        <x:v>REC-000931</x:v>
      </x:c>
      <x:c r="B932" s="23" t="n">
        <x:v>45750</x:v>
      </x:c>
      <x:c r="C932" s="23" t="n">
        <x:v>45780</x:v>
      </x:c>
      <x:c r="D932" s="23" t="n">
        <x:v>45825</x:v>
      </x:c>
      <x:c r="E932" s="13" t="str">
        <x:v>VAL-026</x:v>
      </x:c>
      <x:c r="F932" s="13" t="str">
        <x:v>Ribeiro Arquitetura</x:v>
      </x:c>
      <x:c r="G932" s="13" t="str">
        <x:v>Serviços Profissionais</x:v>
      </x:c>
      <x:c r="H932" s="13" t="str">
        <x:v>Baixo</x:v>
      </x:c>
      <x:c r="I932" s="13" t="str">
        <x:v>Gestão</x:v>
      </x:c>
      <x:c r="J932" s="17" t="n">
        <x:v>13118.4</x:v>
      </x:c>
      <x:c r="K932" s="17" t="n">
        <x:v>0</x:v>
      </x:c>
      <x:c r="L932" s="17" t="n">
        <x:v>327.96</x:v>
      </x:c>
      <x:c r="M932" s="13" t="str">
        <x:v>Pago com atraso</x:v>
      </x:c>
      <x:c r="N932" s="13" t="str">
        <x:v>E-mail</x:v>
      </x:c>
      <x:c r="O932" s="13" t="str">
        <x:v>Pico do descontrole</x:v>
      </x:c>
      <x:c r="P932" s="17" t="n">
        <x:f>IF(D932="",0,J932-K932+L932)</x:f>
        <x:v>13446.359999999999</x:v>
      </x:c>
      <x:c r="Q932" s="17" t="n">
        <x:f>MAX(J932-P932-K932,0)</x:f>
        <x:v>0</x:v>
      </x:c>
      <x:c r="R932" s="13" t="n">
        <x:f>IF(D932="",MAX(TODAY()-C932,0),MAX(D932-C932,0))</x:f>
        <x:v>45</x:v>
      </x:c>
      <x:c r="S932" s="13" t="str">
        <x:f>IF(R932=0,"Em dia",IF(R932&lt;=15,"1-15 dias",IF(R932&lt;=30,"16-30 dias",IF(R932&lt;=60,"31-60 dias","Acima de 60 dias"))))</x:f>
        <x:v>31-60 dias</x:v>
      </x:c>
    </x:row>
    <x:row r="933">
      <x:c r="A933" s="13" t="str">
        <x:v>REC-000932</x:v>
      </x:c>
      <x:c r="B933" s="23" t="n">
        <x:v>45763</x:v>
      </x:c>
      <x:c r="C933" s="23" t="n">
        <x:v>45778</x:v>
      </x:c>
      <x:c r="D933" s="23" t="n">
        <x:v>45778</x:v>
      </x:c>
      <x:c r="E933" s="13" t="str">
        <x:v>VAL-009</x:v>
      </x:c>
      <x:c r="F933" s="13" t="str">
        <x:v>Odonto Prime</x:v>
      </x:c>
      <x:c r="G933" s="13" t="str">
        <x:v>Clínicas e Saúde</x:v>
      </x:c>
      <x:c r="H933" s="13" t="str">
        <x:v>Médio</x:v>
      </x:c>
      <x:c r="I933" s="13" t="str">
        <x:v>Essencial</x:v>
      </x:c>
      <x:c r="J933" s="17" t="n">
        <x:v>5787.23</x:v>
      </x:c>
      <x:c r="K933" s="17" t="n">
        <x:v>0</x:v>
      </x:c>
      <x:c r="L933" s="17" t="n">
        <x:v>0</x:v>
      </x:c>
      <x:c r="M933" s="13" t="str">
        <x:v>Pago</x:v>
      </x:c>
      <x:c r="N933" s="13" t="str">
        <x:v>Sem cobrança</x:v>
      </x:c>
      <x:c r="O933" s="13" t="str">
        <x:v>Pico do descontrole</x:v>
      </x:c>
      <x:c r="P933" s="17" t="n">
        <x:f>IF(D933="",0,J933-K933+L933)</x:f>
        <x:v>5787.23</x:v>
      </x:c>
      <x:c r="Q933" s="17" t="n">
        <x:f>MAX(J933-P933-K933,0)</x:f>
        <x:v>0</x:v>
      </x:c>
      <x:c r="R933" s="13" t="n">
        <x:f>IF(D933="",MAX(TODAY()-C933,0),MAX(D933-C933,0))</x:f>
        <x:v>0</x:v>
      </x:c>
      <x:c r="S933" s="13" t="str">
        <x:f>IF(R933=0,"Em dia",IF(R933&lt;=15,"1-15 dias",IF(R933&lt;=30,"16-30 dias",IF(R933&lt;=60,"31-60 dias","Acima de 60 dias"))))</x:f>
        <x:v>Em dia</x:v>
      </x:c>
    </x:row>
    <x:row r="934">
      <x:c r="A934" s="13" t="str">
        <x:v>REC-000933</x:v>
      </x:c>
      <x:c r="B934" s="23" t="n">
        <x:v>45767</x:v>
      </x:c>
      <x:c r="C934" s="23" t="n">
        <x:v>45797</x:v>
      </x:c>
      <x:c r="D934" s="23" t="n">
        <x:v>45794</x:v>
      </x:c>
      <x:c r="E934" s="13" t="str">
        <x:v>VAL-010</x:v>
      </x:c>
      <x:c r="F934" s="13" t="str">
        <x:v>Atlas Contabilidade</x:v>
      </x:c>
      <x:c r="G934" s="13" t="str">
        <x:v>Serviços Profissionais</x:v>
      </x:c>
      <x:c r="H934" s="13" t="str">
        <x:v>Baixo</x:v>
      </x:c>
      <x:c r="I934" s="13" t="str">
        <x:v>Gestão</x:v>
      </x:c>
      <x:c r="J934" s="17" t="n">
        <x:v>5662.85</x:v>
      </x:c>
      <x:c r="K934" s="17" t="n">
        <x:v>47.78</x:v>
      </x:c>
      <x:c r="L934" s="17" t="n">
        <x:v>0</x:v>
      </x:c>
      <x:c r="M934" s="13" t="str">
        <x:v>Pago</x:v>
      </x:c>
      <x:c r="N934" s="13" t="str">
        <x:v>Sem cobrança</x:v>
      </x:c>
      <x:c r="O934" s="13" t="str">
        <x:v>Pico do descontrole</x:v>
      </x:c>
      <x:c r="P934" s="17" t="n">
        <x:f>IF(D934="",0,J934-K934+L934)</x:f>
        <x:v>5615.070000000001</x:v>
      </x:c>
      <x:c r="Q934" s="17" t="n">
        <x:f>MAX(J934-P934-K934,0)</x:f>
        <x:v>0</x:v>
      </x:c>
      <x:c r="R934" s="13" t="n">
        <x:f>IF(D934="",MAX(TODAY()-C934,0),MAX(D934-C934,0))</x:f>
        <x:v>0</x:v>
      </x:c>
      <x:c r="S934" s="13" t="str">
        <x:f>IF(R934=0,"Em dia",IF(R934&lt;=15,"1-15 dias",IF(R934&lt;=30,"16-30 dias",IF(R934&lt;=60,"31-60 dias","Acima de 60 dias"))))</x:f>
        <x:v>Em dia</x:v>
      </x:c>
    </x:row>
    <x:row r="935">
      <x:c r="A935" s="13" t="str">
        <x:v>REC-000934</x:v>
      </x:c>
      <x:c r="B935" s="23" t="n">
        <x:v>45749</x:v>
      </x:c>
      <x:c r="C935" s="23" t="n">
        <x:v>45764</x:v>
      </x:c>
      <x:c r="D935" s="23" t="n">
        <x:v>45760</x:v>
      </x:c>
      <x:c r="E935" s="13" t="str">
        <x:v>VAL-010</x:v>
      </x:c>
      <x:c r="F935" s="13" t="str">
        <x:v>Atlas Contabilidade</x:v>
      </x:c>
      <x:c r="G935" s="13" t="str">
        <x:v>Serviços Profissionais</x:v>
      </x:c>
      <x:c r="H935" s="13" t="str">
        <x:v>Baixo</x:v>
      </x:c>
      <x:c r="I935" s="13" t="str">
        <x:v>Gestão</x:v>
      </x:c>
      <x:c r="J935" s="17" t="n">
        <x:v>8833.36</x:v>
      </x:c>
      <x:c r="K935" s="17" t="n">
        <x:v>0</x:v>
      </x:c>
      <x:c r="L935" s="17" t="n">
        <x:v>0</x:v>
      </x:c>
      <x:c r="M935" s="13" t="str">
        <x:v>Pago</x:v>
      </x:c>
      <x:c r="N935" s="13" t="str">
        <x:v>Sem cobrança</x:v>
      </x:c>
      <x:c r="O935" s="13" t="str">
        <x:v>Pico do descontrole</x:v>
      </x:c>
      <x:c r="P935" s="17" t="n">
        <x:f>IF(D935="",0,J935-K935+L935)</x:f>
        <x:v>8833.36</x:v>
      </x:c>
      <x:c r="Q935" s="17" t="n">
        <x:f>MAX(J935-P935-K935,0)</x:f>
        <x:v>0</x:v>
      </x:c>
      <x:c r="R935" s="13" t="n">
        <x:f>IF(D935="",MAX(TODAY()-C935,0),MAX(D935-C935,0))</x:f>
        <x:v>0</x:v>
      </x:c>
      <x:c r="S935" s="13" t="str">
        <x:f>IF(R935=0,"Em dia",IF(R935&lt;=15,"1-15 dias",IF(R935&lt;=30,"16-30 dias",IF(R935&lt;=60,"31-60 dias","Acima de 60 dias"))))</x:f>
        <x:v>Em dia</x:v>
      </x:c>
    </x:row>
    <x:row r="936">
      <x:c r="A936" s="13" t="str">
        <x:v>REC-000935</x:v>
      </x:c>
      <x:c r="B936" s="23" t="n">
        <x:v>45758</x:v>
      </x:c>
      <x:c r="C936" s="23" t="n">
        <x:v>45779</x:v>
      </x:c>
      <x:c r="D936" s="23" t="n">
        <x:v>45775</x:v>
      </x:c>
      <x:c r="E936" s="13" t="str">
        <x:v>VAL-005</x:v>
      </x:c>
      <x:c r="F936" s="13" t="str">
        <x:v>Construtora Alameda</x:v>
      </x:c>
      <x:c r="G936" s="13" t="str">
        <x:v>Construção</x:v>
      </x:c>
      <x:c r="H936" s="13" t="str">
        <x:v>Médio</x:v>
      </x:c>
      <x:c r="I936" s="13" t="str">
        <x:v>Essencial</x:v>
      </x:c>
      <x:c r="J936" s="17" t="n">
        <x:v>15809.83</x:v>
      </x:c>
      <x:c r="K936" s="17" t="n">
        <x:v>107.94</x:v>
      </x:c>
      <x:c r="L936" s="17" t="n">
        <x:v>0</x:v>
      </x:c>
      <x:c r="M936" s="13" t="str">
        <x:v>Pago</x:v>
      </x:c>
      <x:c r="N936" s="13" t="str">
        <x:v>Sem cobrança</x:v>
      </x:c>
      <x:c r="O936" s="13" t="str">
        <x:v>Pico do descontrole</x:v>
      </x:c>
      <x:c r="P936" s="17" t="n">
        <x:f>IF(D936="",0,J936-K936+L936)</x:f>
        <x:v>15701.89</x:v>
      </x:c>
      <x:c r="Q936" s="17" t="n">
        <x:f>MAX(J936-P936-K936,0)</x:f>
        <x:v>5.115907697472721e-13</x:v>
      </x:c>
      <x:c r="R936" s="13" t="n">
        <x:f>IF(D936="",MAX(TODAY()-C936,0),MAX(D936-C936,0))</x:f>
        <x:v>0</x:v>
      </x:c>
      <x:c r="S936" s="13" t="str">
        <x:f>IF(R936=0,"Em dia",IF(R936&lt;=15,"1-15 dias",IF(R936&lt;=30,"16-30 dias",IF(R936&lt;=60,"31-60 dias","Acima de 60 dias"))))</x:f>
        <x:v>Em dia</x:v>
      </x:c>
    </x:row>
    <x:row r="937">
      <x:c r="A937" s="13" t="str">
        <x:v>REC-000936</x:v>
      </x:c>
      <x:c r="B937" s="23" t="n">
        <x:v>45766</x:v>
      </x:c>
      <x:c r="C937" s="23" t="n">
        <x:v>45794</x:v>
      </x:c>
      <x:c r="D937" s="23" t="n">
        <x:v>45790</x:v>
      </x:c>
      <x:c r="E937" s="13" t="str">
        <x:v>VAL-011</x:v>
      </x:c>
      <x:c r="F937" s="13" t="str">
        <x:v>Rede Essencial</x:v>
      </x:c>
      <x:c r="G937" s="13" t="str">
        <x:v>Varejo</x:v>
      </x:c>
      <x:c r="H937" s="13" t="str">
        <x:v>Médio</x:v>
      </x:c>
      <x:c r="I937" s="13" t="str">
        <x:v>Performance</x:v>
      </x:c>
      <x:c r="J937" s="17" t="n">
        <x:v>16088.71</x:v>
      </x:c>
      <x:c r="K937" s="17" t="n">
        <x:v>0</x:v>
      </x:c>
      <x:c r="L937" s="17" t="n">
        <x:v>0</x:v>
      </x:c>
      <x:c r="M937" s="13" t="str">
        <x:v>Pago</x:v>
      </x:c>
      <x:c r="N937" s="13" t="str">
        <x:v>Sem cobrança</x:v>
      </x:c>
      <x:c r="O937" s="13" t="str">
        <x:v>Pico do descontrole</x:v>
      </x:c>
      <x:c r="P937" s="17" t="n">
        <x:f>IF(D937="",0,J937-K937+L937)</x:f>
        <x:v>16088.71</x:v>
      </x:c>
      <x:c r="Q937" s="17" t="n">
        <x:f>MAX(J937-P937-K937,0)</x:f>
        <x:v>0</x:v>
      </x:c>
      <x:c r="R937" s="13" t="n">
        <x:f>IF(D937="",MAX(TODAY()-C937,0),MAX(D937-C937,0))</x:f>
        <x:v>0</x:v>
      </x:c>
      <x:c r="S937" s="13" t="str">
        <x:f>IF(R937=0,"Em dia",IF(R937&lt;=15,"1-15 dias",IF(R937&lt;=30,"16-30 dias",IF(R937&lt;=60,"31-60 dias","Acima de 60 dias"))))</x:f>
        <x:v>Em dia</x:v>
      </x:c>
    </x:row>
    <x:row r="938">
      <x:c r="A938" s="13" t="str">
        <x:v>REC-000937</x:v>
      </x:c>
      <x:c r="B938" s="23" t="n">
        <x:v>45758</x:v>
      </x:c>
      <x:c r="C938" s="23" t="n">
        <x:v>45779</x:v>
      </x:c>
      <x:c r="D938" s="23" t="n">
        <x:v>45777</x:v>
      </x:c>
      <x:c r="E938" s="13" t="str">
        <x:v>VAL-030</x:v>
      </x:c>
      <x:c r="F938" s="13" t="str">
        <x:v>Mundo Kids Cursos</x:v>
      </x:c>
      <x:c r="G938" s="13" t="str">
        <x:v>Educação</x:v>
      </x:c>
      <x:c r="H938" s="13" t="str">
        <x:v>Alto</x:v>
      </x:c>
      <x:c r="I938" s="13" t="str">
        <x:v>Gestão</x:v>
      </x:c>
      <x:c r="J938" s="17" t="n">
        <x:v>12041.31</x:v>
      </x:c>
      <x:c r="K938" s="17" t="n">
        <x:v>0</x:v>
      </x:c>
      <x:c r="L938" s="17" t="n">
        <x:v>0</x:v>
      </x:c>
      <x:c r="M938" s="13" t="str">
        <x:v>Pago</x:v>
      </x:c>
      <x:c r="N938" s="13" t="str">
        <x:v>Sem cobrança</x:v>
      </x:c>
      <x:c r="O938" s="13" t="str">
        <x:v>Pico do descontrole</x:v>
      </x:c>
      <x:c r="P938" s="17" t="n">
        <x:f>IF(D938="",0,J938-K938+L938)</x:f>
        <x:v>12041.31</x:v>
      </x:c>
      <x:c r="Q938" s="17" t="n">
        <x:f>MAX(J938-P938-K938,0)</x:f>
        <x:v>0</x:v>
      </x:c>
      <x:c r="R938" s="13" t="n">
        <x:f>IF(D938="",MAX(TODAY()-C938,0),MAX(D938-C938,0))</x:f>
        <x:v>0</x:v>
      </x:c>
      <x:c r="S938" s="13" t="str">
        <x:f>IF(R938=0,"Em dia",IF(R938&lt;=15,"1-15 dias",IF(R938&lt;=30,"16-30 dias",IF(R938&lt;=60,"31-60 dias","Acima de 60 dias"))))</x:f>
        <x:v>Em dia</x:v>
      </x:c>
    </x:row>
    <x:row r="939">
      <x:c r="A939" s="13" t="str">
        <x:v>REC-000938</x:v>
      </x:c>
      <x:c r="B939" s="23" t="n">
        <x:v>45751</x:v>
      </x:c>
      <x:c r="C939" s="23" t="n">
        <x:v>45758</x:v>
      </x:c>
      <x:c r="D939" s="23" t="n">
        <x:v>45757</x:v>
      </x:c>
      <x:c r="E939" s="13" t="str">
        <x:v>VAL-014</x:v>
      </x:c>
      <x:c r="F939" s="13" t="str">
        <x:v>Colégio Caminhos</x:v>
      </x:c>
      <x:c r="G939" s="13" t="str">
        <x:v>Educação</x:v>
      </x:c>
      <x:c r="H939" s="13" t="str">
        <x:v>Médio</x:v>
      </x:c>
      <x:c r="I939" s="13" t="str">
        <x:v>Gestão</x:v>
      </x:c>
      <x:c r="J939" s="17" t="n">
        <x:v>14767.86</x:v>
      </x:c>
      <x:c r="K939" s="17" t="n">
        <x:v>0</x:v>
      </x:c>
      <x:c r="L939" s="17" t="n">
        <x:v>0</x:v>
      </x:c>
      <x:c r="M939" s="13" t="str">
        <x:v>Pago</x:v>
      </x:c>
      <x:c r="N939" s="13" t="str">
        <x:v>Sem cobrança</x:v>
      </x:c>
      <x:c r="O939" s="13" t="str">
        <x:v>Pico do descontrole</x:v>
      </x:c>
      <x:c r="P939" s="17" t="n">
        <x:f>IF(D939="",0,J939-K939+L939)</x:f>
        <x:v>14767.86</x:v>
      </x:c>
      <x:c r="Q939" s="17" t="n">
        <x:f>MAX(J939-P939-K939,0)</x:f>
        <x:v>0</x:v>
      </x:c>
      <x:c r="R939" s="13" t="n">
        <x:f>IF(D939="",MAX(TODAY()-C939,0),MAX(D939-C939,0))</x:f>
        <x:v>0</x:v>
      </x:c>
      <x:c r="S939" s="13" t="str">
        <x:f>IF(R939=0,"Em dia",IF(R939&lt;=15,"1-15 dias",IF(R939&lt;=30,"16-30 dias",IF(R939&lt;=60,"31-60 dias","Acima de 60 dias"))))</x:f>
        <x:v>Em dia</x:v>
      </x:c>
    </x:row>
    <x:row r="940">
      <x:c r="A940" s="13" t="str">
        <x:v>REC-000939</x:v>
      </x:c>
      <x:c r="B940" s="23" t="n">
        <x:v>45758</x:v>
      </x:c>
      <x:c r="C940" s="23" t="n">
        <x:v>45765</x:v>
      </x:c>
      <x:c r="D940" s="23" t="n">
        <x:v>45761</x:v>
      </x:c>
      <x:c r="E940" s="13" t="str">
        <x:v>VAL-014</x:v>
      </x:c>
      <x:c r="F940" s="13" t="str">
        <x:v>Colégio Caminhos</x:v>
      </x:c>
      <x:c r="G940" s="13" t="str">
        <x:v>Educação</x:v>
      </x:c>
      <x:c r="H940" s="13" t="str">
        <x:v>Médio</x:v>
      </x:c>
      <x:c r="I940" s="13" t="str">
        <x:v>Gestão</x:v>
      </x:c>
      <x:c r="J940" s="17" t="n">
        <x:v>12542.55</x:v>
      </x:c>
      <x:c r="K940" s="17" t="n">
        <x:v>0</x:v>
      </x:c>
      <x:c r="L940" s="17" t="n">
        <x:v>0</x:v>
      </x:c>
      <x:c r="M940" s="13" t="str">
        <x:v>Pago</x:v>
      </x:c>
      <x:c r="N940" s="13" t="str">
        <x:v>Sem cobrança</x:v>
      </x:c>
      <x:c r="O940" s="13" t="str">
        <x:v>Pico do descontrole</x:v>
      </x:c>
      <x:c r="P940" s="17" t="n">
        <x:f>IF(D940="",0,J940-K940+L940)</x:f>
        <x:v>12542.55</x:v>
      </x:c>
      <x:c r="Q940" s="17" t="n">
        <x:f>MAX(J940-P940-K940,0)</x:f>
        <x:v>0</x:v>
      </x:c>
      <x:c r="R940" s="13" t="n">
        <x:f>IF(D940="",MAX(TODAY()-C940,0),MAX(D940-C940,0))</x:f>
        <x:v>0</x:v>
      </x:c>
      <x:c r="S940" s="13" t="str">
        <x:f>IF(R940=0,"Em dia",IF(R940&lt;=15,"1-15 dias",IF(R940&lt;=30,"16-30 dias",IF(R940&lt;=60,"31-60 dias","Acima de 60 dias"))))</x:f>
        <x:v>Em dia</x:v>
      </x:c>
    </x:row>
    <x:row r="941">
      <x:c r="A941" s="13" t="str">
        <x:v>REC-000940</x:v>
      </x:c>
      <x:c r="B941" s="23" t="n">
        <x:v>45760</x:v>
      </x:c>
      <x:c r="C941" s="23" t="n">
        <x:v>45775</x:v>
      </x:c>
      <x:c r="D941" s="23" t="n">
        <x:v>45775</x:v>
      </x:c>
      <x:c r="E941" s="13" t="str">
        <x:v>VAL-025</x:v>
      </x:c>
      <x:c r="F941" s="13" t="str">
        <x:v>Bem-Estar Terapias</x:v>
      </x:c>
      <x:c r="G941" s="13" t="str">
        <x:v>Clínicas e Saúde</x:v>
      </x:c>
      <x:c r="H941" s="13" t="str">
        <x:v>Baixo</x:v>
      </x:c>
      <x:c r="I941" s="13" t="str">
        <x:v>Essencial</x:v>
      </x:c>
      <x:c r="J941" s="17" t="n">
        <x:v>15803.27</x:v>
      </x:c>
      <x:c r="K941" s="17" t="n">
        <x:v>0</x:v>
      </x:c>
      <x:c r="L941" s="17" t="n">
        <x:v>0</x:v>
      </x:c>
      <x:c r="M941" s="13" t="str">
        <x:v>Pago</x:v>
      </x:c>
      <x:c r="N941" s="13" t="str">
        <x:v>Sem cobrança</x:v>
      </x:c>
      <x:c r="O941" s="13" t="str">
        <x:v>Pico do descontrole</x:v>
      </x:c>
      <x:c r="P941" s="17" t="n">
        <x:f>IF(D941="",0,J941-K941+L941)</x:f>
        <x:v>15803.27</x:v>
      </x:c>
      <x:c r="Q941" s="17" t="n">
        <x:f>MAX(J941-P941-K941,0)</x:f>
        <x:v>0</x:v>
      </x:c>
      <x:c r="R941" s="13" t="n">
        <x:f>IF(D941="",MAX(TODAY()-C941,0),MAX(D941-C941,0))</x:f>
        <x:v>0</x:v>
      </x:c>
      <x:c r="S941" s="13" t="str">
        <x:f>IF(R941=0,"Em dia",IF(R941&lt;=15,"1-15 dias",IF(R941&lt;=30,"16-30 dias",IF(R941&lt;=60,"31-60 dias","Acima de 60 dias"))))</x:f>
        <x:v>Em dia</x:v>
      </x:c>
    </x:row>
    <x:row r="942">
      <x:c r="A942" s="13" t="str">
        <x:v>REC-000941</x:v>
      </x:c>
      <x:c r="B942" s="23" t="n">
        <x:v>45759</x:v>
      </x:c>
      <x:c r="C942" s="23" t="n">
        <x:v>45787</x:v>
      </x:c>
      <x:c r="D942" s="23" t="n">
        <x:v>45786</x:v>
      </x:c>
      <x:c r="E942" s="13" t="str">
        <x:v>VAL-029</x:v>
      </x:c>
      <x:c r="F942" s="13" t="str">
        <x:v>Planobra Serviços</x:v>
      </x:c>
      <x:c r="G942" s="13" t="str">
        <x:v>Construção</x:v>
      </x:c>
      <x:c r="H942" s="13" t="str">
        <x:v>Baixo</x:v>
      </x:c>
      <x:c r="I942" s="13" t="str">
        <x:v>Essencial</x:v>
      </x:c>
      <x:c r="J942" s="17" t="n">
        <x:v>12276.51</x:v>
      </x:c>
      <x:c r="K942" s="17" t="n">
        <x:v>0</x:v>
      </x:c>
      <x:c r="L942" s="17" t="n">
        <x:v>0</x:v>
      </x:c>
      <x:c r="M942" s="13" t="str">
        <x:v>Pago</x:v>
      </x:c>
      <x:c r="N942" s="13" t="str">
        <x:v>Sem cobrança</x:v>
      </x:c>
      <x:c r="O942" s="13" t="str">
        <x:v>Pico do descontrole</x:v>
      </x:c>
      <x:c r="P942" s="17" t="n">
        <x:f>IF(D942="",0,J942-K942+L942)</x:f>
        <x:v>12276.51</x:v>
      </x:c>
      <x:c r="Q942" s="17" t="n">
        <x:f>MAX(J942-P942-K942,0)</x:f>
        <x:v>0</x:v>
      </x:c>
      <x:c r="R942" s="13" t="n">
        <x:f>IF(D942="",MAX(TODAY()-C942,0),MAX(D942-C942,0))</x:f>
        <x:v>0</x:v>
      </x:c>
      <x:c r="S942" s="13" t="str">
        <x:f>IF(R942=0,"Em dia",IF(R942&lt;=15,"1-15 dias",IF(R942&lt;=30,"16-30 dias",IF(R942&lt;=60,"31-60 dias","Acima de 60 dias"))))</x:f>
        <x:v>Em dia</x:v>
      </x:c>
    </x:row>
    <x:row r="943">
      <x:c r="A943" s="13" t="str">
        <x:v>REC-000942</x:v>
      </x:c>
      <x:c r="B943" s="23" t="n">
        <x:v>45760</x:v>
      </x:c>
      <x:c r="C943" s="23" t="n">
        <x:v>45767</x:v>
      </x:c>
      <x:c r="D943" s="23" t="n">
        <x:v>45767</x:v>
      </x:c>
      <x:c r="E943" s="13" t="str">
        <x:v>VAL-020</x:v>
      </x:c>
      <x:c r="F943" s="13" t="str">
        <x:v>Corelink Digital</x:v>
      </x:c>
      <x:c r="G943" s="13" t="str">
        <x:v>Tecnologia</x:v>
      </x:c>
      <x:c r="H943" s="13" t="str">
        <x:v>Baixo</x:v>
      </x:c>
      <x:c r="I943" s="13" t="str">
        <x:v>Enterprise</x:v>
      </x:c>
      <x:c r="J943" s="17" t="n">
        <x:v>27359.57</x:v>
      </x:c>
      <x:c r="K943" s="17" t="n">
        <x:v>383.19</x:v>
      </x:c>
      <x:c r="L943" s="17" t="n">
        <x:v>0</x:v>
      </x:c>
      <x:c r="M943" s="13" t="str">
        <x:v>Pago</x:v>
      </x:c>
      <x:c r="N943" s="13" t="str">
        <x:v>Sem cobrança</x:v>
      </x:c>
      <x:c r="O943" s="13" t="str">
        <x:v>Pico do descontrole</x:v>
      </x:c>
      <x:c r="P943" s="17" t="n">
        <x:f>IF(D943="",0,J943-K943+L943)</x:f>
        <x:v>26976.38</x:v>
      </x:c>
      <x:c r="Q943" s="17" t="n">
        <x:f>MAX(J943-P943-K943,0)</x:f>
        <x:v>0</x:v>
      </x:c>
      <x:c r="R943" s="13" t="n">
        <x:f>IF(D943="",MAX(TODAY()-C943,0),MAX(D943-C943,0))</x:f>
        <x:v>0</x:v>
      </x:c>
      <x:c r="S943" s="13" t="str">
        <x:f>IF(R943=0,"Em dia",IF(R943&lt;=15,"1-15 dias",IF(R943&lt;=30,"16-30 dias",IF(R943&lt;=60,"31-60 dias","Acima de 60 dias"))))</x:f>
        <x:v>Em dia</x:v>
      </x:c>
    </x:row>
    <x:row r="944">
      <x:c r="A944" s="13" t="str">
        <x:v>REC-000943</x:v>
      </x:c>
      <x:c r="B944" s="23" t="n">
        <x:v>45750</x:v>
      </x:c>
      <x:c r="C944" s="23" t="n">
        <x:v>45771</x:v>
      </x:c>
      <x:c r="D944" s="23" t="n">
        <x:v>45770</x:v>
      </x:c>
      <x:c r="E944" s="13" t="str">
        <x:v>VAL-025</x:v>
      </x:c>
      <x:c r="F944" s="13" t="str">
        <x:v>Bem-Estar Terapias</x:v>
      </x:c>
      <x:c r="G944" s="13" t="str">
        <x:v>Clínicas e Saúde</x:v>
      </x:c>
      <x:c r="H944" s="13" t="str">
        <x:v>Baixo</x:v>
      </x:c>
      <x:c r="I944" s="13" t="str">
        <x:v>Essencial</x:v>
      </x:c>
      <x:c r="J944" s="17" t="n">
        <x:v>6943.11</x:v>
      </x:c>
      <x:c r="K944" s="17" t="n">
        <x:v>0</x:v>
      </x:c>
      <x:c r="L944" s="17" t="n">
        <x:v>0</x:v>
      </x:c>
      <x:c r="M944" s="13" t="str">
        <x:v>Pago</x:v>
      </x:c>
      <x:c r="N944" s="13" t="str">
        <x:v>Sem cobrança</x:v>
      </x:c>
      <x:c r="O944" s="13" t="str">
        <x:v>Pico do descontrole</x:v>
      </x:c>
      <x:c r="P944" s="17" t="n">
        <x:f>IF(D944="",0,J944-K944+L944)</x:f>
        <x:v>6943.11</x:v>
      </x:c>
      <x:c r="Q944" s="17" t="n">
        <x:f>MAX(J944-P944-K944,0)</x:f>
        <x:v>0</x:v>
      </x:c>
      <x:c r="R944" s="13" t="n">
        <x:f>IF(D944="",MAX(TODAY()-C944,0),MAX(D944-C944,0))</x:f>
        <x:v>0</x:v>
      </x:c>
      <x:c r="S944" s="13" t="str">
        <x:f>IF(R944=0,"Em dia",IF(R944&lt;=15,"1-15 dias",IF(R944&lt;=30,"16-30 dias",IF(R944&lt;=60,"31-60 dias","Acima de 60 dias"))))</x:f>
        <x:v>Em dia</x:v>
      </x:c>
    </x:row>
    <x:row r="945">
      <x:c r="A945" s="13" t="str">
        <x:v>REC-000944</x:v>
      </x:c>
      <x:c r="B945" s="23" t="n">
        <x:v>45755</x:v>
      </x:c>
      <x:c r="C945" s="23" t="n">
        <x:v>45762</x:v>
      </x:c>
      <x:c r="D945" s="23" t="n">
        <x:v>45759</x:v>
      </x:c>
      <x:c r="E945" s="13" t="str">
        <x:v>VAL-013</x:v>
      </x:c>
      <x:c r="F945" s="13" t="str">
        <x:v>Engenharia Vértice</x:v>
      </x:c>
      <x:c r="G945" s="13" t="str">
        <x:v>Construção</x:v>
      </x:c>
      <x:c r="H945" s="13" t="str">
        <x:v>Baixo</x:v>
      </x:c>
      <x:c r="I945" s="13" t="str">
        <x:v>Essencial</x:v>
      </x:c>
      <x:c r="J945" s="17" t="n">
        <x:v>22607.94</x:v>
      </x:c>
      <x:c r="K945" s="17" t="n">
        <x:v>0</x:v>
      </x:c>
      <x:c r="L945" s="17" t="n">
        <x:v>0</x:v>
      </x:c>
      <x:c r="M945" s="13" t="str">
        <x:v>Pago</x:v>
      </x:c>
      <x:c r="N945" s="13" t="str">
        <x:v>Sem cobrança</x:v>
      </x:c>
      <x:c r="O945" s="13" t="str">
        <x:v>Pico do descontrole</x:v>
      </x:c>
      <x:c r="P945" s="17" t="n">
        <x:f>IF(D945="",0,J945-K945+L945)</x:f>
        <x:v>22607.94</x:v>
      </x:c>
      <x:c r="Q945" s="17" t="n">
        <x:f>MAX(J945-P945-K945,0)</x:f>
        <x:v>0</x:v>
      </x:c>
      <x:c r="R945" s="13" t="n">
        <x:f>IF(D945="",MAX(TODAY()-C945,0),MAX(D945-C945,0))</x:f>
        <x:v>0</x:v>
      </x:c>
      <x:c r="S945" s="13" t="str">
        <x:f>IF(R945=0,"Em dia",IF(R945&lt;=15,"1-15 dias",IF(R945&lt;=30,"16-30 dias",IF(R945&lt;=60,"31-60 dias","Acima de 60 dias"))))</x:f>
        <x:v>Em dia</x:v>
      </x:c>
    </x:row>
    <x:row r="946">
      <x:c r="A946" s="13" t="str">
        <x:v>REC-000945</x:v>
      </x:c>
      <x:c r="B946" s="23" t="n">
        <x:v>45762</x:v>
      </x:c>
      <x:c r="C946" s="23" t="n">
        <x:v>45769</x:v>
      </x:c>
      <x:c r="D946" s="23" t="n">
        <x:v>45768</x:v>
      </x:c>
      <x:c r="E946" s="13" t="str">
        <x:v>VAL-005</x:v>
      </x:c>
      <x:c r="F946" s="13" t="str">
        <x:v>Construtora Alameda</x:v>
      </x:c>
      <x:c r="G946" s="13" t="str">
        <x:v>Construção</x:v>
      </x:c>
      <x:c r="H946" s="13" t="str">
        <x:v>Médio</x:v>
      </x:c>
      <x:c r="I946" s="13" t="str">
        <x:v>Essencial</x:v>
      </x:c>
      <x:c r="J946" s="17" t="n">
        <x:v>11308.41</x:v>
      </x:c>
      <x:c r="K946" s="17" t="n">
        <x:v>0</x:v>
      </x:c>
      <x:c r="L946" s="17" t="n">
        <x:v>0</x:v>
      </x:c>
      <x:c r="M946" s="13" t="str">
        <x:v>Pago</x:v>
      </x:c>
      <x:c r="N946" s="13" t="str">
        <x:v>Sem cobrança</x:v>
      </x:c>
      <x:c r="O946" s="13" t="str">
        <x:v>Pico do descontrole</x:v>
      </x:c>
      <x:c r="P946" s="17" t="n">
        <x:f>IF(D946="",0,J946-K946+L946)</x:f>
        <x:v>11308.41</x:v>
      </x:c>
      <x:c r="Q946" s="17" t="n">
        <x:f>MAX(J946-P946-K946,0)</x:f>
        <x:v>0</x:v>
      </x:c>
      <x:c r="R946" s="13" t="n">
        <x:f>IF(D946="",MAX(TODAY()-C946,0),MAX(D946-C946,0))</x:f>
        <x:v>0</x:v>
      </x:c>
      <x:c r="S946" s="13" t="str">
        <x:f>IF(R946=0,"Em dia",IF(R946&lt;=15,"1-15 dias",IF(R946&lt;=30,"16-30 dias",IF(R946&lt;=60,"31-60 dias","Acima de 60 dias"))))</x:f>
        <x:v>Em dia</x:v>
      </x:c>
    </x:row>
    <x:row r="947">
      <x:c r="A947" s="13" t="str">
        <x:v>REC-000946</x:v>
      </x:c>
      <x:c r="B947" s="23" t="n">
        <x:v>45760</x:v>
      </x:c>
      <x:c r="C947" s="23" t="n">
        <x:v>45788</x:v>
      </x:c>
      <x:c r="D947" s="23" t="n">
        <x:v>45784</x:v>
      </x:c>
      <x:c r="E947" s="13" t="str">
        <x:v>VAL-026</x:v>
      </x:c>
      <x:c r="F947" s="13" t="str">
        <x:v>Ribeiro Arquitetura</x:v>
      </x:c>
      <x:c r="G947" s="13" t="str">
        <x:v>Serviços Profissionais</x:v>
      </x:c>
      <x:c r="H947" s="13" t="str">
        <x:v>Baixo</x:v>
      </x:c>
      <x:c r="I947" s="13" t="str">
        <x:v>Gestão</x:v>
      </x:c>
      <x:c r="J947" s="17" t="n">
        <x:v>12863.64</x:v>
      </x:c>
      <x:c r="K947" s="17" t="n">
        <x:v>0</x:v>
      </x:c>
      <x:c r="L947" s="17" t="n">
        <x:v>0</x:v>
      </x:c>
      <x:c r="M947" s="13" t="str">
        <x:v>Pago</x:v>
      </x:c>
      <x:c r="N947" s="13" t="str">
        <x:v>Sem cobrança</x:v>
      </x:c>
      <x:c r="O947" s="13" t="str">
        <x:v>Pico do descontrole</x:v>
      </x:c>
      <x:c r="P947" s="17" t="n">
        <x:f>IF(D947="",0,J947-K947+L947)</x:f>
        <x:v>12863.64</x:v>
      </x:c>
      <x:c r="Q947" s="17" t="n">
        <x:f>MAX(J947-P947-K947,0)</x:f>
        <x:v>0</x:v>
      </x:c>
      <x:c r="R947" s="13" t="n">
        <x:f>IF(D947="",MAX(TODAY()-C947,0),MAX(D947-C947,0))</x:f>
        <x:v>0</x:v>
      </x:c>
      <x:c r="S947" s="13" t="str">
        <x:f>IF(R947=0,"Em dia",IF(R947&lt;=15,"1-15 dias",IF(R947&lt;=30,"16-30 dias",IF(R947&lt;=60,"31-60 dias","Acima de 60 dias"))))</x:f>
        <x:v>Em dia</x:v>
      </x:c>
    </x:row>
    <x:row r="948">
      <x:c r="A948" s="13" t="str">
        <x:v>REC-000947</x:v>
      </x:c>
      <x:c r="B948" s="23" t="n">
        <x:v>45755</x:v>
      </x:c>
      <x:c r="C948" s="23" t="n">
        <x:v>45770</x:v>
      </x:c>
      <x:c r="D948" s="23"/>
      <x:c r="E948" s="13" t="str">
        <x:v>VAL-002</x:v>
      </x:c>
      <x:c r="F948" s="13" t="str">
        <x:v>Mendes &amp; Prado Consultoria</x:v>
      </x:c>
      <x:c r="G948" s="13" t="str">
        <x:v>Serviços Profissionais</x:v>
      </x:c>
      <x:c r="H948" s="13" t="str">
        <x:v>Baixo</x:v>
      </x:c>
      <x:c r="I948" s="13" t="str">
        <x:v>Gestão</x:v>
      </x:c>
      <x:c r="J948" s="17" t="n">
        <x:v>24804.8</x:v>
      </x:c>
      <x:c r="K948" s="17" t="n">
        <x:v>0</x:v>
      </x:c>
      <x:c r="L948" s="17" t="n">
        <x:v>0</x:v>
      </x:c>
      <x:c r="M948" s="13" t="str">
        <x:v>Em aberto</x:v>
      </x:c>
      <x:c r="N948" s="13" t="str">
        <x:v>Régua automática</x:v>
      </x:c>
      <x:c r="O948" s="13" t="str">
        <x:v>Pico do descontrole</x:v>
      </x:c>
      <x:c r="P948" s="17" t="n">
        <x:f>IF(D948="",0,J948-K948+L948)</x:f>
        <x:v>0</x:v>
      </x:c>
      <x:c r="Q948" s="17" t="n">
        <x:f>MAX(J948-P948-K948,0)</x:f>
        <x:v>24804.8</x:v>
      </x:c>
      <x:c r="R948" s="13" t="n">
        <x:f>IF(D948="",MAX(TODAY()-C948,0),MAX(D948-C948,0))</x:f>
        <x:v>443</x:v>
      </x:c>
      <x:c r="S948" s="13" t="str">
        <x:f>IF(R948=0,"Em dia",IF(R948&lt;=15,"1-15 dias",IF(R948&lt;=30,"16-30 dias",IF(R948&lt;=60,"31-60 dias","Acima de 60 dias"))))</x:f>
        <x:v>Acima de 60 dias</x:v>
      </x:c>
    </x:row>
    <x:row r="949">
      <x:c r="A949" s="13" t="str">
        <x:v>REC-000948</x:v>
      </x:c>
      <x:c r="B949" s="23" t="n">
        <x:v>45758</x:v>
      </x:c>
      <x:c r="C949" s="23" t="n">
        <x:v>45786</x:v>
      </x:c>
      <x:c r="D949" s="23" t="n">
        <x:v>45786</x:v>
      </x:c>
      <x:c r="E949" s="13" t="str">
        <x:v>VAL-012</x:v>
      </x:c>
      <x:c r="F949" s="13" t="str">
        <x:v>DataFlow Sistemas</x:v>
      </x:c>
      <x:c r="G949" s="13" t="str">
        <x:v>Tecnologia</x:v>
      </x:c>
      <x:c r="H949" s="13" t="str">
        <x:v>Médio</x:v>
      </x:c>
      <x:c r="I949" s="13" t="str">
        <x:v>Enterprise</x:v>
      </x:c>
      <x:c r="J949" s="17" t="n">
        <x:v>13809.64</x:v>
      </x:c>
      <x:c r="K949" s="17" t="n">
        <x:v>0</x:v>
      </x:c>
      <x:c r="L949" s="17" t="n">
        <x:v>0</x:v>
      </x:c>
      <x:c r="M949" s="13" t="str">
        <x:v>Pago</x:v>
      </x:c>
      <x:c r="N949" s="13" t="str">
        <x:v>Sem cobrança</x:v>
      </x:c>
      <x:c r="O949" s="13" t="str">
        <x:v>Pico do descontrole</x:v>
      </x:c>
      <x:c r="P949" s="17" t="n">
        <x:f>IF(D949="",0,J949-K949+L949)</x:f>
        <x:v>13809.64</x:v>
      </x:c>
      <x:c r="Q949" s="17" t="n">
        <x:f>MAX(J949-P949-K949,0)</x:f>
        <x:v>0</x:v>
      </x:c>
      <x:c r="R949" s="13" t="n">
        <x:f>IF(D949="",MAX(TODAY()-C949,0),MAX(D949-C949,0))</x:f>
        <x:v>0</x:v>
      </x:c>
      <x:c r="S949" s="13" t="str">
        <x:f>IF(R949=0,"Em dia",IF(R949&lt;=15,"1-15 dias",IF(R949&lt;=30,"16-30 dias",IF(R949&lt;=60,"31-60 dias","Acima de 60 dias"))))</x:f>
        <x:v>Em dia</x:v>
      </x:c>
    </x:row>
    <x:row r="950">
      <x:c r="A950" s="13" t="str">
        <x:v>REC-000949</x:v>
      </x:c>
      <x:c r="B950" s="23" t="n">
        <x:v>45766</x:v>
      </x:c>
      <x:c r="C950" s="23" t="n">
        <x:v>45796</x:v>
      </x:c>
      <x:c r="D950" s="23" t="n">
        <x:v>45792</x:v>
      </x:c>
      <x:c r="E950" s="13" t="str">
        <x:v>VAL-010</x:v>
      </x:c>
      <x:c r="F950" s="13" t="str">
        <x:v>Atlas Contabilidade</x:v>
      </x:c>
      <x:c r="G950" s="13" t="str">
        <x:v>Serviços Profissionais</x:v>
      </x:c>
      <x:c r="H950" s="13" t="str">
        <x:v>Baixo</x:v>
      </x:c>
      <x:c r="I950" s="13" t="str">
        <x:v>Gestão</x:v>
      </x:c>
      <x:c r="J950" s="17" t="n">
        <x:v>8543.94</x:v>
      </x:c>
      <x:c r="K950" s="17" t="n">
        <x:v>0</x:v>
      </x:c>
      <x:c r="L950" s="17" t="n">
        <x:v>0</x:v>
      </x:c>
      <x:c r="M950" s="13" t="str">
        <x:v>Pago</x:v>
      </x:c>
      <x:c r="N950" s="13" t="str">
        <x:v>Sem cobrança</x:v>
      </x:c>
      <x:c r="O950" s="13" t="str">
        <x:v>Pico do descontrole</x:v>
      </x:c>
      <x:c r="P950" s="17" t="n">
        <x:f>IF(D950="",0,J950-K950+L950)</x:f>
        <x:v>8543.94</x:v>
      </x:c>
      <x:c r="Q950" s="17" t="n">
        <x:f>MAX(J950-P950-K950,0)</x:f>
        <x:v>0</x:v>
      </x:c>
      <x:c r="R950" s="13" t="n">
        <x:f>IF(D950="",MAX(TODAY()-C950,0),MAX(D950-C950,0))</x:f>
        <x:v>0</x:v>
      </x:c>
      <x:c r="S950" s="13" t="str">
        <x:f>IF(R950=0,"Em dia",IF(R950&lt;=15,"1-15 dias",IF(R950&lt;=30,"16-30 dias",IF(R950&lt;=60,"31-60 dias","Acima de 60 dias"))))</x:f>
        <x:v>Em dia</x:v>
      </x:c>
    </x:row>
    <x:row r="951">
      <x:c r="A951" s="13" t="str">
        <x:v>REC-000950</x:v>
      </x:c>
      <x:c r="B951" s="23" t="n">
        <x:v>45765</x:v>
      </x:c>
      <x:c r="C951" s="23" t="n">
        <x:v>45795</x:v>
      </x:c>
      <x:c r="D951" s="23" t="n">
        <x:v>45795</x:v>
      </x:c>
      <x:c r="E951" s="13" t="str">
        <x:v>VAL-002</x:v>
      </x:c>
      <x:c r="F951" s="13" t="str">
        <x:v>Mendes &amp; Prado Consultoria</x:v>
      </x:c>
      <x:c r="G951" s="13" t="str">
        <x:v>Serviços Profissionais</x:v>
      </x:c>
      <x:c r="H951" s="13" t="str">
        <x:v>Baixo</x:v>
      </x:c>
      <x:c r="I951" s="13" t="str">
        <x:v>Gestão</x:v>
      </x:c>
      <x:c r="J951" s="17" t="n">
        <x:v>1633.84</x:v>
      </x:c>
      <x:c r="K951" s="17" t="n">
        <x:v>0</x:v>
      </x:c>
      <x:c r="L951" s="17" t="n">
        <x:v>0</x:v>
      </x:c>
      <x:c r="M951" s="13" t="str">
        <x:v>Pago</x:v>
      </x:c>
      <x:c r="N951" s="13" t="str">
        <x:v>Sem cobrança</x:v>
      </x:c>
      <x:c r="O951" s="13" t="str">
        <x:v>Pico do descontrole</x:v>
      </x:c>
      <x:c r="P951" s="17" t="n">
        <x:f>IF(D951="",0,J951-K951+L951)</x:f>
        <x:v>1633.84</x:v>
      </x:c>
      <x:c r="Q951" s="17" t="n">
        <x:f>MAX(J951-P951-K951,0)</x:f>
        <x:v>0</x:v>
      </x:c>
      <x:c r="R951" s="13" t="n">
        <x:f>IF(D951="",MAX(TODAY()-C951,0),MAX(D951-C951,0))</x:f>
        <x:v>0</x:v>
      </x:c>
      <x:c r="S951" s="13" t="str">
        <x:f>IF(R951=0,"Em dia",IF(R951&lt;=15,"1-15 dias",IF(R951&lt;=30,"16-30 dias",IF(R951&lt;=60,"31-60 dias","Acima de 60 dias"))))</x:f>
        <x:v>Em dia</x:v>
      </x:c>
    </x:row>
    <x:row r="952">
      <x:c r="A952" s="13" t="str">
        <x:v>REC-000951</x:v>
      </x:c>
      <x:c r="B952" s="23" t="n">
        <x:v>45754</x:v>
      </x:c>
      <x:c r="C952" s="23" t="n">
        <x:v>45761</x:v>
      </x:c>
      <x:c r="D952" s="23" t="n">
        <x:v>45761</x:v>
      </x:c>
      <x:c r="E952" s="13" t="str">
        <x:v>VAL-030</x:v>
      </x:c>
      <x:c r="F952" s="13" t="str">
        <x:v>Mundo Kids Cursos</x:v>
      </x:c>
      <x:c r="G952" s="13" t="str">
        <x:v>Educação</x:v>
      </x:c>
      <x:c r="H952" s="13" t="str">
        <x:v>Alto</x:v>
      </x:c>
      <x:c r="I952" s="13" t="str">
        <x:v>Gestão</x:v>
      </x:c>
      <x:c r="J952" s="17" t="n">
        <x:v>23511.42</x:v>
      </x:c>
      <x:c r="K952" s="17" t="n">
        <x:v>0</x:v>
      </x:c>
      <x:c r="L952" s="17" t="n">
        <x:v>0</x:v>
      </x:c>
      <x:c r="M952" s="13" t="str">
        <x:v>Pago</x:v>
      </x:c>
      <x:c r="N952" s="13" t="str">
        <x:v>Sem cobrança</x:v>
      </x:c>
      <x:c r="O952" s="13" t="str">
        <x:v>Pico do descontrole</x:v>
      </x:c>
      <x:c r="P952" s="17" t="n">
        <x:f>IF(D952="",0,J952-K952+L952)</x:f>
        <x:v>23511.42</x:v>
      </x:c>
      <x:c r="Q952" s="17" t="n">
        <x:f>MAX(J952-P952-K952,0)</x:f>
        <x:v>0</x:v>
      </x:c>
      <x:c r="R952" s="13" t="n">
        <x:f>IF(D952="",MAX(TODAY()-C952,0),MAX(D952-C952,0))</x:f>
        <x:v>0</x:v>
      </x:c>
      <x:c r="S952" s="13" t="str">
        <x:f>IF(R952=0,"Em dia",IF(R952&lt;=15,"1-15 dias",IF(R952&lt;=30,"16-30 dias",IF(R952&lt;=60,"31-60 dias","Acima de 60 dias"))))</x:f>
        <x:v>Em dia</x:v>
      </x:c>
    </x:row>
    <x:row r="953">
      <x:c r="A953" s="13" t="str">
        <x:v>REC-000952</x:v>
      </x:c>
      <x:c r="B953" s="23" t="n">
        <x:v>45759</x:v>
      </x:c>
      <x:c r="C953" s="23" t="n">
        <x:v>45787</x:v>
      </x:c>
      <x:c r="D953" s="23" t="n">
        <x:v>45787</x:v>
      </x:c>
      <x:c r="E953" s="13" t="str">
        <x:v>VAL-023</x:v>
      </x:c>
      <x:c r="F953" s="13" t="str">
        <x:v>ShopMix Brasil</x:v>
      </x:c>
      <x:c r="G953" s="13" t="str">
        <x:v>E-commerce</x:v>
      </x:c>
      <x:c r="H953" s="13" t="str">
        <x:v>Baixo</x:v>
      </x:c>
      <x:c r="I953" s="13" t="str">
        <x:v>Performance</x:v>
      </x:c>
      <x:c r="J953" s="17" t="n">
        <x:v>28496.21</x:v>
      </x:c>
      <x:c r="K953" s="17" t="n">
        <x:v>0</x:v>
      </x:c>
      <x:c r="L953" s="17" t="n">
        <x:v>0</x:v>
      </x:c>
      <x:c r="M953" s="13" t="str">
        <x:v>Pago</x:v>
      </x:c>
      <x:c r="N953" s="13" t="str">
        <x:v>Sem cobrança</x:v>
      </x:c>
      <x:c r="O953" s="13" t="str">
        <x:v>Pico do descontrole</x:v>
      </x:c>
      <x:c r="P953" s="17" t="n">
        <x:f>IF(D953="",0,J953-K953+L953)</x:f>
        <x:v>28496.21</x:v>
      </x:c>
      <x:c r="Q953" s="17" t="n">
        <x:f>MAX(J953-P953-K953,0)</x:f>
        <x:v>0</x:v>
      </x:c>
      <x:c r="R953" s="13" t="n">
        <x:f>IF(D953="",MAX(TODAY()-C953,0),MAX(D953-C953,0))</x:f>
        <x:v>0</x:v>
      </x:c>
      <x:c r="S953" s="13" t="str">
        <x:f>IF(R953=0,"Em dia",IF(R953&lt;=15,"1-15 dias",IF(R953&lt;=30,"16-30 dias",IF(R953&lt;=60,"31-60 dias","Acima de 60 dias"))))</x:f>
        <x:v>Em dia</x:v>
      </x:c>
    </x:row>
    <x:row r="954">
      <x:c r="A954" s="13" t="str">
        <x:v>REC-000953</x:v>
      </x:c>
      <x:c r="B954" s="23" t="n">
        <x:v>45761</x:v>
      </x:c>
      <x:c r="C954" s="23" t="n">
        <x:v>45782</x:v>
      </x:c>
      <x:c r="D954" s="23" t="n">
        <x:v>45779</x:v>
      </x:c>
      <x:c r="E954" s="13" t="str">
        <x:v>VAL-015</x:v>
      </x:c>
      <x:c r="F954" s="13" t="str">
        <x:v>Mercado Click</x:v>
      </x:c>
      <x:c r="G954" s="13" t="str">
        <x:v>E-commerce</x:v>
      </x:c>
      <x:c r="H954" s="13" t="str">
        <x:v>Baixo</x:v>
      </x:c>
      <x:c r="I954" s="13" t="str">
        <x:v>Performance</x:v>
      </x:c>
      <x:c r="J954" s="17" t="n">
        <x:v>2719.94</x:v>
      </x:c>
      <x:c r="K954" s="17" t="n">
        <x:v>0</x:v>
      </x:c>
      <x:c r="L954" s="17" t="n">
        <x:v>0</x:v>
      </x:c>
      <x:c r="M954" s="13" t="str">
        <x:v>Pago</x:v>
      </x:c>
      <x:c r="N954" s="13" t="str">
        <x:v>Sem cobrança</x:v>
      </x:c>
      <x:c r="O954" s="13" t="str">
        <x:v>Pico do descontrole</x:v>
      </x:c>
      <x:c r="P954" s="17" t="n">
        <x:f>IF(D954="",0,J954-K954+L954)</x:f>
        <x:v>2719.94</x:v>
      </x:c>
      <x:c r="Q954" s="17" t="n">
        <x:f>MAX(J954-P954-K954,0)</x:f>
        <x:v>0</x:v>
      </x:c>
      <x:c r="R954" s="13" t="n">
        <x:f>IF(D954="",MAX(TODAY()-C954,0),MAX(D954-C954,0))</x:f>
        <x:v>0</x:v>
      </x:c>
      <x:c r="S954" s="13" t="str">
        <x:f>IF(R954=0,"Em dia",IF(R954&lt;=15,"1-15 dias",IF(R954&lt;=30,"16-30 dias",IF(R954&lt;=60,"31-60 dias","Acima de 60 dias"))))</x:f>
        <x:v>Em dia</x:v>
      </x:c>
    </x:row>
    <x:row r="955">
      <x:c r="A955" s="13" t="str">
        <x:v>REC-000954</x:v>
      </x:c>
      <x:c r="B955" s="23" t="n">
        <x:v>45754</x:v>
      </x:c>
      <x:c r="C955" s="23" t="n">
        <x:v>45761</x:v>
      </x:c>
      <x:c r="D955" s="23" t="n">
        <x:v>45757</x:v>
      </x:c>
      <x:c r="E955" s="13" t="str">
        <x:v>VAL-006</x:v>
      </x:c>
      <x:c r="F955" s="13" t="str">
        <x:v>Instituto Saber Mais</x:v>
      </x:c>
      <x:c r="G955" s="13" t="str">
        <x:v>Educação</x:v>
      </x:c>
      <x:c r="H955" s="13" t="str">
        <x:v>Médio</x:v>
      </x:c>
      <x:c r="I955" s="13" t="str">
        <x:v>Gestão</x:v>
      </x:c>
      <x:c r="J955" s="17" t="n">
        <x:v>4103.12</x:v>
      </x:c>
      <x:c r="K955" s="17" t="n">
        <x:v>0</x:v>
      </x:c>
      <x:c r="L955" s="17" t="n">
        <x:v>0</x:v>
      </x:c>
      <x:c r="M955" s="13" t="str">
        <x:v>Pago</x:v>
      </x:c>
      <x:c r="N955" s="13" t="str">
        <x:v>Sem cobrança</x:v>
      </x:c>
      <x:c r="O955" s="13" t="str">
        <x:v>Pico do descontrole</x:v>
      </x:c>
      <x:c r="P955" s="17" t="n">
        <x:f>IF(D955="",0,J955-K955+L955)</x:f>
        <x:v>4103.12</x:v>
      </x:c>
      <x:c r="Q955" s="17" t="n">
        <x:f>MAX(J955-P955-K955,0)</x:f>
        <x:v>0</x:v>
      </x:c>
      <x:c r="R955" s="13" t="n">
        <x:f>IF(D955="",MAX(TODAY()-C955,0),MAX(D955-C955,0))</x:f>
        <x:v>0</x:v>
      </x:c>
      <x:c r="S955" s="13" t="str">
        <x:f>IF(R955=0,"Em dia",IF(R955&lt;=15,"1-15 dias",IF(R955&lt;=30,"16-30 dias",IF(R955&lt;=60,"31-60 dias","Acima de 60 dias"))))</x:f>
        <x:v>Em dia</x:v>
      </x:c>
    </x:row>
    <x:row r="956">
      <x:c r="A956" s="13" t="str">
        <x:v>REC-000955</x:v>
      </x:c>
      <x:c r="B956" s="23" t="n">
        <x:v>45758</x:v>
      </x:c>
      <x:c r="C956" s="23" t="n">
        <x:v>45779</x:v>
      </x:c>
      <x:c r="D956" s="23" t="n">
        <x:v>45776</x:v>
      </x:c>
      <x:c r="E956" s="13" t="str">
        <x:v>VAL-029</x:v>
      </x:c>
      <x:c r="F956" s="13" t="str">
        <x:v>Planobra Serviços</x:v>
      </x:c>
      <x:c r="G956" s="13" t="str">
        <x:v>Construção</x:v>
      </x:c>
      <x:c r="H956" s="13" t="str">
        <x:v>Baixo</x:v>
      </x:c>
      <x:c r="I956" s="13" t="str">
        <x:v>Essencial</x:v>
      </x:c>
      <x:c r="J956" s="17" t="n">
        <x:v>22562.61</x:v>
      </x:c>
      <x:c r="K956" s="17" t="n">
        <x:v>0</x:v>
      </x:c>
      <x:c r="L956" s="17" t="n">
        <x:v>0</x:v>
      </x:c>
      <x:c r="M956" s="13" t="str">
        <x:v>Pago</x:v>
      </x:c>
      <x:c r="N956" s="13" t="str">
        <x:v>Sem cobrança</x:v>
      </x:c>
      <x:c r="O956" s="13" t="str">
        <x:v>Pico do descontrole</x:v>
      </x:c>
      <x:c r="P956" s="17" t="n">
        <x:f>IF(D956="",0,J956-K956+L956)</x:f>
        <x:v>22562.61</x:v>
      </x:c>
      <x:c r="Q956" s="17" t="n">
        <x:f>MAX(J956-P956-K956,0)</x:f>
        <x:v>0</x:v>
      </x:c>
      <x:c r="R956" s="13" t="n">
        <x:f>IF(D956="",MAX(TODAY()-C956,0),MAX(D956-C956,0))</x:f>
        <x:v>0</x:v>
      </x:c>
      <x:c r="S956" s="13" t="str">
        <x:f>IF(R956=0,"Em dia",IF(R956&lt;=15,"1-15 dias",IF(R956&lt;=30,"16-30 dias",IF(R956&lt;=60,"31-60 dias","Acima de 60 dias"))))</x:f>
        <x:v>Em dia</x:v>
      </x:c>
    </x:row>
    <x:row r="957">
      <x:c r="A957" s="13" t="str">
        <x:v>REC-000956</x:v>
      </x:c>
      <x:c r="B957" s="23" t="n">
        <x:v>45749</x:v>
      </x:c>
      <x:c r="C957" s="23" t="n">
        <x:v>45770</x:v>
      </x:c>
      <x:c r="D957" s="23" t="n">
        <x:v>45767</x:v>
      </x:c>
      <x:c r="E957" s="13" t="str">
        <x:v>VAL-004</x:v>
      </x:c>
      <x:c r="F957" s="13" t="str">
        <x:v>NuvemBase Tecnologia</x:v>
      </x:c>
      <x:c r="G957" s="13" t="str">
        <x:v>Tecnologia</x:v>
      </x:c>
      <x:c r="H957" s="13" t="str">
        <x:v>Baixo</x:v>
      </x:c>
      <x:c r="I957" s="13" t="str">
        <x:v>Enterprise</x:v>
      </x:c>
      <x:c r="J957" s="17" t="n">
        <x:v>21850.32</x:v>
      </x:c>
      <x:c r="K957" s="17" t="n">
        <x:v>0</x:v>
      </x:c>
      <x:c r="L957" s="17" t="n">
        <x:v>0</x:v>
      </x:c>
      <x:c r="M957" s="13" t="str">
        <x:v>Pago</x:v>
      </x:c>
      <x:c r="N957" s="13" t="str">
        <x:v>Sem cobrança</x:v>
      </x:c>
      <x:c r="O957" s="13" t="str">
        <x:v>Pico do descontrole</x:v>
      </x:c>
      <x:c r="P957" s="17" t="n">
        <x:f>IF(D957="",0,J957-K957+L957)</x:f>
        <x:v>21850.32</x:v>
      </x:c>
      <x:c r="Q957" s="17" t="n">
        <x:f>MAX(J957-P957-K957,0)</x:f>
        <x:v>0</x:v>
      </x:c>
      <x:c r="R957" s="13" t="n">
        <x:f>IF(D957="",MAX(TODAY()-C957,0),MAX(D957-C957,0))</x:f>
        <x:v>0</x:v>
      </x:c>
      <x:c r="S957" s="13" t="str">
        <x:f>IF(R957=0,"Em dia",IF(R957&lt;=15,"1-15 dias",IF(R957&lt;=30,"16-30 dias",IF(R957&lt;=60,"31-60 dias","Acima de 60 dias"))))</x:f>
        <x:v>Em dia</x:v>
      </x:c>
    </x:row>
    <x:row r="958">
      <x:c r="A958" s="13" t="str">
        <x:v>REC-000957</x:v>
      </x:c>
      <x:c r="B958" s="23" t="n">
        <x:v>45767</x:v>
      </x:c>
      <x:c r="C958" s="23" t="n">
        <x:v>45782</x:v>
      </x:c>
      <x:c r="D958" s="23" t="n">
        <x:v>45782</x:v>
      </x:c>
      <x:c r="E958" s="13" t="str">
        <x:v>VAL-028</x:v>
      </x:c>
      <x:c r="F958" s="13" t="str">
        <x:v>Pixel Norte</x:v>
      </x:c>
      <x:c r="G958" s="13" t="str">
        <x:v>Tecnologia</x:v>
      </x:c>
      <x:c r="H958" s="13" t="str">
        <x:v>Alto</x:v>
      </x:c>
      <x:c r="I958" s="13" t="str">
        <x:v>Enterprise</x:v>
      </x:c>
      <x:c r="J958" s="17" t="n">
        <x:v>12175.68</x:v>
      </x:c>
      <x:c r="K958" s="17" t="n">
        <x:v>0</x:v>
      </x:c>
      <x:c r="L958" s="17" t="n">
        <x:v>0</x:v>
      </x:c>
      <x:c r="M958" s="13" t="str">
        <x:v>Pago</x:v>
      </x:c>
      <x:c r="N958" s="13" t="str">
        <x:v>Sem cobrança</x:v>
      </x:c>
      <x:c r="O958" s="13" t="str">
        <x:v>Pico do descontrole</x:v>
      </x:c>
      <x:c r="P958" s="17" t="n">
        <x:f>IF(D958="",0,J958-K958+L958)</x:f>
        <x:v>12175.68</x:v>
      </x:c>
      <x:c r="Q958" s="17" t="n">
        <x:f>MAX(J958-P958-K958,0)</x:f>
        <x:v>0</x:v>
      </x:c>
      <x:c r="R958" s="13" t="n">
        <x:f>IF(D958="",MAX(TODAY()-C958,0),MAX(D958-C958,0))</x:f>
        <x:v>0</x:v>
      </x:c>
      <x:c r="S958" s="13" t="str">
        <x:f>IF(R958=0,"Em dia",IF(R958&lt;=15,"1-15 dias",IF(R958&lt;=30,"16-30 dias",IF(R958&lt;=60,"31-60 dias","Acima de 60 dias"))))</x:f>
        <x:v>Em dia</x:v>
      </x:c>
    </x:row>
    <x:row r="959">
      <x:c r="A959" s="13" t="str">
        <x:v>REC-000958</x:v>
      </x:c>
      <x:c r="B959" s="23" t="n">
        <x:v>45761</x:v>
      </x:c>
      <x:c r="C959" s="23" t="n">
        <x:v>45768</x:v>
      </x:c>
      <x:c r="D959" s="23" t="n">
        <x:v>45768</x:v>
      </x:c>
      <x:c r="E959" s="13" t="str">
        <x:v>VAL-011</x:v>
      </x:c>
      <x:c r="F959" s="13" t="str">
        <x:v>Rede Essencial</x:v>
      </x:c>
      <x:c r="G959" s="13" t="str">
        <x:v>Varejo</x:v>
      </x:c>
      <x:c r="H959" s="13" t="str">
        <x:v>Médio</x:v>
      </x:c>
      <x:c r="I959" s="13" t="str">
        <x:v>Performance</x:v>
      </x:c>
      <x:c r="J959" s="17" t="n">
        <x:v>5067.98</x:v>
      </x:c>
      <x:c r="K959" s="17" t="n">
        <x:v>0</x:v>
      </x:c>
      <x:c r="L959" s="17" t="n">
        <x:v>0</x:v>
      </x:c>
      <x:c r="M959" s="13" t="str">
        <x:v>Pago</x:v>
      </x:c>
      <x:c r="N959" s="13" t="str">
        <x:v>Sem cobrança</x:v>
      </x:c>
      <x:c r="O959" s="13" t="str">
        <x:v>Pico do descontrole</x:v>
      </x:c>
      <x:c r="P959" s="17" t="n">
        <x:f>IF(D959="",0,J959-K959+L959)</x:f>
        <x:v>5067.98</x:v>
      </x:c>
      <x:c r="Q959" s="17" t="n">
        <x:f>MAX(J959-P959-K959,0)</x:f>
        <x:v>0</x:v>
      </x:c>
      <x:c r="R959" s="13" t="n">
        <x:f>IF(D959="",MAX(TODAY()-C959,0),MAX(D959-C959,0))</x:f>
        <x:v>0</x:v>
      </x:c>
      <x:c r="S959" s="13" t="str">
        <x:f>IF(R959=0,"Em dia",IF(R959&lt;=15,"1-15 dias",IF(R959&lt;=30,"16-30 dias",IF(R959&lt;=60,"31-60 dias","Acima de 60 dias"))))</x:f>
        <x:v>Em dia</x:v>
      </x:c>
    </x:row>
    <x:row r="960">
      <x:c r="A960" s="13" t="str">
        <x:v>REC-000959</x:v>
      </x:c>
      <x:c r="B960" s="23" t="n">
        <x:v>45760</x:v>
      </x:c>
      <x:c r="C960" s="23" t="n">
        <x:v>45781</x:v>
      </x:c>
      <x:c r="D960" s="23" t="n">
        <x:v>45827</x:v>
      </x:c>
      <x:c r="E960" s="13" t="str">
        <x:v>VAL-015</x:v>
      </x:c>
      <x:c r="F960" s="13" t="str">
        <x:v>Mercado Click</x:v>
      </x:c>
      <x:c r="G960" s="13" t="str">
        <x:v>E-commerce</x:v>
      </x:c>
      <x:c r="H960" s="13" t="str">
        <x:v>Baixo</x:v>
      </x:c>
      <x:c r="I960" s="13" t="str">
        <x:v>Performance</x:v>
      </x:c>
      <x:c r="J960" s="17" t="n">
        <x:v>27125.32</x:v>
      </x:c>
      <x:c r="K960" s="17" t="n">
        <x:v>0</x:v>
      </x:c>
      <x:c r="L960" s="17" t="n">
        <x:v>678.13</x:v>
      </x:c>
      <x:c r="M960" s="13" t="str">
        <x:v>Pago com atraso</x:v>
      </x:c>
      <x:c r="N960" s="13" t="str">
        <x:v>Telefone</x:v>
      </x:c>
      <x:c r="O960" s="13" t="str">
        <x:v>Pico do descontrole</x:v>
      </x:c>
      <x:c r="P960" s="17" t="n">
        <x:f>IF(D960="",0,J960-K960+L960)</x:f>
        <x:v>27803.45</x:v>
      </x:c>
      <x:c r="Q960" s="17" t="n">
        <x:f>MAX(J960-P960-K960,0)</x:f>
        <x:v>0</x:v>
      </x:c>
      <x:c r="R960" s="13" t="n">
        <x:f>IF(D960="",MAX(TODAY()-C960,0),MAX(D960-C960,0))</x:f>
        <x:v>46</x:v>
      </x:c>
      <x:c r="S960" s="13" t="str">
        <x:f>IF(R960=0,"Em dia",IF(R960&lt;=15,"1-15 dias",IF(R960&lt;=30,"16-30 dias",IF(R960&lt;=60,"31-60 dias","Acima de 60 dias"))))</x:f>
        <x:v>31-60 dias</x:v>
      </x:c>
    </x:row>
    <x:row r="961">
      <x:c r="A961" s="13" t="str">
        <x:v>REC-000960</x:v>
      </x:c>
      <x:c r="B961" s="23" t="n">
        <x:v>45766</x:v>
      </x:c>
      <x:c r="C961" s="23" t="n">
        <x:v>45773</x:v>
      </x:c>
      <x:c r="D961" s="23" t="n">
        <x:v>45770</x:v>
      </x:c>
      <x:c r="E961" s="13" t="str">
        <x:v>VAL-011</x:v>
      </x:c>
      <x:c r="F961" s="13" t="str">
        <x:v>Rede Essencial</x:v>
      </x:c>
      <x:c r="G961" s="13" t="str">
        <x:v>Varejo</x:v>
      </x:c>
      <x:c r="H961" s="13" t="str">
        <x:v>Médio</x:v>
      </x:c>
      <x:c r="I961" s="13" t="str">
        <x:v>Performance</x:v>
      </x:c>
      <x:c r="J961" s="17" t="n">
        <x:v>17670.65</x:v>
      </x:c>
      <x:c r="K961" s="17" t="n">
        <x:v>0</x:v>
      </x:c>
      <x:c r="L961" s="17" t="n">
        <x:v>0</x:v>
      </x:c>
      <x:c r="M961" s="13" t="str">
        <x:v>Pago</x:v>
      </x:c>
      <x:c r="N961" s="13" t="str">
        <x:v>Sem cobrança</x:v>
      </x:c>
      <x:c r="O961" s="13" t="str">
        <x:v>Pico do descontrole</x:v>
      </x:c>
      <x:c r="P961" s="17" t="n">
        <x:f>IF(D961="",0,J961-K961+L961)</x:f>
        <x:v>17670.65</x:v>
      </x:c>
      <x:c r="Q961" s="17" t="n">
        <x:f>MAX(J961-P961-K961,0)</x:f>
        <x:v>0</x:v>
      </x:c>
      <x:c r="R961" s="13" t="n">
        <x:f>IF(D961="",MAX(TODAY()-C961,0),MAX(D961-C961,0))</x:f>
        <x:v>0</x:v>
      </x:c>
      <x:c r="S961" s="13" t="str">
        <x:f>IF(R961=0,"Em dia",IF(R961&lt;=15,"1-15 dias",IF(R961&lt;=30,"16-30 dias",IF(R961&lt;=60,"31-60 dias","Acima de 60 dias"))))</x:f>
        <x:v>Em dia</x:v>
      </x:c>
    </x:row>
    <x:row r="962">
      <x:c r="A962" s="13" t="str">
        <x:v>REC-000961</x:v>
      </x:c>
      <x:c r="B962" s="23" t="n">
        <x:v>45781</x:v>
      </x:c>
      <x:c r="C962" s="23" t="n">
        <x:v>45788</x:v>
      </x:c>
      <x:c r="D962" s="23" t="n">
        <x:v>45784</x:v>
      </x:c>
      <x:c r="E962" s="13" t="str">
        <x:v>VAL-028</x:v>
      </x:c>
      <x:c r="F962" s="13" t="str">
        <x:v>Pixel Norte</x:v>
      </x:c>
      <x:c r="G962" s="13" t="str">
        <x:v>Tecnologia</x:v>
      </x:c>
      <x:c r="H962" s="13" t="str">
        <x:v>Alto</x:v>
      </x:c>
      <x:c r="I962" s="13" t="str">
        <x:v>Enterprise</x:v>
      </x:c>
      <x:c r="J962" s="17" t="n">
        <x:v>9027.99</x:v>
      </x:c>
      <x:c r="K962" s="17" t="n">
        <x:v>0</x:v>
      </x:c>
      <x:c r="L962" s="17" t="n">
        <x:v>0</x:v>
      </x:c>
      <x:c r="M962" s="13" t="str">
        <x:v>Pago</x:v>
      </x:c>
      <x:c r="N962" s="13" t="str">
        <x:v>Sem cobrança</x:v>
      </x:c>
      <x:c r="O962" s="13" t="str">
        <x:v>Operação Clareza</x:v>
      </x:c>
      <x:c r="P962" s="17" t="n">
        <x:f>IF(D962="",0,J962-K962+L962)</x:f>
        <x:v>9027.99</x:v>
      </x:c>
      <x:c r="Q962" s="17" t="n">
        <x:f>MAX(J962-P962-K962,0)</x:f>
        <x:v>0</x:v>
      </x:c>
      <x:c r="R962" s="13" t="n">
        <x:f>IF(D962="",MAX(TODAY()-C962,0),MAX(D962-C962,0))</x:f>
        <x:v>0</x:v>
      </x:c>
      <x:c r="S962" s="13" t="str">
        <x:f>IF(R962=0,"Em dia",IF(R962&lt;=15,"1-15 dias",IF(R962&lt;=30,"16-30 dias",IF(R962&lt;=60,"31-60 dias","Acima de 60 dias"))))</x:f>
        <x:v>Em dia</x:v>
      </x:c>
    </x:row>
    <x:row r="963">
      <x:c r="A963" s="13" t="str">
        <x:v>REC-000962</x:v>
      </x:c>
      <x:c r="B963" s="23" t="n">
        <x:v>45780</x:v>
      </x:c>
      <x:c r="C963" s="23" t="n">
        <x:v>45808</x:v>
      </x:c>
      <x:c r="D963" s="23" t="n">
        <x:v>45805</x:v>
      </x:c>
      <x:c r="E963" s="13" t="str">
        <x:v>VAL-010</x:v>
      </x:c>
      <x:c r="F963" s="13" t="str">
        <x:v>Atlas Contabilidade</x:v>
      </x:c>
      <x:c r="G963" s="13" t="str">
        <x:v>Serviços Profissionais</x:v>
      </x:c>
      <x:c r="H963" s="13" t="str">
        <x:v>Baixo</x:v>
      </x:c>
      <x:c r="I963" s="13" t="str">
        <x:v>Gestão</x:v>
      </x:c>
      <x:c r="J963" s="17" t="n">
        <x:v>6035.78</x:v>
      </x:c>
      <x:c r="K963" s="17" t="n">
        <x:v>0</x:v>
      </x:c>
      <x:c r="L963" s="17" t="n">
        <x:v>0</x:v>
      </x:c>
      <x:c r="M963" s="13" t="str">
        <x:v>Pago</x:v>
      </x:c>
      <x:c r="N963" s="13" t="str">
        <x:v>Sem cobrança</x:v>
      </x:c>
      <x:c r="O963" s="13" t="str">
        <x:v>Operação Clareza</x:v>
      </x:c>
      <x:c r="P963" s="17" t="n">
        <x:f>IF(D963="",0,J963-K963+L963)</x:f>
        <x:v>6035.78</x:v>
      </x:c>
      <x:c r="Q963" s="17" t="n">
        <x:f>MAX(J963-P963-K963,0)</x:f>
        <x:v>0</x:v>
      </x:c>
      <x:c r="R963" s="13" t="n">
        <x:f>IF(D963="",MAX(TODAY()-C963,0),MAX(D963-C963,0))</x:f>
        <x:v>0</x:v>
      </x:c>
      <x:c r="S963" s="13" t="str">
        <x:f>IF(R963=0,"Em dia",IF(R963&lt;=15,"1-15 dias",IF(R963&lt;=30,"16-30 dias",IF(R963&lt;=60,"31-60 dias","Acima de 60 dias"))))</x:f>
        <x:v>Em dia</x:v>
      </x:c>
    </x:row>
    <x:row r="964">
      <x:c r="A964" s="13" t="str">
        <x:v>REC-000963</x:v>
      </x:c>
      <x:c r="B964" s="23" t="n">
        <x:v>45785</x:v>
      </x:c>
      <x:c r="C964" s="23" t="n">
        <x:v>45806</x:v>
      </x:c>
      <x:c r="D964" s="23" t="n">
        <x:v>45804</x:v>
      </x:c>
      <x:c r="E964" s="13" t="str">
        <x:v>VAL-004</x:v>
      </x:c>
      <x:c r="F964" s="13" t="str">
        <x:v>NuvemBase Tecnologia</x:v>
      </x:c>
      <x:c r="G964" s="13" t="str">
        <x:v>Tecnologia</x:v>
      </x:c>
      <x:c r="H964" s="13" t="str">
        <x:v>Baixo</x:v>
      </x:c>
      <x:c r="I964" s="13" t="str">
        <x:v>Enterprise</x:v>
      </x:c>
      <x:c r="J964" s="17" t="n">
        <x:v>17592.28</x:v>
      </x:c>
      <x:c r="K964" s="17" t="n">
        <x:v>0</x:v>
      </x:c>
      <x:c r="L964" s="17" t="n">
        <x:v>0</x:v>
      </x:c>
      <x:c r="M964" s="13" t="str">
        <x:v>Pago</x:v>
      </x:c>
      <x:c r="N964" s="13" t="str">
        <x:v>Sem cobrança</x:v>
      </x:c>
      <x:c r="O964" s="13" t="str">
        <x:v>Operação Clareza</x:v>
      </x:c>
      <x:c r="P964" s="17" t="n">
        <x:f>IF(D964="",0,J964-K964+L964)</x:f>
        <x:v>17592.28</x:v>
      </x:c>
      <x:c r="Q964" s="17" t="n">
        <x:f>MAX(J964-P964-K964,0)</x:f>
        <x:v>0</x:v>
      </x:c>
      <x:c r="R964" s="13" t="n">
        <x:f>IF(D964="",MAX(TODAY()-C964,0),MAX(D964-C964,0))</x:f>
        <x:v>0</x:v>
      </x:c>
      <x:c r="S964" s="13" t="str">
        <x:f>IF(R964=0,"Em dia",IF(R964&lt;=15,"1-15 dias",IF(R964&lt;=30,"16-30 dias",IF(R964&lt;=60,"31-60 dias","Acima de 60 dias"))))</x:f>
        <x:v>Em dia</x:v>
      </x:c>
    </x:row>
    <x:row r="965">
      <x:c r="A965" s="13" t="str">
        <x:v>REC-000964</x:v>
      </x:c>
      <x:c r="B965" s="23" t="n">
        <x:v>45788</x:v>
      </x:c>
      <x:c r="C965" s="23" t="n">
        <x:v>45818</x:v>
      </x:c>
      <x:c r="D965" s="23"/>
      <x:c r="E965" s="13" t="str">
        <x:v>VAL-020</x:v>
      </x:c>
      <x:c r="F965" s="13" t="str">
        <x:v>Corelink Digital</x:v>
      </x:c>
      <x:c r="G965" s="13" t="str">
        <x:v>Tecnologia</x:v>
      </x:c>
      <x:c r="H965" s="13" t="str">
        <x:v>Baixo</x:v>
      </x:c>
      <x:c r="I965" s="13" t="str">
        <x:v>Enterprise</x:v>
      </x:c>
      <x:c r="J965" s="17" t="n">
        <x:v>25807.36</x:v>
      </x:c>
      <x:c r="K965" s="17" t="n">
        <x:v>0</x:v>
      </x:c>
      <x:c r="L965" s="17" t="n">
        <x:v>0</x:v>
      </x:c>
      <x:c r="M965" s="13" t="str">
        <x:v>Em aberto</x:v>
      </x:c>
      <x:c r="N965" s="13" t="str">
        <x:v>Régua automática</x:v>
      </x:c>
      <x:c r="O965" s="13" t="str">
        <x:v>Operação Clareza</x:v>
      </x:c>
      <x:c r="P965" s="17" t="n">
        <x:f>IF(D965="",0,J965-K965+L965)</x:f>
        <x:v>0</x:v>
      </x:c>
      <x:c r="Q965" s="17" t="n">
        <x:f>MAX(J965-P965-K965,0)</x:f>
        <x:v>25807.36</x:v>
      </x:c>
      <x:c r="R965" s="13" t="n">
        <x:f>IF(D965="",MAX(TODAY()-C965,0),MAX(D965-C965,0))</x:f>
        <x:v>395</x:v>
      </x:c>
      <x:c r="S965" s="13" t="str">
        <x:f>IF(R965=0,"Em dia",IF(R965&lt;=15,"1-15 dias",IF(R965&lt;=30,"16-30 dias",IF(R965&lt;=60,"31-60 dias","Acima de 60 dias"))))</x:f>
        <x:v>Acima de 60 dias</x:v>
      </x:c>
    </x:row>
    <x:row r="966">
      <x:c r="A966" s="13" t="str">
        <x:v>REC-000965</x:v>
      </x:c>
      <x:c r="B966" s="23" t="n">
        <x:v>45787</x:v>
      </x:c>
      <x:c r="C966" s="23" t="n">
        <x:v>45817</x:v>
      </x:c>
      <x:c r="D966" s="23" t="n">
        <x:v>45814</x:v>
      </x:c>
      <x:c r="E966" s="13" t="str">
        <x:v>VAL-017</x:v>
      </x:c>
      <x:c r="F966" s="13" t="str">
        <x:v>Centro Médico Vida</x:v>
      </x:c>
      <x:c r="G966" s="13" t="str">
        <x:v>Clínicas e Saúde</x:v>
      </x:c>
      <x:c r="H966" s="13" t="str">
        <x:v>Baixo</x:v>
      </x:c>
      <x:c r="I966" s="13" t="str">
        <x:v>Essencial</x:v>
      </x:c>
      <x:c r="J966" s="17" t="n">
        <x:v>13191.21</x:v>
      </x:c>
      <x:c r="K966" s="17" t="n">
        <x:v>0</x:v>
      </x:c>
      <x:c r="L966" s="17" t="n">
        <x:v>0</x:v>
      </x:c>
      <x:c r="M966" s="13" t="str">
        <x:v>Pago</x:v>
      </x:c>
      <x:c r="N966" s="13" t="str">
        <x:v>Sem cobrança</x:v>
      </x:c>
      <x:c r="O966" s="13" t="str">
        <x:v>Operação Clareza</x:v>
      </x:c>
      <x:c r="P966" s="17" t="n">
        <x:f>IF(D966="",0,J966-K966+L966)</x:f>
        <x:v>13191.21</x:v>
      </x:c>
      <x:c r="Q966" s="17" t="n">
        <x:f>MAX(J966-P966-K966,0)</x:f>
        <x:v>0</x:v>
      </x:c>
      <x:c r="R966" s="13" t="n">
        <x:f>IF(D966="",MAX(TODAY()-C966,0),MAX(D966-C966,0))</x:f>
        <x:v>0</x:v>
      </x:c>
      <x:c r="S966" s="13" t="str">
        <x:f>IF(R966=0,"Em dia",IF(R966&lt;=15,"1-15 dias",IF(R966&lt;=30,"16-30 dias",IF(R966&lt;=60,"31-60 dias","Acima de 60 dias"))))</x:f>
        <x:v>Em dia</x:v>
      </x:c>
    </x:row>
    <x:row r="967">
      <x:c r="A967" s="13" t="str">
        <x:v>REC-000966</x:v>
      </x:c>
      <x:c r="B967" s="23" t="n">
        <x:v>45790</x:v>
      </x:c>
      <x:c r="C967" s="23" t="n">
        <x:v>45811</x:v>
      </x:c>
      <x:c r="D967" s="23" t="n">
        <x:v>45811</x:v>
      </x:c>
      <x:c r="E967" s="13" t="str">
        <x:v>VAL-001</x:v>
      </x:c>
      <x:c r="F967" s="13" t="str">
        <x:v>Clínica Horizonte</x:v>
      </x:c>
      <x:c r="G967" s="13" t="str">
        <x:v>Clínicas e Saúde</x:v>
      </x:c>
      <x:c r="H967" s="13" t="str">
        <x:v>Baixo</x:v>
      </x:c>
      <x:c r="I967" s="13" t="str">
        <x:v>Essencial</x:v>
      </x:c>
      <x:c r="J967" s="17" t="n">
        <x:v>12847.7</x:v>
      </x:c>
      <x:c r="K967" s="17" t="n">
        <x:v>136.72</x:v>
      </x:c>
      <x:c r="L967" s="17" t="n">
        <x:v>0</x:v>
      </x:c>
      <x:c r="M967" s="13" t="str">
        <x:v>Pago</x:v>
      </x:c>
      <x:c r="N967" s="13" t="str">
        <x:v>Sem cobrança</x:v>
      </x:c>
      <x:c r="O967" s="13" t="str">
        <x:v>Operação Clareza</x:v>
      </x:c>
      <x:c r="P967" s="17" t="n">
        <x:f>IF(D967="",0,J967-K967+L967)</x:f>
        <x:v>12710.980000000001</x:v>
      </x:c>
      <x:c r="Q967" s="17" t="n">
        <x:f>MAX(J967-P967-K967,0)</x:f>
        <x:v>0</x:v>
      </x:c>
      <x:c r="R967" s="13" t="n">
        <x:f>IF(D967="",MAX(TODAY()-C967,0),MAX(D967-C967,0))</x:f>
        <x:v>0</x:v>
      </x:c>
      <x:c r="S967" s="13" t="str">
        <x:f>IF(R967=0,"Em dia",IF(R967&lt;=15,"1-15 dias",IF(R967&lt;=30,"16-30 dias",IF(R967&lt;=60,"31-60 dias","Acima de 60 dias"))))</x:f>
        <x:v>Em dia</x:v>
      </x:c>
    </x:row>
    <x:row r="968">
      <x:c r="A968" s="13" t="str">
        <x:v>REC-000967</x:v>
      </x:c>
      <x:c r="B968" s="23" t="n">
        <x:v>45797</x:v>
      </x:c>
      <x:c r="C968" s="23" t="n">
        <x:v>45827</x:v>
      </x:c>
      <x:c r="D968" s="23" t="n">
        <x:v>45824</x:v>
      </x:c>
      <x:c r="E968" s="13" t="str">
        <x:v>VAL-017</x:v>
      </x:c>
      <x:c r="F968" s="13" t="str">
        <x:v>Centro Médico Vida</x:v>
      </x:c>
      <x:c r="G968" s="13" t="str">
        <x:v>Clínicas e Saúde</x:v>
      </x:c>
      <x:c r="H968" s="13" t="str">
        <x:v>Baixo</x:v>
      </x:c>
      <x:c r="I968" s="13" t="str">
        <x:v>Essencial</x:v>
      </x:c>
      <x:c r="J968" s="17" t="n">
        <x:v>17649.53</x:v>
      </x:c>
      <x:c r="K968" s="17" t="n">
        <x:v>0</x:v>
      </x:c>
      <x:c r="L968" s="17" t="n">
        <x:v>0</x:v>
      </x:c>
      <x:c r="M968" s="13" t="str">
        <x:v>Pago</x:v>
      </x:c>
      <x:c r="N968" s="13" t="str">
        <x:v>Sem cobrança</x:v>
      </x:c>
      <x:c r="O968" s="13" t="str">
        <x:v>Operação Clareza</x:v>
      </x:c>
      <x:c r="P968" s="17" t="n">
        <x:f>IF(D968="",0,J968-K968+L968)</x:f>
        <x:v>17649.53</x:v>
      </x:c>
      <x:c r="Q968" s="17" t="n">
        <x:f>MAX(J968-P968-K968,0)</x:f>
        <x:v>0</x:v>
      </x:c>
      <x:c r="R968" s="13" t="n">
        <x:f>IF(D968="",MAX(TODAY()-C968,0),MAX(D968-C968,0))</x:f>
        <x:v>0</x:v>
      </x:c>
      <x:c r="S968" s="13" t="str">
        <x:f>IF(R968=0,"Em dia",IF(R968&lt;=15,"1-15 dias",IF(R968&lt;=30,"16-30 dias",IF(R968&lt;=60,"31-60 dias","Acima de 60 dias"))))</x:f>
        <x:v>Em dia</x:v>
      </x:c>
    </x:row>
    <x:row r="969">
      <x:c r="A969" s="13" t="str">
        <x:v>REC-000968</x:v>
      </x:c>
      <x:c r="B969" s="23" t="n">
        <x:v>45778</x:v>
      </x:c>
      <x:c r="C969" s="23" t="n">
        <x:v>45785</x:v>
      </x:c>
      <x:c r="D969" s="23" t="n">
        <x:v>45784</x:v>
      </x:c>
      <x:c r="E969" s="13" t="str">
        <x:v>VAL-010</x:v>
      </x:c>
      <x:c r="F969" s="13" t="str">
        <x:v>Atlas Contabilidade</x:v>
      </x:c>
      <x:c r="G969" s="13" t="str">
        <x:v>Serviços Profissionais</x:v>
      </x:c>
      <x:c r="H969" s="13" t="str">
        <x:v>Baixo</x:v>
      </x:c>
      <x:c r="I969" s="13" t="str">
        <x:v>Gestão</x:v>
      </x:c>
      <x:c r="J969" s="17" t="n">
        <x:v>22373.94</x:v>
      </x:c>
      <x:c r="K969" s="17" t="n">
        <x:v>0</x:v>
      </x:c>
      <x:c r="L969" s="17" t="n">
        <x:v>0</x:v>
      </x:c>
      <x:c r="M969" s="13" t="str">
        <x:v>Pago</x:v>
      </x:c>
      <x:c r="N969" s="13" t="str">
        <x:v>Sem cobrança</x:v>
      </x:c>
      <x:c r="O969" s="13" t="str">
        <x:v>Operação Clareza</x:v>
      </x:c>
      <x:c r="P969" s="17" t="n">
        <x:f>IF(D969="",0,J969-K969+L969)</x:f>
        <x:v>22373.94</x:v>
      </x:c>
      <x:c r="Q969" s="17" t="n">
        <x:f>MAX(J969-P969-K969,0)</x:f>
        <x:v>0</x:v>
      </x:c>
      <x:c r="R969" s="13" t="n">
        <x:f>IF(D969="",MAX(TODAY()-C969,0),MAX(D969-C969,0))</x:f>
        <x:v>0</x:v>
      </x:c>
      <x:c r="S969" s="13" t="str">
        <x:f>IF(R969=0,"Em dia",IF(R969&lt;=15,"1-15 dias",IF(R969&lt;=30,"16-30 dias",IF(R969&lt;=60,"31-60 dias","Acima de 60 dias"))))</x:f>
        <x:v>Em dia</x:v>
      </x:c>
    </x:row>
    <x:row r="970">
      <x:c r="A970" s="13" t="str">
        <x:v>REC-000969</x:v>
      </x:c>
      <x:c r="B970" s="23" t="n">
        <x:v>45785</x:v>
      </x:c>
      <x:c r="C970" s="23" t="n">
        <x:v>45800</x:v>
      </x:c>
      <x:c r="D970" s="23" t="n">
        <x:v>45810</x:v>
      </x:c>
      <x:c r="E970" s="13" t="str">
        <x:v>VAL-020</x:v>
      </x:c>
      <x:c r="F970" s="13" t="str">
        <x:v>Corelink Digital</x:v>
      </x:c>
      <x:c r="G970" s="13" t="str">
        <x:v>Tecnologia</x:v>
      </x:c>
      <x:c r="H970" s="13" t="str">
        <x:v>Baixo</x:v>
      </x:c>
      <x:c r="I970" s="13" t="str">
        <x:v>Enterprise</x:v>
      </x:c>
      <x:c r="J970" s="17" t="n">
        <x:v>34755.52</x:v>
      </x:c>
      <x:c r="K970" s="17" t="n">
        <x:v>0</x:v>
      </x:c>
      <x:c r="L970" s="17" t="n">
        <x:v>225.91</x:v>
      </x:c>
      <x:c r="M970" s="13" t="str">
        <x:v>Pago com atraso</x:v>
      </x:c>
      <x:c r="N970" s="13" t="str">
        <x:v>WhatsApp</x:v>
      </x:c>
      <x:c r="O970" s="13" t="str">
        <x:v>Operação Clareza</x:v>
      </x:c>
      <x:c r="P970" s="17" t="n">
        <x:f>IF(D970="",0,J970-K970+L970)</x:f>
        <x:v>34981.43</x:v>
      </x:c>
      <x:c r="Q970" s="17" t="n">
        <x:f>MAX(J970-P970-K970,0)</x:f>
        <x:v>0</x:v>
      </x:c>
      <x:c r="R970" s="13" t="n">
        <x:f>IF(D970="",MAX(TODAY()-C970,0),MAX(D970-C970,0))</x:f>
        <x:v>10</x:v>
      </x:c>
      <x:c r="S970" s="13" t="str">
        <x:f>IF(R970=0,"Em dia",IF(R970&lt;=15,"1-15 dias",IF(R970&lt;=30,"16-30 dias",IF(R970&lt;=60,"31-60 dias","Acima de 60 dias"))))</x:f>
        <x:v>1-15 dias</x:v>
      </x:c>
    </x:row>
    <x:row r="971">
      <x:c r="A971" s="13" t="str">
        <x:v>REC-000970</x:v>
      </x:c>
      <x:c r="B971" s="23" t="n">
        <x:v>45780</x:v>
      </x:c>
      <x:c r="C971" s="23" t="n">
        <x:v>45795</x:v>
      </x:c>
      <x:c r="D971" s="23" t="n">
        <x:v>45793</x:v>
      </x:c>
      <x:c r="E971" s="13" t="str">
        <x:v>VAL-002</x:v>
      </x:c>
      <x:c r="F971" s="13" t="str">
        <x:v>Mendes &amp; Prado Consultoria</x:v>
      </x:c>
      <x:c r="G971" s="13" t="str">
        <x:v>Serviços Profissionais</x:v>
      </x:c>
      <x:c r="H971" s="13" t="str">
        <x:v>Baixo</x:v>
      </x:c>
      <x:c r="I971" s="13" t="str">
        <x:v>Gestão</x:v>
      </x:c>
      <x:c r="J971" s="17" t="n">
        <x:v>9752.94</x:v>
      </x:c>
      <x:c r="K971" s="17" t="n">
        <x:v>0</x:v>
      </x:c>
      <x:c r="L971" s="17" t="n">
        <x:v>0</x:v>
      </x:c>
      <x:c r="M971" s="13" t="str">
        <x:v>Pago</x:v>
      </x:c>
      <x:c r="N971" s="13" t="str">
        <x:v>Sem cobrança</x:v>
      </x:c>
      <x:c r="O971" s="13" t="str">
        <x:v>Operação Clareza</x:v>
      </x:c>
      <x:c r="P971" s="17" t="n">
        <x:f>IF(D971="",0,J971-K971+L971)</x:f>
        <x:v>9752.94</x:v>
      </x:c>
      <x:c r="Q971" s="17" t="n">
        <x:f>MAX(J971-P971-K971,0)</x:f>
        <x:v>0</x:v>
      </x:c>
      <x:c r="R971" s="13" t="n">
        <x:f>IF(D971="",MAX(TODAY()-C971,0),MAX(D971-C971,0))</x:f>
        <x:v>0</x:v>
      </x:c>
      <x:c r="S971" s="13" t="str">
        <x:f>IF(R971=0,"Em dia",IF(R971&lt;=15,"1-15 dias",IF(R971&lt;=30,"16-30 dias",IF(R971&lt;=60,"31-60 dias","Acima de 60 dias"))))</x:f>
        <x:v>Em dia</x:v>
      </x:c>
    </x:row>
    <x:row r="972">
      <x:c r="A972" s="13" t="str">
        <x:v>REC-000971</x:v>
      </x:c>
      <x:c r="B972" s="23" t="n">
        <x:v>45790</x:v>
      </x:c>
      <x:c r="C972" s="23" t="n">
        <x:v>45805</x:v>
      </x:c>
      <x:c r="D972" s="23" t="n">
        <x:v>45803</x:v>
      </x:c>
      <x:c r="E972" s="13" t="str">
        <x:v>VAL-026</x:v>
      </x:c>
      <x:c r="F972" s="13" t="str">
        <x:v>Ribeiro Arquitetura</x:v>
      </x:c>
      <x:c r="G972" s="13" t="str">
        <x:v>Serviços Profissionais</x:v>
      </x:c>
      <x:c r="H972" s="13" t="str">
        <x:v>Baixo</x:v>
      </x:c>
      <x:c r="I972" s="13" t="str">
        <x:v>Gestão</x:v>
      </x:c>
      <x:c r="J972" s="17" t="n">
        <x:v>2777</x:v>
      </x:c>
      <x:c r="K972" s="17" t="n">
        <x:v>0</x:v>
      </x:c>
      <x:c r="L972" s="17" t="n">
        <x:v>0</x:v>
      </x:c>
      <x:c r="M972" s="13" t="str">
        <x:v>Pago</x:v>
      </x:c>
      <x:c r="N972" s="13" t="str">
        <x:v>Sem cobrança</x:v>
      </x:c>
      <x:c r="O972" s="13" t="str">
        <x:v>Operação Clareza</x:v>
      </x:c>
      <x:c r="P972" s="17" t="n">
        <x:f>IF(D972="",0,J972-K972+L972)</x:f>
        <x:v>2777</x:v>
      </x:c>
      <x:c r="Q972" s="17" t="n">
        <x:f>MAX(J972-P972-K972,0)</x:f>
        <x:v>0</x:v>
      </x:c>
      <x:c r="R972" s="13" t="n">
        <x:f>IF(D972="",MAX(TODAY()-C972,0),MAX(D972-C972,0))</x:f>
        <x:v>0</x:v>
      </x:c>
      <x:c r="S972" s="13" t="str">
        <x:f>IF(R972=0,"Em dia",IF(R972&lt;=15,"1-15 dias",IF(R972&lt;=30,"16-30 dias",IF(R972&lt;=60,"31-60 dias","Acima de 60 dias"))))</x:f>
        <x:v>Em dia</x:v>
      </x:c>
    </x:row>
    <x:row r="973">
      <x:c r="A973" s="13" t="str">
        <x:v>REC-000972</x:v>
      </x:c>
      <x:c r="B973" s="23" t="n">
        <x:v>45778</x:v>
      </x:c>
      <x:c r="C973" s="23" t="n">
        <x:v>45785</x:v>
      </x:c>
      <x:c r="D973" s="23" t="n">
        <x:v>45781</x:v>
      </x:c>
      <x:c r="E973" s="13" t="str">
        <x:v>VAL-026</x:v>
      </x:c>
      <x:c r="F973" s="13" t="str">
        <x:v>Ribeiro Arquitetura</x:v>
      </x:c>
      <x:c r="G973" s="13" t="str">
        <x:v>Serviços Profissionais</x:v>
      </x:c>
      <x:c r="H973" s="13" t="str">
        <x:v>Baixo</x:v>
      </x:c>
      <x:c r="I973" s="13" t="str">
        <x:v>Gestão</x:v>
      </x:c>
      <x:c r="J973" s="17" t="n">
        <x:v>24799.19</x:v>
      </x:c>
      <x:c r="K973" s="17" t="n">
        <x:v>0</x:v>
      </x:c>
      <x:c r="L973" s="17" t="n">
        <x:v>0</x:v>
      </x:c>
      <x:c r="M973" s="13" t="str">
        <x:v>Pago</x:v>
      </x:c>
      <x:c r="N973" s="13" t="str">
        <x:v>Sem cobrança</x:v>
      </x:c>
      <x:c r="O973" s="13" t="str">
        <x:v>Operação Clareza</x:v>
      </x:c>
      <x:c r="P973" s="17" t="n">
        <x:f>IF(D973="",0,J973-K973+L973)</x:f>
        <x:v>24799.19</x:v>
      </x:c>
      <x:c r="Q973" s="17" t="n">
        <x:f>MAX(J973-P973-K973,0)</x:f>
        <x:v>0</x:v>
      </x:c>
      <x:c r="R973" s="13" t="n">
        <x:f>IF(D973="",MAX(TODAY()-C973,0),MAX(D973-C973,0))</x:f>
        <x:v>0</x:v>
      </x:c>
      <x:c r="S973" s="13" t="str">
        <x:f>IF(R973=0,"Em dia",IF(R973&lt;=15,"1-15 dias",IF(R973&lt;=30,"16-30 dias",IF(R973&lt;=60,"31-60 dias","Acima de 60 dias"))))</x:f>
        <x:v>Em dia</x:v>
      </x:c>
    </x:row>
    <x:row r="974">
      <x:c r="A974" s="13" t="str">
        <x:v>REC-000973</x:v>
      </x:c>
      <x:c r="B974" s="23" t="n">
        <x:v>45786</x:v>
      </x:c>
      <x:c r="C974" s="23" t="n">
        <x:v>45807</x:v>
      </x:c>
      <x:c r="D974" s="23" t="n">
        <x:v>45806</x:v>
      </x:c>
      <x:c r="E974" s="13" t="str">
        <x:v>VAL-022</x:v>
      </x:c>
      <x:c r="F974" s="13" t="str">
        <x:v>Academia Evoluir</x:v>
      </x:c>
      <x:c r="G974" s="13" t="str">
        <x:v>Educação</x:v>
      </x:c>
      <x:c r="H974" s="13" t="str">
        <x:v>Alto</x:v>
      </x:c>
      <x:c r="I974" s="13" t="str">
        <x:v>Gestão</x:v>
      </x:c>
      <x:c r="J974" s="17" t="n">
        <x:v>8409.22</x:v>
      </x:c>
      <x:c r="K974" s="17" t="n">
        <x:v>0</x:v>
      </x:c>
      <x:c r="L974" s="17" t="n">
        <x:v>0</x:v>
      </x:c>
      <x:c r="M974" s="13" t="str">
        <x:v>Pago</x:v>
      </x:c>
      <x:c r="N974" s="13" t="str">
        <x:v>Sem cobrança</x:v>
      </x:c>
      <x:c r="O974" s="13" t="str">
        <x:v>Operação Clareza</x:v>
      </x:c>
      <x:c r="P974" s="17" t="n">
        <x:f>IF(D974="",0,J974-K974+L974)</x:f>
        <x:v>8409.22</x:v>
      </x:c>
      <x:c r="Q974" s="17" t="n">
        <x:f>MAX(J974-P974-K974,0)</x:f>
        <x:v>0</x:v>
      </x:c>
      <x:c r="R974" s="13" t="n">
        <x:f>IF(D974="",MAX(TODAY()-C974,0),MAX(D974-C974,0))</x:f>
        <x:v>0</x:v>
      </x:c>
      <x:c r="S974" s="13" t="str">
        <x:f>IF(R974=0,"Em dia",IF(R974&lt;=15,"1-15 dias",IF(R974&lt;=30,"16-30 dias",IF(R974&lt;=60,"31-60 dias","Acima de 60 dias"))))</x:f>
        <x:v>Em dia</x:v>
      </x:c>
    </x:row>
    <x:row r="975">
      <x:c r="A975" s="13" t="str">
        <x:v>REC-000974</x:v>
      </x:c>
      <x:c r="B975" s="23" t="n">
        <x:v>45795</x:v>
      </x:c>
      <x:c r="C975" s="23" t="n">
        <x:v>45816</x:v>
      </x:c>
      <x:c r="D975" s="23" t="n">
        <x:v>45813</x:v>
      </x:c>
      <x:c r="E975" s="13" t="str">
        <x:v>VAL-005</x:v>
      </x:c>
      <x:c r="F975" s="13" t="str">
        <x:v>Construtora Alameda</x:v>
      </x:c>
      <x:c r="G975" s="13" t="str">
        <x:v>Construção</x:v>
      </x:c>
      <x:c r="H975" s="13" t="str">
        <x:v>Médio</x:v>
      </x:c>
      <x:c r="I975" s="13" t="str">
        <x:v>Essencial</x:v>
      </x:c>
      <x:c r="J975" s="17" t="n">
        <x:v>16559.52</x:v>
      </x:c>
      <x:c r="K975" s="17" t="n">
        <x:v>0</x:v>
      </x:c>
      <x:c r="L975" s="17" t="n">
        <x:v>0</x:v>
      </x:c>
      <x:c r="M975" s="13" t="str">
        <x:v>Pago</x:v>
      </x:c>
      <x:c r="N975" s="13" t="str">
        <x:v>Sem cobrança</x:v>
      </x:c>
      <x:c r="O975" s="13" t="str">
        <x:v>Operação Clareza</x:v>
      </x:c>
      <x:c r="P975" s="17" t="n">
        <x:f>IF(D975="",0,J975-K975+L975)</x:f>
        <x:v>16559.52</x:v>
      </x:c>
      <x:c r="Q975" s="17" t="n">
        <x:f>MAX(J975-P975-K975,0)</x:f>
        <x:v>0</x:v>
      </x:c>
      <x:c r="R975" s="13" t="n">
        <x:f>IF(D975="",MAX(TODAY()-C975,0),MAX(D975-C975,0))</x:f>
        <x:v>0</x:v>
      </x:c>
      <x:c r="S975" s="13" t="str">
        <x:f>IF(R975=0,"Em dia",IF(R975&lt;=15,"1-15 dias",IF(R975&lt;=30,"16-30 dias",IF(R975&lt;=60,"31-60 dias","Acima de 60 dias"))))</x:f>
        <x:v>Em dia</x:v>
      </x:c>
    </x:row>
    <x:row r="976">
      <x:c r="A976" s="13" t="str">
        <x:v>REC-000975</x:v>
      </x:c>
      <x:c r="B976" s="23" t="n">
        <x:v>45778</x:v>
      </x:c>
      <x:c r="C976" s="23" t="n">
        <x:v>45793</x:v>
      </x:c>
      <x:c r="D976" s="23" t="n">
        <x:v>45793</x:v>
      </x:c>
      <x:c r="E976" s="13" t="str">
        <x:v>VAL-026</x:v>
      </x:c>
      <x:c r="F976" s="13" t="str">
        <x:v>Ribeiro Arquitetura</x:v>
      </x:c>
      <x:c r="G976" s="13" t="str">
        <x:v>Serviços Profissionais</x:v>
      </x:c>
      <x:c r="H976" s="13" t="str">
        <x:v>Baixo</x:v>
      </x:c>
      <x:c r="I976" s="13" t="str">
        <x:v>Gestão</x:v>
      </x:c>
      <x:c r="J976" s="17" t="n">
        <x:v>18365.64</x:v>
      </x:c>
      <x:c r="K976" s="17" t="n">
        <x:v>123.76</x:v>
      </x:c>
      <x:c r="L976" s="17" t="n">
        <x:v>0</x:v>
      </x:c>
      <x:c r="M976" s="13" t="str">
        <x:v>Pago</x:v>
      </x:c>
      <x:c r="N976" s="13" t="str">
        <x:v>Sem cobrança</x:v>
      </x:c>
      <x:c r="O976" s="13" t="str">
        <x:v>Operação Clareza</x:v>
      </x:c>
      <x:c r="P976" s="17" t="n">
        <x:f>IF(D976="",0,J976-K976+L976)</x:f>
        <x:v>18241.88</x:v>
      </x:c>
      <x:c r="Q976" s="17" t="n">
        <x:f>MAX(J976-P976-K976,0)</x:f>
        <x:v>0</x:v>
      </x:c>
      <x:c r="R976" s="13" t="n">
        <x:f>IF(D976="",MAX(TODAY()-C976,0),MAX(D976-C976,0))</x:f>
        <x:v>0</x:v>
      </x:c>
      <x:c r="S976" s="13" t="str">
        <x:f>IF(R976=0,"Em dia",IF(R976&lt;=15,"1-15 dias",IF(R976&lt;=30,"16-30 dias",IF(R976&lt;=60,"31-60 dias","Acima de 60 dias"))))</x:f>
        <x:v>Em dia</x:v>
      </x:c>
    </x:row>
    <x:row r="977">
      <x:c r="A977" s="13" t="str">
        <x:v>REC-000976</x:v>
      </x:c>
      <x:c r="B977" s="23" t="n">
        <x:v>45791</x:v>
      </x:c>
      <x:c r="C977" s="23" t="n">
        <x:v>45798</x:v>
      </x:c>
      <x:c r="D977" s="23"/>
      <x:c r="E977" s="13" t="str">
        <x:v>VAL-014</x:v>
      </x:c>
      <x:c r="F977" s="13" t="str">
        <x:v>Colégio Caminhos</x:v>
      </x:c>
      <x:c r="G977" s="13" t="str">
        <x:v>Educação</x:v>
      </x:c>
      <x:c r="H977" s="13" t="str">
        <x:v>Médio</x:v>
      </x:c>
      <x:c r="I977" s="13" t="str">
        <x:v>Gestão</x:v>
      </x:c>
      <x:c r="J977" s="17" t="n">
        <x:v>23761.56</x:v>
      </x:c>
      <x:c r="K977" s="17" t="n">
        <x:v>0</x:v>
      </x:c>
      <x:c r="L977" s="17" t="n">
        <x:v>0</x:v>
      </x:c>
      <x:c r="M977" s="13" t="str">
        <x:v>Em aberto</x:v>
      </x:c>
      <x:c r="N977" s="13" t="str">
        <x:v>Telefone</x:v>
      </x:c>
      <x:c r="O977" s="13" t="str">
        <x:v>Operação Clareza</x:v>
      </x:c>
      <x:c r="P977" s="17" t="n">
        <x:f>IF(D977="",0,J977-K977+L977)</x:f>
        <x:v>0</x:v>
      </x:c>
      <x:c r="Q977" s="17" t="n">
        <x:f>MAX(J977-P977-K977,0)</x:f>
        <x:v>23761.56</x:v>
      </x:c>
      <x:c r="R977" s="13" t="n">
        <x:f>IF(D977="",MAX(TODAY()-C977,0),MAX(D977-C977,0))</x:f>
        <x:v>415</x:v>
      </x:c>
      <x:c r="S977" s="13" t="str">
        <x:f>IF(R977=0,"Em dia",IF(R977&lt;=15,"1-15 dias",IF(R977&lt;=30,"16-30 dias",IF(R977&lt;=60,"31-60 dias","Acima de 60 dias"))))</x:f>
        <x:v>Acima de 60 dias</x:v>
      </x:c>
    </x:row>
    <x:row r="978">
      <x:c r="A978" s="13" t="str">
        <x:v>REC-000977</x:v>
      </x:c>
      <x:c r="B978" s="23" t="n">
        <x:v>45797</x:v>
      </x:c>
      <x:c r="C978" s="23" t="n">
        <x:v>45818</x:v>
      </x:c>
      <x:c r="D978" s="23" t="n">
        <x:v>45815</x:v>
      </x:c>
      <x:c r="E978" s="13" t="str">
        <x:v>VAL-015</x:v>
      </x:c>
      <x:c r="F978" s="13" t="str">
        <x:v>Mercado Click</x:v>
      </x:c>
      <x:c r="G978" s="13" t="str">
        <x:v>E-commerce</x:v>
      </x:c>
      <x:c r="H978" s="13" t="str">
        <x:v>Baixo</x:v>
      </x:c>
      <x:c r="I978" s="13" t="str">
        <x:v>Performance</x:v>
      </x:c>
      <x:c r="J978" s="17" t="n">
        <x:v>9121.47</x:v>
      </x:c>
      <x:c r="K978" s="17" t="n">
        <x:v>0</x:v>
      </x:c>
      <x:c r="L978" s="17" t="n">
        <x:v>0</x:v>
      </x:c>
      <x:c r="M978" s="13" t="str">
        <x:v>Pago</x:v>
      </x:c>
      <x:c r="N978" s="13" t="str">
        <x:v>Sem cobrança</x:v>
      </x:c>
      <x:c r="O978" s="13" t="str">
        <x:v>Operação Clareza</x:v>
      </x:c>
      <x:c r="P978" s="17" t="n">
        <x:f>IF(D978="",0,J978-K978+L978)</x:f>
        <x:v>9121.47</x:v>
      </x:c>
      <x:c r="Q978" s="17" t="n">
        <x:f>MAX(J978-P978-K978,0)</x:f>
        <x:v>0</x:v>
      </x:c>
      <x:c r="R978" s="13" t="n">
        <x:f>IF(D978="",MAX(TODAY()-C978,0),MAX(D978-C978,0))</x:f>
        <x:v>0</x:v>
      </x:c>
      <x:c r="S978" s="13" t="str">
        <x:f>IF(R978=0,"Em dia",IF(R978&lt;=15,"1-15 dias",IF(R978&lt;=30,"16-30 dias",IF(R978&lt;=60,"31-60 dias","Acima de 60 dias"))))</x:f>
        <x:v>Em dia</x:v>
      </x:c>
    </x:row>
    <x:row r="979">
      <x:c r="A979" s="13" t="str">
        <x:v>REC-000978</x:v>
      </x:c>
      <x:c r="B979" s="23" t="n">
        <x:v>45789</x:v>
      </x:c>
      <x:c r="C979" s="23" t="n">
        <x:v>45810</x:v>
      </x:c>
      <x:c r="D979" s="23" t="n">
        <x:v>45809</x:v>
      </x:c>
      <x:c r="E979" s="13" t="str">
        <x:v>VAL-005</x:v>
      </x:c>
      <x:c r="F979" s="13" t="str">
        <x:v>Construtora Alameda</x:v>
      </x:c>
      <x:c r="G979" s="13" t="str">
        <x:v>Construção</x:v>
      </x:c>
      <x:c r="H979" s="13" t="str">
        <x:v>Médio</x:v>
      </x:c>
      <x:c r="I979" s="13" t="str">
        <x:v>Essencial</x:v>
      </x:c>
      <x:c r="J979" s="17" t="n">
        <x:v>22239.55</x:v>
      </x:c>
      <x:c r="K979" s="17" t="n">
        <x:v>0</x:v>
      </x:c>
      <x:c r="L979" s="17" t="n">
        <x:v>0</x:v>
      </x:c>
      <x:c r="M979" s="13" t="str">
        <x:v>Pago</x:v>
      </x:c>
      <x:c r="N979" s="13" t="str">
        <x:v>Sem cobrança</x:v>
      </x:c>
      <x:c r="O979" s="13" t="str">
        <x:v>Operação Clareza</x:v>
      </x:c>
      <x:c r="P979" s="17" t="n">
        <x:f>IF(D979="",0,J979-K979+L979)</x:f>
        <x:v>22239.55</x:v>
      </x:c>
      <x:c r="Q979" s="17" t="n">
        <x:f>MAX(J979-P979-K979,0)</x:f>
        <x:v>0</x:v>
      </x:c>
      <x:c r="R979" s="13" t="n">
        <x:f>IF(D979="",MAX(TODAY()-C979,0),MAX(D979-C979,0))</x:f>
        <x:v>0</x:v>
      </x:c>
      <x:c r="S979" s="13" t="str">
        <x:f>IF(R979=0,"Em dia",IF(R979&lt;=15,"1-15 dias",IF(R979&lt;=30,"16-30 dias",IF(R979&lt;=60,"31-60 dias","Acima de 60 dias"))))</x:f>
        <x:v>Em dia</x:v>
      </x:c>
    </x:row>
    <x:row r="980">
      <x:c r="A980" s="13" t="str">
        <x:v>REC-000979</x:v>
      </x:c>
      <x:c r="B980" s="23" t="n">
        <x:v>45779</x:v>
      </x:c>
      <x:c r="C980" s="23" t="n">
        <x:v>45800</x:v>
      </x:c>
      <x:c r="D980" s="23" t="n">
        <x:v>45799</x:v>
      </x:c>
      <x:c r="E980" s="13" t="str">
        <x:v>VAL-026</x:v>
      </x:c>
      <x:c r="F980" s="13" t="str">
        <x:v>Ribeiro Arquitetura</x:v>
      </x:c>
      <x:c r="G980" s="13" t="str">
        <x:v>Serviços Profissionais</x:v>
      </x:c>
      <x:c r="H980" s="13" t="str">
        <x:v>Baixo</x:v>
      </x:c>
      <x:c r="I980" s="13" t="str">
        <x:v>Gestão</x:v>
      </x:c>
      <x:c r="J980" s="17" t="n">
        <x:v>27642.65</x:v>
      </x:c>
      <x:c r="K980" s="17" t="n">
        <x:v>0</x:v>
      </x:c>
      <x:c r="L980" s="17" t="n">
        <x:v>0</x:v>
      </x:c>
      <x:c r="M980" s="13" t="str">
        <x:v>Pago</x:v>
      </x:c>
      <x:c r="N980" s="13" t="str">
        <x:v>Sem cobrança</x:v>
      </x:c>
      <x:c r="O980" s="13" t="str">
        <x:v>Operação Clareza</x:v>
      </x:c>
      <x:c r="P980" s="17" t="n">
        <x:f>IF(D980="",0,J980-K980+L980)</x:f>
        <x:v>27642.65</x:v>
      </x:c>
      <x:c r="Q980" s="17" t="n">
        <x:f>MAX(J980-P980-K980,0)</x:f>
        <x:v>0</x:v>
      </x:c>
      <x:c r="R980" s="13" t="n">
        <x:f>IF(D980="",MAX(TODAY()-C980,0),MAX(D980-C980,0))</x:f>
        <x:v>0</x:v>
      </x:c>
      <x:c r="S980" s="13" t="str">
        <x:f>IF(R980=0,"Em dia",IF(R980&lt;=15,"1-15 dias",IF(R980&lt;=30,"16-30 dias",IF(R980&lt;=60,"31-60 dias","Acima de 60 dias"))))</x:f>
        <x:v>Em dia</x:v>
      </x:c>
    </x:row>
    <x:row r="981">
      <x:c r="A981" s="13" t="str">
        <x:v>REC-000980</x:v>
      </x:c>
      <x:c r="B981" s="23" t="n">
        <x:v>45790</x:v>
      </x:c>
      <x:c r="C981" s="23" t="n">
        <x:v>45811</x:v>
      </x:c>
      <x:c r="D981" s="23" t="n">
        <x:v>45825</x:v>
      </x:c>
      <x:c r="E981" s="13" t="str">
        <x:v>VAL-004</x:v>
      </x:c>
      <x:c r="F981" s="13" t="str">
        <x:v>NuvemBase Tecnologia</x:v>
      </x:c>
      <x:c r="G981" s="13" t="str">
        <x:v>Tecnologia</x:v>
      </x:c>
      <x:c r="H981" s="13" t="str">
        <x:v>Baixo</x:v>
      </x:c>
      <x:c r="I981" s="13" t="str">
        <x:v>Enterprise</x:v>
      </x:c>
      <x:c r="J981" s="17" t="n">
        <x:v>16879.52</x:v>
      </x:c>
      <x:c r="K981" s="17" t="n">
        <x:v>0</x:v>
      </x:c>
      <x:c r="L981" s="17" t="n">
        <x:v>153.6</x:v>
      </x:c>
      <x:c r="M981" s="13" t="str">
        <x:v>Pago com atraso</x:v>
      </x:c>
      <x:c r="N981" s="13" t="str">
        <x:v>Telefone</x:v>
      </x:c>
      <x:c r="O981" s="13" t="str">
        <x:v>Operação Clareza</x:v>
      </x:c>
      <x:c r="P981" s="17" t="n">
        <x:f>IF(D981="",0,J981-K981+L981)</x:f>
        <x:v>17033.12</x:v>
      </x:c>
      <x:c r="Q981" s="17" t="n">
        <x:f>MAX(J981-P981-K981,0)</x:f>
        <x:v>0</x:v>
      </x:c>
      <x:c r="R981" s="13" t="n">
        <x:f>IF(D981="",MAX(TODAY()-C981,0),MAX(D981-C981,0))</x:f>
        <x:v>14</x:v>
      </x:c>
      <x:c r="S981" s="13" t="str">
        <x:f>IF(R981=0,"Em dia",IF(R981&lt;=15,"1-15 dias",IF(R981&lt;=30,"16-30 dias",IF(R981&lt;=60,"31-60 dias","Acima de 60 dias"))))</x:f>
        <x:v>1-15 dias</x:v>
      </x:c>
    </x:row>
    <x:row r="982">
      <x:c r="A982" s="13" t="str">
        <x:v>REC-000981</x:v>
      </x:c>
      <x:c r="B982" s="23" t="n">
        <x:v>45780</x:v>
      </x:c>
      <x:c r="C982" s="23" t="n">
        <x:v>45787</x:v>
      </x:c>
      <x:c r="D982" s="23" t="n">
        <x:v>45785</x:v>
      </x:c>
      <x:c r="E982" s="13" t="str">
        <x:v>VAL-012</x:v>
      </x:c>
      <x:c r="F982" s="13" t="str">
        <x:v>DataFlow Sistemas</x:v>
      </x:c>
      <x:c r="G982" s="13" t="str">
        <x:v>Tecnologia</x:v>
      </x:c>
      <x:c r="H982" s="13" t="str">
        <x:v>Médio</x:v>
      </x:c>
      <x:c r="I982" s="13" t="str">
        <x:v>Enterprise</x:v>
      </x:c>
      <x:c r="J982" s="17" t="n">
        <x:v>21655.76</x:v>
      </x:c>
      <x:c r="K982" s="17" t="n">
        <x:v>0</x:v>
      </x:c>
      <x:c r="L982" s="17" t="n">
        <x:v>0</x:v>
      </x:c>
      <x:c r="M982" s="13" t="str">
        <x:v>Pago</x:v>
      </x:c>
      <x:c r="N982" s="13" t="str">
        <x:v>Sem cobrança</x:v>
      </x:c>
      <x:c r="O982" s="13" t="str">
        <x:v>Operação Clareza</x:v>
      </x:c>
      <x:c r="P982" s="17" t="n">
        <x:f>IF(D982="",0,J982-K982+L982)</x:f>
        <x:v>21655.76</x:v>
      </x:c>
      <x:c r="Q982" s="17" t="n">
        <x:f>MAX(J982-P982-K982,0)</x:f>
        <x:v>0</x:v>
      </x:c>
      <x:c r="R982" s="13" t="n">
        <x:f>IF(D982="",MAX(TODAY()-C982,0),MAX(D982-C982,0))</x:f>
        <x:v>0</x:v>
      </x:c>
      <x:c r="S982" s="13" t="str">
        <x:f>IF(R982=0,"Em dia",IF(R982&lt;=15,"1-15 dias",IF(R982&lt;=30,"16-30 dias",IF(R982&lt;=60,"31-60 dias","Acima de 60 dias"))))</x:f>
        <x:v>Em dia</x:v>
      </x:c>
    </x:row>
    <x:row r="983">
      <x:c r="A983" s="13" t="str">
        <x:v>REC-000982</x:v>
      </x:c>
      <x:c r="B983" s="23" t="n">
        <x:v>45781</x:v>
      </x:c>
      <x:c r="C983" s="23" t="n">
        <x:v>45796</x:v>
      </x:c>
      <x:c r="D983" s="23" t="n">
        <x:v>45796</x:v>
      </x:c>
      <x:c r="E983" s="13" t="str">
        <x:v>VAL-012</x:v>
      </x:c>
      <x:c r="F983" s="13" t="str">
        <x:v>DataFlow Sistemas</x:v>
      </x:c>
      <x:c r="G983" s="13" t="str">
        <x:v>Tecnologia</x:v>
      </x:c>
      <x:c r="H983" s="13" t="str">
        <x:v>Médio</x:v>
      </x:c>
      <x:c r="I983" s="13" t="str">
        <x:v>Enterprise</x:v>
      </x:c>
      <x:c r="J983" s="17" t="n">
        <x:v>34132.72</x:v>
      </x:c>
      <x:c r="K983" s="17" t="n">
        <x:v>0</x:v>
      </x:c>
      <x:c r="L983" s="17" t="n">
        <x:v>0</x:v>
      </x:c>
      <x:c r="M983" s="13" t="str">
        <x:v>Pago</x:v>
      </x:c>
      <x:c r="N983" s="13" t="str">
        <x:v>Sem cobrança</x:v>
      </x:c>
      <x:c r="O983" s="13" t="str">
        <x:v>Operação Clareza</x:v>
      </x:c>
      <x:c r="P983" s="17" t="n">
        <x:f>IF(D983="",0,J983-K983+L983)</x:f>
        <x:v>34132.72</x:v>
      </x:c>
      <x:c r="Q983" s="17" t="n">
        <x:f>MAX(J983-P983-K983,0)</x:f>
        <x:v>0</x:v>
      </x:c>
      <x:c r="R983" s="13" t="n">
        <x:f>IF(D983="",MAX(TODAY()-C983,0),MAX(D983-C983,0))</x:f>
        <x:v>0</x:v>
      </x:c>
      <x:c r="S983" s="13" t="str">
        <x:f>IF(R983=0,"Em dia",IF(R983&lt;=15,"1-15 dias",IF(R983&lt;=30,"16-30 dias",IF(R983&lt;=60,"31-60 dias","Acima de 60 dias"))))</x:f>
        <x:v>Em dia</x:v>
      </x:c>
    </x:row>
    <x:row r="984">
      <x:c r="A984" s="13" t="str">
        <x:v>REC-000983</x:v>
      </x:c>
      <x:c r="B984" s="23" t="n">
        <x:v>45786</x:v>
      </x:c>
      <x:c r="C984" s="23" t="n">
        <x:v>45807</x:v>
      </x:c>
      <x:c r="D984" s="23" t="n">
        <x:v>45803</x:v>
      </x:c>
      <x:c r="E984" s="13" t="str">
        <x:v>VAL-017</x:v>
      </x:c>
      <x:c r="F984" s="13" t="str">
        <x:v>Centro Médico Vida</x:v>
      </x:c>
      <x:c r="G984" s="13" t="str">
        <x:v>Clínicas e Saúde</x:v>
      </x:c>
      <x:c r="H984" s="13" t="str">
        <x:v>Baixo</x:v>
      </x:c>
      <x:c r="I984" s="13" t="str">
        <x:v>Essencial</x:v>
      </x:c>
      <x:c r="J984" s="17" t="n">
        <x:v>19913.62</x:v>
      </x:c>
      <x:c r="K984" s="17" t="n">
        <x:v>0</x:v>
      </x:c>
      <x:c r="L984" s="17" t="n">
        <x:v>0</x:v>
      </x:c>
      <x:c r="M984" s="13" t="str">
        <x:v>Pago</x:v>
      </x:c>
      <x:c r="N984" s="13" t="str">
        <x:v>Sem cobrança</x:v>
      </x:c>
      <x:c r="O984" s="13" t="str">
        <x:v>Operação Clareza</x:v>
      </x:c>
      <x:c r="P984" s="17" t="n">
        <x:f>IF(D984="",0,J984-K984+L984)</x:f>
        <x:v>19913.62</x:v>
      </x:c>
      <x:c r="Q984" s="17" t="n">
        <x:f>MAX(J984-P984-K984,0)</x:f>
        <x:v>0</x:v>
      </x:c>
      <x:c r="R984" s="13" t="n">
        <x:f>IF(D984="",MAX(TODAY()-C984,0),MAX(D984-C984,0))</x:f>
        <x:v>0</x:v>
      </x:c>
      <x:c r="S984" s="13" t="str">
        <x:f>IF(R984=0,"Em dia",IF(R984&lt;=15,"1-15 dias",IF(R984&lt;=30,"16-30 dias",IF(R984&lt;=60,"31-60 dias","Acima de 60 dias"))))</x:f>
        <x:v>Em dia</x:v>
      </x:c>
    </x:row>
    <x:row r="985">
      <x:c r="A985" s="13" t="str">
        <x:v>REC-000984</x:v>
      </x:c>
      <x:c r="B985" s="23" t="n">
        <x:v>45787</x:v>
      </x:c>
      <x:c r="C985" s="23" t="n">
        <x:v>45808</x:v>
      </x:c>
      <x:c r="D985" s="23" t="n">
        <x:v>45850</x:v>
      </x:c>
      <x:c r="E985" s="13" t="str">
        <x:v>VAL-013</x:v>
      </x:c>
      <x:c r="F985" s="13" t="str">
        <x:v>Engenharia Vértice</x:v>
      </x:c>
      <x:c r="G985" s="13" t="str">
        <x:v>Construção</x:v>
      </x:c>
      <x:c r="H985" s="13" t="str">
        <x:v>Baixo</x:v>
      </x:c>
      <x:c r="I985" s="13" t="str">
        <x:v>Essencial</x:v>
      </x:c>
      <x:c r="J985" s="17" t="n">
        <x:v>11786.39</x:v>
      </x:c>
      <x:c r="K985" s="17" t="n">
        <x:v>0</x:v>
      </x:c>
      <x:c r="L985" s="17" t="n">
        <x:v>294.66</x:v>
      </x:c>
      <x:c r="M985" s="13" t="str">
        <x:v>Pago com atraso</x:v>
      </x:c>
      <x:c r="N985" s="13" t="str">
        <x:v>E-mail</x:v>
      </x:c>
      <x:c r="O985" s="13" t="str">
        <x:v>Operação Clareza</x:v>
      </x:c>
      <x:c r="P985" s="17" t="n">
        <x:f>IF(D985="",0,J985-K985+L985)</x:f>
        <x:v>12081.05</x:v>
      </x:c>
      <x:c r="Q985" s="17" t="n">
        <x:f>MAX(J985-P985-K985,0)</x:f>
        <x:v>0</x:v>
      </x:c>
      <x:c r="R985" s="13" t="n">
        <x:f>IF(D985="",MAX(TODAY()-C985,0),MAX(D985-C985,0))</x:f>
        <x:v>42</x:v>
      </x:c>
      <x:c r="S985" s="13" t="str">
        <x:f>IF(R985=0,"Em dia",IF(R985&lt;=15,"1-15 dias",IF(R985&lt;=30,"16-30 dias",IF(R985&lt;=60,"31-60 dias","Acima de 60 dias"))))</x:f>
        <x:v>31-60 dias</x:v>
      </x:c>
    </x:row>
    <x:row r="986">
      <x:c r="A986" s="13" t="str">
        <x:v>REC-000985</x:v>
      </x:c>
      <x:c r="B986" s="23" t="n">
        <x:v>45785</x:v>
      </x:c>
      <x:c r="C986" s="23" t="n">
        <x:v>45813</x:v>
      </x:c>
      <x:c r="D986" s="23" t="n">
        <x:v>45809</x:v>
      </x:c>
      <x:c r="E986" s="13" t="str">
        <x:v>VAL-013</x:v>
      </x:c>
      <x:c r="F986" s="13" t="str">
        <x:v>Engenharia Vértice</x:v>
      </x:c>
      <x:c r="G986" s="13" t="str">
        <x:v>Construção</x:v>
      </x:c>
      <x:c r="H986" s="13" t="str">
        <x:v>Baixo</x:v>
      </x:c>
      <x:c r="I986" s="13" t="str">
        <x:v>Essencial</x:v>
      </x:c>
      <x:c r="J986" s="17" t="n">
        <x:v>24355.59</x:v>
      </x:c>
      <x:c r="K986" s="17" t="n">
        <x:v>205.15</x:v>
      </x:c>
      <x:c r="L986" s="17" t="n">
        <x:v>0</x:v>
      </x:c>
      <x:c r="M986" s="13" t="str">
        <x:v>Pago</x:v>
      </x:c>
      <x:c r="N986" s="13" t="str">
        <x:v>Sem cobrança</x:v>
      </x:c>
      <x:c r="O986" s="13" t="str">
        <x:v>Operação Clareza</x:v>
      </x:c>
      <x:c r="P986" s="17" t="n">
        <x:f>IF(D986="",0,J986-K986+L986)</x:f>
        <x:v>24150.44</x:v>
      </x:c>
      <x:c r="Q986" s="17" t="n">
        <x:f>MAX(J986-P986-K986,0)</x:f>
        <x:v>1.4495071809506044e-12</x:v>
      </x:c>
      <x:c r="R986" s="13" t="n">
        <x:f>IF(D986="",MAX(TODAY()-C986,0),MAX(D986-C986,0))</x:f>
        <x:v>0</x:v>
      </x:c>
      <x:c r="S986" s="13" t="str">
        <x:f>IF(R986=0,"Em dia",IF(R986&lt;=15,"1-15 dias",IF(R986&lt;=30,"16-30 dias",IF(R986&lt;=60,"31-60 dias","Acima de 60 dias"))))</x:f>
        <x:v>Em dia</x:v>
      </x:c>
    </x:row>
    <x:row r="987">
      <x:c r="A987" s="13" t="str">
        <x:v>REC-000986</x:v>
      </x:c>
      <x:c r="B987" s="23" t="n">
        <x:v>45778</x:v>
      </x:c>
      <x:c r="C987" s="23" t="n">
        <x:v>45808</x:v>
      </x:c>
      <x:c r="D987" s="23" t="n">
        <x:v>45806</x:v>
      </x:c>
      <x:c r="E987" s="13" t="str">
        <x:v>VAL-016</x:v>
      </x:c>
      <x:c r="F987" s="13" t="str">
        <x:v>Lumina Embalagens</x:v>
      </x:c>
      <x:c r="G987" s="13" t="str">
        <x:v>Indústria Leve</x:v>
      </x:c>
      <x:c r="H987" s="13" t="str">
        <x:v>Baixo</x:v>
      </x:c>
      <x:c r="I987" s="13" t="str">
        <x:v>Enterprise</x:v>
      </x:c>
      <x:c r="J987" s="17" t="n">
        <x:v>25495.92</x:v>
      </x:c>
      <x:c r="K987" s="17" t="n">
        <x:v>0</x:v>
      </x:c>
      <x:c r="L987" s="17" t="n">
        <x:v>0</x:v>
      </x:c>
      <x:c r="M987" s="13" t="str">
        <x:v>Pago</x:v>
      </x:c>
      <x:c r="N987" s="13" t="str">
        <x:v>Sem cobrança</x:v>
      </x:c>
      <x:c r="O987" s="13" t="str">
        <x:v>Operação Clareza</x:v>
      </x:c>
      <x:c r="P987" s="17" t="n">
        <x:f>IF(D987="",0,J987-K987+L987)</x:f>
        <x:v>25495.92</x:v>
      </x:c>
      <x:c r="Q987" s="17" t="n">
        <x:f>MAX(J987-P987-K987,0)</x:f>
        <x:v>0</x:v>
      </x:c>
      <x:c r="R987" s="13" t="n">
        <x:f>IF(D987="",MAX(TODAY()-C987,0),MAX(D987-C987,0))</x:f>
        <x:v>0</x:v>
      </x:c>
      <x:c r="S987" s="13" t="str">
        <x:f>IF(R987=0,"Em dia",IF(R987&lt;=15,"1-15 dias",IF(R987&lt;=30,"16-30 dias",IF(R987&lt;=60,"31-60 dias","Acima de 60 dias"))))</x:f>
        <x:v>Em dia</x:v>
      </x:c>
    </x:row>
    <x:row r="988">
      <x:c r="A988" s="13" t="str">
        <x:v>REC-000987</x:v>
      </x:c>
      <x:c r="B988" s="23" t="n">
        <x:v>45782</x:v>
      </x:c>
      <x:c r="C988" s="23" t="n">
        <x:v>45810</x:v>
      </x:c>
      <x:c r="D988" s="23" t="n">
        <x:v>45809</x:v>
      </x:c>
      <x:c r="E988" s="13" t="str">
        <x:v>VAL-023</x:v>
      </x:c>
      <x:c r="F988" s="13" t="str">
        <x:v>ShopMix Brasil</x:v>
      </x:c>
      <x:c r="G988" s="13" t="str">
        <x:v>E-commerce</x:v>
      </x:c>
      <x:c r="H988" s="13" t="str">
        <x:v>Baixo</x:v>
      </x:c>
      <x:c r="I988" s="13" t="str">
        <x:v>Performance</x:v>
      </x:c>
      <x:c r="J988" s="17" t="n">
        <x:v>7237.88</x:v>
      </x:c>
      <x:c r="K988" s="17" t="n">
        <x:v>0</x:v>
      </x:c>
      <x:c r="L988" s="17" t="n">
        <x:v>0</x:v>
      </x:c>
      <x:c r="M988" s="13" t="str">
        <x:v>Pago</x:v>
      </x:c>
      <x:c r="N988" s="13" t="str">
        <x:v>Sem cobrança</x:v>
      </x:c>
      <x:c r="O988" s="13" t="str">
        <x:v>Operação Clareza</x:v>
      </x:c>
      <x:c r="P988" s="17" t="n">
        <x:f>IF(D988="",0,J988-K988+L988)</x:f>
        <x:v>7237.88</x:v>
      </x:c>
      <x:c r="Q988" s="17" t="n">
        <x:f>MAX(J988-P988-K988,0)</x:f>
        <x:v>0</x:v>
      </x:c>
      <x:c r="R988" s="13" t="n">
        <x:f>IF(D988="",MAX(TODAY()-C988,0),MAX(D988-C988,0))</x:f>
        <x:v>0</x:v>
      </x:c>
      <x:c r="S988" s="13" t="str">
        <x:f>IF(R988=0,"Em dia",IF(R988&lt;=15,"1-15 dias",IF(R988&lt;=30,"16-30 dias",IF(R988&lt;=60,"31-60 dias","Acima de 60 dias"))))</x:f>
        <x:v>Em dia</x:v>
      </x:c>
    </x:row>
    <x:row r="989">
      <x:c r="A989" s="13" t="str">
        <x:v>REC-000988</x:v>
      </x:c>
      <x:c r="B989" s="23" t="n">
        <x:v>45789</x:v>
      </x:c>
      <x:c r="C989" s="23" t="n">
        <x:v>45817</x:v>
      </x:c>
      <x:c r="D989" s="23" t="n">
        <x:v>45816</x:v>
      </x:c>
      <x:c r="E989" s="13" t="str">
        <x:v>VAL-004</x:v>
      </x:c>
      <x:c r="F989" s="13" t="str">
        <x:v>NuvemBase Tecnologia</x:v>
      </x:c>
      <x:c r="G989" s="13" t="str">
        <x:v>Tecnologia</x:v>
      </x:c>
      <x:c r="H989" s="13" t="str">
        <x:v>Baixo</x:v>
      </x:c>
      <x:c r="I989" s="13" t="str">
        <x:v>Enterprise</x:v>
      </x:c>
      <x:c r="J989" s="17" t="n">
        <x:v>29844.43</x:v>
      </x:c>
      <x:c r="K989" s="17" t="n">
        <x:v>0</x:v>
      </x:c>
      <x:c r="L989" s="17" t="n">
        <x:v>0</x:v>
      </x:c>
      <x:c r="M989" s="13" t="str">
        <x:v>Pago</x:v>
      </x:c>
      <x:c r="N989" s="13" t="str">
        <x:v>Sem cobrança</x:v>
      </x:c>
      <x:c r="O989" s="13" t="str">
        <x:v>Operação Clareza</x:v>
      </x:c>
      <x:c r="P989" s="17" t="n">
        <x:f>IF(D989="",0,J989-K989+L989)</x:f>
        <x:v>29844.43</x:v>
      </x:c>
      <x:c r="Q989" s="17" t="n">
        <x:f>MAX(J989-P989-K989,0)</x:f>
        <x:v>0</x:v>
      </x:c>
      <x:c r="R989" s="13" t="n">
        <x:f>IF(D989="",MAX(TODAY()-C989,0),MAX(D989-C989,0))</x:f>
        <x:v>0</x:v>
      </x:c>
      <x:c r="S989" s="13" t="str">
        <x:f>IF(R989=0,"Em dia",IF(R989&lt;=15,"1-15 dias",IF(R989&lt;=30,"16-30 dias",IF(R989&lt;=60,"31-60 dias","Acima de 60 dias"))))</x:f>
        <x:v>Em dia</x:v>
      </x:c>
    </x:row>
    <x:row r="990">
      <x:c r="A990" s="13" t="str">
        <x:v>REC-000989</x:v>
      </x:c>
      <x:c r="B990" s="23" t="n">
        <x:v>45796</x:v>
      </x:c>
      <x:c r="C990" s="23" t="n">
        <x:v>45826</x:v>
      </x:c>
      <x:c r="D990" s="23" t="n">
        <x:v>45822</x:v>
      </x:c>
      <x:c r="E990" s="13" t="str">
        <x:v>VAL-001</x:v>
      </x:c>
      <x:c r="F990" s="13" t="str">
        <x:v>Clínica Horizonte</x:v>
      </x:c>
      <x:c r="G990" s="13" t="str">
        <x:v>Clínicas e Saúde</x:v>
      </x:c>
      <x:c r="H990" s="13" t="str">
        <x:v>Baixo</x:v>
      </x:c>
      <x:c r="I990" s="13" t="str">
        <x:v>Essencial</x:v>
      </x:c>
      <x:c r="J990" s="17" t="n">
        <x:v>5581.54</x:v>
      </x:c>
      <x:c r="K990" s="17" t="n">
        <x:v>0</x:v>
      </x:c>
      <x:c r="L990" s="17" t="n">
        <x:v>0</x:v>
      </x:c>
      <x:c r="M990" s="13" t="str">
        <x:v>Pago</x:v>
      </x:c>
      <x:c r="N990" s="13" t="str">
        <x:v>Sem cobrança</x:v>
      </x:c>
      <x:c r="O990" s="13" t="str">
        <x:v>Operação Clareza</x:v>
      </x:c>
      <x:c r="P990" s="17" t="n">
        <x:f>IF(D990="",0,J990-K990+L990)</x:f>
        <x:v>5581.54</x:v>
      </x:c>
      <x:c r="Q990" s="17" t="n">
        <x:f>MAX(J990-P990-K990,0)</x:f>
        <x:v>0</x:v>
      </x:c>
      <x:c r="R990" s="13" t="n">
        <x:f>IF(D990="",MAX(TODAY()-C990,0),MAX(D990-C990,0))</x:f>
        <x:v>0</x:v>
      </x:c>
      <x:c r="S990" s="13" t="str">
        <x:f>IF(R990=0,"Em dia",IF(R990&lt;=15,"1-15 dias",IF(R990&lt;=30,"16-30 dias",IF(R990&lt;=60,"31-60 dias","Acima de 60 dias"))))</x:f>
        <x:v>Em dia</x:v>
      </x:c>
    </x:row>
    <x:row r="991">
      <x:c r="A991" s="13" t="str">
        <x:v>REC-000990</x:v>
      </x:c>
      <x:c r="B991" s="23" t="n">
        <x:v>45797</x:v>
      </x:c>
      <x:c r="C991" s="23" t="n">
        <x:v>45818</x:v>
      </x:c>
      <x:c r="D991" s="23" t="n">
        <x:v>45818</x:v>
      </x:c>
      <x:c r="E991" s="13" t="str">
        <x:v>VAL-012</x:v>
      </x:c>
      <x:c r="F991" s="13" t="str">
        <x:v>DataFlow Sistemas</x:v>
      </x:c>
      <x:c r="G991" s="13" t="str">
        <x:v>Tecnologia</x:v>
      </x:c>
      <x:c r="H991" s="13" t="str">
        <x:v>Médio</x:v>
      </x:c>
      <x:c r="I991" s="13" t="str">
        <x:v>Enterprise</x:v>
      </x:c>
      <x:c r="J991" s="17" t="n">
        <x:v>1693.86</x:v>
      </x:c>
      <x:c r="K991" s="17" t="n">
        <x:v>0</x:v>
      </x:c>
      <x:c r="L991" s="17" t="n">
        <x:v>0</x:v>
      </x:c>
      <x:c r="M991" s="13" t="str">
        <x:v>Pago</x:v>
      </x:c>
      <x:c r="N991" s="13" t="str">
        <x:v>Sem cobrança</x:v>
      </x:c>
      <x:c r="O991" s="13" t="str">
        <x:v>Operação Clareza</x:v>
      </x:c>
      <x:c r="P991" s="17" t="n">
        <x:f>IF(D991="",0,J991-K991+L991)</x:f>
        <x:v>1693.86</x:v>
      </x:c>
      <x:c r="Q991" s="17" t="n">
        <x:f>MAX(J991-P991-K991,0)</x:f>
        <x:v>0</x:v>
      </x:c>
      <x:c r="R991" s="13" t="n">
        <x:f>IF(D991="",MAX(TODAY()-C991,0),MAX(D991-C991,0))</x:f>
        <x:v>0</x:v>
      </x:c>
      <x:c r="S991" s="13" t="str">
        <x:f>IF(R991=0,"Em dia",IF(R991&lt;=15,"1-15 dias",IF(R991&lt;=30,"16-30 dias",IF(R991&lt;=60,"31-60 dias","Acima de 60 dias"))))</x:f>
        <x:v>Em dia</x:v>
      </x:c>
    </x:row>
    <x:row r="992">
      <x:c r="A992" s="13" t="str">
        <x:v>REC-000991</x:v>
      </x:c>
      <x:c r="B992" s="23" t="n">
        <x:v>45793</x:v>
      </x:c>
      <x:c r="C992" s="23" t="n">
        <x:v>45821</x:v>
      </x:c>
      <x:c r="D992" s="23" t="n">
        <x:v>45817</x:v>
      </x:c>
      <x:c r="E992" s="13" t="str">
        <x:v>VAL-026</x:v>
      </x:c>
      <x:c r="F992" s="13" t="str">
        <x:v>Ribeiro Arquitetura</x:v>
      </x:c>
      <x:c r="G992" s="13" t="str">
        <x:v>Serviços Profissionais</x:v>
      </x:c>
      <x:c r="H992" s="13" t="str">
        <x:v>Baixo</x:v>
      </x:c>
      <x:c r="I992" s="13" t="str">
        <x:v>Gestão</x:v>
      </x:c>
      <x:c r="J992" s="17" t="n">
        <x:v>16232.71</x:v>
      </x:c>
      <x:c r="K992" s="17" t="n">
        <x:v>0</x:v>
      </x:c>
      <x:c r="L992" s="17" t="n">
        <x:v>0</x:v>
      </x:c>
      <x:c r="M992" s="13" t="str">
        <x:v>Pago</x:v>
      </x:c>
      <x:c r="N992" s="13" t="str">
        <x:v>Sem cobrança</x:v>
      </x:c>
      <x:c r="O992" s="13" t="str">
        <x:v>Operação Clareza</x:v>
      </x:c>
      <x:c r="P992" s="17" t="n">
        <x:f>IF(D992="",0,J992-K992+L992)</x:f>
        <x:v>16232.71</x:v>
      </x:c>
      <x:c r="Q992" s="17" t="n">
        <x:f>MAX(J992-P992-K992,0)</x:f>
        <x:v>0</x:v>
      </x:c>
      <x:c r="R992" s="13" t="n">
        <x:f>IF(D992="",MAX(TODAY()-C992,0),MAX(D992-C992,0))</x:f>
        <x:v>0</x:v>
      </x:c>
      <x:c r="S992" s="13" t="str">
        <x:f>IF(R992=0,"Em dia",IF(R992&lt;=15,"1-15 dias",IF(R992&lt;=30,"16-30 dias",IF(R992&lt;=60,"31-60 dias","Acima de 60 dias"))))</x:f>
        <x:v>Em dia</x:v>
      </x:c>
    </x:row>
    <x:row r="993">
      <x:c r="A993" s="13" t="str">
        <x:v>REC-000992</x:v>
      </x:c>
      <x:c r="B993" s="23" t="n">
        <x:v>45778</x:v>
      </x:c>
      <x:c r="C993" s="23" t="n">
        <x:v>45793</x:v>
      </x:c>
      <x:c r="D993" s="23" t="n">
        <x:v>45790</x:v>
      </x:c>
      <x:c r="E993" s="13" t="str">
        <x:v>VAL-010</x:v>
      </x:c>
      <x:c r="F993" s="13" t="str">
        <x:v>Atlas Contabilidade</x:v>
      </x:c>
      <x:c r="G993" s="13" t="str">
        <x:v>Serviços Profissionais</x:v>
      </x:c>
      <x:c r="H993" s="13" t="str">
        <x:v>Baixo</x:v>
      </x:c>
      <x:c r="I993" s="13" t="str">
        <x:v>Gestão</x:v>
      </x:c>
      <x:c r="J993" s="17" t="n">
        <x:v>21822.72</x:v>
      </x:c>
      <x:c r="K993" s="17" t="n">
        <x:v>0</x:v>
      </x:c>
      <x:c r="L993" s="17" t="n">
        <x:v>0</x:v>
      </x:c>
      <x:c r="M993" s="13" t="str">
        <x:v>Pago</x:v>
      </x:c>
      <x:c r="N993" s="13" t="str">
        <x:v>Sem cobrança</x:v>
      </x:c>
      <x:c r="O993" s="13" t="str">
        <x:v>Operação Clareza</x:v>
      </x:c>
      <x:c r="P993" s="17" t="n">
        <x:f>IF(D993="",0,J993-K993+L993)</x:f>
        <x:v>21822.72</x:v>
      </x:c>
      <x:c r="Q993" s="17" t="n">
        <x:f>MAX(J993-P993-K993,0)</x:f>
        <x:v>0</x:v>
      </x:c>
      <x:c r="R993" s="13" t="n">
        <x:f>IF(D993="",MAX(TODAY()-C993,0),MAX(D993-C993,0))</x:f>
        <x:v>0</x:v>
      </x:c>
      <x:c r="S993" s="13" t="str">
        <x:f>IF(R993=0,"Em dia",IF(R993&lt;=15,"1-15 dias",IF(R993&lt;=30,"16-30 dias",IF(R993&lt;=60,"31-60 dias","Acima de 60 dias"))))</x:f>
        <x:v>Em dia</x:v>
      </x:c>
    </x:row>
    <x:row r="994">
      <x:c r="A994" s="13" t="str">
        <x:v>REC-000993</x:v>
      </x:c>
      <x:c r="B994" s="23" t="n">
        <x:v>45780</x:v>
      </x:c>
      <x:c r="C994" s="23" t="n">
        <x:v>45810</x:v>
      </x:c>
      <x:c r="D994" s="23" t="n">
        <x:v>45808</x:v>
      </x:c>
      <x:c r="E994" s="13" t="str">
        <x:v>VAL-020</x:v>
      </x:c>
      <x:c r="F994" s="13" t="str">
        <x:v>Corelink Digital</x:v>
      </x:c>
      <x:c r="G994" s="13" t="str">
        <x:v>Tecnologia</x:v>
      </x:c>
      <x:c r="H994" s="13" t="str">
        <x:v>Baixo</x:v>
      </x:c>
      <x:c r="I994" s="13" t="str">
        <x:v>Enterprise</x:v>
      </x:c>
      <x:c r="J994" s="17" t="n">
        <x:v>7650.83</x:v>
      </x:c>
      <x:c r="K994" s="17" t="n">
        <x:v>45.3</x:v>
      </x:c>
      <x:c r="L994" s="17" t="n">
        <x:v>0</x:v>
      </x:c>
      <x:c r="M994" s="13" t="str">
        <x:v>Pago</x:v>
      </x:c>
      <x:c r="N994" s="13" t="str">
        <x:v>Sem cobrança</x:v>
      </x:c>
      <x:c r="O994" s="13" t="str">
        <x:v>Operação Clareza</x:v>
      </x:c>
      <x:c r="P994" s="17" t="n">
        <x:f>IF(D994="",0,J994-K994+L994)</x:f>
        <x:v>7605.53</x:v>
      </x:c>
      <x:c r="Q994" s="17" t="n">
        <x:f>MAX(J994-P994-K994,0)</x:f>
        <x:v>1.8474111129762605e-13</x:v>
      </x:c>
      <x:c r="R994" s="13" t="n">
        <x:f>IF(D994="",MAX(TODAY()-C994,0),MAX(D994-C994,0))</x:f>
        <x:v>0</x:v>
      </x:c>
      <x:c r="S994" s="13" t="str">
        <x:f>IF(R994=0,"Em dia",IF(R994&lt;=15,"1-15 dias",IF(R994&lt;=30,"16-30 dias",IF(R994&lt;=60,"31-60 dias","Acima de 60 dias"))))</x:f>
        <x:v>Em dia</x:v>
      </x:c>
    </x:row>
    <x:row r="995">
      <x:c r="A995" s="13" t="str">
        <x:v>REC-000994</x:v>
      </x:c>
      <x:c r="B995" s="23" t="n">
        <x:v>45792</x:v>
      </x:c>
      <x:c r="C995" s="23" t="n">
        <x:v>45820</x:v>
      </x:c>
      <x:c r="D995" s="23" t="n">
        <x:v>45818</x:v>
      </x:c>
      <x:c r="E995" s="13" t="str">
        <x:v>VAL-025</x:v>
      </x:c>
      <x:c r="F995" s="13" t="str">
        <x:v>Bem-Estar Terapias</x:v>
      </x:c>
      <x:c r="G995" s="13" t="str">
        <x:v>Clínicas e Saúde</x:v>
      </x:c>
      <x:c r="H995" s="13" t="str">
        <x:v>Baixo</x:v>
      </x:c>
      <x:c r="I995" s="13" t="str">
        <x:v>Essencial</x:v>
      </x:c>
      <x:c r="J995" s="17" t="n">
        <x:v>20647.23</x:v>
      </x:c>
      <x:c r="K995" s="17" t="n">
        <x:v>0</x:v>
      </x:c>
      <x:c r="L995" s="17" t="n">
        <x:v>0</x:v>
      </x:c>
      <x:c r="M995" s="13" t="str">
        <x:v>Pago</x:v>
      </x:c>
      <x:c r="N995" s="13" t="str">
        <x:v>Sem cobrança</x:v>
      </x:c>
      <x:c r="O995" s="13" t="str">
        <x:v>Operação Clareza</x:v>
      </x:c>
      <x:c r="P995" s="17" t="n">
        <x:f>IF(D995="",0,J995-K995+L995)</x:f>
        <x:v>20647.23</x:v>
      </x:c>
      <x:c r="Q995" s="17" t="n">
        <x:f>MAX(J995-P995-K995,0)</x:f>
        <x:v>0</x:v>
      </x:c>
      <x:c r="R995" s="13" t="n">
        <x:f>IF(D995="",MAX(TODAY()-C995,0),MAX(D995-C995,0))</x:f>
        <x:v>0</x:v>
      </x:c>
      <x:c r="S995" s="13" t="str">
        <x:f>IF(R995=0,"Em dia",IF(R995&lt;=15,"1-15 dias",IF(R995&lt;=30,"16-30 dias",IF(R995&lt;=60,"31-60 dias","Acima de 60 dias"))))</x:f>
        <x:v>Em dia</x:v>
      </x:c>
    </x:row>
    <x:row r="996">
      <x:c r="A996" s="13" t="str">
        <x:v>REC-000995</x:v>
      </x:c>
      <x:c r="B996" s="23" t="n">
        <x:v>45792</x:v>
      </x:c>
      <x:c r="C996" s="23" t="n">
        <x:v>45820</x:v>
      </x:c>
      <x:c r="D996" s="23" t="n">
        <x:v>45819</x:v>
      </x:c>
      <x:c r="E996" s="13" t="str">
        <x:v>VAL-021</x:v>
      </x:c>
      <x:c r="F996" s="13" t="str">
        <x:v>Base Forte Obras</x:v>
      </x:c>
      <x:c r="G996" s="13" t="str">
        <x:v>Construção</x:v>
      </x:c>
      <x:c r="H996" s="13" t="str">
        <x:v>Médio</x:v>
      </x:c>
      <x:c r="I996" s="13" t="str">
        <x:v>Essencial</x:v>
      </x:c>
      <x:c r="J996" s="17" t="n">
        <x:v>23554.84</x:v>
      </x:c>
      <x:c r="K996" s="17" t="n">
        <x:v>0</x:v>
      </x:c>
      <x:c r="L996" s="17" t="n">
        <x:v>0</x:v>
      </x:c>
      <x:c r="M996" s="13" t="str">
        <x:v>Pago</x:v>
      </x:c>
      <x:c r="N996" s="13" t="str">
        <x:v>Sem cobrança</x:v>
      </x:c>
      <x:c r="O996" s="13" t="str">
        <x:v>Operação Clareza</x:v>
      </x:c>
      <x:c r="P996" s="17" t="n">
        <x:f>IF(D996="",0,J996-K996+L996)</x:f>
        <x:v>23554.84</x:v>
      </x:c>
      <x:c r="Q996" s="17" t="n">
        <x:f>MAX(J996-P996-K996,0)</x:f>
        <x:v>0</x:v>
      </x:c>
      <x:c r="R996" s="13" t="n">
        <x:f>IF(D996="",MAX(TODAY()-C996,0),MAX(D996-C996,0))</x:f>
        <x:v>0</x:v>
      </x:c>
      <x:c r="S996" s="13" t="str">
        <x:f>IF(R996=0,"Em dia",IF(R996&lt;=15,"1-15 dias",IF(R996&lt;=30,"16-30 dias",IF(R996&lt;=60,"31-60 dias","Acima de 60 dias"))))</x:f>
        <x:v>Em dia</x:v>
      </x:c>
    </x:row>
    <x:row r="997">
      <x:c r="A997" s="13" t="str">
        <x:v>REC-000996</x:v>
      </x:c>
      <x:c r="B997" s="23" t="n">
        <x:v>45792</x:v>
      </x:c>
      <x:c r="C997" s="23" t="n">
        <x:v>45813</x:v>
      </x:c>
      <x:c r="D997" s="23" t="n">
        <x:v>45813</x:v>
      </x:c>
      <x:c r="E997" s="13" t="str">
        <x:v>VAL-021</x:v>
      </x:c>
      <x:c r="F997" s="13" t="str">
        <x:v>Base Forte Obras</x:v>
      </x:c>
      <x:c r="G997" s="13" t="str">
        <x:v>Construção</x:v>
      </x:c>
      <x:c r="H997" s="13" t="str">
        <x:v>Médio</x:v>
      </x:c>
      <x:c r="I997" s="13" t="str">
        <x:v>Essencial</x:v>
      </x:c>
      <x:c r="J997" s="17" t="n">
        <x:v>13006.02</x:v>
      </x:c>
      <x:c r="K997" s="17" t="n">
        <x:v>94.71</x:v>
      </x:c>
      <x:c r="L997" s="17" t="n">
        <x:v>0</x:v>
      </x:c>
      <x:c r="M997" s="13" t="str">
        <x:v>Pago</x:v>
      </x:c>
      <x:c r="N997" s="13" t="str">
        <x:v>Sem cobrança</x:v>
      </x:c>
      <x:c r="O997" s="13" t="str">
        <x:v>Operação Clareza</x:v>
      </x:c>
      <x:c r="P997" s="17" t="n">
        <x:f>IF(D997="",0,J997-K997+L997)</x:f>
        <x:v>12911.310000000001</x:v>
      </x:c>
      <x:c r="Q997" s="17" t="n">
        <x:f>MAX(J997-P997-K997,0)</x:f>
        <x:v>0</x:v>
      </x:c>
      <x:c r="R997" s="13" t="n">
        <x:f>IF(D997="",MAX(TODAY()-C997,0),MAX(D997-C997,0))</x:f>
        <x:v>0</x:v>
      </x:c>
      <x:c r="S997" s="13" t="str">
        <x:f>IF(R997=0,"Em dia",IF(R997&lt;=15,"1-15 dias",IF(R997&lt;=30,"16-30 dias",IF(R997&lt;=60,"31-60 dias","Acima de 60 dias"))))</x:f>
        <x:v>Em dia</x:v>
      </x:c>
    </x:row>
    <x:row r="998">
      <x:c r="A998" s="13" t="str">
        <x:v>REC-000997</x:v>
      </x:c>
      <x:c r="B998" s="23" t="n">
        <x:v>45780</x:v>
      </x:c>
      <x:c r="C998" s="23" t="n">
        <x:v>45795</x:v>
      </x:c>
      <x:c r="D998" s="23" t="n">
        <x:v>45795</x:v>
      </x:c>
      <x:c r="E998" s="13" t="str">
        <x:v>VAL-020</x:v>
      </x:c>
      <x:c r="F998" s="13" t="str">
        <x:v>Corelink Digital</x:v>
      </x:c>
      <x:c r="G998" s="13" t="str">
        <x:v>Tecnologia</x:v>
      </x:c>
      <x:c r="H998" s="13" t="str">
        <x:v>Baixo</x:v>
      </x:c>
      <x:c r="I998" s="13" t="str">
        <x:v>Enterprise</x:v>
      </x:c>
      <x:c r="J998" s="17" t="n">
        <x:v>13323.68</x:v>
      </x:c>
      <x:c r="K998" s="17" t="n">
        <x:v>0</x:v>
      </x:c>
      <x:c r="L998" s="17" t="n">
        <x:v>0</x:v>
      </x:c>
      <x:c r="M998" s="13" t="str">
        <x:v>Pago</x:v>
      </x:c>
      <x:c r="N998" s="13" t="str">
        <x:v>Sem cobrança</x:v>
      </x:c>
      <x:c r="O998" s="13" t="str">
        <x:v>Operação Clareza</x:v>
      </x:c>
      <x:c r="P998" s="17" t="n">
        <x:f>IF(D998="",0,J998-K998+L998)</x:f>
        <x:v>13323.68</x:v>
      </x:c>
      <x:c r="Q998" s="17" t="n">
        <x:f>MAX(J998-P998-K998,0)</x:f>
        <x:v>0</x:v>
      </x:c>
      <x:c r="R998" s="13" t="n">
        <x:f>IF(D998="",MAX(TODAY()-C998,0),MAX(D998-C998,0))</x:f>
        <x:v>0</x:v>
      </x:c>
      <x:c r="S998" s="13" t="str">
        <x:f>IF(R998=0,"Em dia",IF(R998&lt;=15,"1-15 dias",IF(R998&lt;=30,"16-30 dias",IF(R998&lt;=60,"31-60 dias","Acima de 60 dias"))))</x:f>
        <x:v>Em dia</x:v>
      </x:c>
    </x:row>
    <x:row r="999">
      <x:c r="A999" s="13" t="str">
        <x:v>REC-000998</x:v>
      </x:c>
      <x:c r="B999" s="23" t="n">
        <x:v>45788</x:v>
      </x:c>
      <x:c r="C999" s="23" t="n">
        <x:v>45795</x:v>
      </x:c>
      <x:c r="D999" s="23" t="n">
        <x:v>45792</x:v>
      </x:c>
      <x:c r="E999" s="13" t="str">
        <x:v>VAL-002</x:v>
      </x:c>
      <x:c r="F999" s="13" t="str">
        <x:v>Mendes &amp; Prado Consultoria</x:v>
      </x:c>
      <x:c r="G999" s="13" t="str">
        <x:v>Serviços Profissionais</x:v>
      </x:c>
      <x:c r="H999" s="13" t="str">
        <x:v>Baixo</x:v>
      </x:c>
      <x:c r="I999" s="13" t="str">
        <x:v>Gestão</x:v>
      </x:c>
      <x:c r="J999" s="17" t="n">
        <x:v>24965.46</x:v>
      </x:c>
      <x:c r="K999" s="17" t="n">
        <x:v>0</x:v>
      </x:c>
      <x:c r="L999" s="17" t="n">
        <x:v>0</x:v>
      </x:c>
      <x:c r="M999" s="13" t="str">
        <x:v>Pago</x:v>
      </x:c>
      <x:c r="N999" s="13" t="str">
        <x:v>Sem cobrança</x:v>
      </x:c>
      <x:c r="O999" s="13" t="str">
        <x:v>Operação Clareza</x:v>
      </x:c>
      <x:c r="P999" s="17" t="n">
        <x:f>IF(D999="",0,J999-K999+L999)</x:f>
        <x:v>24965.46</x:v>
      </x:c>
      <x:c r="Q999" s="17" t="n">
        <x:f>MAX(J999-P999-K999,0)</x:f>
        <x:v>0</x:v>
      </x:c>
      <x:c r="R999" s="13" t="n">
        <x:f>IF(D999="",MAX(TODAY()-C999,0),MAX(D999-C999,0))</x:f>
        <x:v>0</x:v>
      </x:c>
      <x:c r="S999" s="13" t="str">
        <x:f>IF(R999=0,"Em dia",IF(R999&lt;=15,"1-15 dias",IF(R999&lt;=30,"16-30 dias",IF(R999&lt;=60,"31-60 dias","Acima de 60 dias"))))</x:f>
        <x:v>Em dia</x:v>
      </x:c>
    </x:row>
    <x:row r="1000">
      <x:c r="A1000" s="13" t="str">
        <x:v>REC-000999</x:v>
      </x:c>
      <x:c r="B1000" s="23" t="n">
        <x:v>45779</x:v>
      </x:c>
      <x:c r="C1000" s="23" t="n">
        <x:v>45809</x:v>
      </x:c>
      <x:c r="D1000" s="23" t="n">
        <x:v>45808</x:v>
      </x:c>
      <x:c r="E1000" s="13" t="str">
        <x:v>VAL-014</x:v>
      </x:c>
      <x:c r="F1000" s="13" t="str">
        <x:v>Colégio Caminhos</x:v>
      </x:c>
      <x:c r="G1000" s="13" t="str">
        <x:v>Educação</x:v>
      </x:c>
      <x:c r="H1000" s="13" t="str">
        <x:v>Médio</x:v>
      </x:c>
      <x:c r="I1000" s="13" t="str">
        <x:v>Gestão</x:v>
      </x:c>
      <x:c r="J1000" s="17" t="n">
        <x:v>2756.26</x:v>
      </x:c>
      <x:c r="K1000" s="17" t="n">
        <x:v>0</x:v>
      </x:c>
      <x:c r="L1000" s="17" t="n">
        <x:v>0</x:v>
      </x:c>
      <x:c r="M1000" s="13" t="str">
        <x:v>Pago</x:v>
      </x:c>
      <x:c r="N1000" s="13" t="str">
        <x:v>Sem cobrança</x:v>
      </x:c>
      <x:c r="O1000" s="13" t="str">
        <x:v>Operação Clareza</x:v>
      </x:c>
      <x:c r="P1000" s="17" t="n">
        <x:f>IF(D1000="",0,J1000-K1000+L1000)</x:f>
        <x:v>2756.26</x:v>
      </x:c>
      <x:c r="Q1000" s="17" t="n">
        <x:f>MAX(J1000-P1000-K1000,0)</x:f>
        <x:v>0</x:v>
      </x:c>
      <x:c r="R1000" s="13" t="n">
        <x:f>IF(D1000="",MAX(TODAY()-C1000,0),MAX(D1000-C1000,0))</x:f>
        <x:v>0</x:v>
      </x:c>
      <x:c r="S1000" s="13" t="str">
        <x:f>IF(R1000=0,"Em dia",IF(R1000&lt;=15,"1-15 dias",IF(R1000&lt;=30,"16-30 dias",IF(R1000&lt;=60,"31-60 dias","Acima de 60 dias"))))</x:f>
        <x:v>Em dia</x:v>
      </x:c>
    </x:row>
    <x:row r="1001">
      <x:c r="A1001" s="13" t="str">
        <x:v>REC-001000</x:v>
      </x:c>
      <x:c r="B1001" s="23" t="n">
        <x:v>45795</x:v>
      </x:c>
      <x:c r="C1001" s="23" t="n">
        <x:v>45825</x:v>
      </x:c>
      <x:c r="D1001" s="23" t="n">
        <x:v>45823</x:v>
      </x:c>
      <x:c r="E1001" s="13" t="str">
        <x:v>VAL-013</x:v>
      </x:c>
      <x:c r="F1001" s="13" t="str">
        <x:v>Engenharia Vértice</x:v>
      </x:c>
      <x:c r="G1001" s="13" t="str">
        <x:v>Construção</x:v>
      </x:c>
      <x:c r="H1001" s="13" t="str">
        <x:v>Baixo</x:v>
      </x:c>
      <x:c r="I1001" s="13" t="str">
        <x:v>Essencial</x:v>
      </x:c>
      <x:c r="J1001" s="17" t="n">
        <x:v>1899.97</x:v>
      </x:c>
      <x:c r="K1001" s="17" t="n">
        <x:v>0</x:v>
      </x:c>
      <x:c r="L1001" s="17" t="n">
        <x:v>0</x:v>
      </x:c>
      <x:c r="M1001" s="13" t="str">
        <x:v>Pago</x:v>
      </x:c>
      <x:c r="N1001" s="13" t="str">
        <x:v>Sem cobrança</x:v>
      </x:c>
      <x:c r="O1001" s="13" t="str">
        <x:v>Operação Clareza</x:v>
      </x:c>
      <x:c r="P1001" s="17" t="n">
        <x:f>IF(D1001="",0,J1001-K1001+L1001)</x:f>
        <x:v>1899.97</x:v>
      </x:c>
      <x:c r="Q1001" s="17" t="n">
        <x:f>MAX(J1001-P1001-K1001,0)</x:f>
        <x:v>0</x:v>
      </x:c>
      <x:c r="R1001" s="13" t="n">
        <x:f>IF(D1001="",MAX(TODAY()-C1001,0),MAX(D1001-C1001,0))</x:f>
        <x:v>0</x:v>
      </x:c>
      <x:c r="S1001" s="13" t="str">
        <x:f>IF(R1001=0,"Em dia",IF(R1001&lt;=15,"1-15 dias",IF(R1001&lt;=30,"16-30 dias",IF(R1001&lt;=60,"31-60 dias","Acima de 60 dias"))))</x:f>
        <x:v>Em dia</x:v>
      </x:c>
    </x:row>
    <x:row r="1002">
      <x:c r="A1002" s="13" t="str">
        <x:v>REC-001001</x:v>
      </x:c>
      <x:c r="B1002" s="23" t="n">
        <x:v>45793</x:v>
      </x:c>
      <x:c r="C1002" s="23" t="n">
        <x:v>45814</x:v>
      </x:c>
      <x:c r="D1002" s="23" t="n">
        <x:v>45811</x:v>
      </x:c>
      <x:c r="E1002" s="13" t="str">
        <x:v>VAL-023</x:v>
      </x:c>
      <x:c r="F1002" s="13" t="str">
        <x:v>ShopMix Brasil</x:v>
      </x:c>
      <x:c r="G1002" s="13" t="str">
        <x:v>E-commerce</x:v>
      </x:c>
      <x:c r="H1002" s="13" t="str">
        <x:v>Baixo</x:v>
      </x:c>
      <x:c r="I1002" s="13" t="str">
        <x:v>Performance</x:v>
      </x:c>
      <x:c r="J1002" s="17" t="n">
        <x:v>22425.56</x:v>
      </x:c>
      <x:c r="K1002" s="17" t="n">
        <x:v>0</x:v>
      </x:c>
      <x:c r="L1002" s="17" t="n">
        <x:v>0</x:v>
      </x:c>
      <x:c r="M1002" s="13" t="str">
        <x:v>Pago</x:v>
      </x:c>
      <x:c r="N1002" s="13" t="str">
        <x:v>Sem cobrança</x:v>
      </x:c>
      <x:c r="O1002" s="13" t="str">
        <x:v>Operação Clareza</x:v>
      </x:c>
      <x:c r="P1002" s="17" t="n">
        <x:f>IF(D1002="",0,J1002-K1002+L1002)</x:f>
        <x:v>22425.56</x:v>
      </x:c>
      <x:c r="Q1002" s="17" t="n">
        <x:f>MAX(J1002-P1002-K1002,0)</x:f>
        <x:v>0</x:v>
      </x:c>
      <x:c r="R1002" s="13" t="n">
        <x:f>IF(D1002="",MAX(TODAY()-C1002,0),MAX(D1002-C1002,0))</x:f>
        <x:v>0</x:v>
      </x:c>
      <x:c r="S1002" s="13" t="str">
        <x:f>IF(R1002=0,"Em dia",IF(R1002&lt;=15,"1-15 dias",IF(R1002&lt;=30,"16-30 dias",IF(R1002&lt;=60,"31-60 dias","Acima de 60 dias"))))</x:f>
        <x:v>Em dia</x:v>
      </x:c>
    </x:row>
    <x:row r="1003">
      <x:c r="A1003" s="13" t="str">
        <x:v>REC-001002</x:v>
      </x:c>
      <x:c r="B1003" s="23" t="n">
        <x:v>45789</x:v>
      </x:c>
      <x:c r="C1003" s="23" t="n">
        <x:v>45804</x:v>
      </x:c>
      <x:c r="D1003" s="23" t="n">
        <x:v>45804</x:v>
      </x:c>
      <x:c r="E1003" s="13" t="str">
        <x:v>VAL-005</x:v>
      </x:c>
      <x:c r="F1003" s="13" t="str">
        <x:v>Construtora Alameda</x:v>
      </x:c>
      <x:c r="G1003" s="13" t="str">
        <x:v>Construção</x:v>
      </x:c>
      <x:c r="H1003" s="13" t="str">
        <x:v>Médio</x:v>
      </x:c>
      <x:c r="I1003" s="13" t="str">
        <x:v>Essencial</x:v>
      </x:c>
      <x:c r="J1003" s="17" t="n">
        <x:v>25618.19</x:v>
      </x:c>
      <x:c r="K1003" s="17" t="n">
        <x:v>0</x:v>
      </x:c>
      <x:c r="L1003" s="17" t="n">
        <x:v>0</x:v>
      </x:c>
      <x:c r="M1003" s="13" t="str">
        <x:v>Pago</x:v>
      </x:c>
      <x:c r="N1003" s="13" t="str">
        <x:v>Sem cobrança</x:v>
      </x:c>
      <x:c r="O1003" s="13" t="str">
        <x:v>Operação Clareza</x:v>
      </x:c>
      <x:c r="P1003" s="17" t="n">
        <x:f>IF(D1003="",0,J1003-K1003+L1003)</x:f>
        <x:v>25618.19</x:v>
      </x:c>
      <x:c r="Q1003" s="17" t="n">
        <x:f>MAX(J1003-P1003-K1003,0)</x:f>
        <x:v>0</x:v>
      </x:c>
      <x:c r="R1003" s="13" t="n">
        <x:f>IF(D1003="",MAX(TODAY()-C1003,0),MAX(D1003-C1003,0))</x:f>
        <x:v>0</x:v>
      </x:c>
      <x:c r="S1003" s="13" t="str">
        <x:f>IF(R1003=0,"Em dia",IF(R1003&lt;=15,"1-15 dias",IF(R1003&lt;=30,"16-30 dias",IF(R1003&lt;=60,"31-60 dias","Acima de 60 dias"))))</x:f>
        <x:v>Em dia</x:v>
      </x:c>
    </x:row>
    <x:row r="1004">
      <x:c r="A1004" s="13" t="str">
        <x:v>REC-001003</x:v>
      </x:c>
      <x:c r="B1004" s="23" t="n">
        <x:v>45788</x:v>
      </x:c>
      <x:c r="C1004" s="23" t="n">
        <x:v>45809</x:v>
      </x:c>
      <x:c r="D1004" s="23" t="n">
        <x:v>45807</x:v>
      </x:c>
      <x:c r="E1004" s="13" t="str">
        <x:v>VAL-001</x:v>
      </x:c>
      <x:c r="F1004" s="13" t="str">
        <x:v>Clínica Horizonte</x:v>
      </x:c>
      <x:c r="G1004" s="13" t="str">
        <x:v>Clínicas e Saúde</x:v>
      </x:c>
      <x:c r="H1004" s="13" t="str">
        <x:v>Baixo</x:v>
      </x:c>
      <x:c r="I1004" s="13" t="str">
        <x:v>Essencial</x:v>
      </x:c>
      <x:c r="J1004" s="17" t="n">
        <x:v>24491.23</x:v>
      </x:c>
      <x:c r="K1004" s="17" t="n">
        <x:v>0</x:v>
      </x:c>
      <x:c r="L1004" s="17" t="n">
        <x:v>0</x:v>
      </x:c>
      <x:c r="M1004" s="13" t="str">
        <x:v>Pago</x:v>
      </x:c>
      <x:c r="N1004" s="13" t="str">
        <x:v>Sem cobrança</x:v>
      </x:c>
      <x:c r="O1004" s="13" t="str">
        <x:v>Operação Clareza</x:v>
      </x:c>
      <x:c r="P1004" s="17" t="n">
        <x:f>IF(D1004="",0,J1004-K1004+L1004)</x:f>
        <x:v>24491.23</x:v>
      </x:c>
      <x:c r="Q1004" s="17" t="n">
        <x:f>MAX(J1004-P1004-K1004,0)</x:f>
        <x:v>0</x:v>
      </x:c>
      <x:c r="R1004" s="13" t="n">
        <x:f>IF(D1004="",MAX(TODAY()-C1004,0),MAX(D1004-C1004,0))</x:f>
        <x:v>0</x:v>
      </x:c>
      <x:c r="S1004" s="13" t="str">
        <x:f>IF(R1004=0,"Em dia",IF(R1004&lt;=15,"1-15 dias",IF(R1004&lt;=30,"16-30 dias",IF(R1004&lt;=60,"31-60 dias","Acima de 60 dias"))))</x:f>
        <x:v>Em dia</x:v>
      </x:c>
    </x:row>
    <x:row r="1005">
      <x:c r="A1005" s="13" t="str">
        <x:v>REC-001004</x:v>
      </x:c>
      <x:c r="B1005" s="23" t="n">
        <x:v>45794</x:v>
      </x:c>
      <x:c r="C1005" s="23" t="n">
        <x:v>45822</x:v>
      </x:c>
      <x:c r="D1005" s="23" t="n">
        <x:v>45861</x:v>
      </x:c>
      <x:c r="E1005" s="13" t="str">
        <x:v>VAL-010</x:v>
      </x:c>
      <x:c r="F1005" s="13" t="str">
        <x:v>Atlas Contabilidade</x:v>
      </x:c>
      <x:c r="G1005" s="13" t="str">
        <x:v>Serviços Profissionais</x:v>
      </x:c>
      <x:c r="H1005" s="13" t="str">
        <x:v>Baixo</x:v>
      </x:c>
      <x:c r="I1005" s="13" t="str">
        <x:v>Gestão</x:v>
      </x:c>
      <x:c r="J1005" s="17" t="n">
        <x:v>24561.31</x:v>
      </x:c>
      <x:c r="K1005" s="17" t="n">
        <x:v>0</x:v>
      </x:c>
      <x:c r="L1005" s="17" t="n">
        <x:v>614.03</x:v>
      </x:c>
      <x:c r="M1005" s="13" t="str">
        <x:v>Pago com atraso</x:v>
      </x:c>
      <x:c r="N1005" s="13" t="str">
        <x:v>Régua automática</x:v>
      </x:c>
      <x:c r="O1005" s="13" t="str">
        <x:v>Operação Clareza</x:v>
      </x:c>
      <x:c r="P1005" s="17" t="n">
        <x:f>IF(D1005="",0,J1005-K1005+L1005)</x:f>
        <x:v>25175.34</x:v>
      </x:c>
      <x:c r="Q1005" s="17" t="n">
        <x:f>MAX(J1005-P1005-K1005,0)</x:f>
        <x:v>0</x:v>
      </x:c>
      <x:c r="R1005" s="13" t="n">
        <x:f>IF(D1005="",MAX(TODAY()-C1005,0),MAX(D1005-C1005,0))</x:f>
        <x:v>39</x:v>
      </x:c>
      <x:c r="S1005" s="13" t="str">
        <x:f>IF(R1005=0,"Em dia",IF(R1005&lt;=15,"1-15 dias",IF(R1005&lt;=30,"16-30 dias",IF(R1005&lt;=60,"31-60 dias","Acima de 60 dias"))))</x:f>
        <x:v>31-60 dias</x:v>
      </x:c>
    </x:row>
    <x:row r="1006">
      <x:c r="A1006" s="13" t="str">
        <x:v>REC-001005</x:v>
      </x:c>
      <x:c r="B1006" s="23" t="n">
        <x:v>45781</x:v>
      </x:c>
      <x:c r="C1006" s="23" t="n">
        <x:v>45788</x:v>
      </x:c>
      <x:c r="D1006" s="23" t="n">
        <x:v>45788</x:v>
      </x:c>
      <x:c r="E1006" s="13" t="str">
        <x:v>VAL-028</x:v>
      </x:c>
      <x:c r="F1006" s="13" t="str">
        <x:v>Pixel Norte</x:v>
      </x:c>
      <x:c r="G1006" s="13" t="str">
        <x:v>Tecnologia</x:v>
      </x:c>
      <x:c r="H1006" s="13" t="str">
        <x:v>Alto</x:v>
      </x:c>
      <x:c r="I1006" s="13" t="str">
        <x:v>Enterprise</x:v>
      </x:c>
      <x:c r="J1006" s="17" t="n">
        <x:v>17199.35</x:v>
      </x:c>
      <x:c r="K1006" s="17" t="n">
        <x:v>0</x:v>
      </x:c>
      <x:c r="L1006" s="17" t="n">
        <x:v>0</x:v>
      </x:c>
      <x:c r="M1006" s="13" t="str">
        <x:v>Pago</x:v>
      </x:c>
      <x:c r="N1006" s="13" t="str">
        <x:v>Sem cobrança</x:v>
      </x:c>
      <x:c r="O1006" s="13" t="str">
        <x:v>Operação Clareza</x:v>
      </x:c>
      <x:c r="P1006" s="17" t="n">
        <x:f>IF(D1006="",0,J1006-K1006+L1006)</x:f>
        <x:v>17199.35</x:v>
      </x:c>
      <x:c r="Q1006" s="17" t="n">
        <x:f>MAX(J1006-P1006-K1006,0)</x:f>
        <x:v>0</x:v>
      </x:c>
      <x:c r="R1006" s="13" t="n">
        <x:f>IF(D1006="",MAX(TODAY()-C1006,0),MAX(D1006-C1006,0))</x:f>
        <x:v>0</x:v>
      </x:c>
      <x:c r="S1006" s="13" t="str">
        <x:f>IF(R1006=0,"Em dia",IF(R1006&lt;=15,"1-15 dias",IF(R1006&lt;=30,"16-30 dias",IF(R1006&lt;=60,"31-60 dias","Acima de 60 dias"))))</x:f>
        <x:v>Em dia</x:v>
      </x:c>
    </x:row>
    <x:row r="1007">
      <x:c r="A1007" s="13" t="str">
        <x:v>REC-001006</x:v>
      </x:c>
      <x:c r="B1007" s="23" t="n">
        <x:v>45791</x:v>
      </x:c>
      <x:c r="C1007" s="23" t="n">
        <x:v>45821</x:v>
      </x:c>
      <x:c r="D1007" s="23" t="n">
        <x:v>45818</x:v>
      </x:c>
      <x:c r="E1007" s="13" t="str">
        <x:v>VAL-016</x:v>
      </x:c>
      <x:c r="F1007" s="13" t="str">
        <x:v>Lumina Embalagens</x:v>
      </x:c>
      <x:c r="G1007" s="13" t="str">
        <x:v>Indústria Leve</x:v>
      </x:c>
      <x:c r="H1007" s="13" t="str">
        <x:v>Baixo</x:v>
      </x:c>
      <x:c r="I1007" s="13" t="str">
        <x:v>Enterprise</x:v>
      </x:c>
      <x:c r="J1007" s="17" t="n">
        <x:v>19644.01</x:v>
      </x:c>
      <x:c r="K1007" s="17" t="n">
        <x:v>0</x:v>
      </x:c>
      <x:c r="L1007" s="17" t="n">
        <x:v>0</x:v>
      </x:c>
      <x:c r="M1007" s="13" t="str">
        <x:v>Pago</x:v>
      </x:c>
      <x:c r="N1007" s="13" t="str">
        <x:v>Sem cobrança</x:v>
      </x:c>
      <x:c r="O1007" s="13" t="str">
        <x:v>Operação Clareza</x:v>
      </x:c>
      <x:c r="P1007" s="17" t="n">
        <x:f>IF(D1007="",0,J1007-K1007+L1007)</x:f>
        <x:v>19644.01</x:v>
      </x:c>
      <x:c r="Q1007" s="17" t="n">
        <x:f>MAX(J1007-P1007-K1007,0)</x:f>
        <x:v>0</x:v>
      </x:c>
      <x:c r="R1007" s="13" t="n">
        <x:f>IF(D1007="",MAX(TODAY()-C1007,0),MAX(D1007-C1007,0))</x:f>
        <x:v>0</x:v>
      </x:c>
      <x:c r="S1007" s="13" t="str">
        <x:f>IF(R1007=0,"Em dia",IF(R1007&lt;=15,"1-15 dias",IF(R1007&lt;=30,"16-30 dias",IF(R1007&lt;=60,"31-60 dias","Acima de 60 dias"))))</x:f>
        <x:v>Em dia</x:v>
      </x:c>
    </x:row>
    <x:row r="1008">
      <x:c r="A1008" s="13" t="str">
        <x:v>REC-001007</x:v>
      </x:c>
      <x:c r="B1008" s="23" t="n">
        <x:v>45781</x:v>
      </x:c>
      <x:c r="C1008" s="23" t="n">
        <x:v>45802</x:v>
      </x:c>
      <x:c r="D1008" s="23" t="n">
        <x:v>45801</x:v>
      </x:c>
      <x:c r="E1008" s="13" t="str">
        <x:v>VAL-030</x:v>
      </x:c>
      <x:c r="F1008" s="13" t="str">
        <x:v>Mundo Kids Cursos</x:v>
      </x:c>
      <x:c r="G1008" s="13" t="str">
        <x:v>Educação</x:v>
      </x:c>
      <x:c r="H1008" s="13" t="str">
        <x:v>Alto</x:v>
      </x:c>
      <x:c r="I1008" s="13" t="str">
        <x:v>Gestão</x:v>
      </x:c>
      <x:c r="J1008" s="17" t="n">
        <x:v>26490.6</x:v>
      </x:c>
      <x:c r="K1008" s="17" t="n">
        <x:v>0</x:v>
      </x:c>
      <x:c r="L1008" s="17" t="n">
        <x:v>0</x:v>
      </x:c>
      <x:c r="M1008" s="13" t="str">
        <x:v>Pago</x:v>
      </x:c>
      <x:c r="N1008" s="13" t="str">
        <x:v>Sem cobrança</x:v>
      </x:c>
      <x:c r="O1008" s="13" t="str">
        <x:v>Operação Clareza</x:v>
      </x:c>
      <x:c r="P1008" s="17" t="n">
        <x:f>IF(D1008="",0,J1008-K1008+L1008)</x:f>
        <x:v>26490.6</x:v>
      </x:c>
      <x:c r="Q1008" s="17" t="n">
        <x:f>MAX(J1008-P1008-K1008,0)</x:f>
        <x:v>0</x:v>
      </x:c>
      <x:c r="R1008" s="13" t="n">
        <x:f>IF(D1008="",MAX(TODAY()-C1008,0),MAX(D1008-C1008,0))</x:f>
        <x:v>0</x:v>
      </x:c>
      <x:c r="S1008" s="13" t="str">
        <x:f>IF(R1008=0,"Em dia",IF(R1008&lt;=15,"1-15 dias",IF(R1008&lt;=30,"16-30 dias",IF(R1008&lt;=60,"31-60 dias","Acima de 60 dias"))))</x:f>
        <x:v>Em dia</x:v>
      </x:c>
    </x:row>
    <x:row r="1009">
      <x:c r="A1009" s="13" t="str">
        <x:v>REC-001008</x:v>
      </x:c>
      <x:c r="B1009" s="23" t="n">
        <x:v>45797</x:v>
      </x:c>
      <x:c r="C1009" s="23" t="n">
        <x:v>45825</x:v>
      </x:c>
      <x:c r="D1009" s="23" t="n">
        <x:v>45831</x:v>
      </x:c>
      <x:c r="E1009" s="13" t="str">
        <x:v>VAL-026</x:v>
      </x:c>
      <x:c r="F1009" s="13" t="str">
        <x:v>Ribeiro Arquitetura</x:v>
      </x:c>
      <x:c r="G1009" s="13" t="str">
        <x:v>Serviços Profissionais</x:v>
      </x:c>
      <x:c r="H1009" s="13" t="str">
        <x:v>Baixo</x:v>
      </x:c>
      <x:c r="I1009" s="13" t="str">
        <x:v>Gestão</x:v>
      </x:c>
      <x:c r="J1009" s="17" t="n">
        <x:v>3281.93</x:v>
      </x:c>
      <x:c r="K1009" s="17" t="n">
        <x:v>0</x:v>
      </x:c>
      <x:c r="L1009" s="17" t="n">
        <x:v>12.8</x:v>
      </x:c>
      <x:c r="M1009" s="13" t="str">
        <x:v>Pago com atraso</x:v>
      </x:c>
      <x:c r="N1009" s="13" t="str">
        <x:v>Régua automática</x:v>
      </x:c>
      <x:c r="O1009" s="13" t="str">
        <x:v>Operação Clareza</x:v>
      </x:c>
      <x:c r="P1009" s="17" t="n">
        <x:f>IF(D1009="",0,J1009-K1009+L1009)</x:f>
        <x:v>3294.73</x:v>
      </x:c>
      <x:c r="Q1009" s="17" t="n">
        <x:f>MAX(J1009-P1009-K1009,0)</x:f>
        <x:v>0</x:v>
      </x:c>
      <x:c r="R1009" s="13" t="n">
        <x:f>IF(D1009="",MAX(TODAY()-C1009,0),MAX(D1009-C1009,0))</x:f>
        <x:v>6</x:v>
      </x:c>
      <x:c r="S1009" s="13" t="str">
        <x:f>IF(R1009=0,"Em dia",IF(R1009&lt;=15,"1-15 dias",IF(R1009&lt;=30,"16-30 dias",IF(R1009&lt;=60,"31-60 dias","Acima de 60 dias"))))</x:f>
        <x:v>1-15 dias</x:v>
      </x:c>
    </x:row>
    <x:row r="1010">
      <x:c r="A1010" s="13" t="str">
        <x:v>REC-001009</x:v>
      </x:c>
      <x:c r="B1010" s="23" t="n">
        <x:v>45786</x:v>
      </x:c>
      <x:c r="C1010" s="23" t="n">
        <x:v>45793</x:v>
      </x:c>
      <x:c r="D1010" s="23" t="n">
        <x:v>45791</x:v>
      </x:c>
      <x:c r="E1010" s="13" t="str">
        <x:v>VAL-013</x:v>
      </x:c>
      <x:c r="F1010" s="13" t="str">
        <x:v>Engenharia Vértice</x:v>
      </x:c>
      <x:c r="G1010" s="13" t="str">
        <x:v>Construção</x:v>
      </x:c>
      <x:c r="H1010" s="13" t="str">
        <x:v>Baixo</x:v>
      </x:c>
      <x:c r="I1010" s="13" t="str">
        <x:v>Essencial</x:v>
      </x:c>
      <x:c r="J1010" s="17" t="n">
        <x:v>23567.34</x:v>
      </x:c>
      <x:c r="K1010" s="17" t="n">
        <x:v>0</x:v>
      </x:c>
      <x:c r="L1010" s="17" t="n">
        <x:v>0</x:v>
      </x:c>
      <x:c r="M1010" s="13" t="str">
        <x:v>Pago</x:v>
      </x:c>
      <x:c r="N1010" s="13" t="str">
        <x:v>Sem cobrança</x:v>
      </x:c>
      <x:c r="O1010" s="13" t="str">
        <x:v>Operação Clareza</x:v>
      </x:c>
      <x:c r="P1010" s="17" t="n">
        <x:f>IF(D1010="",0,J1010-K1010+L1010)</x:f>
        <x:v>23567.34</x:v>
      </x:c>
      <x:c r="Q1010" s="17" t="n">
        <x:f>MAX(J1010-P1010-K1010,0)</x:f>
        <x:v>0</x:v>
      </x:c>
      <x:c r="R1010" s="13" t="n">
        <x:f>IF(D1010="",MAX(TODAY()-C1010,0),MAX(D1010-C1010,0))</x:f>
        <x:v>0</x:v>
      </x:c>
      <x:c r="S1010" s="13" t="str">
        <x:f>IF(R1010=0,"Em dia",IF(R1010&lt;=15,"1-15 dias",IF(R1010&lt;=30,"16-30 dias",IF(R1010&lt;=60,"31-60 dias","Acima de 60 dias"))))</x:f>
        <x:v>Em dia</x:v>
      </x:c>
    </x:row>
    <x:row r="1011">
      <x:c r="A1011" s="13" t="str">
        <x:v>REC-001010</x:v>
      </x:c>
      <x:c r="B1011" s="23" t="n">
        <x:v>45778</x:v>
      </x:c>
      <x:c r="C1011" s="23" t="n">
        <x:v>45799</x:v>
      </x:c>
      <x:c r="D1011" s="23" t="n">
        <x:v>45796</x:v>
      </x:c>
      <x:c r="E1011" s="13" t="str">
        <x:v>VAL-018</x:v>
      </x:c>
      <x:c r="F1011" s="13" t="str">
        <x:v>Ponto Legal Advocacia</x:v>
      </x:c>
      <x:c r="G1011" s="13" t="str">
        <x:v>Serviços Profissionais</x:v>
      </x:c>
      <x:c r="H1011" s="13" t="str">
        <x:v>Baixo</x:v>
      </x:c>
      <x:c r="I1011" s="13" t="str">
        <x:v>Gestão</x:v>
      </x:c>
      <x:c r="J1011" s="17" t="n">
        <x:v>13685.27</x:v>
      </x:c>
      <x:c r="K1011" s="17" t="n">
        <x:v>0</x:v>
      </x:c>
      <x:c r="L1011" s="17" t="n">
        <x:v>0</x:v>
      </x:c>
      <x:c r="M1011" s="13" t="str">
        <x:v>Pago</x:v>
      </x:c>
      <x:c r="N1011" s="13" t="str">
        <x:v>Sem cobrança</x:v>
      </x:c>
      <x:c r="O1011" s="13" t="str">
        <x:v>Operação Clareza</x:v>
      </x:c>
      <x:c r="P1011" s="17" t="n">
        <x:f>IF(D1011="",0,J1011-K1011+L1011)</x:f>
        <x:v>13685.27</x:v>
      </x:c>
      <x:c r="Q1011" s="17" t="n">
        <x:f>MAX(J1011-P1011-K1011,0)</x:f>
        <x:v>0</x:v>
      </x:c>
      <x:c r="R1011" s="13" t="n">
        <x:f>IF(D1011="",MAX(TODAY()-C1011,0),MAX(D1011-C1011,0))</x:f>
        <x:v>0</x:v>
      </x:c>
      <x:c r="S1011" s="13" t="str">
        <x:f>IF(R1011=0,"Em dia",IF(R1011&lt;=15,"1-15 dias",IF(R1011&lt;=30,"16-30 dias",IF(R1011&lt;=60,"31-60 dias","Acima de 60 dias"))))</x:f>
        <x:v>Em dia</x:v>
      </x:c>
    </x:row>
    <x:row r="1012">
      <x:c r="A1012" s="13" t="str">
        <x:v>REC-001011</x:v>
      </x:c>
      <x:c r="B1012" s="23" t="n">
        <x:v>45783</x:v>
      </x:c>
      <x:c r="C1012" s="23" t="n">
        <x:v>45798</x:v>
      </x:c>
      <x:c r="D1012" s="23" t="n">
        <x:v>45794</x:v>
      </x:c>
      <x:c r="E1012" s="13" t="str">
        <x:v>VAL-004</x:v>
      </x:c>
      <x:c r="F1012" s="13" t="str">
        <x:v>NuvemBase Tecnologia</x:v>
      </x:c>
      <x:c r="G1012" s="13" t="str">
        <x:v>Tecnologia</x:v>
      </x:c>
      <x:c r="H1012" s="13" t="str">
        <x:v>Baixo</x:v>
      </x:c>
      <x:c r="I1012" s="13" t="str">
        <x:v>Enterprise</x:v>
      </x:c>
      <x:c r="J1012" s="17" t="n">
        <x:v>14228.32</x:v>
      </x:c>
      <x:c r="K1012" s="17" t="n">
        <x:v>247.63</x:v>
      </x:c>
      <x:c r="L1012" s="17" t="n">
        <x:v>0</x:v>
      </x:c>
      <x:c r="M1012" s="13" t="str">
        <x:v>Pago</x:v>
      </x:c>
      <x:c r="N1012" s="13" t="str">
        <x:v>Sem cobrança</x:v>
      </x:c>
      <x:c r="O1012" s="13" t="str">
        <x:v>Operação Clareza</x:v>
      </x:c>
      <x:c r="P1012" s="17" t="n">
        <x:f>IF(D1012="",0,J1012-K1012+L1012)</x:f>
        <x:v>13980.69</x:v>
      </x:c>
      <x:c r="Q1012" s="17" t="n">
        <x:f>MAX(J1012-P1012-K1012,0)</x:f>
        <x:v>0</x:v>
      </x:c>
      <x:c r="R1012" s="13" t="n">
        <x:f>IF(D1012="",MAX(TODAY()-C1012,0),MAX(D1012-C1012,0))</x:f>
        <x:v>0</x:v>
      </x:c>
      <x:c r="S1012" s="13" t="str">
        <x:f>IF(R1012=0,"Em dia",IF(R1012&lt;=15,"1-15 dias",IF(R1012&lt;=30,"16-30 dias",IF(R1012&lt;=60,"31-60 dias","Acima de 60 dias"))))</x:f>
        <x:v>Em dia</x:v>
      </x:c>
    </x:row>
    <x:row r="1013">
      <x:c r="A1013" s="13" t="str">
        <x:v>REC-001012</x:v>
      </x:c>
      <x:c r="B1013" s="23" t="n">
        <x:v>45795</x:v>
      </x:c>
      <x:c r="C1013" s="23" t="n">
        <x:v>45810</x:v>
      </x:c>
      <x:c r="D1013" s="23" t="n">
        <x:v>45810</x:v>
      </x:c>
      <x:c r="E1013" s="13" t="str">
        <x:v>VAL-030</x:v>
      </x:c>
      <x:c r="F1013" s="13" t="str">
        <x:v>Mundo Kids Cursos</x:v>
      </x:c>
      <x:c r="G1013" s="13" t="str">
        <x:v>Educação</x:v>
      </x:c>
      <x:c r="H1013" s="13" t="str">
        <x:v>Alto</x:v>
      </x:c>
      <x:c r="I1013" s="13" t="str">
        <x:v>Gestão</x:v>
      </x:c>
      <x:c r="J1013" s="17" t="n">
        <x:v>5126.64</x:v>
      </x:c>
      <x:c r="K1013" s="17" t="n">
        <x:v>0</x:v>
      </x:c>
      <x:c r="L1013" s="17" t="n">
        <x:v>0</x:v>
      </x:c>
      <x:c r="M1013" s="13" t="str">
        <x:v>Pago</x:v>
      </x:c>
      <x:c r="N1013" s="13" t="str">
        <x:v>Sem cobrança</x:v>
      </x:c>
      <x:c r="O1013" s="13" t="str">
        <x:v>Operação Clareza</x:v>
      </x:c>
      <x:c r="P1013" s="17" t="n">
        <x:f>IF(D1013="",0,J1013-K1013+L1013)</x:f>
        <x:v>5126.64</x:v>
      </x:c>
      <x:c r="Q1013" s="17" t="n">
        <x:f>MAX(J1013-P1013-K1013,0)</x:f>
        <x:v>0</x:v>
      </x:c>
      <x:c r="R1013" s="13" t="n">
        <x:f>IF(D1013="",MAX(TODAY()-C1013,0),MAX(D1013-C1013,0))</x:f>
        <x:v>0</x:v>
      </x:c>
      <x:c r="S1013" s="13" t="str">
        <x:f>IF(R1013=0,"Em dia",IF(R1013&lt;=15,"1-15 dias",IF(R1013&lt;=30,"16-30 dias",IF(R1013&lt;=60,"31-60 dias","Acima de 60 dias"))))</x:f>
        <x:v>Em dia</x:v>
      </x:c>
    </x:row>
    <x:row r="1014">
      <x:c r="A1014" s="13" t="str">
        <x:v>REC-001013</x:v>
      </x:c>
      <x:c r="B1014" s="23" t="n">
        <x:v>45794</x:v>
      </x:c>
      <x:c r="C1014" s="23" t="n">
        <x:v>45824</x:v>
      </x:c>
      <x:c r="D1014" s="23" t="n">
        <x:v>45822</x:v>
      </x:c>
      <x:c r="E1014" s="13" t="str">
        <x:v>VAL-001</x:v>
      </x:c>
      <x:c r="F1014" s="13" t="str">
        <x:v>Clínica Horizonte</x:v>
      </x:c>
      <x:c r="G1014" s="13" t="str">
        <x:v>Clínicas e Saúde</x:v>
      </x:c>
      <x:c r="H1014" s="13" t="str">
        <x:v>Baixo</x:v>
      </x:c>
      <x:c r="I1014" s="13" t="str">
        <x:v>Essencial</x:v>
      </x:c>
      <x:c r="J1014" s="17" t="n">
        <x:v>2392.13</x:v>
      </x:c>
      <x:c r="K1014" s="17" t="n">
        <x:v>0</x:v>
      </x:c>
      <x:c r="L1014" s="17" t="n">
        <x:v>0</x:v>
      </x:c>
      <x:c r="M1014" s="13" t="str">
        <x:v>Pago</x:v>
      </x:c>
      <x:c r="N1014" s="13" t="str">
        <x:v>Sem cobrança</x:v>
      </x:c>
      <x:c r="O1014" s="13" t="str">
        <x:v>Operação Clareza</x:v>
      </x:c>
      <x:c r="P1014" s="17" t="n">
        <x:f>IF(D1014="",0,J1014-K1014+L1014)</x:f>
        <x:v>2392.13</x:v>
      </x:c>
      <x:c r="Q1014" s="17" t="n">
        <x:f>MAX(J1014-P1014-K1014,0)</x:f>
        <x:v>0</x:v>
      </x:c>
      <x:c r="R1014" s="13" t="n">
        <x:f>IF(D1014="",MAX(TODAY()-C1014,0),MAX(D1014-C1014,0))</x:f>
        <x:v>0</x:v>
      </x:c>
      <x:c r="S1014" s="13" t="str">
        <x:f>IF(R1014=0,"Em dia",IF(R1014&lt;=15,"1-15 dias",IF(R1014&lt;=30,"16-30 dias",IF(R1014&lt;=60,"31-60 dias","Acima de 60 dias"))))</x:f>
        <x:v>Em dia</x:v>
      </x:c>
    </x:row>
    <x:row r="1015">
      <x:c r="A1015" s="13" t="str">
        <x:v>REC-001014</x:v>
      </x:c>
      <x:c r="B1015" s="23" t="n">
        <x:v>45784</x:v>
      </x:c>
      <x:c r="C1015" s="23" t="n">
        <x:v>45814</x:v>
      </x:c>
      <x:c r="D1015" s="23" t="n">
        <x:v>45812</x:v>
      </x:c>
      <x:c r="E1015" s="13" t="str">
        <x:v>VAL-025</x:v>
      </x:c>
      <x:c r="F1015" s="13" t="str">
        <x:v>Bem-Estar Terapias</x:v>
      </x:c>
      <x:c r="G1015" s="13" t="str">
        <x:v>Clínicas e Saúde</x:v>
      </x:c>
      <x:c r="H1015" s="13" t="str">
        <x:v>Baixo</x:v>
      </x:c>
      <x:c r="I1015" s="13" t="str">
        <x:v>Essencial</x:v>
      </x:c>
      <x:c r="J1015" s="17" t="n">
        <x:v>18077.71</x:v>
      </x:c>
      <x:c r="K1015" s="17" t="n">
        <x:v>0</x:v>
      </x:c>
      <x:c r="L1015" s="17" t="n">
        <x:v>0</x:v>
      </x:c>
      <x:c r="M1015" s="13" t="str">
        <x:v>Pago</x:v>
      </x:c>
      <x:c r="N1015" s="13" t="str">
        <x:v>Sem cobrança</x:v>
      </x:c>
      <x:c r="O1015" s="13" t="str">
        <x:v>Operação Clareza</x:v>
      </x:c>
      <x:c r="P1015" s="17" t="n">
        <x:f>IF(D1015="",0,J1015-K1015+L1015)</x:f>
        <x:v>18077.71</x:v>
      </x:c>
      <x:c r="Q1015" s="17" t="n">
        <x:f>MAX(J1015-P1015-K1015,0)</x:f>
        <x:v>0</x:v>
      </x:c>
      <x:c r="R1015" s="13" t="n">
        <x:f>IF(D1015="",MAX(TODAY()-C1015,0),MAX(D1015-C1015,0))</x:f>
        <x:v>0</x:v>
      </x:c>
      <x:c r="S1015" s="13" t="str">
        <x:f>IF(R1015=0,"Em dia",IF(R1015&lt;=15,"1-15 dias",IF(R1015&lt;=30,"16-30 dias",IF(R1015&lt;=60,"31-60 dias","Acima de 60 dias"))))</x:f>
        <x:v>Em dia</x:v>
      </x:c>
    </x:row>
    <x:row r="1016">
      <x:c r="A1016" s="13" t="str">
        <x:v>REC-001015</x:v>
      </x:c>
      <x:c r="B1016" s="23" t="n">
        <x:v>45788</x:v>
      </x:c>
      <x:c r="C1016" s="23" t="n">
        <x:v>45818</x:v>
      </x:c>
      <x:c r="D1016" s="23" t="n">
        <x:v>45845</x:v>
      </x:c>
      <x:c r="E1016" s="13" t="str">
        <x:v>VAL-027</x:v>
      </x:c>
      <x:c r="F1016" s="13" t="str">
        <x:v>Mais Lar Utilidades</x:v>
      </x:c>
      <x:c r="G1016" s="13" t="str">
        <x:v>Varejo</x:v>
      </x:c>
      <x:c r="H1016" s="13" t="str">
        <x:v>Baixo</x:v>
      </x:c>
      <x:c r="I1016" s="13" t="str">
        <x:v>Performance</x:v>
      </x:c>
      <x:c r="J1016" s="17" t="n">
        <x:v>21783.81</x:v>
      </x:c>
      <x:c r="K1016" s="17" t="n">
        <x:v>0</x:v>
      </x:c>
      <x:c r="L1016" s="17" t="n">
        <x:v>382.31</x:v>
      </x:c>
      <x:c r="M1016" s="13" t="str">
        <x:v>Pago com atraso</x:v>
      </x:c>
      <x:c r="N1016" s="13" t="str">
        <x:v>Régua automática</x:v>
      </x:c>
      <x:c r="O1016" s="13" t="str">
        <x:v>Operação Clareza</x:v>
      </x:c>
      <x:c r="P1016" s="17" t="n">
        <x:f>IF(D1016="",0,J1016-K1016+L1016)</x:f>
        <x:v>22166.120000000003</x:v>
      </x:c>
      <x:c r="Q1016" s="17" t="n">
        <x:f>MAX(J1016-P1016-K1016,0)</x:f>
        <x:v>0</x:v>
      </x:c>
      <x:c r="R1016" s="13" t="n">
        <x:f>IF(D1016="",MAX(TODAY()-C1016,0),MAX(D1016-C1016,0))</x:f>
        <x:v>27</x:v>
      </x:c>
      <x:c r="S1016" s="13" t="str">
        <x:f>IF(R1016=0,"Em dia",IF(R1016&lt;=15,"1-15 dias",IF(R1016&lt;=30,"16-30 dias",IF(R1016&lt;=60,"31-60 dias","Acima de 60 dias"))))</x:f>
        <x:v>16-30 dias</x:v>
      </x:c>
    </x:row>
    <x:row r="1017">
      <x:c r="A1017" s="13" t="str">
        <x:v>REC-001016</x:v>
      </x:c>
      <x:c r="B1017" s="23" t="n">
        <x:v>45794</x:v>
      </x:c>
      <x:c r="C1017" s="23" t="n">
        <x:v>45822</x:v>
      </x:c>
      <x:c r="D1017" s="23" t="n">
        <x:v>45820</x:v>
      </x:c>
      <x:c r="E1017" s="13" t="str">
        <x:v>VAL-029</x:v>
      </x:c>
      <x:c r="F1017" s="13" t="str">
        <x:v>Planobra Serviços</x:v>
      </x:c>
      <x:c r="G1017" s="13" t="str">
        <x:v>Construção</x:v>
      </x:c>
      <x:c r="H1017" s="13" t="str">
        <x:v>Baixo</x:v>
      </x:c>
      <x:c r="I1017" s="13" t="str">
        <x:v>Essencial</x:v>
      </x:c>
      <x:c r="J1017" s="17" t="n">
        <x:v>25897.4</x:v>
      </x:c>
      <x:c r="K1017" s="17" t="n">
        <x:v>431.41</x:v>
      </x:c>
      <x:c r="L1017" s="17" t="n">
        <x:v>0</x:v>
      </x:c>
      <x:c r="M1017" s="13" t="str">
        <x:v>Pago</x:v>
      </x:c>
      <x:c r="N1017" s="13" t="str">
        <x:v>Sem cobrança</x:v>
      </x:c>
      <x:c r="O1017" s="13" t="str">
        <x:v>Operação Clareza</x:v>
      </x:c>
      <x:c r="P1017" s="17" t="n">
        <x:f>IF(D1017="",0,J1017-K1017+L1017)</x:f>
        <x:v>25465.99</x:v>
      </x:c>
      <x:c r="Q1017" s="17" t="n">
        <x:f>MAX(J1017-P1017-K1017,0)</x:f>
        <x:v>0</x:v>
      </x:c>
      <x:c r="R1017" s="13" t="n">
        <x:f>IF(D1017="",MAX(TODAY()-C1017,0),MAX(D1017-C1017,0))</x:f>
        <x:v>0</x:v>
      </x:c>
      <x:c r="S1017" s="13" t="str">
        <x:f>IF(R1017=0,"Em dia",IF(R1017&lt;=15,"1-15 dias",IF(R1017&lt;=30,"16-30 dias",IF(R1017&lt;=60,"31-60 dias","Acima de 60 dias"))))</x:f>
        <x:v>Em dia</x:v>
      </x:c>
    </x:row>
    <x:row r="1018">
      <x:c r="A1018" s="13" t="str">
        <x:v>REC-001017</x:v>
      </x:c>
      <x:c r="B1018" s="23" t="n">
        <x:v>45794</x:v>
      </x:c>
      <x:c r="C1018" s="23" t="n">
        <x:v>45809</x:v>
      </x:c>
      <x:c r="D1018" s="23" t="n">
        <x:v>45808</x:v>
      </x:c>
      <x:c r="E1018" s="13" t="str">
        <x:v>VAL-014</x:v>
      </x:c>
      <x:c r="F1018" s="13" t="str">
        <x:v>Colégio Caminhos</x:v>
      </x:c>
      <x:c r="G1018" s="13" t="str">
        <x:v>Educação</x:v>
      </x:c>
      <x:c r="H1018" s="13" t="str">
        <x:v>Médio</x:v>
      </x:c>
      <x:c r="I1018" s="13" t="str">
        <x:v>Gestão</x:v>
      </x:c>
      <x:c r="J1018" s="17" t="n">
        <x:v>3853.59</x:v>
      </x:c>
      <x:c r="K1018" s="17" t="n">
        <x:v>0</x:v>
      </x:c>
      <x:c r="L1018" s="17" t="n">
        <x:v>0</x:v>
      </x:c>
      <x:c r="M1018" s="13" t="str">
        <x:v>Pago</x:v>
      </x:c>
      <x:c r="N1018" s="13" t="str">
        <x:v>Sem cobrança</x:v>
      </x:c>
      <x:c r="O1018" s="13" t="str">
        <x:v>Operação Clareza</x:v>
      </x:c>
      <x:c r="P1018" s="17" t="n">
        <x:f>IF(D1018="",0,J1018-K1018+L1018)</x:f>
        <x:v>3853.59</x:v>
      </x:c>
      <x:c r="Q1018" s="17" t="n">
        <x:f>MAX(J1018-P1018-K1018,0)</x:f>
        <x:v>0</x:v>
      </x:c>
      <x:c r="R1018" s="13" t="n">
        <x:f>IF(D1018="",MAX(TODAY()-C1018,0),MAX(D1018-C1018,0))</x:f>
        <x:v>0</x:v>
      </x:c>
      <x:c r="S1018" s="13" t="str">
        <x:f>IF(R1018=0,"Em dia",IF(R1018&lt;=15,"1-15 dias",IF(R1018&lt;=30,"16-30 dias",IF(R1018&lt;=60,"31-60 dias","Acima de 60 dias"))))</x:f>
        <x:v>Em dia</x:v>
      </x:c>
    </x:row>
    <x:row r="1019">
      <x:c r="A1019" s="13" t="str">
        <x:v>REC-001018</x:v>
      </x:c>
      <x:c r="B1019" s="23" t="n">
        <x:v>45794</x:v>
      </x:c>
      <x:c r="C1019" s="23" t="n">
        <x:v>45824</x:v>
      </x:c>
      <x:c r="D1019" s="23" t="n">
        <x:v>45824</x:v>
      </x:c>
      <x:c r="E1019" s="13" t="str">
        <x:v>VAL-017</x:v>
      </x:c>
      <x:c r="F1019" s="13" t="str">
        <x:v>Centro Médico Vida</x:v>
      </x:c>
      <x:c r="G1019" s="13" t="str">
        <x:v>Clínicas e Saúde</x:v>
      </x:c>
      <x:c r="H1019" s="13" t="str">
        <x:v>Baixo</x:v>
      </x:c>
      <x:c r="I1019" s="13" t="str">
        <x:v>Essencial</x:v>
      </x:c>
      <x:c r="J1019" s="17" t="n">
        <x:v>11061.44</x:v>
      </x:c>
      <x:c r="K1019" s="17" t="n">
        <x:v>0</x:v>
      </x:c>
      <x:c r="L1019" s="17" t="n">
        <x:v>0</x:v>
      </x:c>
      <x:c r="M1019" s="13" t="str">
        <x:v>Pago</x:v>
      </x:c>
      <x:c r="N1019" s="13" t="str">
        <x:v>Sem cobrança</x:v>
      </x:c>
      <x:c r="O1019" s="13" t="str">
        <x:v>Operação Clareza</x:v>
      </x:c>
      <x:c r="P1019" s="17" t="n">
        <x:f>IF(D1019="",0,J1019-K1019+L1019)</x:f>
        <x:v>11061.44</x:v>
      </x:c>
      <x:c r="Q1019" s="17" t="n">
        <x:f>MAX(J1019-P1019-K1019,0)</x:f>
        <x:v>0</x:v>
      </x:c>
      <x:c r="R1019" s="13" t="n">
        <x:f>IF(D1019="",MAX(TODAY()-C1019,0),MAX(D1019-C1019,0))</x:f>
        <x:v>0</x:v>
      </x:c>
      <x:c r="S1019" s="13" t="str">
        <x:f>IF(R1019=0,"Em dia",IF(R1019&lt;=15,"1-15 dias",IF(R1019&lt;=30,"16-30 dias",IF(R1019&lt;=60,"31-60 dias","Acima de 60 dias"))))</x:f>
        <x:v>Em dia</x:v>
      </x:c>
    </x:row>
    <x:row r="1020">
      <x:c r="A1020" s="13" t="str">
        <x:v>REC-001019</x:v>
      </x:c>
      <x:c r="B1020" s="23" t="n">
        <x:v>45786</x:v>
      </x:c>
      <x:c r="C1020" s="23" t="n">
        <x:v>45801</x:v>
      </x:c>
      <x:c r="D1020" s="23" t="n">
        <x:v>45799</x:v>
      </x:c>
      <x:c r="E1020" s="13" t="str">
        <x:v>VAL-009</x:v>
      </x:c>
      <x:c r="F1020" s="13" t="str">
        <x:v>Odonto Prime</x:v>
      </x:c>
      <x:c r="G1020" s="13" t="str">
        <x:v>Clínicas e Saúde</x:v>
      </x:c>
      <x:c r="H1020" s="13" t="str">
        <x:v>Médio</x:v>
      </x:c>
      <x:c r="I1020" s="13" t="str">
        <x:v>Essencial</x:v>
      </x:c>
      <x:c r="J1020" s="17" t="n">
        <x:v>15421.16</x:v>
      </x:c>
      <x:c r="K1020" s="17" t="n">
        <x:v>0</x:v>
      </x:c>
      <x:c r="L1020" s="17" t="n">
        <x:v>0</x:v>
      </x:c>
      <x:c r="M1020" s="13" t="str">
        <x:v>Pago</x:v>
      </x:c>
      <x:c r="N1020" s="13" t="str">
        <x:v>Sem cobrança</x:v>
      </x:c>
      <x:c r="O1020" s="13" t="str">
        <x:v>Operação Clareza</x:v>
      </x:c>
      <x:c r="P1020" s="17" t="n">
        <x:f>IF(D1020="",0,J1020-K1020+L1020)</x:f>
        <x:v>15421.16</x:v>
      </x:c>
      <x:c r="Q1020" s="17" t="n">
        <x:f>MAX(J1020-P1020-K1020,0)</x:f>
        <x:v>0</x:v>
      </x:c>
      <x:c r="R1020" s="13" t="n">
        <x:f>IF(D1020="",MAX(TODAY()-C1020,0),MAX(D1020-C1020,0))</x:f>
        <x:v>0</x:v>
      </x:c>
      <x:c r="S1020" s="13" t="str">
        <x:f>IF(R1020=0,"Em dia",IF(R1020&lt;=15,"1-15 dias",IF(R1020&lt;=30,"16-30 dias",IF(R1020&lt;=60,"31-60 dias","Acima de 60 dias"))))</x:f>
        <x:v>Em dia</x:v>
      </x:c>
    </x:row>
    <x:row r="1021">
      <x:c r="A1021" s="13" t="str">
        <x:v>REC-001020</x:v>
      </x:c>
      <x:c r="B1021" s="23" t="n">
        <x:v>45793</x:v>
      </x:c>
      <x:c r="C1021" s="23" t="n">
        <x:v>45808</x:v>
      </x:c>
      <x:c r="D1021" s="23" t="n">
        <x:v>45806</x:v>
      </x:c>
      <x:c r="E1021" s="13" t="str">
        <x:v>VAL-015</x:v>
      </x:c>
      <x:c r="F1021" s="13" t="str">
        <x:v>Mercado Click</x:v>
      </x:c>
      <x:c r="G1021" s="13" t="str">
        <x:v>E-commerce</x:v>
      </x:c>
      <x:c r="H1021" s="13" t="str">
        <x:v>Baixo</x:v>
      </x:c>
      <x:c r="I1021" s="13" t="str">
        <x:v>Performance</x:v>
      </x:c>
      <x:c r="J1021" s="17" t="n">
        <x:v>23727.21</x:v>
      </x:c>
      <x:c r="K1021" s="17" t="n">
        <x:v>0</x:v>
      </x:c>
      <x:c r="L1021" s="17" t="n">
        <x:v>0</x:v>
      </x:c>
      <x:c r="M1021" s="13" t="str">
        <x:v>Pago</x:v>
      </x:c>
      <x:c r="N1021" s="13" t="str">
        <x:v>Sem cobrança</x:v>
      </x:c>
      <x:c r="O1021" s="13" t="str">
        <x:v>Operação Clareza</x:v>
      </x:c>
      <x:c r="P1021" s="17" t="n">
        <x:f>IF(D1021="",0,J1021-K1021+L1021)</x:f>
        <x:v>23727.21</x:v>
      </x:c>
      <x:c r="Q1021" s="17" t="n">
        <x:f>MAX(J1021-P1021-K1021,0)</x:f>
        <x:v>0</x:v>
      </x:c>
      <x:c r="R1021" s="13" t="n">
        <x:f>IF(D1021="",MAX(TODAY()-C1021,0),MAX(D1021-C1021,0))</x:f>
        <x:v>0</x:v>
      </x:c>
      <x:c r="S1021" s="13" t="str">
        <x:f>IF(R1021=0,"Em dia",IF(R1021&lt;=15,"1-15 dias",IF(R1021&lt;=30,"16-30 dias",IF(R1021&lt;=60,"31-60 dias","Acima de 60 dias"))))</x:f>
        <x:v>Em dia</x:v>
      </x:c>
    </x:row>
    <x:row r="1022">
      <x:c r="A1022" s="13" t="str">
        <x:v>REC-001021</x:v>
      </x:c>
      <x:c r="B1022" s="23" t="n">
        <x:v>45826</x:v>
      </x:c>
      <x:c r="C1022" s="23" t="n">
        <x:v>45854</x:v>
      </x:c>
      <x:c r="D1022" s="23" t="n">
        <x:v>45854</x:v>
      </x:c>
      <x:c r="E1022" s="13" t="str">
        <x:v>VAL-007</x:v>
      </x:c>
      <x:c r="F1022" s="13" t="str">
        <x:v>Loja Prisma Online</x:v>
      </x:c>
      <x:c r="G1022" s="13" t="str">
        <x:v>E-commerce</x:v>
      </x:c>
      <x:c r="H1022" s="13" t="str">
        <x:v>Médio</x:v>
      </x:c>
      <x:c r="I1022" s="13" t="str">
        <x:v>Performance</x:v>
      </x:c>
      <x:c r="J1022" s="17" t="n">
        <x:v>5707.02</x:v>
      </x:c>
      <x:c r="K1022" s="17" t="n">
        <x:v>0</x:v>
      </x:c>
      <x:c r="L1022" s="17" t="n">
        <x:v>0</x:v>
      </x:c>
      <x:c r="M1022" s="13" t="str">
        <x:v>Pago</x:v>
      </x:c>
      <x:c r="N1022" s="13" t="str">
        <x:v>Sem cobrança</x:v>
      </x:c>
      <x:c r="O1022" s="13" t="str">
        <x:v>Operação Clareza</x:v>
      </x:c>
      <x:c r="P1022" s="17" t="n">
        <x:f>IF(D1022="",0,J1022-K1022+L1022)</x:f>
        <x:v>5707.02</x:v>
      </x:c>
      <x:c r="Q1022" s="17" t="n">
        <x:f>MAX(J1022-P1022-K1022,0)</x:f>
        <x:v>0</x:v>
      </x:c>
      <x:c r="R1022" s="13" t="n">
        <x:f>IF(D1022="",MAX(TODAY()-C1022,0),MAX(D1022-C1022,0))</x:f>
        <x:v>0</x:v>
      </x:c>
      <x:c r="S1022" s="13" t="str">
        <x:f>IF(R1022=0,"Em dia",IF(R1022&lt;=15,"1-15 dias",IF(R1022&lt;=30,"16-30 dias",IF(R1022&lt;=60,"31-60 dias","Acima de 60 dias"))))</x:f>
        <x:v>Em dia</x:v>
      </x:c>
    </x:row>
    <x:row r="1023">
      <x:c r="A1023" s="13" t="str">
        <x:v>REC-001022</x:v>
      </x:c>
      <x:c r="B1023" s="23" t="n">
        <x:v>45819</x:v>
      </x:c>
      <x:c r="C1023" s="23" t="n">
        <x:v>45826</x:v>
      </x:c>
      <x:c r="D1023" s="23" t="n">
        <x:v>45826</x:v>
      </x:c>
      <x:c r="E1023" s="13" t="str">
        <x:v>VAL-006</x:v>
      </x:c>
      <x:c r="F1023" s="13" t="str">
        <x:v>Instituto Saber Mais</x:v>
      </x:c>
      <x:c r="G1023" s="13" t="str">
        <x:v>Educação</x:v>
      </x:c>
      <x:c r="H1023" s="13" t="str">
        <x:v>Médio</x:v>
      </x:c>
      <x:c r="I1023" s="13" t="str">
        <x:v>Gestão</x:v>
      </x:c>
      <x:c r="J1023" s="17" t="n">
        <x:v>19203.5</x:v>
      </x:c>
      <x:c r="K1023" s="17" t="n">
        <x:v>0</x:v>
      </x:c>
      <x:c r="L1023" s="17" t="n">
        <x:v>0</x:v>
      </x:c>
      <x:c r="M1023" s="13" t="str">
        <x:v>Pago</x:v>
      </x:c>
      <x:c r="N1023" s="13" t="str">
        <x:v>Sem cobrança</x:v>
      </x:c>
      <x:c r="O1023" s="13" t="str">
        <x:v>Operação Clareza</x:v>
      </x:c>
      <x:c r="P1023" s="17" t="n">
        <x:f>IF(D1023="",0,J1023-K1023+L1023)</x:f>
        <x:v>19203.5</x:v>
      </x:c>
      <x:c r="Q1023" s="17" t="n">
        <x:f>MAX(J1023-P1023-K1023,0)</x:f>
        <x:v>0</x:v>
      </x:c>
      <x:c r="R1023" s="13" t="n">
        <x:f>IF(D1023="",MAX(TODAY()-C1023,0),MAX(D1023-C1023,0))</x:f>
        <x:v>0</x:v>
      </x:c>
      <x:c r="S1023" s="13" t="str">
        <x:f>IF(R1023=0,"Em dia",IF(R1023&lt;=15,"1-15 dias",IF(R1023&lt;=30,"16-30 dias",IF(R1023&lt;=60,"31-60 dias","Acima de 60 dias"))))</x:f>
        <x:v>Em dia</x:v>
      </x:c>
    </x:row>
    <x:row r="1024">
      <x:c r="A1024" s="13" t="str">
        <x:v>REC-001023</x:v>
      </x:c>
      <x:c r="B1024" s="23" t="n">
        <x:v>45824</x:v>
      </x:c>
      <x:c r="C1024" s="23" t="n">
        <x:v>45839</x:v>
      </x:c>
      <x:c r="D1024" s="23" t="n">
        <x:v>45837</x:v>
      </x:c>
      <x:c r="E1024" s="13" t="str">
        <x:v>VAL-006</x:v>
      </x:c>
      <x:c r="F1024" s="13" t="str">
        <x:v>Instituto Saber Mais</x:v>
      </x:c>
      <x:c r="G1024" s="13" t="str">
        <x:v>Educação</x:v>
      </x:c>
      <x:c r="H1024" s="13" t="str">
        <x:v>Médio</x:v>
      </x:c>
      <x:c r="I1024" s="13" t="str">
        <x:v>Gestão</x:v>
      </x:c>
      <x:c r="J1024" s="17" t="n">
        <x:v>19106.97</x:v>
      </x:c>
      <x:c r="K1024" s="17" t="n">
        <x:v>261.82</x:v>
      </x:c>
      <x:c r="L1024" s="17" t="n">
        <x:v>0</x:v>
      </x:c>
      <x:c r="M1024" s="13" t="str">
        <x:v>Pago</x:v>
      </x:c>
      <x:c r="N1024" s="13" t="str">
        <x:v>Sem cobrança</x:v>
      </x:c>
      <x:c r="O1024" s="13" t="str">
        <x:v>Operação Clareza</x:v>
      </x:c>
      <x:c r="P1024" s="17" t="n">
        <x:f>IF(D1024="",0,J1024-K1024+L1024)</x:f>
        <x:v>18845.15</x:v>
      </x:c>
      <x:c r="Q1024" s="17" t="n">
        <x:f>MAX(J1024-P1024-K1024,0)</x:f>
        <x:v>0</x:v>
      </x:c>
      <x:c r="R1024" s="13" t="n">
        <x:f>IF(D1024="",MAX(TODAY()-C1024,0),MAX(D1024-C1024,0))</x:f>
        <x:v>0</x:v>
      </x:c>
      <x:c r="S1024" s="13" t="str">
        <x:f>IF(R1024=0,"Em dia",IF(R1024&lt;=15,"1-15 dias",IF(R1024&lt;=30,"16-30 dias",IF(R1024&lt;=60,"31-60 dias","Acima de 60 dias"))))</x:f>
        <x:v>Em dia</x:v>
      </x:c>
    </x:row>
    <x:row r="1025">
      <x:c r="A1025" s="13" t="str">
        <x:v>REC-001024</x:v>
      </x:c>
      <x:c r="B1025" s="23" t="n">
        <x:v>45825</x:v>
      </x:c>
      <x:c r="C1025" s="23" t="n">
        <x:v>45840</x:v>
      </x:c>
      <x:c r="D1025" s="23" t="n">
        <x:v>45837</x:v>
      </x:c>
      <x:c r="E1025" s="13" t="str">
        <x:v>VAL-012</x:v>
      </x:c>
      <x:c r="F1025" s="13" t="str">
        <x:v>DataFlow Sistemas</x:v>
      </x:c>
      <x:c r="G1025" s="13" t="str">
        <x:v>Tecnologia</x:v>
      </x:c>
      <x:c r="H1025" s="13" t="str">
        <x:v>Médio</x:v>
      </x:c>
      <x:c r="I1025" s="13" t="str">
        <x:v>Enterprise</x:v>
      </x:c>
      <x:c r="J1025" s="17" t="n">
        <x:v>6044.06</x:v>
      </x:c>
      <x:c r="K1025" s="17" t="n">
        <x:v>0</x:v>
      </x:c>
      <x:c r="L1025" s="17" t="n">
        <x:v>0</x:v>
      </x:c>
      <x:c r="M1025" s="13" t="str">
        <x:v>Pago</x:v>
      </x:c>
      <x:c r="N1025" s="13" t="str">
        <x:v>Sem cobrança</x:v>
      </x:c>
      <x:c r="O1025" s="13" t="str">
        <x:v>Operação Clareza</x:v>
      </x:c>
      <x:c r="P1025" s="17" t="n">
        <x:f>IF(D1025="",0,J1025-K1025+L1025)</x:f>
        <x:v>6044.06</x:v>
      </x:c>
      <x:c r="Q1025" s="17" t="n">
        <x:f>MAX(J1025-P1025-K1025,0)</x:f>
        <x:v>0</x:v>
      </x:c>
      <x:c r="R1025" s="13" t="n">
        <x:f>IF(D1025="",MAX(TODAY()-C1025,0),MAX(D1025-C1025,0))</x:f>
        <x:v>0</x:v>
      </x:c>
      <x:c r="S1025" s="13" t="str">
        <x:f>IF(R1025=0,"Em dia",IF(R1025&lt;=15,"1-15 dias",IF(R1025&lt;=30,"16-30 dias",IF(R1025&lt;=60,"31-60 dias","Acima de 60 dias"))))</x:f>
        <x:v>Em dia</x:v>
      </x:c>
    </x:row>
    <x:row r="1026">
      <x:c r="A1026" s="13" t="str">
        <x:v>REC-001025</x:v>
      </x:c>
      <x:c r="B1026" s="23" t="n">
        <x:v>45815</x:v>
      </x:c>
      <x:c r="C1026" s="23" t="n">
        <x:v>45843</x:v>
      </x:c>
      <x:c r="D1026" s="23" t="n">
        <x:v>45842</x:v>
      </x:c>
      <x:c r="E1026" s="13" t="str">
        <x:v>VAL-026</x:v>
      </x:c>
      <x:c r="F1026" s="13" t="str">
        <x:v>Ribeiro Arquitetura</x:v>
      </x:c>
      <x:c r="G1026" s="13" t="str">
        <x:v>Serviços Profissionais</x:v>
      </x:c>
      <x:c r="H1026" s="13" t="str">
        <x:v>Baixo</x:v>
      </x:c>
      <x:c r="I1026" s="13" t="str">
        <x:v>Gestão</x:v>
      </x:c>
      <x:c r="J1026" s="17" t="n">
        <x:v>24336.17</x:v>
      </x:c>
      <x:c r="K1026" s="17" t="n">
        <x:v>365.57</x:v>
      </x:c>
      <x:c r="L1026" s="17" t="n">
        <x:v>0</x:v>
      </x:c>
      <x:c r="M1026" s="13" t="str">
        <x:v>Pago</x:v>
      </x:c>
      <x:c r="N1026" s="13" t="str">
        <x:v>Sem cobrança</x:v>
      </x:c>
      <x:c r="O1026" s="13" t="str">
        <x:v>Operação Clareza</x:v>
      </x:c>
      <x:c r="P1026" s="17" t="n">
        <x:f>IF(D1026="",0,J1026-K1026+L1026)</x:f>
        <x:v>23970.6</x:v>
      </x:c>
      <x:c r="Q1026" s="17" t="n">
        <x:f>MAX(J1026-P1026-K1026,0)</x:f>
        <x:v>0</x:v>
      </x:c>
      <x:c r="R1026" s="13" t="n">
        <x:f>IF(D1026="",MAX(TODAY()-C1026,0),MAX(D1026-C1026,0))</x:f>
        <x:v>0</x:v>
      </x:c>
      <x:c r="S1026" s="13" t="str">
        <x:f>IF(R1026=0,"Em dia",IF(R1026&lt;=15,"1-15 dias",IF(R1026&lt;=30,"16-30 dias",IF(R1026&lt;=60,"31-60 dias","Acima de 60 dias"))))</x:f>
        <x:v>Em dia</x:v>
      </x:c>
    </x:row>
    <x:row r="1027">
      <x:c r="A1027" s="13" t="str">
        <x:v>REC-001026</x:v>
      </x:c>
      <x:c r="B1027" s="23" t="n">
        <x:v>45826</x:v>
      </x:c>
      <x:c r="C1027" s="23" t="n">
        <x:v>45833</x:v>
      </x:c>
      <x:c r="D1027" s="23" t="n">
        <x:v>45832</x:v>
      </x:c>
      <x:c r="E1027" s="13" t="str">
        <x:v>VAL-007</x:v>
      </x:c>
      <x:c r="F1027" s="13" t="str">
        <x:v>Loja Prisma Online</x:v>
      </x:c>
      <x:c r="G1027" s="13" t="str">
        <x:v>E-commerce</x:v>
      </x:c>
      <x:c r="H1027" s="13" t="str">
        <x:v>Médio</x:v>
      </x:c>
      <x:c r="I1027" s="13" t="str">
        <x:v>Performance</x:v>
      </x:c>
      <x:c r="J1027" s="17" t="n">
        <x:v>16222.98</x:v>
      </x:c>
      <x:c r="K1027" s="17" t="n">
        <x:v>0</x:v>
      </x:c>
      <x:c r="L1027" s="17" t="n">
        <x:v>0</x:v>
      </x:c>
      <x:c r="M1027" s="13" t="str">
        <x:v>Pago</x:v>
      </x:c>
      <x:c r="N1027" s="13" t="str">
        <x:v>Sem cobrança</x:v>
      </x:c>
      <x:c r="O1027" s="13" t="str">
        <x:v>Operação Clareza</x:v>
      </x:c>
      <x:c r="P1027" s="17" t="n">
        <x:f>IF(D1027="",0,J1027-K1027+L1027)</x:f>
        <x:v>16222.98</x:v>
      </x:c>
      <x:c r="Q1027" s="17" t="n">
        <x:f>MAX(J1027-P1027-K1027,0)</x:f>
        <x:v>0</x:v>
      </x:c>
      <x:c r="R1027" s="13" t="n">
        <x:f>IF(D1027="",MAX(TODAY()-C1027,0),MAX(D1027-C1027,0))</x:f>
        <x:v>0</x:v>
      </x:c>
      <x:c r="S1027" s="13" t="str">
        <x:f>IF(R1027=0,"Em dia",IF(R1027&lt;=15,"1-15 dias",IF(R1027&lt;=30,"16-30 dias",IF(R1027&lt;=60,"31-60 dias","Acima de 60 dias"))))</x:f>
        <x:v>Em dia</x:v>
      </x:c>
    </x:row>
    <x:row r="1028">
      <x:c r="A1028" s="13" t="str">
        <x:v>REC-001027</x:v>
      </x:c>
      <x:c r="B1028" s="23" t="n">
        <x:v>45820</x:v>
      </x:c>
      <x:c r="C1028" s="23" t="n">
        <x:v>45848</x:v>
      </x:c>
      <x:c r="D1028" s="23" t="n">
        <x:v>45847</x:v>
      </x:c>
      <x:c r="E1028" s="13" t="str">
        <x:v>VAL-016</x:v>
      </x:c>
      <x:c r="F1028" s="13" t="str">
        <x:v>Lumina Embalagens</x:v>
      </x:c>
      <x:c r="G1028" s="13" t="str">
        <x:v>Indústria Leve</x:v>
      </x:c>
      <x:c r="H1028" s="13" t="str">
        <x:v>Baixo</x:v>
      </x:c>
      <x:c r="I1028" s="13" t="str">
        <x:v>Enterprise</x:v>
      </x:c>
      <x:c r="J1028" s="17" t="n">
        <x:v>10721.02</x:v>
      </x:c>
      <x:c r="K1028" s="17" t="n">
        <x:v>0</x:v>
      </x:c>
      <x:c r="L1028" s="17" t="n">
        <x:v>0</x:v>
      </x:c>
      <x:c r="M1028" s="13" t="str">
        <x:v>Pago</x:v>
      </x:c>
      <x:c r="N1028" s="13" t="str">
        <x:v>Sem cobrança</x:v>
      </x:c>
      <x:c r="O1028" s="13" t="str">
        <x:v>Operação Clareza</x:v>
      </x:c>
      <x:c r="P1028" s="17" t="n">
        <x:f>IF(D1028="",0,J1028-K1028+L1028)</x:f>
        <x:v>10721.02</x:v>
      </x:c>
      <x:c r="Q1028" s="17" t="n">
        <x:f>MAX(J1028-P1028-K1028,0)</x:f>
        <x:v>0</x:v>
      </x:c>
      <x:c r="R1028" s="13" t="n">
        <x:f>IF(D1028="",MAX(TODAY()-C1028,0),MAX(D1028-C1028,0))</x:f>
        <x:v>0</x:v>
      </x:c>
      <x:c r="S1028" s="13" t="str">
        <x:f>IF(R1028=0,"Em dia",IF(R1028&lt;=15,"1-15 dias",IF(R1028&lt;=30,"16-30 dias",IF(R1028&lt;=60,"31-60 dias","Acima de 60 dias"))))</x:f>
        <x:v>Em dia</x:v>
      </x:c>
    </x:row>
    <x:row r="1029">
      <x:c r="A1029" s="13" t="str">
        <x:v>REC-001028</x:v>
      </x:c>
      <x:c r="B1029" s="23" t="n">
        <x:v>45828</x:v>
      </x:c>
      <x:c r="C1029" s="23" t="n">
        <x:v>45843</x:v>
      </x:c>
      <x:c r="D1029" s="23" t="n">
        <x:v>45843</x:v>
      </x:c>
      <x:c r="E1029" s="13" t="str">
        <x:v>VAL-013</x:v>
      </x:c>
      <x:c r="F1029" s="13" t="str">
        <x:v>Engenharia Vértice</x:v>
      </x:c>
      <x:c r="G1029" s="13" t="str">
        <x:v>Construção</x:v>
      </x:c>
      <x:c r="H1029" s="13" t="str">
        <x:v>Baixo</x:v>
      </x:c>
      <x:c r="I1029" s="13" t="str">
        <x:v>Essencial</x:v>
      </x:c>
      <x:c r="J1029" s="17" t="n">
        <x:v>15703.49</x:v>
      </x:c>
      <x:c r="K1029" s="17" t="n">
        <x:v>0</x:v>
      </x:c>
      <x:c r="L1029" s="17" t="n">
        <x:v>0</x:v>
      </x:c>
      <x:c r="M1029" s="13" t="str">
        <x:v>Pago</x:v>
      </x:c>
      <x:c r="N1029" s="13" t="str">
        <x:v>Sem cobrança</x:v>
      </x:c>
      <x:c r="O1029" s="13" t="str">
        <x:v>Operação Clareza</x:v>
      </x:c>
      <x:c r="P1029" s="17" t="n">
        <x:f>IF(D1029="",0,J1029-K1029+L1029)</x:f>
        <x:v>15703.49</x:v>
      </x:c>
      <x:c r="Q1029" s="17" t="n">
        <x:f>MAX(J1029-P1029-K1029,0)</x:f>
        <x:v>0</x:v>
      </x:c>
      <x:c r="R1029" s="13" t="n">
        <x:f>IF(D1029="",MAX(TODAY()-C1029,0),MAX(D1029-C1029,0))</x:f>
        <x:v>0</x:v>
      </x:c>
      <x:c r="S1029" s="13" t="str">
        <x:f>IF(R1029=0,"Em dia",IF(R1029&lt;=15,"1-15 dias",IF(R1029&lt;=30,"16-30 dias",IF(R1029&lt;=60,"31-60 dias","Acima de 60 dias"))))</x:f>
        <x:v>Em dia</x:v>
      </x:c>
    </x:row>
    <x:row r="1030">
      <x:c r="A1030" s="13" t="str">
        <x:v>REC-001029</x:v>
      </x:c>
      <x:c r="B1030" s="23" t="n">
        <x:v>45826</x:v>
      </x:c>
      <x:c r="C1030" s="23" t="n">
        <x:v>45841</x:v>
      </x:c>
      <x:c r="D1030" s="23" t="n">
        <x:v>45837</x:v>
      </x:c>
      <x:c r="E1030" s="13" t="str">
        <x:v>VAL-007</x:v>
      </x:c>
      <x:c r="F1030" s="13" t="str">
        <x:v>Loja Prisma Online</x:v>
      </x:c>
      <x:c r="G1030" s="13" t="str">
        <x:v>E-commerce</x:v>
      </x:c>
      <x:c r="H1030" s="13" t="str">
        <x:v>Médio</x:v>
      </x:c>
      <x:c r="I1030" s="13" t="str">
        <x:v>Performance</x:v>
      </x:c>
      <x:c r="J1030" s="17" t="n">
        <x:v>24855.18</x:v>
      </x:c>
      <x:c r="K1030" s="17" t="n">
        <x:v>0</x:v>
      </x:c>
      <x:c r="L1030" s="17" t="n">
        <x:v>0</x:v>
      </x:c>
      <x:c r="M1030" s="13" t="str">
        <x:v>Pago</x:v>
      </x:c>
      <x:c r="N1030" s="13" t="str">
        <x:v>Sem cobrança</x:v>
      </x:c>
      <x:c r="O1030" s="13" t="str">
        <x:v>Operação Clareza</x:v>
      </x:c>
      <x:c r="P1030" s="17" t="n">
        <x:f>IF(D1030="",0,J1030-K1030+L1030)</x:f>
        <x:v>24855.18</x:v>
      </x:c>
      <x:c r="Q1030" s="17" t="n">
        <x:f>MAX(J1030-P1030-K1030,0)</x:f>
        <x:v>0</x:v>
      </x:c>
      <x:c r="R1030" s="13" t="n">
        <x:f>IF(D1030="",MAX(TODAY()-C1030,0),MAX(D1030-C1030,0))</x:f>
        <x:v>0</x:v>
      </x:c>
      <x:c r="S1030" s="13" t="str">
        <x:f>IF(R1030=0,"Em dia",IF(R1030&lt;=15,"1-15 dias",IF(R1030&lt;=30,"16-30 dias",IF(R1030&lt;=60,"31-60 dias","Acima de 60 dias"))))</x:f>
        <x:v>Em dia</x:v>
      </x:c>
    </x:row>
    <x:row r="1031">
      <x:c r="A1031" s="13" t="str">
        <x:v>REC-001030</x:v>
      </x:c>
      <x:c r="B1031" s="23" t="n">
        <x:v>45819</x:v>
      </x:c>
      <x:c r="C1031" s="23" t="n">
        <x:v>45847</x:v>
      </x:c>
      <x:c r="D1031" s="23" t="n">
        <x:v>45877</x:v>
      </x:c>
      <x:c r="E1031" s="13" t="str">
        <x:v>VAL-016</x:v>
      </x:c>
      <x:c r="F1031" s="13" t="str">
        <x:v>Lumina Embalagens</x:v>
      </x:c>
      <x:c r="G1031" s="13" t="str">
        <x:v>Indústria Leve</x:v>
      </x:c>
      <x:c r="H1031" s="13" t="str">
        <x:v>Baixo</x:v>
      </x:c>
      <x:c r="I1031" s="13" t="str">
        <x:v>Enterprise</x:v>
      </x:c>
      <x:c r="J1031" s="17" t="n">
        <x:v>21357.33</x:v>
      </x:c>
      <x:c r="K1031" s="17" t="n">
        <x:v>0</x:v>
      </x:c>
      <x:c r="L1031" s="17" t="n">
        <x:v>416.47</x:v>
      </x:c>
      <x:c r="M1031" s="13" t="str">
        <x:v>Pago com atraso</x:v>
      </x:c>
      <x:c r="N1031" s="13" t="str">
        <x:v>Régua automática</x:v>
      </x:c>
      <x:c r="O1031" s="13" t="str">
        <x:v>Operação Clareza</x:v>
      </x:c>
      <x:c r="P1031" s="17" t="n">
        <x:f>IF(D1031="",0,J1031-K1031+L1031)</x:f>
        <x:v>21773.800000000003</x:v>
      </x:c>
      <x:c r="Q1031" s="17" t="n">
        <x:f>MAX(J1031-P1031-K1031,0)</x:f>
        <x:v>0</x:v>
      </x:c>
      <x:c r="R1031" s="13" t="n">
        <x:f>IF(D1031="",MAX(TODAY()-C1031,0),MAX(D1031-C1031,0))</x:f>
        <x:v>30</x:v>
      </x:c>
      <x:c r="S1031" s="13" t="str">
        <x:f>IF(R1031=0,"Em dia",IF(R1031&lt;=15,"1-15 dias",IF(R1031&lt;=30,"16-30 dias",IF(R1031&lt;=60,"31-60 dias","Acima de 60 dias"))))</x:f>
        <x:v>16-30 dias</x:v>
      </x:c>
    </x:row>
    <x:row r="1032">
      <x:c r="A1032" s="13" t="str">
        <x:v>REC-001031</x:v>
      </x:c>
      <x:c r="B1032" s="23" t="n">
        <x:v>45815</x:v>
      </x:c>
      <x:c r="C1032" s="23" t="n">
        <x:v>45822</x:v>
      </x:c>
      <x:c r="D1032" s="23" t="n">
        <x:v>45847</x:v>
      </x:c>
      <x:c r="E1032" s="13" t="str">
        <x:v>VAL-030</x:v>
      </x:c>
      <x:c r="F1032" s="13" t="str">
        <x:v>Mundo Kids Cursos</x:v>
      </x:c>
      <x:c r="G1032" s="13" t="str">
        <x:v>Educação</x:v>
      </x:c>
      <x:c r="H1032" s="13" t="str">
        <x:v>Alto</x:v>
      </x:c>
      <x:c r="I1032" s="13" t="str">
        <x:v>Gestão</x:v>
      </x:c>
      <x:c r="J1032" s="17" t="n">
        <x:v>1595.12</x:v>
      </x:c>
      <x:c r="K1032" s="17" t="n">
        <x:v>0</x:v>
      </x:c>
      <x:c r="L1032" s="17" t="n">
        <x:v>25.92</x:v>
      </x:c>
      <x:c r="M1032" s="13" t="str">
        <x:v>Pago com atraso</x:v>
      </x:c>
      <x:c r="N1032" s="13" t="str">
        <x:v>WhatsApp</x:v>
      </x:c>
      <x:c r="O1032" s="13" t="str">
        <x:v>Operação Clareza</x:v>
      </x:c>
      <x:c r="P1032" s="17" t="n">
        <x:f>IF(D1032="",0,J1032-K1032+L1032)</x:f>
        <x:v>1621.04</x:v>
      </x:c>
      <x:c r="Q1032" s="17" t="n">
        <x:f>MAX(J1032-P1032-K1032,0)</x:f>
        <x:v>0</x:v>
      </x:c>
      <x:c r="R1032" s="13" t="n">
        <x:f>IF(D1032="",MAX(TODAY()-C1032,0),MAX(D1032-C1032,0))</x:f>
        <x:v>25</x:v>
      </x:c>
      <x:c r="S1032" s="13" t="str">
        <x:f>IF(R1032=0,"Em dia",IF(R1032&lt;=15,"1-15 dias",IF(R1032&lt;=30,"16-30 dias",IF(R1032&lt;=60,"31-60 dias","Acima de 60 dias"))))</x:f>
        <x:v>16-30 dias</x:v>
      </x:c>
    </x:row>
    <x:row r="1033">
      <x:c r="A1033" s="13" t="str">
        <x:v>REC-001032</x:v>
      </x:c>
      <x:c r="B1033" s="23" t="n">
        <x:v>45824</x:v>
      </x:c>
      <x:c r="C1033" s="23" t="n">
        <x:v>45839</x:v>
      </x:c>
      <x:c r="D1033" s="23" t="n">
        <x:v>45835</x:v>
      </x:c>
      <x:c r="E1033" s="13" t="str">
        <x:v>VAL-022</x:v>
      </x:c>
      <x:c r="F1033" s="13" t="str">
        <x:v>Academia Evoluir</x:v>
      </x:c>
      <x:c r="G1033" s="13" t="str">
        <x:v>Educação</x:v>
      </x:c>
      <x:c r="H1033" s="13" t="str">
        <x:v>Alto</x:v>
      </x:c>
      <x:c r="I1033" s="13" t="str">
        <x:v>Gestão</x:v>
      </x:c>
      <x:c r="J1033" s="17" t="n">
        <x:v>19643.43</x:v>
      </x:c>
      <x:c r="K1033" s="17" t="n">
        <x:v>0</x:v>
      </x:c>
      <x:c r="L1033" s="17" t="n">
        <x:v>0</x:v>
      </x:c>
      <x:c r="M1033" s="13" t="str">
        <x:v>Pago</x:v>
      </x:c>
      <x:c r="N1033" s="13" t="str">
        <x:v>Sem cobrança</x:v>
      </x:c>
      <x:c r="O1033" s="13" t="str">
        <x:v>Operação Clareza</x:v>
      </x:c>
      <x:c r="P1033" s="17" t="n">
        <x:f>IF(D1033="",0,J1033-K1033+L1033)</x:f>
        <x:v>19643.43</x:v>
      </x:c>
      <x:c r="Q1033" s="17" t="n">
        <x:f>MAX(J1033-P1033-K1033,0)</x:f>
        <x:v>0</x:v>
      </x:c>
      <x:c r="R1033" s="13" t="n">
        <x:f>IF(D1033="",MAX(TODAY()-C1033,0),MAX(D1033-C1033,0))</x:f>
        <x:v>0</x:v>
      </x:c>
      <x:c r="S1033" s="13" t="str">
        <x:f>IF(R1033=0,"Em dia",IF(R1033&lt;=15,"1-15 dias",IF(R1033&lt;=30,"16-30 dias",IF(R1033&lt;=60,"31-60 dias","Acima de 60 dias"))))</x:f>
        <x:v>Em dia</x:v>
      </x:c>
    </x:row>
    <x:row r="1034">
      <x:c r="A1034" s="13" t="str">
        <x:v>REC-001033</x:v>
      </x:c>
      <x:c r="B1034" s="23" t="n">
        <x:v>45814</x:v>
      </x:c>
      <x:c r="C1034" s="23" t="n">
        <x:v>45835</x:v>
      </x:c>
      <x:c r="D1034" s="23" t="n">
        <x:v>45831</x:v>
      </x:c>
      <x:c r="E1034" s="13" t="str">
        <x:v>VAL-022</x:v>
      </x:c>
      <x:c r="F1034" s="13" t="str">
        <x:v>Academia Evoluir</x:v>
      </x:c>
      <x:c r="G1034" s="13" t="str">
        <x:v>Educação</x:v>
      </x:c>
      <x:c r="H1034" s="13" t="str">
        <x:v>Alto</x:v>
      </x:c>
      <x:c r="I1034" s="13" t="str">
        <x:v>Gestão</x:v>
      </x:c>
      <x:c r="J1034" s="17" t="n">
        <x:v>20888.89</x:v>
      </x:c>
      <x:c r="K1034" s="17" t="n">
        <x:v>0</x:v>
      </x:c>
      <x:c r="L1034" s="17" t="n">
        <x:v>0</x:v>
      </x:c>
      <x:c r="M1034" s="13" t="str">
        <x:v>Pago</x:v>
      </x:c>
      <x:c r="N1034" s="13" t="str">
        <x:v>Sem cobrança</x:v>
      </x:c>
      <x:c r="O1034" s="13" t="str">
        <x:v>Operação Clareza</x:v>
      </x:c>
      <x:c r="P1034" s="17" t="n">
        <x:f>IF(D1034="",0,J1034-K1034+L1034)</x:f>
        <x:v>20888.89</x:v>
      </x:c>
      <x:c r="Q1034" s="17" t="n">
        <x:f>MAX(J1034-P1034-K1034,0)</x:f>
        <x:v>0</x:v>
      </x:c>
      <x:c r="R1034" s="13" t="n">
        <x:f>IF(D1034="",MAX(TODAY()-C1034,0),MAX(D1034-C1034,0))</x:f>
        <x:v>0</x:v>
      </x:c>
      <x:c r="S1034" s="13" t="str">
        <x:f>IF(R1034=0,"Em dia",IF(R1034&lt;=15,"1-15 dias",IF(R1034&lt;=30,"16-30 dias",IF(R1034&lt;=60,"31-60 dias","Acima de 60 dias"))))</x:f>
        <x:v>Em dia</x:v>
      </x:c>
    </x:row>
    <x:row r="1035">
      <x:c r="A1035" s="13" t="str">
        <x:v>REC-001034</x:v>
      </x:c>
      <x:c r="B1035" s="23" t="n">
        <x:v>45819</x:v>
      </x:c>
      <x:c r="C1035" s="23" t="n">
        <x:v>45826</x:v>
      </x:c>
      <x:c r="D1035" s="23" t="n">
        <x:v>45823</x:v>
      </x:c>
      <x:c r="E1035" s="13" t="str">
        <x:v>VAL-017</x:v>
      </x:c>
      <x:c r="F1035" s="13" t="str">
        <x:v>Centro Médico Vida</x:v>
      </x:c>
      <x:c r="G1035" s="13" t="str">
        <x:v>Clínicas e Saúde</x:v>
      </x:c>
      <x:c r="H1035" s="13" t="str">
        <x:v>Baixo</x:v>
      </x:c>
      <x:c r="I1035" s="13" t="str">
        <x:v>Essencial</x:v>
      </x:c>
      <x:c r="J1035" s="17" t="n">
        <x:v>6231.52</x:v>
      </x:c>
      <x:c r="K1035" s="17" t="n">
        <x:v>0</x:v>
      </x:c>
      <x:c r="L1035" s="17" t="n">
        <x:v>0</x:v>
      </x:c>
      <x:c r="M1035" s="13" t="str">
        <x:v>Pago</x:v>
      </x:c>
      <x:c r="N1035" s="13" t="str">
        <x:v>Sem cobrança</x:v>
      </x:c>
      <x:c r="O1035" s="13" t="str">
        <x:v>Operação Clareza</x:v>
      </x:c>
      <x:c r="P1035" s="17" t="n">
        <x:f>IF(D1035="",0,J1035-K1035+L1035)</x:f>
        <x:v>6231.52</x:v>
      </x:c>
      <x:c r="Q1035" s="17" t="n">
        <x:f>MAX(J1035-P1035-K1035,0)</x:f>
        <x:v>0</x:v>
      </x:c>
      <x:c r="R1035" s="13" t="n">
        <x:f>IF(D1035="",MAX(TODAY()-C1035,0),MAX(D1035-C1035,0))</x:f>
        <x:v>0</x:v>
      </x:c>
      <x:c r="S1035" s="13" t="str">
        <x:f>IF(R1035=0,"Em dia",IF(R1035&lt;=15,"1-15 dias",IF(R1035&lt;=30,"16-30 dias",IF(R1035&lt;=60,"31-60 dias","Acima de 60 dias"))))</x:f>
        <x:v>Em dia</x:v>
      </x:c>
    </x:row>
    <x:row r="1036">
      <x:c r="A1036" s="13" t="str">
        <x:v>REC-001035</x:v>
      </x:c>
      <x:c r="B1036" s="23" t="n">
        <x:v>45824</x:v>
      </x:c>
      <x:c r="C1036" s="23" t="n">
        <x:v>45845</x:v>
      </x:c>
      <x:c r="D1036" s="23" t="n">
        <x:v>45841</x:v>
      </x:c>
      <x:c r="E1036" s="13" t="str">
        <x:v>VAL-010</x:v>
      </x:c>
      <x:c r="F1036" s="13" t="str">
        <x:v>Atlas Contabilidade</x:v>
      </x:c>
      <x:c r="G1036" s="13" t="str">
        <x:v>Serviços Profissionais</x:v>
      </x:c>
      <x:c r="H1036" s="13" t="str">
        <x:v>Baixo</x:v>
      </x:c>
      <x:c r="I1036" s="13" t="str">
        <x:v>Gestão</x:v>
      </x:c>
      <x:c r="J1036" s="17" t="n">
        <x:v>18614.81</x:v>
      </x:c>
      <x:c r="K1036" s="17" t="n">
        <x:v>0</x:v>
      </x:c>
      <x:c r="L1036" s="17" t="n">
        <x:v>0</x:v>
      </x:c>
      <x:c r="M1036" s="13" t="str">
        <x:v>Pago</x:v>
      </x:c>
      <x:c r="N1036" s="13" t="str">
        <x:v>Sem cobrança</x:v>
      </x:c>
      <x:c r="O1036" s="13" t="str">
        <x:v>Operação Clareza</x:v>
      </x:c>
      <x:c r="P1036" s="17" t="n">
        <x:f>IF(D1036="",0,J1036-K1036+L1036)</x:f>
        <x:v>18614.81</x:v>
      </x:c>
      <x:c r="Q1036" s="17" t="n">
        <x:f>MAX(J1036-P1036-K1036,0)</x:f>
        <x:v>0</x:v>
      </x:c>
      <x:c r="R1036" s="13" t="n">
        <x:f>IF(D1036="",MAX(TODAY()-C1036,0),MAX(D1036-C1036,0))</x:f>
        <x:v>0</x:v>
      </x:c>
      <x:c r="S1036" s="13" t="str">
        <x:f>IF(R1036=0,"Em dia",IF(R1036&lt;=15,"1-15 dias",IF(R1036&lt;=30,"16-30 dias",IF(R1036&lt;=60,"31-60 dias","Acima de 60 dias"))))</x:f>
        <x:v>Em dia</x:v>
      </x:c>
    </x:row>
    <x:row r="1037">
      <x:c r="A1037" s="13" t="str">
        <x:v>REC-001036</x:v>
      </x:c>
      <x:c r="B1037" s="23" t="n">
        <x:v>45817</x:v>
      </x:c>
      <x:c r="C1037" s="23" t="n">
        <x:v>45838</x:v>
      </x:c>
      <x:c r="D1037" s="23" t="n">
        <x:v>45834</x:v>
      </x:c>
      <x:c r="E1037" s="13" t="str">
        <x:v>VAL-001</x:v>
      </x:c>
      <x:c r="F1037" s="13" t="str">
        <x:v>Clínica Horizonte</x:v>
      </x:c>
      <x:c r="G1037" s="13" t="str">
        <x:v>Clínicas e Saúde</x:v>
      </x:c>
      <x:c r="H1037" s="13" t="str">
        <x:v>Baixo</x:v>
      </x:c>
      <x:c r="I1037" s="13" t="str">
        <x:v>Essencial</x:v>
      </x:c>
      <x:c r="J1037" s="17" t="n">
        <x:v>22819.24</x:v>
      </x:c>
      <x:c r="K1037" s="17" t="n">
        <x:v>0</x:v>
      </x:c>
      <x:c r="L1037" s="17" t="n">
        <x:v>0</x:v>
      </x:c>
      <x:c r="M1037" s="13" t="str">
        <x:v>Pago</x:v>
      </x:c>
      <x:c r="N1037" s="13" t="str">
        <x:v>Sem cobrança</x:v>
      </x:c>
      <x:c r="O1037" s="13" t="str">
        <x:v>Operação Clareza</x:v>
      </x:c>
      <x:c r="P1037" s="17" t="n">
        <x:f>IF(D1037="",0,J1037-K1037+L1037)</x:f>
        <x:v>22819.24</x:v>
      </x:c>
      <x:c r="Q1037" s="17" t="n">
        <x:f>MAX(J1037-P1037-K1037,0)</x:f>
        <x:v>0</x:v>
      </x:c>
      <x:c r="R1037" s="13" t="n">
        <x:f>IF(D1037="",MAX(TODAY()-C1037,0),MAX(D1037-C1037,0))</x:f>
        <x:v>0</x:v>
      </x:c>
      <x:c r="S1037" s="13" t="str">
        <x:f>IF(R1037=0,"Em dia",IF(R1037&lt;=15,"1-15 dias",IF(R1037&lt;=30,"16-30 dias",IF(R1037&lt;=60,"31-60 dias","Acima de 60 dias"))))</x:f>
        <x:v>Em dia</x:v>
      </x:c>
    </x:row>
    <x:row r="1038">
      <x:c r="A1038" s="13" t="str">
        <x:v>REC-001037</x:v>
      </x:c>
      <x:c r="B1038" s="23" t="n">
        <x:v>45822</x:v>
      </x:c>
      <x:c r="C1038" s="23" t="n">
        <x:v>45837</x:v>
      </x:c>
      <x:c r="D1038" s="23" t="n">
        <x:v>45836</x:v>
      </x:c>
      <x:c r="E1038" s="13" t="str">
        <x:v>VAL-028</x:v>
      </x:c>
      <x:c r="F1038" s="13" t="str">
        <x:v>Pixel Norte</x:v>
      </x:c>
      <x:c r="G1038" s="13" t="str">
        <x:v>Tecnologia</x:v>
      </x:c>
      <x:c r="H1038" s="13" t="str">
        <x:v>Alto</x:v>
      </x:c>
      <x:c r="I1038" s="13" t="str">
        <x:v>Enterprise</x:v>
      </x:c>
      <x:c r="J1038" s="17" t="n">
        <x:v>2676.83</x:v>
      </x:c>
      <x:c r="K1038" s="17" t="n">
        <x:v>0</x:v>
      </x:c>
      <x:c r="L1038" s="17" t="n">
        <x:v>0</x:v>
      </x:c>
      <x:c r="M1038" s="13" t="str">
        <x:v>Pago</x:v>
      </x:c>
      <x:c r="N1038" s="13" t="str">
        <x:v>Sem cobrança</x:v>
      </x:c>
      <x:c r="O1038" s="13" t="str">
        <x:v>Operação Clareza</x:v>
      </x:c>
      <x:c r="P1038" s="17" t="n">
        <x:f>IF(D1038="",0,J1038-K1038+L1038)</x:f>
        <x:v>2676.83</x:v>
      </x:c>
      <x:c r="Q1038" s="17" t="n">
        <x:f>MAX(J1038-P1038-K1038,0)</x:f>
        <x:v>0</x:v>
      </x:c>
      <x:c r="R1038" s="13" t="n">
        <x:f>IF(D1038="",MAX(TODAY()-C1038,0),MAX(D1038-C1038,0))</x:f>
        <x:v>0</x:v>
      </x:c>
      <x:c r="S1038" s="13" t="str">
        <x:f>IF(R1038=0,"Em dia",IF(R1038&lt;=15,"1-15 dias",IF(R1038&lt;=30,"16-30 dias",IF(R1038&lt;=60,"31-60 dias","Acima de 60 dias"))))</x:f>
        <x:v>Em dia</x:v>
      </x:c>
    </x:row>
    <x:row r="1039">
      <x:c r="A1039" s="13" t="str">
        <x:v>REC-001038</x:v>
      </x:c>
      <x:c r="B1039" s="23" t="n">
        <x:v>45821</x:v>
      </x:c>
      <x:c r="C1039" s="23" t="n">
        <x:v>45828</x:v>
      </x:c>
      <x:c r="D1039" s="23" t="n">
        <x:v>45827</x:v>
      </x:c>
      <x:c r="E1039" s="13" t="str">
        <x:v>VAL-011</x:v>
      </x:c>
      <x:c r="F1039" s="13" t="str">
        <x:v>Rede Essencial</x:v>
      </x:c>
      <x:c r="G1039" s="13" t="str">
        <x:v>Varejo</x:v>
      </x:c>
      <x:c r="H1039" s="13" t="str">
        <x:v>Médio</x:v>
      </x:c>
      <x:c r="I1039" s="13" t="str">
        <x:v>Performance</x:v>
      </x:c>
      <x:c r="J1039" s="17" t="n">
        <x:v>30312.8</x:v>
      </x:c>
      <x:c r="K1039" s="17" t="n">
        <x:v>417.35</x:v>
      </x:c>
      <x:c r="L1039" s="17" t="n">
        <x:v>0</x:v>
      </x:c>
      <x:c r="M1039" s="13" t="str">
        <x:v>Pago</x:v>
      </x:c>
      <x:c r="N1039" s="13" t="str">
        <x:v>Sem cobrança</x:v>
      </x:c>
      <x:c r="O1039" s="13" t="str">
        <x:v>Operação Clareza</x:v>
      </x:c>
      <x:c r="P1039" s="17" t="n">
        <x:f>IF(D1039="",0,J1039-K1039+L1039)</x:f>
        <x:v>29895.45</x:v>
      </x:c>
      <x:c r="Q1039" s="17" t="n">
        <x:f>MAX(J1039-P1039-K1039,0)</x:f>
        <x:v>0</x:v>
      </x:c>
      <x:c r="R1039" s="13" t="n">
        <x:f>IF(D1039="",MAX(TODAY()-C1039,0),MAX(D1039-C1039,0))</x:f>
        <x:v>0</x:v>
      </x:c>
      <x:c r="S1039" s="13" t="str">
        <x:f>IF(R1039=0,"Em dia",IF(R1039&lt;=15,"1-15 dias",IF(R1039&lt;=30,"16-30 dias",IF(R1039&lt;=60,"31-60 dias","Acima de 60 dias"))))</x:f>
        <x:v>Em dia</x:v>
      </x:c>
    </x:row>
    <x:row r="1040">
      <x:c r="A1040" s="13" t="str">
        <x:v>REC-001039</x:v>
      </x:c>
      <x:c r="B1040" s="23" t="n">
        <x:v>45824</x:v>
      </x:c>
      <x:c r="C1040" s="23" t="n">
        <x:v>45831</x:v>
      </x:c>
      <x:c r="D1040" s="23" t="n">
        <x:v>45829</x:v>
      </x:c>
      <x:c r="E1040" s="13" t="str">
        <x:v>VAL-021</x:v>
      </x:c>
      <x:c r="F1040" s="13" t="str">
        <x:v>Base Forte Obras</x:v>
      </x:c>
      <x:c r="G1040" s="13" t="str">
        <x:v>Construção</x:v>
      </x:c>
      <x:c r="H1040" s="13" t="str">
        <x:v>Médio</x:v>
      </x:c>
      <x:c r="I1040" s="13" t="str">
        <x:v>Essencial</x:v>
      </x:c>
      <x:c r="J1040" s="17" t="n">
        <x:v>7143.28</x:v>
      </x:c>
      <x:c r="K1040" s="17" t="n">
        <x:v>0</x:v>
      </x:c>
      <x:c r="L1040" s="17" t="n">
        <x:v>0</x:v>
      </x:c>
      <x:c r="M1040" s="13" t="str">
        <x:v>Pago</x:v>
      </x:c>
      <x:c r="N1040" s="13" t="str">
        <x:v>Sem cobrança</x:v>
      </x:c>
      <x:c r="O1040" s="13" t="str">
        <x:v>Operação Clareza</x:v>
      </x:c>
      <x:c r="P1040" s="17" t="n">
        <x:f>IF(D1040="",0,J1040-K1040+L1040)</x:f>
        <x:v>7143.28</x:v>
      </x:c>
      <x:c r="Q1040" s="17" t="n">
        <x:f>MAX(J1040-P1040-K1040,0)</x:f>
        <x:v>0</x:v>
      </x:c>
      <x:c r="R1040" s="13" t="n">
        <x:f>IF(D1040="",MAX(TODAY()-C1040,0),MAX(D1040-C1040,0))</x:f>
        <x:v>0</x:v>
      </x:c>
      <x:c r="S1040" s="13" t="str">
        <x:f>IF(R1040=0,"Em dia",IF(R1040&lt;=15,"1-15 dias",IF(R1040&lt;=30,"16-30 dias",IF(R1040&lt;=60,"31-60 dias","Acima de 60 dias"))))</x:f>
        <x:v>Em dia</x:v>
      </x:c>
    </x:row>
    <x:row r="1041">
      <x:c r="A1041" s="13" t="str">
        <x:v>REC-001040</x:v>
      </x:c>
      <x:c r="B1041" s="23" t="n">
        <x:v>45824</x:v>
      </x:c>
      <x:c r="C1041" s="23" t="n">
        <x:v>45839</x:v>
      </x:c>
      <x:c r="D1041" s="23" t="n">
        <x:v>45837</x:v>
      </x:c>
      <x:c r="E1041" s="13" t="str">
        <x:v>VAL-004</x:v>
      </x:c>
      <x:c r="F1041" s="13" t="str">
        <x:v>NuvemBase Tecnologia</x:v>
      </x:c>
      <x:c r="G1041" s="13" t="str">
        <x:v>Tecnologia</x:v>
      </x:c>
      <x:c r="H1041" s="13" t="str">
        <x:v>Baixo</x:v>
      </x:c>
      <x:c r="I1041" s="13" t="str">
        <x:v>Enterprise</x:v>
      </x:c>
      <x:c r="J1041" s="17" t="n">
        <x:v>21292.15</x:v>
      </x:c>
      <x:c r="K1041" s="17" t="n">
        <x:v>0</x:v>
      </x:c>
      <x:c r="L1041" s="17" t="n">
        <x:v>0</x:v>
      </x:c>
      <x:c r="M1041" s="13" t="str">
        <x:v>Pago</x:v>
      </x:c>
      <x:c r="N1041" s="13" t="str">
        <x:v>Sem cobrança</x:v>
      </x:c>
      <x:c r="O1041" s="13" t="str">
        <x:v>Operação Clareza</x:v>
      </x:c>
      <x:c r="P1041" s="17" t="n">
        <x:f>IF(D1041="",0,J1041-K1041+L1041)</x:f>
        <x:v>21292.15</x:v>
      </x:c>
      <x:c r="Q1041" s="17" t="n">
        <x:f>MAX(J1041-P1041-K1041,0)</x:f>
        <x:v>0</x:v>
      </x:c>
      <x:c r="R1041" s="13" t="n">
        <x:f>IF(D1041="",MAX(TODAY()-C1041,0),MAX(D1041-C1041,0))</x:f>
        <x:v>0</x:v>
      </x:c>
      <x:c r="S1041" s="13" t="str">
        <x:f>IF(R1041=0,"Em dia",IF(R1041&lt;=15,"1-15 dias",IF(R1041&lt;=30,"16-30 dias",IF(R1041&lt;=60,"31-60 dias","Acima de 60 dias"))))</x:f>
        <x:v>Em dia</x:v>
      </x:c>
    </x:row>
    <x:row r="1042">
      <x:c r="A1042" s="13" t="str">
        <x:v>REC-001041</x:v>
      </x:c>
      <x:c r="B1042" s="23" t="n">
        <x:v>45809</x:v>
      </x:c>
      <x:c r="C1042" s="23" t="n">
        <x:v>45830</x:v>
      </x:c>
      <x:c r="D1042" s="23" t="n">
        <x:v>45828</x:v>
      </x:c>
      <x:c r="E1042" s="13" t="str">
        <x:v>VAL-027</x:v>
      </x:c>
      <x:c r="F1042" s="13" t="str">
        <x:v>Mais Lar Utilidades</x:v>
      </x:c>
      <x:c r="G1042" s="13" t="str">
        <x:v>Varejo</x:v>
      </x:c>
      <x:c r="H1042" s="13" t="str">
        <x:v>Baixo</x:v>
      </x:c>
      <x:c r="I1042" s="13" t="str">
        <x:v>Performance</x:v>
      </x:c>
      <x:c r="J1042" s="17" t="n">
        <x:v>18751.41</x:v>
      </x:c>
      <x:c r="K1042" s="17" t="n">
        <x:v>0</x:v>
      </x:c>
      <x:c r="L1042" s="17" t="n">
        <x:v>0</x:v>
      </x:c>
      <x:c r="M1042" s="13" t="str">
        <x:v>Pago</x:v>
      </x:c>
      <x:c r="N1042" s="13" t="str">
        <x:v>Sem cobrança</x:v>
      </x:c>
      <x:c r="O1042" s="13" t="str">
        <x:v>Operação Clareza</x:v>
      </x:c>
      <x:c r="P1042" s="17" t="n">
        <x:f>IF(D1042="",0,J1042-K1042+L1042)</x:f>
        <x:v>18751.41</x:v>
      </x:c>
      <x:c r="Q1042" s="17" t="n">
        <x:f>MAX(J1042-P1042-K1042,0)</x:f>
        <x:v>0</x:v>
      </x:c>
      <x:c r="R1042" s="13" t="n">
        <x:f>IF(D1042="",MAX(TODAY()-C1042,0),MAX(D1042-C1042,0))</x:f>
        <x:v>0</x:v>
      </x:c>
      <x:c r="S1042" s="13" t="str">
        <x:f>IF(R1042=0,"Em dia",IF(R1042&lt;=15,"1-15 dias",IF(R1042&lt;=30,"16-30 dias",IF(R1042&lt;=60,"31-60 dias","Acima de 60 dias"))))</x:f>
        <x:v>Em dia</x:v>
      </x:c>
    </x:row>
    <x:row r="1043">
      <x:c r="A1043" s="13" t="str">
        <x:v>REC-001042</x:v>
      </x:c>
      <x:c r="B1043" s="23" t="n">
        <x:v>45819</x:v>
      </x:c>
      <x:c r="C1043" s="23" t="n">
        <x:v>45847</x:v>
      </x:c>
      <x:c r="D1043" s="23" t="n">
        <x:v>45846</x:v>
      </x:c>
      <x:c r="E1043" s="13" t="str">
        <x:v>VAL-027</x:v>
      </x:c>
      <x:c r="F1043" s="13" t="str">
        <x:v>Mais Lar Utilidades</x:v>
      </x:c>
      <x:c r="G1043" s="13" t="str">
        <x:v>Varejo</x:v>
      </x:c>
      <x:c r="H1043" s="13" t="str">
        <x:v>Baixo</x:v>
      </x:c>
      <x:c r="I1043" s="13" t="str">
        <x:v>Performance</x:v>
      </x:c>
      <x:c r="J1043" s="17" t="n">
        <x:v>20207.61</x:v>
      </x:c>
      <x:c r="K1043" s="17" t="n">
        <x:v>0</x:v>
      </x:c>
      <x:c r="L1043" s="17" t="n">
        <x:v>0</x:v>
      </x:c>
      <x:c r="M1043" s="13" t="str">
        <x:v>Pago</x:v>
      </x:c>
      <x:c r="N1043" s="13" t="str">
        <x:v>Sem cobrança</x:v>
      </x:c>
      <x:c r="O1043" s="13" t="str">
        <x:v>Operação Clareza</x:v>
      </x:c>
      <x:c r="P1043" s="17" t="n">
        <x:f>IF(D1043="",0,J1043-K1043+L1043)</x:f>
        <x:v>20207.61</x:v>
      </x:c>
      <x:c r="Q1043" s="17" t="n">
        <x:f>MAX(J1043-P1043-K1043,0)</x:f>
        <x:v>0</x:v>
      </x:c>
      <x:c r="R1043" s="13" t="n">
        <x:f>IF(D1043="",MAX(TODAY()-C1043,0),MAX(D1043-C1043,0))</x:f>
        <x:v>0</x:v>
      </x:c>
      <x:c r="S1043" s="13" t="str">
        <x:f>IF(R1043=0,"Em dia",IF(R1043&lt;=15,"1-15 dias",IF(R1043&lt;=30,"16-30 dias",IF(R1043&lt;=60,"31-60 dias","Acima de 60 dias"))))</x:f>
        <x:v>Em dia</x:v>
      </x:c>
    </x:row>
    <x:row r="1044">
      <x:c r="A1044" s="13" t="str">
        <x:v>REC-001043</x:v>
      </x:c>
      <x:c r="B1044" s="23" t="n">
        <x:v>45809</x:v>
      </x:c>
      <x:c r="C1044" s="23" t="n">
        <x:v>45839</x:v>
      </x:c>
      <x:c r="D1044" s="23" t="n">
        <x:v>45837</x:v>
      </x:c>
      <x:c r="E1044" s="13" t="str">
        <x:v>VAL-021</x:v>
      </x:c>
      <x:c r="F1044" s="13" t="str">
        <x:v>Base Forte Obras</x:v>
      </x:c>
      <x:c r="G1044" s="13" t="str">
        <x:v>Construção</x:v>
      </x:c>
      <x:c r="H1044" s="13" t="str">
        <x:v>Médio</x:v>
      </x:c>
      <x:c r="I1044" s="13" t="str">
        <x:v>Essencial</x:v>
      </x:c>
      <x:c r="J1044" s="17" t="n">
        <x:v>6677.67</x:v>
      </x:c>
      <x:c r="K1044" s="17" t="n">
        <x:v>0</x:v>
      </x:c>
      <x:c r="L1044" s="17" t="n">
        <x:v>0</x:v>
      </x:c>
      <x:c r="M1044" s="13" t="str">
        <x:v>Pago</x:v>
      </x:c>
      <x:c r="N1044" s="13" t="str">
        <x:v>Sem cobrança</x:v>
      </x:c>
      <x:c r="O1044" s="13" t="str">
        <x:v>Operação Clareza</x:v>
      </x:c>
      <x:c r="P1044" s="17" t="n">
        <x:f>IF(D1044="",0,J1044-K1044+L1044)</x:f>
        <x:v>6677.67</x:v>
      </x:c>
      <x:c r="Q1044" s="17" t="n">
        <x:f>MAX(J1044-P1044-K1044,0)</x:f>
        <x:v>0</x:v>
      </x:c>
      <x:c r="R1044" s="13" t="n">
        <x:f>IF(D1044="",MAX(TODAY()-C1044,0),MAX(D1044-C1044,0))</x:f>
        <x:v>0</x:v>
      </x:c>
      <x:c r="S1044" s="13" t="str">
        <x:f>IF(R1044=0,"Em dia",IF(R1044&lt;=15,"1-15 dias",IF(R1044&lt;=30,"16-30 dias",IF(R1044&lt;=60,"31-60 dias","Acima de 60 dias"))))</x:f>
        <x:v>Em dia</x:v>
      </x:c>
    </x:row>
    <x:row r="1045">
      <x:c r="A1045" s="13" t="str">
        <x:v>REC-001044</x:v>
      </x:c>
      <x:c r="B1045" s="23" t="n">
        <x:v>45810</x:v>
      </x:c>
      <x:c r="C1045" s="23" t="n">
        <x:v>45838</x:v>
      </x:c>
      <x:c r="D1045" s="23" t="n">
        <x:v>45837</x:v>
      </x:c>
      <x:c r="E1045" s="13" t="str">
        <x:v>VAL-006</x:v>
      </x:c>
      <x:c r="F1045" s="13" t="str">
        <x:v>Instituto Saber Mais</x:v>
      </x:c>
      <x:c r="G1045" s="13" t="str">
        <x:v>Educação</x:v>
      </x:c>
      <x:c r="H1045" s="13" t="str">
        <x:v>Médio</x:v>
      </x:c>
      <x:c r="I1045" s="13" t="str">
        <x:v>Gestão</x:v>
      </x:c>
      <x:c r="J1045" s="17" t="n">
        <x:v>11447.12</x:v>
      </x:c>
      <x:c r="K1045" s="17" t="n">
        <x:v>0</x:v>
      </x:c>
      <x:c r="L1045" s="17" t="n">
        <x:v>0</x:v>
      </x:c>
      <x:c r="M1045" s="13" t="str">
        <x:v>Pago</x:v>
      </x:c>
      <x:c r="N1045" s="13" t="str">
        <x:v>Sem cobrança</x:v>
      </x:c>
      <x:c r="O1045" s="13" t="str">
        <x:v>Operação Clareza</x:v>
      </x:c>
      <x:c r="P1045" s="17" t="n">
        <x:f>IF(D1045="",0,J1045-K1045+L1045)</x:f>
        <x:v>11447.12</x:v>
      </x:c>
      <x:c r="Q1045" s="17" t="n">
        <x:f>MAX(J1045-P1045-K1045,0)</x:f>
        <x:v>0</x:v>
      </x:c>
      <x:c r="R1045" s="13" t="n">
        <x:f>IF(D1045="",MAX(TODAY()-C1045,0),MAX(D1045-C1045,0))</x:f>
        <x:v>0</x:v>
      </x:c>
      <x:c r="S1045" s="13" t="str">
        <x:f>IF(R1045=0,"Em dia",IF(R1045&lt;=15,"1-15 dias",IF(R1045&lt;=30,"16-30 dias",IF(R1045&lt;=60,"31-60 dias","Acima de 60 dias"))))</x:f>
        <x:v>Em dia</x:v>
      </x:c>
    </x:row>
    <x:row r="1046">
      <x:c r="A1046" s="13" t="str">
        <x:v>REC-001045</x:v>
      </x:c>
      <x:c r="B1046" s="23" t="n">
        <x:v>45820</x:v>
      </x:c>
      <x:c r="C1046" s="23" t="n">
        <x:v>45850</x:v>
      </x:c>
      <x:c r="D1046" s="23" t="n">
        <x:v>45848</x:v>
      </x:c>
      <x:c r="E1046" s="13" t="str">
        <x:v>VAL-014</x:v>
      </x:c>
      <x:c r="F1046" s="13" t="str">
        <x:v>Colégio Caminhos</x:v>
      </x:c>
      <x:c r="G1046" s="13" t="str">
        <x:v>Educação</x:v>
      </x:c>
      <x:c r="H1046" s="13" t="str">
        <x:v>Médio</x:v>
      </x:c>
      <x:c r="I1046" s="13" t="str">
        <x:v>Gestão</x:v>
      </x:c>
      <x:c r="J1046" s="17" t="n">
        <x:v>2069.52</x:v>
      </x:c>
      <x:c r="K1046" s="17" t="n">
        <x:v>0</x:v>
      </x:c>
      <x:c r="L1046" s="17" t="n">
        <x:v>0</x:v>
      </x:c>
      <x:c r="M1046" s="13" t="str">
        <x:v>Pago</x:v>
      </x:c>
      <x:c r="N1046" s="13" t="str">
        <x:v>Sem cobrança</x:v>
      </x:c>
      <x:c r="O1046" s="13" t="str">
        <x:v>Operação Clareza</x:v>
      </x:c>
      <x:c r="P1046" s="17" t="n">
        <x:f>IF(D1046="",0,J1046-K1046+L1046)</x:f>
        <x:v>2069.52</x:v>
      </x:c>
      <x:c r="Q1046" s="17" t="n">
        <x:f>MAX(J1046-P1046-K1046,0)</x:f>
        <x:v>0</x:v>
      </x:c>
      <x:c r="R1046" s="13" t="n">
        <x:f>IF(D1046="",MAX(TODAY()-C1046,0),MAX(D1046-C1046,0))</x:f>
        <x:v>0</x:v>
      </x:c>
      <x:c r="S1046" s="13" t="str">
        <x:f>IF(R1046=0,"Em dia",IF(R1046&lt;=15,"1-15 dias",IF(R1046&lt;=30,"16-30 dias",IF(R1046&lt;=60,"31-60 dias","Acima de 60 dias"))))</x:f>
        <x:v>Em dia</x:v>
      </x:c>
    </x:row>
    <x:row r="1047">
      <x:c r="A1047" s="13" t="str">
        <x:v>REC-001046</x:v>
      </x:c>
      <x:c r="B1047" s="23" t="n">
        <x:v>45820</x:v>
      </x:c>
      <x:c r="C1047" s="23" t="n">
        <x:v>45827</x:v>
      </x:c>
      <x:c r="D1047" s="23" t="n">
        <x:v>45868</x:v>
      </x:c>
      <x:c r="E1047" s="13" t="str">
        <x:v>VAL-010</x:v>
      </x:c>
      <x:c r="F1047" s="13" t="str">
        <x:v>Atlas Contabilidade</x:v>
      </x:c>
      <x:c r="G1047" s="13" t="str">
        <x:v>Serviços Profissionais</x:v>
      </x:c>
      <x:c r="H1047" s="13" t="str">
        <x:v>Baixo</x:v>
      </x:c>
      <x:c r="I1047" s="13" t="str">
        <x:v>Gestão</x:v>
      </x:c>
      <x:c r="J1047" s="17" t="n">
        <x:v>12836.66</x:v>
      </x:c>
      <x:c r="K1047" s="17" t="n">
        <x:v>0</x:v>
      </x:c>
      <x:c r="L1047" s="17" t="n">
        <x:v>320.92</x:v>
      </x:c>
      <x:c r="M1047" s="13" t="str">
        <x:v>Pago com atraso</x:v>
      </x:c>
      <x:c r="N1047" s="13" t="str">
        <x:v>WhatsApp</x:v>
      </x:c>
      <x:c r="O1047" s="13" t="str">
        <x:v>Operação Clareza</x:v>
      </x:c>
      <x:c r="P1047" s="17" t="n">
        <x:f>IF(D1047="",0,J1047-K1047+L1047)</x:f>
        <x:v>13157.58</x:v>
      </x:c>
      <x:c r="Q1047" s="17" t="n">
        <x:f>MAX(J1047-P1047-K1047,0)</x:f>
        <x:v>0</x:v>
      </x:c>
      <x:c r="R1047" s="13" t="n">
        <x:f>IF(D1047="",MAX(TODAY()-C1047,0),MAX(D1047-C1047,0))</x:f>
        <x:v>41</x:v>
      </x:c>
      <x:c r="S1047" s="13" t="str">
        <x:f>IF(R1047=0,"Em dia",IF(R1047&lt;=15,"1-15 dias",IF(R1047&lt;=30,"16-30 dias",IF(R1047&lt;=60,"31-60 dias","Acima de 60 dias"))))</x:f>
        <x:v>31-60 dias</x:v>
      </x:c>
    </x:row>
    <x:row r="1048">
      <x:c r="A1048" s="13" t="str">
        <x:v>REC-001047</x:v>
      </x:c>
      <x:c r="B1048" s="23" t="n">
        <x:v>45828</x:v>
      </x:c>
      <x:c r="C1048" s="23" t="n">
        <x:v>45843</x:v>
      </x:c>
      <x:c r="D1048" s="23" t="n">
        <x:v>45840</x:v>
      </x:c>
      <x:c r="E1048" s="13" t="str">
        <x:v>VAL-023</x:v>
      </x:c>
      <x:c r="F1048" s="13" t="str">
        <x:v>ShopMix Brasil</x:v>
      </x:c>
      <x:c r="G1048" s="13" t="str">
        <x:v>E-commerce</x:v>
      </x:c>
      <x:c r="H1048" s="13" t="str">
        <x:v>Baixo</x:v>
      </x:c>
      <x:c r="I1048" s="13" t="str">
        <x:v>Performance</x:v>
      </x:c>
      <x:c r="J1048" s="17" t="n">
        <x:v>28713.12</x:v>
      </x:c>
      <x:c r="K1048" s="17" t="n">
        <x:v>0</x:v>
      </x:c>
      <x:c r="L1048" s="17" t="n">
        <x:v>0</x:v>
      </x:c>
      <x:c r="M1048" s="13" t="str">
        <x:v>Pago</x:v>
      </x:c>
      <x:c r="N1048" s="13" t="str">
        <x:v>Sem cobrança</x:v>
      </x:c>
      <x:c r="O1048" s="13" t="str">
        <x:v>Operação Clareza</x:v>
      </x:c>
      <x:c r="P1048" s="17" t="n">
        <x:f>IF(D1048="",0,J1048-K1048+L1048)</x:f>
        <x:v>28713.12</x:v>
      </x:c>
      <x:c r="Q1048" s="17" t="n">
        <x:f>MAX(J1048-P1048-K1048,0)</x:f>
        <x:v>0</x:v>
      </x:c>
      <x:c r="R1048" s="13" t="n">
        <x:f>IF(D1048="",MAX(TODAY()-C1048,0),MAX(D1048-C1048,0))</x:f>
        <x:v>0</x:v>
      </x:c>
      <x:c r="S1048" s="13" t="str">
        <x:f>IF(R1048=0,"Em dia",IF(R1048&lt;=15,"1-15 dias",IF(R1048&lt;=30,"16-30 dias",IF(R1048&lt;=60,"31-60 dias","Acima de 60 dias"))))</x:f>
        <x:v>Em dia</x:v>
      </x:c>
    </x:row>
    <x:row r="1049">
      <x:c r="A1049" s="13" t="str">
        <x:v>REC-001048</x:v>
      </x:c>
      <x:c r="B1049" s="23" t="n">
        <x:v>45811</x:v>
      </x:c>
      <x:c r="C1049" s="23" t="n">
        <x:v>45818</x:v>
      </x:c>
      <x:c r="D1049" s="23" t="n">
        <x:v>45816</x:v>
      </x:c>
      <x:c r="E1049" s="13" t="str">
        <x:v>VAL-030</x:v>
      </x:c>
      <x:c r="F1049" s="13" t="str">
        <x:v>Mundo Kids Cursos</x:v>
      </x:c>
      <x:c r="G1049" s="13" t="str">
        <x:v>Educação</x:v>
      </x:c>
      <x:c r="H1049" s="13" t="str">
        <x:v>Alto</x:v>
      </x:c>
      <x:c r="I1049" s="13" t="str">
        <x:v>Gestão</x:v>
      </x:c>
      <x:c r="J1049" s="17" t="n">
        <x:v>26103.78</x:v>
      </x:c>
      <x:c r="K1049" s="17" t="n">
        <x:v>0</x:v>
      </x:c>
      <x:c r="L1049" s="17" t="n">
        <x:v>0</x:v>
      </x:c>
      <x:c r="M1049" s="13" t="str">
        <x:v>Pago</x:v>
      </x:c>
      <x:c r="N1049" s="13" t="str">
        <x:v>Sem cobrança</x:v>
      </x:c>
      <x:c r="O1049" s="13" t="str">
        <x:v>Operação Clareza</x:v>
      </x:c>
      <x:c r="P1049" s="17" t="n">
        <x:f>IF(D1049="",0,J1049-K1049+L1049)</x:f>
        <x:v>26103.78</x:v>
      </x:c>
      <x:c r="Q1049" s="17" t="n">
        <x:f>MAX(J1049-P1049-K1049,0)</x:f>
        <x:v>0</x:v>
      </x:c>
      <x:c r="R1049" s="13" t="n">
        <x:f>IF(D1049="",MAX(TODAY()-C1049,0),MAX(D1049-C1049,0))</x:f>
        <x:v>0</x:v>
      </x:c>
      <x:c r="S1049" s="13" t="str">
        <x:f>IF(R1049=0,"Em dia",IF(R1049&lt;=15,"1-15 dias",IF(R1049&lt;=30,"16-30 dias",IF(R1049&lt;=60,"31-60 dias","Acima de 60 dias"))))</x:f>
        <x:v>Em dia</x:v>
      </x:c>
    </x:row>
    <x:row r="1050">
      <x:c r="A1050" s="13" t="str">
        <x:v>REC-001049</x:v>
      </x:c>
      <x:c r="B1050" s="23" t="n">
        <x:v>45816</x:v>
      </x:c>
      <x:c r="C1050" s="23" t="n">
        <x:v>45844</x:v>
      </x:c>
      <x:c r="D1050" s="23" t="n">
        <x:v>45841</x:v>
      </x:c>
      <x:c r="E1050" s="13" t="str">
        <x:v>VAL-024</x:v>
      </x:c>
      <x:c r="F1050" s="13" t="str">
        <x:v>NovaForma Móveis</x:v>
      </x:c>
      <x:c r="G1050" s="13" t="str">
        <x:v>Indústria Leve</x:v>
      </x:c>
      <x:c r="H1050" s="13" t="str">
        <x:v>Baixo</x:v>
      </x:c>
      <x:c r="I1050" s="13" t="str">
        <x:v>Enterprise</x:v>
      </x:c>
      <x:c r="J1050" s="17" t="n">
        <x:v>8489.03</x:v>
      </x:c>
      <x:c r="K1050" s="17" t="n">
        <x:v>0</x:v>
      </x:c>
      <x:c r="L1050" s="17" t="n">
        <x:v>0</x:v>
      </x:c>
      <x:c r="M1050" s="13" t="str">
        <x:v>Pago</x:v>
      </x:c>
      <x:c r="N1050" s="13" t="str">
        <x:v>Sem cobrança</x:v>
      </x:c>
      <x:c r="O1050" s="13" t="str">
        <x:v>Operação Clareza</x:v>
      </x:c>
      <x:c r="P1050" s="17" t="n">
        <x:f>IF(D1050="",0,J1050-K1050+L1050)</x:f>
        <x:v>8489.03</x:v>
      </x:c>
      <x:c r="Q1050" s="17" t="n">
        <x:f>MAX(J1050-P1050-K1050,0)</x:f>
        <x:v>0</x:v>
      </x:c>
      <x:c r="R1050" s="13" t="n">
        <x:f>IF(D1050="",MAX(TODAY()-C1050,0),MAX(D1050-C1050,0))</x:f>
        <x:v>0</x:v>
      </x:c>
      <x:c r="S1050" s="13" t="str">
        <x:f>IF(R1050=0,"Em dia",IF(R1050&lt;=15,"1-15 dias",IF(R1050&lt;=30,"16-30 dias",IF(R1050&lt;=60,"31-60 dias","Acima de 60 dias"))))</x:f>
        <x:v>Em dia</x:v>
      </x:c>
    </x:row>
    <x:row r="1051">
      <x:c r="A1051" s="13" t="str">
        <x:v>REC-001050</x:v>
      </x:c>
      <x:c r="B1051" s="23" t="n">
        <x:v>45824</x:v>
      </x:c>
      <x:c r="C1051" s="23" t="n">
        <x:v>45845</x:v>
      </x:c>
      <x:c r="D1051" s="23" t="n">
        <x:v>45841</x:v>
      </x:c>
      <x:c r="E1051" s="13" t="str">
        <x:v>VAL-030</x:v>
      </x:c>
      <x:c r="F1051" s="13" t="str">
        <x:v>Mundo Kids Cursos</x:v>
      </x:c>
      <x:c r="G1051" s="13" t="str">
        <x:v>Educação</x:v>
      </x:c>
      <x:c r="H1051" s="13" t="str">
        <x:v>Alto</x:v>
      </x:c>
      <x:c r="I1051" s="13" t="str">
        <x:v>Gestão</x:v>
      </x:c>
      <x:c r="J1051" s="17" t="n">
        <x:v>8252.87</x:v>
      </x:c>
      <x:c r="K1051" s="17" t="n">
        <x:v>0</x:v>
      </x:c>
      <x:c r="L1051" s="17" t="n">
        <x:v>0</x:v>
      </x:c>
      <x:c r="M1051" s="13" t="str">
        <x:v>Pago</x:v>
      </x:c>
      <x:c r="N1051" s="13" t="str">
        <x:v>Sem cobrança</x:v>
      </x:c>
      <x:c r="O1051" s="13" t="str">
        <x:v>Operação Clareza</x:v>
      </x:c>
      <x:c r="P1051" s="17" t="n">
        <x:f>IF(D1051="",0,J1051-K1051+L1051)</x:f>
        <x:v>8252.87</x:v>
      </x:c>
      <x:c r="Q1051" s="17" t="n">
        <x:f>MAX(J1051-P1051-K1051,0)</x:f>
        <x:v>0</x:v>
      </x:c>
      <x:c r="R1051" s="13" t="n">
        <x:f>IF(D1051="",MAX(TODAY()-C1051,0),MAX(D1051-C1051,0))</x:f>
        <x:v>0</x:v>
      </x:c>
      <x:c r="S1051" s="13" t="str">
        <x:f>IF(R1051=0,"Em dia",IF(R1051&lt;=15,"1-15 dias",IF(R1051&lt;=30,"16-30 dias",IF(R1051&lt;=60,"31-60 dias","Acima de 60 dias"))))</x:f>
        <x:v>Em dia</x:v>
      </x:c>
    </x:row>
    <x:row r="1052">
      <x:c r="A1052" s="13" t="str">
        <x:v>REC-001051</x:v>
      </x:c>
      <x:c r="B1052" s="23" t="n">
        <x:v>45814</x:v>
      </x:c>
      <x:c r="C1052" s="23" t="n">
        <x:v>45835</x:v>
      </x:c>
      <x:c r="D1052" s="23" t="n">
        <x:v>45832</x:v>
      </x:c>
      <x:c r="E1052" s="13" t="str">
        <x:v>VAL-009</x:v>
      </x:c>
      <x:c r="F1052" s="13" t="str">
        <x:v>Odonto Prime</x:v>
      </x:c>
      <x:c r="G1052" s="13" t="str">
        <x:v>Clínicas e Saúde</x:v>
      </x:c>
      <x:c r="H1052" s="13" t="str">
        <x:v>Médio</x:v>
      </x:c>
      <x:c r="I1052" s="13" t="str">
        <x:v>Essencial</x:v>
      </x:c>
      <x:c r="J1052" s="17" t="n">
        <x:v>27556.3</x:v>
      </x:c>
      <x:c r="K1052" s="17" t="n">
        <x:v>0</x:v>
      </x:c>
      <x:c r="L1052" s="17" t="n">
        <x:v>0</x:v>
      </x:c>
      <x:c r="M1052" s="13" t="str">
        <x:v>Pago</x:v>
      </x:c>
      <x:c r="N1052" s="13" t="str">
        <x:v>Sem cobrança</x:v>
      </x:c>
      <x:c r="O1052" s="13" t="str">
        <x:v>Operação Clareza</x:v>
      </x:c>
      <x:c r="P1052" s="17" t="n">
        <x:f>IF(D1052="",0,J1052-K1052+L1052)</x:f>
        <x:v>27556.3</x:v>
      </x:c>
      <x:c r="Q1052" s="17" t="n">
        <x:f>MAX(J1052-P1052-K1052,0)</x:f>
        <x:v>0</x:v>
      </x:c>
      <x:c r="R1052" s="13" t="n">
        <x:f>IF(D1052="",MAX(TODAY()-C1052,0),MAX(D1052-C1052,0))</x:f>
        <x:v>0</x:v>
      </x:c>
      <x:c r="S1052" s="13" t="str">
        <x:f>IF(R1052=0,"Em dia",IF(R1052&lt;=15,"1-15 dias",IF(R1052&lt;=30,"16-30 dias",IF(R1052&lt;=60,"31-60 dias","Acima de 60 dias"))))</x:f>
        <x:v>Em dia</x:v>
      </x:c>
    </x:row>
    <x:row r="1053">
      <x:c r="A1053" s="13" t="str">
        <x:v>REC-001052</x:v>
      </x:c>
      <x:c r="B1053" s="23" t="n">
        <x:v>45809</x:v>
      </x:c>
      <x:c r="C1053" s="23" t="n">
        <x:v>45816</x:v>
      </x:c>
      <x:c r="D1053" s="23" t="n">
        <x:v>45814</x:v>
      </x:c>
      <x:c r="E1053" s="13" t="str">
        <x:v>VAL-005</x:v>
      </x:c>
      <x:c r="F1053" s="13" t="str">
        <x:v>Construtora Alameda</x:v>
      </x:c>
      <x:c r="G1053" s="13" t="str">
        <x:v>Construção</x:v>
      </x:c>
      <x:c r="H1053" s="13" t="str">
        <x:v>Médio</x:v>
      </x:c>
      <x:c r="I1053" s="13" t="str">
        <x:v>Essencial</x:v>
      </x:c>
      <x:c r="J1053" s="17" t="n">
        <x:v>3649.08</x:v>
      </x:c>
      <x:c r="K1053" s="17" t="n">
        <x:v>0</x:v>
      </x:c>
      <x:c r="L1053" s="17" t="n">
        <x:v>0</x:v>
      </x:c>
      <x:c r="M1053" s="13" t="str">
        <x:v>Pago</x:v>
      </x:c>
      <x:c r="N1053" s="13" t="str">
        <x:v>Sem cobrança</x:v>
      </x:c>
      <x:c r="O1053" s="13" t="str">
        <x:v>Operação Clareza</x:v>
      </x:c>
      <x:c r="P1053" s="17" t="n">
        <x:f>IF(D1053="",0,J1053-K1053+L1053)</x:f>
        <x:v>3649.08</x:v>
      </x:c>
      <x:c r="Q1053" s="17" t="n">
        <x:f>MAX(J1053-P1053-K1053,0)</x:f>
        <x:v>0</x:v>
      </x:c>
      <x:c r="R1053" s="13" t="n">
        <x:f>IF(D1053="",MAX(TODAY()-C1053,0),MAX(D1053-C1053,0))</x:f>
        <x:v>0</x:v>
      </x:c>
      <x:c r="S1053" s="13" t="str">
        <x:f>IF(R1053=0,"Em dia",IF(R1053&lt;=15,"1-15 dias",IF(R1053&lt;=30,"16-30 dias",IF(R1053&lt;=60,"31-60 dias","Acima de 60 dias"))))</x:f>
        <x:v>Em dia</x:v>
      </x:c>
    </x:row>
    <x:row r="1054">
      <x:c r="A1054" s="13" t="str">
        <x:v>REC-001053</x:v>
      </x:c>
      <x:c r="B1054" s="23" t="n">
        <x:v>45826</x:v>
      </x:c>
      <x:c r="C1054" s="23" t="n">
        <x:v>45856</x:v>
      </x:c>
      <x:c r="D1054" s="23" t="n">
        <x:v>45856</x:v>
      </x:c>
      <x:c r="E1054" s="13" t="str">
        <x:v>VAL-011</x:v>
      </x:c>
      <x:c r="F1054" s="13" t="str">
        <x:v>Rede Essencial</x:v>
      </x:c>
      <x:c r="G1054" s="13" t="str">
        <x:v>Varejo</x:v>
      </x:c>
      <x:c r="H1054" s="13" t="str">
        <x:v>Médio</x:v>
      </x:c>
      <x:c r="I1054" s="13" t="str">
        <x:v>Performance</x:v>
      </x:c>
      <x:c r="J1054" s="17" t="n">
        <x:v>30563.13</x:v>
      </x:c>
      <x:c r="K1054" s="17" t="n">
        <x:v>423.86</x:v>
      </x:c>
      <x:c r="L1054" s="17" t="n">
        <x:v>0</x:v>
      </x:c>
      <x:c r="M1054" s="13" t="str">
        <x:v>Pago</x:v>
      </x:c>
      <x:c r="N1054" s="13" t="str">
        <x:v>Sem cobrança</x:v>
      </x:c>
      <x:c r="O1054" s="13" t="str">
        <x:v>Operação Clareza</x:v>
      </x:c>
      <x:c r="P1054" s="17" t="n">
        <x:f>IF(D1054="",0,J1054-K1054+L1054)</x:f>
        <x:v>30139.27</x:v>
      </x:c>
      <x:c r="Q1054" s="17" t="n">
        <x:f>MAX(J1054-P1054-K1054,0)</x:f>
        <x:v>5.684341886080801e-13</x:v>
      </x:c>
      <x:c r="R1054" s="13" t="n">
        <x:f>IF(D1054="",MAX(TODAY()-C1054,0),MAX(D1054-C1054,0))</x:f>
        <x:v>0</x:v>
      </x:c>
      <x:c r="S1054" s="13" t="str">
        <x:f>IF(R1054=0,"Em dia",IF(R1054&lt;=15,"1-15 dias",IF(R1054&lt;=30,"16-30 dias",IF(R1054&lt;=60,"31-60 dias","Acima de 60 dias"))))</x:f>
        <x:v>Em dia</x:v>
      </x:c>
    </x:row>
    <x:row r="1055">
      <x:c r="A1055" s="13" t="str">
        <x:v>REC-001054</x:v>
      </x:c>
      <x:c r="B1055" s="23" t="n">
        <x:v>45821</x:v>
      </x:c>
      <x:c r="C1055" s="23" t="n">
        <x:v>45836</x:v>
      </x:c>
      <x:c r="D1055" s="23" t="n">
        <x:v>45866</x:v>
      </x:c>
      <x:c r="E1055" s="13" t="str">
        <x:v>VAL-023</x:v>
      </x:c>
      <x:c r="F1055" s="13" t="str">
        <x:v>ShopMix Brasil</x:v>
      </x:c>
      <x:c r="G1055" s="13" t="str">
        <x:v>E-commerce</x:v>
      </x:c>
      <x:c r="H1055" s="13" t="str">
        <x:v>Baixo</x:v>
      </x:c>
      <x:c r="I1055" s="13" t="str">
        <x:v>Performance</x:v>
      </x:c>
      <x:c r="J1055" s="17" t="n">
        <x:v>22744.81</x:v>
      </x:c>
      <x:c r="K1055" s="17" t="n">
        <x:v>0</x:v>
      </x:c>
      <x:c r="L1055" s="17" t="n">
        <x:v>443.52</x:v>
      </x:c>
      <x:c r="M1055" s="13" t="str">
        <x:v>Pago com atraso</x:v>
      </x:c>
      <x:c r="N1055" s="13" t="str">
        <x:v>E-mail</x:v>
      </x:c>
      <x:c r="O1055" s="13" t="str">
        <x:v>Operação Clareza</x:v>
      </x:c>
      <x:c r="P1055" s="17" t="n">
        <x:f>IF(D1055="",0,J1055-K1055+L1055)</x:f>
        <x:v>23188.33</x:v>
      </x:c>
      <x:c r="Q1055" s="17" t="n">
        <x:f>MAX(J1055-P1055-K1055,0)</x:f>
        <x:v>0</x:v>
      </x:c>
      <x:c r="R1055" s="13" t="n">
        <x:f>IF(D1055="",MAX(TODAY()-C1055,0),MAX(D1055-C1055,0))</x:f>
        <x:v>30</x:v>
      </x:c>
      <x:c r="S1055" s="13" t="str">
        <x:f>IF(R1055=0,"Em dia",IF(R1055&lt;=15,"1-15 dias",IF(R1055&lt;=30,"16-30 dias",IF(R1055&lt;=60,"31-60 dias","Acima de 60 dias"))))</x:f>
        <x:v>16-30 dias</x:v>
      </x:c>
    </x:row>
    <x:row r="1056">
      <x:c r="A1056" s="13" t="str">
        <x:v>REC-001055</x:v>
      </x:c>
      <x:c r="B1056" s="23" t="n">
        <x:v>45810</x:v>
      </x:c>
      <x:c r="C1056" s="23" t="n">
        <x:v>45817</x:v>
      </x:c>
      <x:c r="D1056" s="23" t="n">
        <x:v>45815</x:v>
      </x:c>
      <x:c r="E1056" s="13" t="str">
        <x:v>VAL-016</x:v>
      </x:c>
      <x:c r="F1056" s="13" t="str">
        <x:v>Lumina Embalagens</x:v>
      </x:c>
      <x:c r="G1056" s="13" t="str">
        <x:v>Indústria Leve</x:v>
      </x:c>
      <x:c r="H1056" s="13" t="str">
        <x:v>Baixo</x:v>
      </x:c>
      <x:c r="I1056" s="13" t="str">
        <x:v>Enterprise</x:v>
      </x:c>
      <x:c r="J1056" s="17" t="n">
        <x:v>18920.73</x:v>
      </x:c>
      <x:c r="K1056" s="17" t="n">
        <x:v>0</x:v>
      </x:c>
      <x:c r="L1056" s="17" t="n">
        <x:v>0</x:v>
      </x:c>
      <x:c r="M1056" s="13" t="str">
        <x:v>Pago</x:v>
      </x:c>
      <x:c r="N1056" s="13" t="str">
        <x:v>Sem cobrança</x:v>
      </x:c>
      <x:c r="O1056" s="13" t="str">
        <x:v>Operação Clareza</x:v>
      </x:c>
      <x:c r="P1056" s="17" t="n">
        <x:f>IF(D1056="",0,J1056-K1056+L1056)</x:f>
        <x:v>18920.73</x:v>
      </x:c>
      <x:c r="Q1056" s="17" t="n">
        <x:f>MAX(J1056-P1056-K1056,0)</x:f>
        <x:v>0</x:v>
      </x:c>
      <x:c r="R1056" s="13" t="n">
        <x:f>IF(D1056="",MAX(TODAY()-C1056,0),MAX(D1056-C1056,0))</x:f>
        <x:v>0</x:v>
      </x:c>
      <x:c r="S1056" s="13" t="str">
        <x:f>IF(R1056=0,"Em dia",IF(R1056&lt;=15,"1-15 dias",IF(R1056&lt;=30,"16-30 dias",IF(R1056&lt;=60,"31-60 dias","Acima de 60 dias"))))</x:f>
        <x:v>Em dia</x:v>
      </x:c>
    </x:row>
    <x:row r="1057">
      <x:c r="A1057" s="13" t="str">
        <x:v>REC-001056</x:v>
      </x:c>
      <x:c r="B1057" s="23" t="n">
        <x:v>45818</x:v>
      </x:c>
      <x:c r="C1057" s="23" t="n">
        <x:v>45833</x:v>
      </x:c>
      <x:c r="D1057" s="23" t="n">
        <x:v>45831</x:v>
      </x:c>
      <x:c r="E1057" s="13" t="str">
        <x:v>VAL-001</x:v>
      </x:c>
      <x:c r="F1057" s="13" t="str">
        <x:v>Clínica Horizonte</x:v>
      </x:c>
      <x:c r="G1057" s="13" t="str">
        <x:v>Clínicas e Saúde</x:v>
      </x:c>
      <x:c r="H1057" s="13" t="str">
        <x:v>Baixo</x:v>
      </x:c>
      <x:c r="I1057" s="13" t="str">
        <x:v>Essencial</x:v>
      </x:c>
      <x:c r="J1057" s="17" t="n">
        <x:v>8122.1</x:v>
      </x:c>
      <x:c r="K1057" s="17" t="n">
        <x:v>0</x:v>
      </x:c>
      <x:c r="L1057" s="17" t="n">
        <x:v>0</x:v>
      </x:c>
      <x:c r="M1057" s="13" t="str">
        <x:v>Pago</x:v>
      </x:c>
      <x:c r="N1057" s="13" t="str">
        <x:v>Sem cobrança</x:v>
      </x:c>
      <x:c r="O1057" s="13" t="str">
        <x:v>Operação Clareza</x:v>
      </x:c>
      <x:c r="P1057" s="17" t="n">
        <x:f>IF(D1057="",0,J1057-K1057+L1057)</x:f>
        <x:v>8122.1</x:v>
      </x:c>
      <x:c r="Q1057" s="17" t="n">
        <x:f>MAX(J1057-P1057-K1057,0)</x:f>
        <x:v>0</x:v>
      </x:c>
      <x:c r="R1057" s="13" t="n">
        <x:f>IF(D1057="",MAX(TODAY()-C1057,0),MAX(D1057-C1057,0))</x:f>
        <x:v>0</x:v>
      </x:c>
      <x:c r="S1057" s="13" t="str">
        <x:f>IF(R1057=0,"Em dia",IF(R1057&lt;=15,"1-15 dias",IF(R1057&lt;=30,"16-30 dias",IF(R1057&lt;=60,"31-60 dias","Acima de 60 dias"))))</x:f>
        <x:v>Em dia</x:v>
      </x:c>
    </x:row>
    <x:row r="1058">
      <x:c r="A1058" s="13" t="str">
        <x:v>REC-001057</x:v>
      </x:c>
      <x:c r="B1058" s="23" t="n">
        <x:v>45822</x:v>
      </x:c>
      <x:c r="C1058" s="23" t="n">
        <x:v>45852</x:v>
      </x:c>
      <x:c r="D1058" s="23" t="n">
        <x:v>45849</x:v>
      </x:c>
      <x:c r="E1058" s="13" t="str">
        <x:v>VAL-006</x:v>
      </x:c>
      <x:c r="F1058" s="13" t="str">
        <x:v>Instituto Saber Mais</x:v>
      </x:c>
      <x:c r="G1058" s="13" t="str">
        <x:v>Educação</x:v>
      </x:c>
      <x:c r="H1058" s="13" t="str">
        <x:v>Médio</x:v>
      </x:c>
      <x:c r="I1058" s="13" t="str">
        <x:v>Gestão</x:v>
      </x:c>
      <x:c r="J1058" s="17" t="n">
        <x:v>16326.65</x:v>
      </x:c>
      <x:c r="K1058" s="17" t="n">
        <x:v>0</x:v>
      </x:c>
      <x:c r="L1058" s="17" t="n">
        <x:v>0</x:v>
      </x:c>
      <x:c r="M1058" s="13" t="str">
        <x:v>Pago</x:v>
      </x:c>
      <x:c r="N1058" s="13" t="str">
        <x:v>Sem cobrança</x:v>
      </x:c>
      <x:c r="O1058" s="13" t="str">
        <x:v>Operação Clareza</x:v>
      </x:c>
      <x:c r="P1058" s="17" t="n">
        <x:f>IF(D1058="",0,J1058-K1058+L1058)</x:f>
        <x:v>16326.65</x:v>
      </x:c>
      <x:c r="Q1058" s="17" t="n">
        <x:f>MAX(J1058-P1058-K1058,0)</x:f>
        <x:v>0</x:v>
      </x:c>
      <x:c r="R1058" s="13" t="n">
        <x:f>IF(D1058="",MAX(TODAY()-C1058,0),MAX(D1058-C1058,0))</x:f>
        <x:v>0</x:v>
      </x:c>
      <x:c r="S1058" s="13" t="str">
        <x:f>IF(R1058=0,"Em dia",IF(R1058&lt;=15,"1-15 dias",IF(R1058&lt;=30,"16-30 dias",IF(R1058&lt;=60,"31-60 dias","Acima de 60 dias"))))</x:f>
        <x:v>Em dia</x:v>
      </x:c>
    </x:row>
    <x:row r="1059">
      <x:c r="A1059" s="13" t="str">
        <x:v>REC-001058</x:v>
      </x:c>
      <x:c r="B1059" s="23" t="n">
        <x:v>45821</x:v>
      </x:c>
      <x:c r="C1059" s="23" t="n">
        <x:v>45836</x:v>
      </x:c>
      <x:c r="D1059" s="23" t="n">
        <x:v>45848</x:v>
      </x:c>
      <x:c r="E1059" s="13" t="str">
        <x:v>VAL-010</x:v>
      </x:c>
      <x:c r="F1059" s="13" t="str">
        <x:v>Atlas Contabilidade</x:v>
      </x:c>
      <x:c r="G1059" s="13" t="str">
        <x:v>Serviços Profissionais</x:v>
      </x:c>
      <x:c r="H1059" s="13" t="str">
        <x:v>Baixo</x:v>
      </x:c>
      <x:c r="I1059" s="13" t="str">
        <x:v>Gestão</x:v>
      </x:c>
      <x:c r="J1059" s="17" t="n">
        <x:v>17618.36</x:v>
      </x:c>
      <x:c r="K1059" s="17" t="n">
        <x:v>0</x:v>
      </x:c>
      <x:c r="L1059" s="17" t="n">
        <x:v>137.42</x:v>
      </x:c>
      <x:c r="M1059" s="13" t="str">
        <x:v>Pago com atraso</x:v>
      </x:c>
      <x:c r="N1059" s="13" t="str">
        <x:v>Telefone</x:v>
      </x:c>
      <x:c r="O1059" s="13" t="str">
        <x:v>Operação Clareza</x:v>
      </x:c>
      <x:c r="P1059" s="17" t="n">
        <x:f>IF(D1059="",0,J1059-K1059+L1059)</x:f>
        <x:v>17755.78</x:v>
      </x:c>
      <x:c r="Q1059" s="17" t="n">
        <x:f>MAX(J1059-P1059-K1059,0)</x:f>
        <x:v>0</x:v>
      </x:c>
      <x:c r="R1059" s="13" t="n">
        <x:f>IF(D1059="",MAX(TODAY()-C1059,0),MAX(D1059-C1059,0))</x:f>
        <x:v>12</x:v>
      </x:c>
      <x:c r="S1059" s="13" t="str">
        <x:f>IF(R1059=0,"Em dia",IF(R1059&lt;=15,"1-15 dias",IF(R1059&lt;=30,"16-30 dias",IF(R1059&lt;=60,"31-60 dias","Acima de 60 dias"))))</x:f>
        <x:v>1-15 dias</x:v>
      </x:c>
    </x:row>
    <x:row r="1060">
      <x:c r="A1060" s="13" t="str">
        <x:v>REC-001059</x:v>
      </x:c>
      <x:c r="B1060" s="23" t="n">
        <x:v>45817</x:v>
      </x:c>
      <x:c r="C1060" s="23" t="n">
        <x:v>45845</x:v>
      </x:c>
      <x:c r="D1060" s="23" t="n">
        <x:v>45841</x:v>
      </x:c>
      <x:c r="E1060" s="13" t="str">
        <x:v>VAL-024</x:v>
      </x:c>
      <x:c r="F1060" s="13" t="str">
        <x:v>NovaForma Móveis</x:v>
      </x:c>
      <x:c r="G1060" s="13" t="str">
        <x:v>Indústria Leve</x:v>
      </x:c>
      <x:c r="H1060" s="13" t="str">
        <x:v>Baixo</x:v>
      </x:c>
      <x:c r="I1060" s="13" t="str">
        <x:v>Enterprise</x:v>
      </x:c>
      <x:c r="J1060" s="17" t="n">
        <x:v>7442.19</x:v>
      </x:c>
      <x:c r="K1060" s="17" t="n">
        <x:v>0</x:v>
      </x:c>
      <x:c r="L1060" s="17" t="n">
        <x:v>0</x:v>
      </x:c>
      <x:c r="M1060" s="13" t="str">
        <x:v>Pago</x:v>
      </x:c>
      <x:c r="N1060" s="13" t="str">
        <x:v>Sem cobrança</x:v>
      </x:c>
      <x:c r="O1060" s="13" t="str">
        <x:v>Operação Clareza</x:v>
      </x:c>
      <x:c r="P1060" s="17" t="n">
        <x:f>IF(D1060="",0,J1060-K1060+L1060)</x:f>
        <x:v>7442.19</x:v>
      </x:c>
      <x:c r="Q1060" s="17" t="n">
        <x:f>MAX(J1060-P1060-K1060,0)</x:f>
        <x:v>0</x:v>
      </x:c>
      <x:c r="R1060" s="13" t="n">
        <x:f>IF(D1060="",MAX(TODAY()-C1060,0),MAX(D1060-C1060,0))</x:f>
        <x:v>0</x:v>
      </x:c>
      <x:c r="S1060" s="13" t="str">
        <x:f>IF(R1060=0,"Em dia",IF(R1060&lt;=15,"1-15 dias",IF(R1060&lt;=30,"16-30 dias",IF(R1060&lt;=60,"31-60 dias","Acima de 60 dias"))))</x:f>
        <x:v>Em dia</x:v>
      </x:c>
    </x:row>
    <x:row r="1061">
      <x:c r="A1061" s="13" t="str">
        <x:v>REC-001060</x:v>
      </x:c>
      <x:c r="B1061" s="23" t="n">
        <x:v>45825</x:v>
      </x:c>
      <x:c r="C1061" s="23" t="n">
        <x:v>45855</x:v>
      </x:c>
      <x:c r="D1061" s="23" t="n">
        <x:v>45855</x:v>
      </x:c>
      <x:c r="E1061" s="13" t="str">
        <x:v>VAL-005</x:v>
      </x:c>
      <x:c r="F1061" s="13" t="str">
        <x:v>Construtora Alameda</x:v>
      </x:c>
      <x:c r="G1061" s="13" t="str">
        <x:v>Construção</x:v>
      </x:c>
      <x:c r="H1061" s="13" t="str">
        <x:v>Médio</x:v>
      </x:c>
      <x:c r="I1061" s="13" t="str">
        <x:v>Essencial</x:v>
      </x:c>
      <x:c r="J1061" s="17" t="n">
        <x:v>12800.9</x:v>
      </x:c>
      <x:c r="K1061" s="17" t="n">
        <x:v>0</x:v>
      </x:c>
      <x:c r="L1061" s="17" t="n">
        <x:v>0</x:v>
      </x:c>
      <x:c r="M1061" s="13" t="str">
        <x:v>Pago</x:v>
      </x:c>
      <x:c r="N1061" s="13" t="str">
        <x:v>Sem cobrança</x:v>
      </x:c>
      <x:c r="O1061" s="13" t="str">
        <x:v>Operação Clareza</x:v>
      </x:c>
      <x:c r="P1061" s="17" t="n">
        <x:f>IF(D1061="",0,J1061-K1061+L1061)</x:f>
        <x:v>12800.9</x:v>
      </x:c>
      <x:c r="Q1061" s="17" t="n">
        <x:f>MAX(J1061-P1061-K1061,0)</x:f>
        <x:v>0</x:v>
      </x:c>
      <x:c r="R1061" s="13" t="n">
        <x:f>IF(D1061="",MAX(TODAY()-C1061,0),MAX(D1061-C1061,0))</x:f>
        <x:v>0</x:v>
      </x:c>
      <x:c r="S1061" s="13" t="str">
        <x:f>IF(R1061=0,"Em dia",IF(R1061&lt;=15,"1-15 dias",IF(R1061&lt;=30,"16-30 dias",IF(R1061&lt;=60,"31-60 dias","Acima de 60 dias"))))</x:f>
        <x:v>Em dia</x:v>
      </x:c>
    </x:row>
    <x:row r="1062">
      <x:c r="A1062" s="13" t="str">
        <x:v>REC-001061</x:v>
      </x:c>
      <x:c r="B1062" s="23" t="n">
        <x:v>45814</x:v>
      </x:c>
      <x:c r="C1062" s="23" t="n">
        <x:v>45821</x:v>
      </x:c>
      <x:c r="D1062" s="23" t="n">
        <x:v>45821</x:v>
      </x:c>
      <x:c r="E1062" s="13" t="str">
        <x:v>VAL-004</x:v>
      </x:c>
      <x:c r="F1062" s="13" t="str">
        <x:v>NuvemBase Tecnologia</x:v>
      </x:c>
      <x:c r="G1062" s="13" t="str">
        <x:v>Tecnologia</x:v>
      </x:c>
      <x:c r="H1062" s="13" t="str">
        <x:v>Baixo</x:v>
      </x:c>
      <x:c r="I1062" s="13" t="str">
        <x:v>Enterprise</x:v>
      </x:c>
      <x:c r="J1062" s="17" t="n">
        <x:v>31704.16</x:v>
      </x:c>
      <x:c r="K1062" s="17" t="n">
        <x:v>0</x:v>
      </x:c>
      <x:c r="L1062" s="17" t="n">
        <x:v>0</x:v>
      </x:c>
      <x:c r="M1062" s="13" t="str">
        <x:v>Pago</x:v>
      </x:c>
      <x:c r="N1062" s="13" t="str">
        <x:v>Sem cobrança</x:v>
      </x:c>
      <x:c r="O1062" s="13" t="str">
        <x:v>Operação Clareza</x:v>
      </x:c>
      <x:c r="P1062" s="17" t="n">
        <x:f>IF(D1062="",0,J1062-K1062+L1062)</x:f>
        <x:v>31704.16</x:v>
      </x:c>
      <x:c r="Q1062" s="17" t="n">
        <x:f>MAX(J1062-P1062-K1062,0)</x:f>
        <x:v>0</x:v>
      </x:c>
      <x:c r="R1062" s="13" t="n">
        <x:f>IF(D1062="",MAX(TODAY()-C1062,0),MAX(D1062-C1062,0))</x:f>
        <x:v>0</x:v>
      </x:c>
      <x:c r="S1062" s="13" t="str">
        <x:f>IF(R1062=0,"Em dia",IF(R1062&lt;=15,"1-15 dias",IF(R1062&lt;=30,"16-30 dias",IF(R1062&lt;=60,"31-60 dias","Acima de 60 dias"))))</x:f>
        <x:v>Em dia</x:v>
      </x:c>
    </x:row>
    <x:row r="1063">
      <x:c r="A1063" s="13" t="str">
        <x:v>REC-001062</x:v>
      </x:c>
      <x:c r="B1063" s="23" t="n">
        <x:v>45812</x:v>
      </x:c>
      <x:c r="C1063" s="23" t="n">
        <x:v>45842</x:v>
      </x:c>
      <x:c r="D1063" s="23" t="n">
        <x:v>45840</x:v>
      </x:c>
      <x:c r="E1063" s="13" t="str">
        <x:v>VAL-009</x:v>
      </x:c>
      <x:c r="F1063" s="13" t="str">
        <x:v>Odonto Prime</x:v>
      </x:c>
      <x:c r="G1063" s="13" t="str">
        <x:v>Clínicas e Saúde</x:v>
      </x:c>
      <x:c r="H1063" s="13" t="str">
        <x:v>Médio</x:v>
      </x:c>
      <x:c r="I1063" s="13" t="str">
        <x:v>Essencial</x:v>
      </x:c>
      <x:c r="J1063" s="17" t="n">
        <x:v>9149.95</x:v>
      </x:c>
      <x:c r="K1063" s="17" t="n">
        <x:v>0</x:v>
      </x:c>
      <x:c r="L1063" s="17" t="n">
        <x:v>0</x:v>
      </x:c>
      <x:c r="M1063" s="13" t="str">
        <x:v>Pago</x:v>
      </x:c>
      <x:c r="N1063" s="13" t="str">
        <x:v>Sem cobrança</x:v>
      </x:c>
      <x:c r="O1063" s="13" t="str">
        <x:v>Operação Clareza</x:v>
      </x:c>
      <x:c r="P1063" s="17" t="n">
        <x:f>IF(D1063="",0,J1063-K1063+L1063)</x:f>
        <x:v>9149.95</x:v>
      </x:c>
      <x:c r="Q1063" s="17" t="n">
        <x:f>MAX(J1063-P1063-K1063,0)</x:f>
        <x:v>0</x:v>
      </x:c>
      <x:c r="R1063" s="13" t="n">
        <x:f>IF(D1063="",MAX(TODAY()-C1063,0),MAX(D1063-C1063,0))</x:f>
        <x:v>0</x:v>
      </x:c>
      <x:c r="S1063" s="13" t="str">
        <x:f>IF(R1063=0,"Em dia",IF(R1063&lt;=15,"1-15 dias",IF(R1063&lt;=30,"16-30 dias",IF(R1063&lt;=60,"31-60 dias","Acima de 60 dias"))))</x:f>
        <x:v>Em dia</x:v>
      </x:c>
    </x:row>
    <x:row r="1064">
      <x:c r="A1064" s="13" t="str">
        <x:v>REC-001063</x:v>
      </x:c>
      <x:c r="B1064" s="23" t="n">
        <x:v>45818</x:v>
      </x:c>
      <x:c r="C1064" s="23" t="n">
        <x:v>45825</x:v>
      </x:c>
      <x:c r="D1064" s="23" t="n">
        <x:v>45822</x:v>
      </x:c>
      <x:c r="E1064" s="13" t="str">
        <x:v>VAL-018</x:v>
      </x:c>
      <x:c r="F1064" s="13" t="str">
        <x:v>Ponto Legal Advocacia</x:v>
      </x:c>
      <x:c r="G1064" s="13" t="str">
        <x:v>Serviços Profissionais</x:v>
      </x:c>
      <x:c r="H1064" s="13" t="str">
        <x:v>Baixo</x:v>
      </x:c>
      <x:c r="I1064" s="13" t="str">
        <x:v>Gestão</x:v>
      </x:c>
      <x:c r="J1064" s="17" t="n">
        <x:v>19573.46</x:v>
      </x:c>
      <x:c r="K1064" s="17" t="n">
        <x:v>0</x:v>
      </x:c>
      <x:c r="L1064" s="17" t="n">
        <x:v>0</x:v>
      </x:c>
      <x:c r="M1064" s="13" t="str">
        <x:v>Pago</x:v>
      </x:c>
      <x:c r="N1064" s="13" t="str">
        <x:v>Sem cobrança</x:v>
      </x:c>
      <x:c r="O1064" s="13" t="str">
        <x:v>Operação Clareza</x:v>
      </x:c>
      <x:c r="P1064" s="17" t="n">
        <x:f>IF(D1064="",0,J1064-K1064+L1064)</x:f>
        <x:v>19573.46</x:v>
      </x:c>
      <x:c r="Q1064" s="17" t="n">
        <x:f>MAX(J1064-P1064-K1064,0)</x:f>
        <x:v>0</x:v>
      </x:c>
      <x:c r="R1064" s="13" t="n">
        <x:f>IF(D1064="",MAX(TODAY()-C1064,0),MAX(D1064-C1064,0))</x:f>
        <x:v>0</x:v>
      </x:c>
      <x:c r="S1064" s="13" t="str">
        <x:f>IF(R1064=0,"Em dia",IF(R1064&lt;=15,"1-15 dias",IF(R1064&lt;=30,"16-30 dias",IF(R1064&lt;=60,"31-60 dias","Acima de 60 dias"))))</x:f>
        <x:v>Em dia</x:v>
      </x:c>
    </x:row>
    <x:row r="1065">
      <x:c r="A1065" s="13" t="str">
        <x:v>REC-001064</x:v>
      </x:c>
      <x:c r="B1065" s="23" t="n">
        <x:v>45822</x:v>
      </x:c>
      <x:c r="C1065" s="23" t="n">
        <x:v>45850</x:v>
      </x:c>
      <x:c r="D1065" s="23" t="n">
        <x:v>45850</x:v>
      </x:c>
      <x:c r="E1065" s="13" t="str">
        <x:v>VAL-024</x:v>
      </x:c>
      <x:c r="F1065" s="13" t="str">
        <x:v>NovaForma Móveis</x:v>
      </x:c>
      <x:c r="G1065" s="13" t="str">
        <x:v>Indústria Leve</x:v>
      </x:c>
      <x:c r="H1065" s="13" t="str">
        <x:v>Baixo</x:v>
      </x:c>
      <x:c r="I1065" s="13" t="str">
        <x:v>Enterprise</x:v>
      </x:c>
      <x:c r="J1065" s="17" t="n">
        <x:v>20087.24</x:v>
      </x:c>
      <x:c r="K1065" s="17" t="n">
        <x:v>0</x:v>
      </x:c>
      <x:c r="L1065" s="17" t="n">
        <x:v>0</x:v>
      </x:c>
      <x:c r="M1065" s="13" t="str">
        <x:v>Pago</x:v>
      </x:c>
      <x:c r="N1065" s="13" t="str">
        <x:v>Sem cobrança</x:v>
      </x:c>
      <x:c r="O1065" s="13" t="str">
        <x:v>Operação Clareza</x:v>
      </x:c>
      <x:c r="P1065" s="17" t="n">
        <x:f>IF(D1065="",0,J1065-K1065+L1065)</x:f>
        <x:v>20087.24</x:v>
      </x:c>
      <x:c r="Q1065" s="17" t="n">
        <x:f>MAX(J1065-P1065-K1065,0)</x:f>
        <x:v>0</x:v>
      </x:c>
      <x:c r="R1065" s="13" t="n">
        <x:f>IF(D1065="",MAX(TODAY()-C1065,0),MAX(D1065-C1065,0))</x:f>
        <x:v>0</x:v>
      </x:c>
      <x:c r="S1065" s="13" t="str">
        <x:f>IF(R1065=0,"Em dia",IF(R1065&lt;=15,"1-15 dias",IF(R1065&lt;=30,"16-30 dias",IF(R1065&lt;=60,"31-60 dias","Acima de 60 dias"))))</x:f>
        <x:v>Em dia</x:v>
      </x:c>
    </x:row>
    <x:row r="1066">
      <x:c r="A1066" s="13" t="str">
        <x:v>REC-001065</x:v>
      </x:c>
      <x:c r="B1066" s="23" t="n">
        <x:v>45810</x:v>
      </x:c>
      <x:c r="C1066" s="23" t="n">
        <x:v>45840</x:v>
      </x:c>
      <x:c r="D1066" s="23" t="n">
        <x:v>45839</x:v>
      </x:c>
      <x:c r="E1066" s="13" t="str">
        <x:v>VAL-014</x:v>
      </x:c>
      <x:c r="F1066" s="13" t="str">
        <x:v>Colégio Caminhos</x:v>
      </x:c>
      <x:c r="G1066" s="13" t="str">
        <x:v>Educação</x:v>
      </x:c>
      <x:c r="H1066" s="13" t="str">
        <x:v>Médio</x:v>
      </x:c>
      <x:c r="I1066" s="13" t="str">
        <x:v>Gestão</x:v>
      </x:c>
      <x:c r="J1066" s="17" t="n">
        <x:v>13466.25</x:v>
      </x:c>
      <x:c r="K1066" s="17" t="n">
        <x:v>0</x:v>
      </x:c>
      <x:c r="L1066" s="17" t="n">
        <x:v>0</x:v>
      </x:c>
      <x:c r="M1066" s="13" t="str">
        <x:v>Pago</x:v>
      </x:c>
      <x:c r="N1066" s="13" t="str">
        <x:v>Sem cobrança</x:v>
      </x:c>
      <x:c r="O1066" s="13" t="str">
        <x:v>Operação Clareza</x:v>
      </x:c>
      <x:c r="P1066" s="17" t="n">
        <x:f>IF(D1066="",0,J1066-K1066+L1066)</x:f>
        <x:v>13466.25</x:v>
      </x:c>
      <x:c r="Q1066" s="17" t="n">
        <x:f>MAX(J1066-P1066-K1066,0)</x:f>
        <x:v>0</x:v>
      </x:c>
      <x:c r="R1066" s="13" t="n">
        <x:f>IF(D1066="",MAX(TODAY()-C1066,0),MAX(D1066-C1066,0))</x:f>
        <x:v>0</x:v>
      </x:c>
      <x:c r="S1066" s="13" t="str">
        <x:f>IF(R1066=0,"Em dia",IF(R1066&lt;=15,"1-15 dias",IF(R1066&lt;=30,"16-30 dias",IF(R1066&lt;=60,"31-60 dias","Acima de 60 dias"))))</x:f>
        <x:v>Em dia</x:v>
      </x:c>
    </x:row>
    <x:row r="1067">
      <x:c r="A1067" s="13" t="str">
        <x:v>REC-001066</x:v>
      </x:c>
      <x:c r="B1067" s="23" t="n">
        <x:v>45809</x:v>
      </x:c>
      <x:c r="C1067" s="23" t="n">
        <x:v>45830</x:v>
      </x:c>
      <x:c r="D1067" s="23" t="n">
        <x:v>45828</x:v>
      </x:c>
      <x:c r="E1067" s="13" t="str">
        <x:v>VAL-020</x:v>
      </x:c>
      <x:c r="F1067" s="13" t="str">
        <x:v>Corelink Digital</x:v>
      </x:c>
      <x:c r="G1067" s="13" t="str">
        <x:v>Tecnologia</x:v>
      </x:c>
      <x:c r="H1067" s="13" t="str">
        <x:v>Baixo</x:v>
      </x:c>
      <x:c r="I1067" s="13" t="str">
        <x:v>Enterprise</x:v>
      </x:c>
      <x:c r="J1067" s="17" t="n">
        <x:v>5760.68</x:v>
      </x:c>
      <x:c r="K1067" s="17" t="n">
        <x:v>0</x:v>
      </x:c>
      <x:c r="L1067" s="17" t="n">
        <x:v>0</x:v>
      </x:c>
      <x:c r="M1067" s="13" t="str">
        <x:v>Pago</x:v>
      </x:c>
      <x:c r="N1067" s="13" t="str">
        <x:v>Sem cobrança</x:v>
      </x:c>
      <x:c r="O1067" s="13" t="str">
        <x:v>Operação Clareza</x:v>
      </x:c>
      <x:c r="P1067" s="17" t="n">
        <x:f>IF(D1067="",0,J1067-K1067+L1067)</x:f>
        <x:v>5760.68</x:v>
      </x:c>
      <x:c r="Q1067" s="17" t="n">
        <x:f>MAX(J1067-P1067-K1067,0)</x:f>
        <x:v>0</x:v>
      </x:c>
      <x:c r="R1067" s="13" t="n">
        <x:f>IF(D1067="",MAX(TODAY()-C1067,0),MAX(D1067-C1067,0))</x:f>
        <x:v>0</x:v>
      </x:c>
      <x:c r="S1067" s="13" t="str">
        <x:f>IF(R1067=0,"Em dia",IF(R1067&lt;=15,"1-15 dias",IF(R1067&lt;=30,"16-30 dias",IF(R1067&lt;=60,"31-60 dias","Acima de 60 dias"))))</x:f>
        <x:v>Em dia</x:v>
      </x:c>
    </x:row>
    <x:row r="1068">
      <x:c r="A1068" s="13" t="str">
        <x:v>REC-001067</x:v>
      </x:c>
      <x:c r="B1068" s="23" t="n">
        <x:v>45814</x:v>
      </x:c>
      <x:c r="C1068" s="23" t="n">
        <x:v>45829</x:v>
      </x:c>
      <x:c r="D1068" s="23" t="n">
        <x:v>45828</x:v>
      </x:c>
      <x:c r="E1068" s="13" t="str">
        <x:v>VAL-016</x:v>
      </x:c>
      <x:c r="F1068" s="13" t="str">
        <x:v>Lumina Embalagens</x:v>
      </x:c>
      <x:c r="G1068" s="13" t="str">
        <x:v>Indústria Leve</x:v>
      </x:c>
      <x:c r="H1068" s="13" t="str">
        <x:v>Baixo</x:v>
      </x:c>
      <x:c r="I1068" s="13" t="str">
        <x:v>Enterprise</x:v>
      </x:c>
      <x:c r="J1068" s="17" t="n">
        <x:v>17117.8</x:v>
      </x:c>
      <x:c r="K1068" s="17" t="n">
        <x:v>0</x:v>
      </x:c>
      <x:c r="L1068" s="17" t="n">
        <x:v>0</x:v>
      </x:c>
      <x:c r="M1068" s="13" t="str">
        <x:v>Pago</x:v>
      </x:c>
      <x:c r="N1068" s="13" t="str">
        <x:v>Sem cobrança</x:v>
      </x:c>
      <x:c r="O1068" s="13" t="str">
        <x:v>Operação Clareza</x:v>
      </x:c>
      <x:c r="P1068" s="17" t="n">
        <x:f>IF(D1068="",0,J1068-K1068+L1068)</x:f>
        <x:v>17117.8</x:v>
      </x:c>
      <x:c r="Q1068" s="17" t="n">
        <x:f>MAX(J1068-P1068-K1068,0)</x:f>
        <x:v>0</x:v>
      </x:c>
      <x:c r="R1068" s="13" t="n">
        <x:f>IF(D1068="",MAX(TODAY()-C1068,0),MAX(D1068-C1068,0))</x:f>
        <x:v>0</x:v>
      </x:c>
      <x:c r="S1068" s="13" t="str">
        <x:f>IF(R1068=0,"Em dia",IF(R1068&lt;=15,"1-15 dias",IF(R1068&lt;=30,"16-30 dias",IF(R1068&lt;=60,"31-60 dias","Acima de 60 dias"))))</x:f>
        <x:v>Em dia</x:v>
      </x:c>
    </x:row>
    <x:row r="1069">
      <x:c r="A1069" s="13" t="str">
        <x:v>REC-001068</x:v>
      </x:c>
      <x:c r="B1069" s="23" t="n">
        <x:v>45814</x:v>
      </x:c>
      <x:c r="C1069" s="23" t="n">
        <x:v>45829</x:v>
      </x:c>
      <x:c r="D1069" s="23" t="n">
        <x:v>45827</x:v>
      </x:c>
      <x:c r="E1069" s="13" t="str">
        <x:v>VAL-014</x:v>
      </x:c>
      <x:c r="F1069" s="13" t="str">
        <x:v>Colégio Caminhos</x:v>
      </x:c>
      <x:c r="G1069" s="13" t="str">
        <x:v>Educação</x:v>
      </x:c>
      <x:c r="H1069" s="13" t="str">
        <x:v>Médio</x:v>
      </x:c>
      <x:c r="I1069" s="13" t="str">
        <x:v>Gestão</x:v>
      </x:c>
      <x:c r="J1069" s="17" t="n">
        <x:v>25818.75</x:v>
      </x:c>
      <x:c r="K1069" s="17" t="n">
        <x:v>0</x:v>
      </x:c>
      <x:c r="L1069" s="17" t="n">
        <x:v>0</x:v>
      </x:c>
      <x:c r="M1069" s="13" t="str">
        <x:v>Pago</x:v>
      </x:c>
      <x:c r="N1069" s="13" t="str">
        <x:v>Sem cobrança</x:v>
      </x:c>
      <x:c r="O1069" s="13" t="str">
        <x:v>Operação Clareza</x:v>
      </x:c>
      <x:c r="P1069" s="17" t="n">
        <x:f>IF(D1069="",0,J1069-K1069+L1069)</x:f>
        <x:v>25818.75</x:v>
      </x:c>
      <x:c r="Q1069" s="17" t="n">
        <x:f>MAX(J1069-P1069-K1069,0)</x:f>
        <x:v>0</x:v>
      </x:c>
      <x:c r="R1069" s="13" t="n">
        <x:f>IF(D1069="",MAX(TODAY()-C1069,0),MAX(D1069-C1069,0))</x:f>
        <x:v>0</x:v>
      </x:c>
      <x:c r="S1069" s="13" t="str">
        <x:f>IF(R1069=0,"Em dia",IF(R1069&lt;=15,"1-15 dias",IF(R1069&lt;=30,"16-30 dias",IF(R1069&lt;=60,"31-60 dias","Acima de 60 dias"))))</x:f>
        <x:v>Em dia</x:v>
      </x:c>
    </x:row>
    <x:row r="1070">
      <x:c r="A1070" s="13" t="str">
        <x:v>REC-001069</x:v>
      </x:c>
      <x:c r="B1070" s="23" t="n">
        <x:v>45823</x:v>
      </x:c>
      <x:c r="C1070" s="23" t="n">
        <x:v>45838</x:v>
      </x:c>
      <x:c r="D1070" s="23" t="n">
        <x:v>45837</x:v>
      </x:c>
      <x:c r="E1070" s="13" t="str">
        <x:v>VAL-018</x:v>
      </x:c>
      <x:c r="F1070" s="13" t="str">
        <x:v>Ponto Legal Advocacia</x:v>
      </x:c>
      <x:c r="G1070" s="13" t="str">
        <x:v>Serviços Profissionais</x:v>
      </x:c>
      <x:c r="H1070" s="13" t="str">
        <x:v>Baixo</x:v>
      </x:c>
      <x:c r="I1070" s="13" t="str">
        <x:v>Gestão</x:v>
      </x:c>
      <x:c r="J1070" s="17" t="n">
        <x:v>18817.37</x:v>
      </x:c>
      <x:c r="K1070" s="17" t="n">
        <x:v>0</x:v>
      </x:c>
      <x:c r="L1070" s="17" t="n">
        <x:v>0</x:v>
      </x:c>
      <x:c r="M1070" s="13" t="str">
        <x:v>Pago</x:v>
      </x:c>
      <x:c r="N1070" s="13" t="str">
        <x:v>Sem cobrança</x:v>
      </x:c>
      <x:c r="O1070" s="13" t="str">
        <x:v>Operação Clareza</x:v>
      </x:c>
      <x:c r="P1070" s="17" t="n">
        <x:f>IF(D1070="",0,J1070-K1070+L1070)</x:f>
        <x:v>18817.37</x:v>
      </x:c>
      <x:c r="Q1070" s="17" t="n">
        <x:f>MAX(J1070-P1070-K1070,0)</x:f>
        <x:v>0</x:v>
      </x:c>
      <x:c r="R1070" s="13" t="n">
        <x:f>IF(D1070="",MAX(TODAY()-C1070,0),MAX(D1070-C1070,0))</x:f>
        <x:v>0</x:v>
      </x:c>
      <x:c r="S1070" s="13" t="str">
        <x:f>IF(R1070=0,"Em dia",IF(R1070&lt;=15,"1-15 dias",IF(R1070&lt;=30,"16-30 dias",IF(R1070&lt;=60,"31-60 dias","Acima de 60 dias"))))</x:f>
        <x:v>Em dia</x:v>
      </x:c>
    </x:row>
    <x:row r="1071">
      <x:c r="A1071" s="13" t="str">
        <x:v>REC-001070</x:v>
      </x:c>
      <x:c r="B1071" s="23" t="n">
        <x:v>45824</x:v>
      </x:c>
      <x:c r="C1071" s="23" t="n">
        <x:v>45839</x:v>
      </x:c>
      <x:c r="D1071" s="23"/>
      <x:c r="E1071" s="13" t="str">
        <x:v>VAL-025</x:v>
      </x:c>
      <x:c r="F1071" s="13" t="str">
        <x:v>Bem-Estar Terapias</x:v>
      </x:c>
      <x:c r="G1071" s="13" t="str">
        <x:v>Clínicas e Saúde</x:v>
      </x:c>
      <x:c r="H1071" s="13" t="str">
        <x:v>Baixo</x:v>
      </x:c>
      <x:c r="I1071" s="13" t="str">
        <x:v>Essencial</x:v>
      </x:c>
      <x:c r="J1071" s="17" t="n">
        <x:v>10553.34</x:v>
      </x:c>
      <x:c r="K1071" s="17" t="n">
        <x:v>0</x:v>
      </x:c>
      <x:c r="L1071" s="17" t="n">
        <x:v>0</x:v>
      </x:c>
      <x:c r="M1071" s="13" t="str">
        <x:v>Em aberto</x:v>
      </x:c>
      <x:c r="N1071" s="13" t="str">
        <x:v>Régua automática</x:v>
      </x:c>
      <x:c r="O1071" s="13" t="str">
        <x:v>Operação Clareza</x:v>
      </x:c>
      <x:c r="P1071" s="17" t="n">
        <x:f>IF(D1071="",0,J1071-K1071+L1071)</x:f>
        <x:v>0</x:v>
      </x:c>
      <x:c r="Q1071" s="17" t="n">
        <x:f>MAX(J1071-P1071-K1071,0)</x:f>
        <x:v>10553.34</x:v>
      </x:c>
      <x:c r="R1071" s="13" t="n">
        <x:f>IF(D1071="",MAX(TODAY()-C1071,0),MAX(D1071-C1071,0))</x:f>
        <x:v>374</x:v>
      </x:c>
      <x:c r="S1071" s="13" t="str">
        <x:f>IF(R1071=0,"Em dia",IF(R1071&lt;=15,"1-15 dias",IF(R1071&lt;=30,"16-30 dias",IF(R1071&lt;=60,"31-60 dias","Acima de 60 dias"))))</x:f>
        <x:v>Acima de 60 dias</x:v>
      </x:c>
    </x:row>
    <x:row r="1072">
      <x:c r="A1072" s="13" t="str">
        <x:v>REC-001071</x:v>
      </x:c>
      <x:c r="B1072" s="23" t="n">
        <x:v>45825</x:v>
      </x:c>
      <x:c r="C1072" s="23" t="n">
        <x:v>45846</x:v>
      </x:c>
      <x:c r="D1072" s="23" t="n">
        <x:v>45865</x:v>
      </x:c>
      <x:c r="E1072" s="13" t="str">
        <x:v>VAL-024</x:v>
      </x:c>
      <x:c r="F1072" s="13" t="str">
        <x:v>NovaForma Móveis</x:v>
      </x:c>
      <x:c r="G1072" s="13" t="str">
        <x:v>Indústria Leve</x:v>
      </x:c>
      <x:c r="H1072" s="13" t="str">
        <x:v>Baixo</x:v>
      </x:c>
      <x:c r="I1072" s="13" t="str">
        <x:v>Enterprise</x:v>
      </x:c>
      <x:c r="J1072" s="17" t="n">
        <x:v>13199.29</x:v>
      </x:c>
      <x:c r="K1072" s="17" t="n">
        <x:v>0</x:v>
      </x:c>
      <x:c r="L1072" s="17" t="n">
        <x:v>163.01</x:v>
      </x:c>
      <x:c r="M1072" s="13" t="str">
        <x:v>Pago com atraso</x:v>
      </x:c>
      <x:c r="N1072" s="13" t="str">
        <x:v>E-mail</x:v>
      </x:c>
      <x:c r="O1072" s="13" t="str">
        <x:v>Operação Clareza</x:v>
      </x:c>
      <x:c r="P1072" s="17" t="n">
        <x:f>IF(D1072="",0,J1072-K1072+L1072)</x:f>
        <x:v>13362.300000000001</x:v>
      </x:c>
      <x:c r="Q1072" s="17" t="n">
        <x:f>MAX(J1072-P1072-K1072,0)</x:f>
        <x:v>0</x:v>
      </x:c>
      <x:c r="R1072" s="13" t="n">
        <x:f>IF(D1072="",MAX(TODAY()-C1072,0),MAX(D1072-C1072,0))</x:f>
        <x:v>19</x:v>
      </x:c>
      <x:c r="S1072" s="13" t="str">
        <x:f>IF(R1072=0,"Em dia",IF(R1072&lt;=15,"1-15 dias",IF(R1072&lt;=30,"16-30 dias",IF(R1072&lt;=60,"31-60 dias","Acima de 60 dias"))))</x:f>
        <x:v>16-30 dias</x:v>
      </x:c>
    </x:row>
    <x:row r="1073">
      <x:c r="A1073" s="13" t="str">
        <x:v>REC-001072</x:v>
      </x:c>
      <x:c r="B1073" s="23" t="n">
        <x:v>45824</x:v>
      </x:c>
      <x:c r="C1073" s="23" t="n">
        <x:v>45831</x:v>
      </x:c>
      <x:c r="D1073" s="23" t="n">
        <x:v>45828</x:v>
      </x:c>
      <x:c r="E1073" s="13" t="str">
        <x:v>VAL-030</x:v>
      </x:c>
      <x:c r="F1073" s="13" t="str">
        <x:v>Mundo Kids Cursos</x:v>
      </x:c>
      <x:c r="G1073" s="13" t="str">
        <x:v>Educação</x:v>
      </x:c>
      <x:c r="H1073" s="13" t="str">
        <x:v>Alto</x:v>
      </x:c>
      <x:c r="I1073" s="13" t="str">
        <x:v>Gestão</x:v>
      </x:c>
      <x:c r="J1073" s="17" t="n">
        <x:v>16334.65</x:v>
      </x:c>
      <x:c r="K1073" s="17" t="n">
        <x:v>194.91</x:v>
      </x:c>
      <x:c r="L1073" s="17" t="n">
        <x:v>0</x:v>
      </x:c>
      <x:c r="M1073" s="13" t="str">
        <x:v>Pago</x:v>
      </x:c>
      <x:c r="N1073" s="13" t="str">
        <x:v>Sem cobrança</x:v>
      </x:c>
      <x:c r="O1073" s="13" t="str">
        <x:v>Operação Clareza</x:v>
      </x:c>
      <x:c r="P1073" s="17" t="n">
        <x:f>IF(D1073="",0,J1073-K1073+L1073)</x:f>
        <x:v>16139.74</x:v>
      </x:c>
      <x:c r="Q1073" s="17" t="n">
        <x:f>MAX(J1073-P1073-K1073,0)</x:f>
        <x:v>0</x:v>
      </x:c>
      <x:c r="R1073" s="13" t="n">
        <x:f>IF(D1073="",MAX(TODAY()-C1073,0),MAX(D1073-C1073,0))</x:f>
        <x:v>0</x:v>
      </x:c>
      <x:c r="S1073" s="13" t="str">
        <x:f>IF(R1073=0,"Em dia",IF(R1073&lt;=15,"1-15 dias",IF(R1073&lt;=30,"16-30 dias",IF(R1073&lt;=60,"31-60 dias","Acima de 60 dias"))))</x:f>
        <x:v>Em dia</x:v>
      </x:c>
    </x:row>
    <x:row r="1074">
      <x:c r="A1074" s="13" t="str">
        <x:v>REC-001073</x:v>
      </x:c>
      <x:c r="B1074" s="23" t="n">
        <x:v>45823</x:v>
      </x:c>
      <x:c r="C1074" s="23" t="n">
        <x:v>45844</x:v>
      </x:c>
      <x:c r="D1074" s="23" t="n">
        <x:v>45841</x:v>
      </x:c>
      <x:c r="E1074" s="13" t="str">
        <x:v>VAL-018</x:v>
      </x:c>
      <x:c r="F1074" s="13" t="str">
        <x:v>Ponto Legal Advocacia</x:v>
      </x:c>
      <x:c r="G1074" s="13" t="str">
        <x:v>Serviços Profissionais</x:v>
      </x:c>
      <x:c r="H1074" s="13" t="str">
        <x:v>Baixo</x:v>
      </x:c>
      <x:c r="I1074" s="13" t="str">
        <x:v>Gestão</x:v>
      </x:c>
      <x:c r="J1074" s="17" t="n">
        <x:v>1233.53</x:v>
      </x:c>
      <x:c r="K1074" s="17" t="n">
        <x:v>0</x:v>
      </x:c>
      <x:c r="L1074" s="17" t="n">
        <x:v>0</x:v>
      </x:c>
      <x:c r="M1074" s="13" t="str">
        <x:v>Pago</x:v>
      </x:c>
      <x:c r="N1074" s="13" t="str">
        <x:v>Sem cobrança</x:v>
      </x:c>
      <x:c r="O1074" s="13" t="str">
        <x:v>Operação Clareza</x:v>
      </x:c>
      <x:c r="P1074" s="17" t="n">
        <x:f>IF(D1074="",0,J1074-K1074+L1074)</x:f>
        <x:v>1233.53</x:v>
      </x:c>
      <x:c r="Q1074" s="17" t="n">
        <x:f>MAX(J1074-P1074-K1074,0)</x:f>
        <x:v>0</x:v>
      </x:c>
      <x:c r="R1074" s="13" t="n">
        <x:f>IF(D1074="",MAX(TODAY()-C1074,0),MAX(D1074-C1074,0))</x:f>
        <x:v>0</x:v>
      </x:c>
      <x:c r="S1074" s="13" t="str">
        <x:f>IF(R1074=0,"Em dia",IF(R1074&lt;=15,"1-15 dias",IF(R1074&lt;=30,"16-30 dias",IF(R1074&lt;=60,"31-60 dias","Acima de 60 dias"))))</x:f>
        <x:v>Em dia</x:v>
      </x:c>
    </x:row>
    <x:row r="1075">
      <x:c r="A1075" s="13" t="str">
        <x:v>REC-001074</x:v>
      </x:c>
      <x:c r="B1075" s="23" t="n">
        <x:v>45821</x:v>
      </x:c>
      <x:c r="C1075" s="23" t="n">
        <x:v>45828</x:v>
      </x:c>
      <x:c r="D1075" s="23" t="n">
        <x:v>45826</x:v>
      </x:c>
      <x:c r="E1075" s="13" t="str">
        <x:v>VAL-021</x:v>
      </x:c>
      <x:c r="F1075" s="13" t="str">
        <x:v>Base Forte Obras</x:v>
      </x:c>
      <x:c r="G1075" s="13" t="str">
        <x:v>Construção</x:v>
      </x:c>
      <x:c r="H1075" s="13" t="str">
        <x:v>Médio</x:v>
      </x:c>
      <x:c r="I1075" s="13" t="str">
        <x:v>Essencial</x:v>
      </x:c>
      <x:c r="J1075" s="17" t="n">
        <x:v>12854.26</x:v>
      </x:c>
      <x:c r="K1075" s="17" t="n">
        <x:v>0</x:v>
      </x:c>
      <x:c r="L1075" s="17" t="n">
        <x:v>0</x:v>
      </x:c>
      <x:c r="M1075" s="13" t="str">
        <x:v>Pago</x:v>
      </x:c>
      <x:c r="N1075" s="13" t="str">
        <x:v>Sem cobrança</x:v>
      </x:c>
      <x:c r="O1075" s="13" t="str">
        <x:v>Operação Clareza</x:v>
      </x:c>
      <x:c r="P1075" s="17" t="n">
        <x:f>IF(D1075="",0,J1075-K1075+L1075)</x:f>
        <x:v>12854.26</x:v>
      </x:c>
      <x:c r="Q1075" s="17" t="n">
        <x:f>MAX(J1075-P1075-K1075,0)</x:f>
        <x:v>0</x:v>
      </x:c>
      <x:c r="R1075" s="13" t="n">
        <x:f>IF(D1075="",MAX(TODAY()-C1075,0),MAX(D1075-C1075,0))</x:f>
        <x:v>0</x:v>
      </x:c>
      <x:c r="S1075" s="13" t="str">
        <x:f>IF(R1075=0,"Em dia",IF(R1075&lt;=15,"1-15 dias",IF(R1075&lt;=30,"16-30 dias",IF(R1075&lt;=60,"31-60 dias","Acima de 60 dias"))))</x:f>
        <x:v>Em dia</x:v>
      </x:c>
    </x:row>
    <x:row r="1076">
      <x:c r="A1076" s="13" t="str">
        <x:v>REC-001075</x:v>
      </x:c>
      <x:c r="B1076" s="23" t="n">
        <x:v>45820</x:v>
      </x:c>
      <x:c r="C1076" s="23" t="n">
        <x:v>45848</x:v>
      </x:c>
      <x:c r="D1076" s="23" t="n">
        <x:v>45885</x:v>
      </x:c>
      <x:c r="E1076" s="13" t="str">
        <x:v>VAL-005</x:v>
      </x:c>
      <x:c r="F1076" s="13" t="str">
        <x:v>Construtora Alameda</x:v>
      </x:c>
      <x:c r="G1076" s="13" t="str">
        <x:v>Construção</x:v>
      </x:c>
      <x:c r="H1076" s="13" t="str">
        <x:v>Médio</x:v>
      </x:c>
      <x:c r="I1076" s="13" t="str">
        <x:v>Essencial</x:v>
      </x:c>
      <x:c r="J1076" s="17" t="n">
        <x:v>10367.71</x:v>
      </x:c>
      <x:c r="K1076" s="17" t="n">
        <x:v>0</x:v>
      </x:c>
      <x:c r="L1076" s="17" t="n">
        <x:v>249.34</x:v>
      </x:c>
      <x:c r="M1076" s="13" t="str">
        <x:v>Pago com atraso</x:v>
      </x:c>
      <x:c r="N1076" s="13" t="str">
        <x:v>Régua automática</x:v>
      </x:c>
      <x:c r="O1076" s="13" t="str">
        <x:v>Operação Clareza</x:v>
      </x:c>
      <x:c r="P1076" s="17" t="n">
        <x:f>IF(D1076="",0,J1076-K1076+L1076)</x:f>
        <x:v>10617.05</x:v>
      </x:c>
      <x:c r="Q1076" s="17" t="n">
        <x:f>MAX(J1076-P1076-K1076,0)</x:f>
        <x:v>0</x:v>
      </x:c>
      <x:c r="R1076" s="13" t="n">
        <x:f>IF(D1076="",MAX(TODAY()-C1076,0),MAX(D1076-C1076,0))</x:f>
        <x:v>37</x:v>
      </x:c>
      <x:c r="S1076" s="13" t="str">
        <x:f>IF(R1076=0,"Em dia",IF(R1076&lt;=15,"1-15 dias",IF(R1076&lt;=30,"16-30 dias",IF(R1076&lt;=60,"31-60 dias","Acima de 60 dias"))))</x:f>
        <x:v>31-60 dias</x:v>
      </x:c>
    </x:row>
    <x:row r="1077">
      <x:c r="A1077" s="13" t="str">
        <x:v>REC-001076</x:v>
      </x:c>
      <x:c r="B1077" s="23" t="n">
        <x:v>45824</x:v>
      </x:c>
      <x:c r="C1077" s="23" t="n">
        <x:v>45831</x:v>
      </x:c>
      <x:c r="D1077" s="23" t="n">
        <x:v>45831</x:v>
      </x:c>
      <x:c r="E1077" s="13" t="str">
        <x:v>VAL-004</x:v>
      </x:c>
      <x:c r="F1077" s="13" t="str">
        <x:v>NuvemBase Tecnologia</x:v>
      </x:c>
      <x:c r="G1077" s="13" t="str">
        <x:v>Tecnologia</x:v>
      </x:c>
      <x:c r="H1077" s="13" t="str">
        <x:v>Baixo</x:v>
      </x:c>
      <x:c r="I1077" s="13" t="str">
        <x:v>Enterprise</x:v>
      </x:c>
      <x:c r="J1077" s="17" t="n">
        <x:v>32701.52</x:v>
      </x:c>
      <x:c r="K1077" s="17" t="n">
        <x:v>0</x:v>
      </x:c>
      <x:c r="L1077" s="17" t="n">
        <x:v>0</x:v>
      </x:c>
      <x:c r="M1077" s="13" t="str">
        <x:v>Pago</x:v>
      </x:c>
      <x:c r="N1077" s="13" t="str">
        <x:v>Sem cobrança</x:v>
      </x:c>
      <x:c r="O1077" s="13" t="str">
        <x:v>Operação Clareza</x:v>
      </x:c>
      <x:c r="P1077" s="17" t="n">
        <x:f>IF(D1077="",0,J1077-K1077+L1077)</x:f>
        <x:v>32701.52</x:v>
      </x:c>
      <x:c r="Q1077" s="17" t="n">
        <x:f>MAX(J1077-P1077-K1077,0)</x:f>
        <x:v>0</x:v>
      </x:c>
      <x:c r="R1077" s="13" t="n">
        <x:f>IF(D1077="",MAX(TODAY()-C1077,0),MAX(D1077-C1077,0))</x:f>
        <x:v>0</x:v>
      </x:c>
      <x:c r="S1077" s="13" t="str">
        <x:f>IF(R1077=0,"Em dia",IF(R1077&lt;=15,"1-15 dias",IF(R1077&lt;=30,"16-30 dias",IF(R1077&lt;=60,"31-60 dias","Acima de 60 dias"))))</x:f>
        <x:v>Em dia</x:v>
      </x:c>
    </x:row>
    <x:row r="1078">
      <x:c r="A1078" s="13" t="str">
        <x:v>REC-001077</x:v>
      </x:c>
      <x:c r="B1078" s="23" t="n">
        <x:v>45809</x:v>
      </x:c>
      <x:c r="C1078" s="23" t="n">
        <x:v>45824</x:v>
      </x:c>
      <x:c r="D1078" s="23" t="n">
        <x:v>45870</x:v>
      </x:c>
      <x:c r="E1078" s="13" t="str">
        <x:v>VAL-010</x:v>
      </x:c>
      <x:c r="F1078" s="13" t="str">
        <x:v>Atlas Contabilidade</x:v>
      </x:c>
      <x:c r="G1078" s="13" t="str">
        <x:v>Serviços Profissionais</x:v>
      </x:c>
      <x:c r="H1078" s="13" t="str">
        <x:v>Baixo</x:v>
      </x:c>
      <x:c r="I1078" s="13" t="str">
        <x:v>Gestão</x:v>
      </x:c>
      <x:c r="J1078" s="17" t="n">
        <x:v>10867.49</x:v>
      </x:c>
      <x:c r="K1078" s="17" t="n">
        <x:v>0</x:v>
      </x:c>
      <x:c r="L1078" s="17" t="n">
        <x:v>271.69</x:v>
      </x:c>
      <x:c r="M1078" s="13" t="str">
        <x:v>Pago com atraso</x:v>
      </x:c>
      <x:c r="N1078" s="13" t="str">
        <x:v>E-mail</x:v>
      </x:c>
      <x:c r="O1078" s="13" t="str">
        <x:v>Operação Clareza</x:v>
      </x:c>
      <x:c r="P1078" s="17" t="n">
        <x:f>IF(D1078="",0,J1078-K1078+L1078)</x:f>
        <x:v>11139.18</x:v>
      </x:c>
      <x:c r="Q1078" s="17" t="n">
        <x:f>MAX(J1078-P1078-K1078,0)</x:f>
        <x:v>0</x:v>
      </x:c>
      <x:c r="R1078" s="13" t="n">
        <x:f>IF(D1078="",MAX(TODAY()-C1078,0),MAX(D1078-C1078,0))</x:f>
        <x:v>46</x:v>
      </x:c>
      <x:c r="S1078" s="13" t="str">
        <x:f>IF(R1078=0,"Em dia",IF(R1078&lt;=15,"1-15 dias",IF(R1078&lt;=30,"16-30 dias",IF(R1078&lt;=60,"31-60 dias","Acima de 60 dias"))))</x:f>
        <x:v>31-60 dias</x:v>
      </x:c>
    </x:row>
    <x:row r="1079">
      <x:c r="A1079" s="13" t="str">
        <x:v>REC-001078</x:v>
      </x:c>
      <x:c r="B1079" s="23" t="n">
        <x:v>45815</x:v>
      </x:c>
      <x:c r="C1079" s="23" t="n">
        <x:v>45836</x:v>
      </x:c>
      <x:c r="D1079" s="23" t="n">
        <x:v>45833</x:v>
      </x:c>
      <x:c r="E1079" s="13" t="str">
        <x:v>VAL-013</x:v>
      </x:c>
      <x:c r="F1079" s="13" t="str">
        <x:v>Engenharia Vértice</x:v>
      </x:c>
      <x:c r="G1079" s="13" t="str">
        <x:v>Construção</x:v>
      </x:c>
      <x:c r="H1079" s="13" t="str">
        <x:v>Baixo</x:v>
      </x:c>
      <x:c r="I1079" s="13" t="str">
        <x:v>Essencial</x:v>
      </x:c>
      <x:c r="J1079" s="17" t="n">
        <x:v>14755.99</x:v>
      </x:c>
      <x:c r="K1079" s="17" t="n">
        <x:v>0</x:v>
      </x:c>
      <x:c r="L1079" s="17" t="n">
        <x:v>0</x:v>
      </x:c>
      <x:c r="M1079" s="13" t="str">
        <x:v>Pago</x:v>
      </x:c>
      <x:c r="N1079" s="13" t="str">
        <x:v>Sem cobrança</x:v>
      </x:c>
      <x:c r="O1079" s="13" t="str">
        <x:v>Operação Clareza</x:v>
      </x:c>
      <x:c r="P1079" s="17" t="n">
        <x:f>IF(D1079="",0,J1079-K1079+L1079)</x:f>
        <x:v>14755.99</x:v>
      </x:c>
      <x:c r="Q1079" s="17" t="n">
        <x:f>MAX(J1079-P1079-K1079,0)</x:f>
        <x:v>0</x:v>
      </x:c>
      <x:c r="R1079" s="13" t="n">
        <x:f>IF(D1079="",MAX(TODAY()-C1079,0),MAX(D1079-C1079,0))</x:f>
        <x:v>0</x:v>
      </x:c>
      <x:c r="S1079" s="13" t="str">
        <x:f>IF(R1079=0,"Em dia",IF(R1079&lt;=15,"1-15 dias",IF(R1079&lt;=30,"16-30 dias",IF(R1079&lt;=60,"31-60 dias","Acima de 60 dias"))))</x:f>
        <x:v>Em dia</x:v>
      </x:c>
    </x:row>
    <x:row r="1080">
      <x:c r="A1080" s="13" t="str">
        <x:v>REC-001079</x:v>
      </x:c>
      <x:c r="B1080" s="23" t="n">
        <x:v>45816</x:v>
      </x:c>
      <x:c r="C1080" s="23" t="n">
        <x:v>45823</x:v>
      </x:c>
      <x:c r="D1080" s="23" t="n">
        <x:v>45819</x:v>
      </x:c>
      <x:c r="E1080" s="13" t="str">
        <x:v>VAL-016</x:v>
      </x:c>
      <x:c r="F1080" s="13" t="str">
        <x:v>Lumina Embalagens</x:v>
      </x:c>
      <x:c r="G1080" s="13" t="str">
        <x:v>Indústria Leve</x:v>
      </x:c>
      <x:c r="H1080" s="13" t="str">
        <x:v>Baixo</x:v>
      </x:c>
      <x:c r="I1080" s="13" t="str">
        <x:v>Enterprise</x:v>
      </x:c>
      <x:c r="J1080" s="17" t="n">
        <x:v>7484.01</x:v>
      </x:c>
      <x:c r="K1080" s="17" t="n">
        <x:v>0</x:v>
      </x:c>
      <x:c r="L1080" s="17" t="n">
        <x:v>0</x:v>
      </x:c>
      <x:c r="M1080" s="13" t="str">
        <x:v>Pago</x:v>
      </x:c>
      <x:c r="N1080" s="13" t="str">
        <x:v>Sem cobrança</x:v>
      </x:c>
      <x:c r="O1080" s="13" t="str">
        <x:v>Operação Clareza</x:v>
      </x:c>
      <x:c r="P1080" s="17" t="n">
        <x:f>IF(D1080="",0,J1080-K1080+L1080)</x:f>
        <x:v>7484.01</x:v>
      </x:c>
      <x:c r="Q1080" s="17" t="n">
        <x:f>MAX(J1080-P1080-K1080,0)</x:f>
        <x:v>0</x:v>
      </x:c>
      <x:c r="R1080" s="13" t="n">
        <x:f>IF(D1080="",MAX(TODAY()-C1080,0),MAX(D1080-C1080,0))</x:f>
        <x:v>0</x:v>
      </x:c>
      <x:c r="S1080" s="13" t="str">
        <x:f>IF(R1080=0,"Em dia",IF(R1080&lt;=15,"1-15 dias",IF(R1080&lt;=30,"16-30 dias",IF(R1080&lt;=60,"31-60 dias","Acima de 60 dias"))))</x:f>
        <x:v>Em dia</x:v>
      </x:c>
    </x:row>
    <x:row r="1081">
      <x:c r="A1081" s="13" t="str">
        <x:v>REC-001080</x:v>
      </x:c>
      <x:c r="B1081" s="23" t="n">
        <x:v>45809</x:v>
      </x:c>
      <x:c r="C1081" s="23" t="n">
        <x:v>45816</x:v>
      </x:c>
      <x:c r="D1081" s="23" t="n">
        <x:v>45815</x:v>
      </x:c>
      <x:c r="E1081" s="13" t="str">
        <x:v>VAL-020</x:v>
      </x:c>
      <x:c r="F1081" s="13" t="str">
        <x:v>Corelink Digital</x:v>
      </x:c>
      <x:c r="G1081" s="13" t="str">
        <x:v>Tecnologia</x:v>
      </x:c>
      <x:c r="H1081" s="13" t="str">
        <x:v>Baixo</x:v>
      </x:c>
      <x:c r="I1081" s="13" t="str">
        <x:v>Enterprise</x:v>
      </x:c>
      <x:c r="J1081" s="17" t="n">
        <x:v>20100.8</x:v>
      </x:c>
      <x:c r="K1081" s="17" t="n">
        <x:v>0</x:v>
      </x:c>
      <x:c r="L1081" s="17" t="n">
        <x:v>0</x:v>
      </x:c>
      <x:c r="M1081" s="13" t="str">
        <x:v>Pago</x:v>
      </x:c>
      <x:c r="N1081" s="13" t="str">
        <x:v>Sem cobrança</x:v>
      </x:c>
      <x:c r="O1081" s="13" t="str">
        <x:v>Operação Clareza</x:v>
      </x:c>
      <x:c r="P1081" s="17" t="n">
        <x:f>IF(D1081="",0,J1081-K1081+L1081)</x:f>
        <x:v>20100.8</x:v>
      </x:c>
      <x:c r="Q1081" s="17" t="n">
        <x:f>MAX(J1081-P1081-K1081,0)</x:f>
        <x:v>0</x:v>
      </x:c>
      <x:c r="R1081" s="13" t="n">
        <x:f>IF(D1081="",MAX(TODAY()-C1081,0),MAX(D1081-C1081,0))</x:f>
        <x:v>0</x:v>
      </x:c>
      <x:c r="S1081" s="13" t="str">
        <x:f>IF(R1081=0,"Em dia",IF(R1081&lt;=15,"1-15 dias",IF(R1081&lt;=30,"16-30 dias",IF(R1081&lt;=60,"31-60 dias","Acima de 60 dias"))))</x:f>
        <x:v>Em dia</x:v>
      </x:c>
    </x:row>
    <x:row r="1082">
      <x:c r="A1082" s="13" t="str">
        <x:v>REC-001081</x:v>
      </x:c>
      <x:c r="B1082" s="23" t="n">
        <x:v>45853</x:v>
      </x:c>
      <x:c r="C1082" s="23" t="n">
        <x:v>45860</x:v>
      </x:c>
      <x:c r="D1082" s="23" t="n">
        <x:v>45857</x:v>
      </x:c>
      <x:c r="E1082" s="13" t="str">
        <x:v>VAL-027</x:v>
      </x:c>
      <x:c r="F1082" s="13" t="str">
        <x:v>Mais Lar Utilidades</x:v>
      </x:c>
      <x:c r="G1082" s="13" t="str">
        <x:v>Varejo</x:v>
      </x:c>
      <x:c r="H1082" s="13" t="str">
        <x:v>Baixo</x:v>
      </x:c>
      <x:c r="I1082" s="13" t="str">
        <x:v>Performance</x:v>
      </x:c>
      <x:c r="J1082" s="17" t="n">
        <x:v>4710.88</x:v>
      </x:c>
      <x:c r="K1082" s="17" t="n">
        <x:v>0</x:v>
      </x:c>
      <x:c r="L1082" s="17" t="n">
        <x:v>0</x:v>
      </x:c>
      <x:c r="M1082" s="13" t="str">
        <x:v>Pago</x:v>
      </x:c>
      <x:c r="N1082" s="13" t="str">
        <x:v>Sem cobrança</x:v>
      </x:c>
      <x:c r="O1082" s="13" t="str">
        <x:v>Operação Clareza</x:v>
      </x:c>
      <x:c r="P1082" s="17" t="n">
        <x:f>IF(D1082="",0,J1082-K1082+L1082)</x:f>
        <x:v>4710.88</x:v>
      </x:c>
      <x:c r="Q1082" s="17" t="n">
        <x:f>MAX(J1082-P1082-K1082,0)</x:f>
        <x:v>0</x:v>
      </x:c>
      <x:c r="R1082" s="13" t="n">
        <x:f>IF(D1082="",MAX(TODAY()-C1082,0),MAX(D1082-C1082,0))</x:f>
        <x:v>0</x:v>
      </x:c>
      <x:c r="S1082" s="13" t="str">
        <x:f>IF(R1082=0,"Em dia",IF(R1082&lt;=15,"1-15 dias",IF(R1082&lt;=30,"16-30 dias",IF(R1082&lt;=60,"31-60 dias","Acima de 60 dias"))))</x:f>
        <x:v>Em dia</x:v>
      </x:c>
    </x:row>
    <x:row r="1083">
      <x:c r="A1083" s="13" t="str">
        <x:v>REC-001082</x:v>
      </x:c>
      <x:c r="B1083" s="23" t="n">
        <x:v>45857</x:v>
      </x:c>
      <x:c r="C1083" s="23" t="n">
        <x:v>45878</x:v>
      </x:c>
      <x:c r="D1083" s="23" t="n">
        <x:v>45874</x:v>
      </x:c>
      <x:c r="E1083" s="13" t="str">
        <x:v>VAL-025</x:v>
      </x:c>
      <x:c r="F1083" s="13" t="str">
        <x:v>Bem-Estar Terapias</x:v>
      </x:c>
      <x:c r="G1083" s="13" t="str">
        <x:v>Clínicas e Saúde</x:v>
      </x:c>
      <x:c r="H1083" s="13" t="str">
        <x:v>Baixo</x:v>
      </x:c>
      <x:c r="I1083" s="13" t="str">
        <x:v>Essencial</x:v>
      </x:c>
      <x:c r="J1083" s="17" t="n">
        <x:v>5414.16</x:v>
      </x:c>
      <x:c r="K1083" s="17" t="n">
        <x:v>0</x:v>
      </x:c>
      <x:c r="L1083" s="17" t="n">
        <x:v>0</x:v>
      </x:c>
      <x:c r="M1083" s="13" t="str">
        <x:v>Pago</x:v>
      </x:c>
      <x:c r="N1083" s="13" t="str">
        <x:v>Sem cobrança</x:v>
      </x:c>
      <x:c r="O1083" s="13" t="str">
        <x:v>Operação Clareza</x:v>
      </x:c>
      <x:c r="P1083" s="17" t="n">
        <x:f>IF(D1083="",0,J1083-K1083+L1083)</x:f>
        <x:v>5414.16</x:v>
      </x:c>
      <x:c r="Q1083" s="17" t="n">
        <x:f>MAX(J1083-P1083-K1083,0)</x:f>
        <x:v>0</x:v>
      </x:c>
      <x:c r="R1083" s="13" t="n">
        <x:f>IF(D1083="",MAX(TODAY()-C1083,0),MAX(D1083-C1083,0))</x:f>
        <x:v>0</x:v>
      </x:c>
      <x:c r="S1083" s="13" t="str">
        <x:f>IF(R1083=0,"Em dia",IF(R1083&lt;=15,"1-15 dias",IF(R1083&lt;=30,"16-30 dias",IF(R1083&lt;=60,"31-60 dias","Acima de 60 dias"))))</x:f>
        <x:v>Em dia</x:v>
      </x:c>
    </x:row>
    <x:row r="1084">
      <x:c r="A1084" s="13" t="str">
        <x:v>REC-001083</x:v>
      </x:c>
      <x:c r="B1084" s="23" t="n">
        <x:v>45856</x:v>
      </x:c>
      <x:c r="C1084" s="23" t="n">
        <x:v>45863</x:v>
      </x:c>
      <x:c r="D1084" s="23" t="n">
        <x:v>45903</x:v>
      </x:c>
      <x:c r="E1084" s="13" t="str">
        <x:v>VAL-003</x:v>
      </x:c>
      <x:c r="F1084" s="13" t="str">
        <x:v>Casa Nova Varejo</x:v>
      </x:c>
      <x:c r="G1084" s="13" t="str">
        <x:v>Varejo</x:v>
      </x:c>
      <x:c r="H1084" s="13" t="str">
        <x:v>Baixo</x:v>
      </x:c>
      <x:c r="I1084" s="13" t="str">
        <x:v>Performance</x:v>
      </x:c>
      <x:c r="J1084" s="17" t="n">
        <x:v>5820.26</x:v>
      </x:c>
      <x:c r="K1084" s="17" t="n">
        <x:v>0</x:v>
      </x:c>
      <x:c r="L1084" s="17" t="n">
        <x:v>145.51</x:v>
      </x:c>
      <x:c r="M1084" s="13" t="str">
        <x:v>Pago com atraso</x:v>
      </x:c>
      <x:c r="N1084" s="13" t="str">
        <x:v>E-mail</x:v>
      </x:c>
      <x:c r="O1084" s="13" t="str">
        <x:v>Operação Clareza</x:v>
      </x:c>
      <x:c r="P1084" s="17" t="n">
        <x:f>IF(D1084="",0,J1084-K1084+L1084)</x:f>
        <x:v>5965.77</x:v>
      </x:c>
      <x:c r="Q1084" s="17" t="n">
        <x:f>MAX(J1084-P1084-K1084,0)</x:f>
        <x:v>0</x:v>
      </x:c>
      <x:c r="R1084" s="13" t="n">
        <x:f>IF(D1084="",MAX(TODAY()-C1084,0),MAX(D1084-C1084,0))</x:f>
        <x:v>40</x:v>
      </x:c>
      <x:c r="S1084" s="13" t="str">
        <x:f>IF(R1084=0,"Em dia",IF(R1084&lt;=15,"1-15 dias",IF(R1084&lt;=30,"16-30 dias",IF(R1084&lt;=60,"31-60 dias","Acima de 60 dias"))))</x:f>
        <x:v>31-60 dias</x:v>
      </x:c>
    </x:row>
    <x:row r="1085">
      <x:c r="A1085" s="13" t="str">
        <x:v>REC-001084</x:v>
      </x:c>
      <x:c r="B1085" s="23" t="n">
        <x:v>45851</x:v>
      </x:c>
      <x:c r="C1085" s="23" t="n">
        <x:v>45858</x:v>
      </x:c>
      <x:c r="D1085" s="23" t="n">
        <x:v>45856</x:v>
      </x:c>
      <x:c r="E1085" s="13" t="str">
        <x:v>VAL-029</x:v>
      </x:c>
      <x:c r="F1085" s="13" t="str">
        <x:v>Planobra Serviços</x:v>
      </x:c>
      <x:c r="G1085" s="13" t="str">
        <x:v>Construção</x:v>
      </x:c>
      <x:c r="H1085" s="13" t="str">
        <x:v>Baixo</x:v>
      </x:c>
      <x:c r="I1085" s="13" t="str">
        <x:v>Essencial</x:v>
      </x:c>
      <x:c r="J1085" s="17" t="n">
        <x:v>17266.36</x:v>
      </x:c>
      <x:c r="K1085" s="17" t="n">
        <x:v>0</x:v>
      </x:c>
      <x:c r="L1085" s="17" t="n">
        <x:v>0</x:v>
      </x:c>
      <x:c r="M1085" s="13" t="str">
        <x:v>Pago</x:v>
      </x:c>
      <x:c r="N1085" s="13" t="str">
        <x:v>Sem cobrança</x:v>
      </x:c>
      <x:c r="O1085" s="13" t="str">
        <x:v>Operação Clareza</x:v>
      </x:c>
      <x:c r="P1085" s="17" t="n">
        <x:f>IF(D1085="",0,J1085-K1085+L1085)</x:f>
        <x:v>17266.36</x:v>
      </x:c>
      <x:c r="Q1085" s="17" t="n">
        <x:f>MAX(J1085-P1085-K1085,0)</x:f>
        <x:v>0</x:v>
      </x:c>
      <x:c r="R1085" s="13" t="n">
        <x:f>IF(D1085="",MAX(TODAY()-C1085,0),MAX(D1085-C1085,0))</x:f>
        <x:v>0</x:v>
      </x:c>
      <x:c r="S1085" s="13" t="str">
        <x:f>IF(R1085=0,"Em dia",IF(R1085&lt;=15,"1-15 dias",IF(R1085&lt;=30,"16-30 dias",IF(R1085&lt;=60,"31-60 dias","Acima de 60 dias"))))</x:f>
        <x:v>Em dia</x:v>
      </x:c>
    </x:row>
    <x:row r="1086">
      <x:c r="A1086" s="13" t="str">
        <x:v>REC-001085</x:v>
      </x:c>
      <x:c r="B1086" s="23" t="n">
        <x:v>45848</x:v>
      </x:c>
      <x:c r="C1086" s="23" t="n">
        <x:v>45869</x:v>
      </x:c>
      <x:c r="D1086" s="23" t="n">
        <x:v>45867</x:v>
      </x:c>
      <x:c r="E1086" s="13" t="str">
        <x:v>VAL-024</x:v>
      </x:c>
      <x:c r="F1086" s="13" t="str">
        <x:v>NovaForma Móveis</x:v>
      </x:c>
      <x:c r="G1086" s="13" t="str">
        <x:v>Indústria Leve</x:v>
      </x:c>
      <x:c r="H1086" s="13" t="str">
        <x:v>Baixo</x:v>
      </x:c>
      <x:c r="I1086" s="13" t="str">
        <x:v>Enterprise</x:v>
      </x:c>
      <x:c r="J1086" s="17" t="n">
        <x:v>27142.73</x:v>
      </x:c>
      <x:c r="K1086" s="17" t="n">
        <x:v>0</x:v>
      </x:c>
      <x:c r="L1086" s="17" t="n">
        <x:v>0</x:v>
      </x:c>
      <x:c r="M1086" s="13" t="str">
        <x:v>Pago</x:v>
      </x:c>
      <x:c r="N1086" s="13" t="str">
        <x:v>Sem cobrança</x:v>
      </x:c>
      <x:c r="O1086" s="13" t="str">
        <x:v>Operação Clareza</x:v>
      </x:c>
      <x:c r="P1086" s="17" t="n">
        <x:f>IF(D1086="",0,J1086-K1086+L1086)</x:f>
        <x:v>27142.73</x:v>
      </x:c>
      <x:c r="Q1086" s="17" t="n">
        <x:f>MAX(J1086-P1086-K1086,0)</x:f>
        <x:v>0</x:v>
      </x:c>
      <x:c r="R1086" s="13" t="n">
        <x:f>IF(D1086="",MAX(TODAY()-C1086,0),MAX(D1086-C1086,0))</x:f>
        <x:v>0</x:v>
      </x:c>
      <x:c r="S1086" s="13" t="str">
        <x:f>IF(R1086=0,"Em dia",IF(R1086&lt;=15,"1-15 dias",IF(R1086&lt;=30,"16-30 dias",IF(R1086&lt;=60,"31-60 dias","Acima de 60 dias"))))</x:f>
        <x:v>Em dia</x:v>
      </x:c>
    </x:row>
    <x:row r="1087">
      <x:c r="A1087" s="13" t="str">
        <x:v>REC-001086</x:v>
      </x:c>
      <x:c r="B1087" s="23" t="n">
        <x:v>45856</x:v>
      </x:c>
      <x:c r="C1087" s="23" t="n">
        <x:v>45886</x:v>
      </x:c>
      <x:c r="D1087" s="23" t="n">
        <x:v>45883</x:v>
      </x:c>
      <x:c r="E1087" s="13" t="str">
        <x:v>VAL-003</x:v>
      </x:c>
      <x:c r="F1087" s="13" t="str">
        <x:v>Casa Nova Varejo</x:v>
      </x:c>
      <x:c r="G1087" s="13" t="str">
        <x:v>Varejo</x:v>
      </x:c>
      <x:c r="H1087" s="13" t="str">
        <x:v>Baixo</x:v>
      </x:c>
      <x:c r="I1087" s="13" t="str">
        <x:v>Performance</x:v>
      </x:c>
      <x:c r="J1087" s="17" t="n">
        <x:v>23465.7</x:v>
      </x:c>
      <x:c r="K1087" s="17" t="n">
        <x:v>0</x:v>
      </x:c>
      <x:c r="L1087" s="17" t="n">
        <x:v>0</x:v>
      </x:c>
      <x:c r="M1087" s="13" t="str">
        <x:v>Pago</x:v>
      </x:c>
      <x:c r="N1087" s="13" t="str">
        <x:v>Sem cobrança</x:v>
      </x:c>
      <x:c r="O1087" s="13" t="str">
        <x:v>Operação Clareza</x:v>
      </x:c>
      <x:c r="P1087" s="17" t="n">
        <x:f>IF(D1087="",0,J1087-K1087+L1087)</x:f>
        <x:v>23465.7</x:v>
      </x:c>
      <x:c r="Q1087" s="17" t="n">
        <x:f>MAX(J1087-P1087-K1087,0)</x:f>
        <x:v>0</x:v>
      </x:c>
      <x:c r="R1087" s="13" t="n">
        <x:f>IF(D1087="",MAX(TODAY()-C1087,0),MAX(D1087-C1087,0))</x:f>
        <x:v>0</x:v>
      </x:c>
      <x:c r="S1087" s="13" t="str">
        <x:f>IF(R1087=0,"Em dia",IF(R1087&lt;=15,"1-15 dias",IF(R1087&lt;=30,"16-30 dias",IF(R1087&lt;=60,"31-60 dias","Acima de 60 dias"))))</x:f>
        <x:v>Em dia</x:v>
      </x:c>
    </x:row>
    <x:row r="1088">
      <x:c r="A1088" s="13" t="str">
        <x:v>REC-001087</x:v>
      </x:c>
      <x:c r="B1088" s="23" t="n">
        <x:v>45846</x:v>
      </x:c>
      <x:c r="C1088" s="23" t="n">
        <x:v>45876</x:v>
      </x:c>
      <x:c r="D1088" s="23" t="n">
        <x:v>45872</x:v>
      </x:c>
      <x:c r="E1088" s="13" t="str">
        <x:v>VAL-023</x:v>
      </x:c>
      <x:c r="F1088" s="13" t="str">
        <x:v>ShopMix Brasil</x:v>
      </x:c>
      <x:c r="G1088" s="13" t="str">
        <x:v>E-commerce</x:v>
      </x:c>
      <x:c r="H1088" s="13" t="str">
        <x:v>Baixo</x:v>
      </x:c>
      <x:c r="I1088" s="13" t="str">
        <x:v>Performance</x:v>
      </x:c>
      <x:c r="J1088" s="17" t="n">
        <x:v>17883.86</x:v>
      </x:c>
      <x:c r="K1088" s="17" t="n">
        <x:v>0</x:v>
      </x:c>
      <x:c r="L1088" s="17" t="n">
        <x:v>0</x:v>
      </x:c>
      <x:c r="M1088" s="13" t="str">
        <x:v>Pago</x:v>
      </x:c>
      <x:c r="N1088" s="13" t="str">
        <x:v>Sem cobrança</x:v>
      </x:c>
      <x:c r="O1088" s="13" t="str">
        <x:v>Operação Clareza</x:v>
      </x:c>
      <x:c r="P1088" s="17" t="n">
        <x:f>IF(D1088="",0,J1088-K1088+L1088)</x:f>
        <x:v>17883.86</x:v>
      </x:c>
      <x:c r="Q1088" s="17" t="n">
        <x:f>MAX(J1088-P1088-K1088,0)</x:f>
        <x:v>0</x:v>
      </x:c>
      <x:c r="R1088" s="13" t="n">
        <x:f>IF(D1088="",MAX(TODAY()-C1088,0),MAX(D1088-C1088,0))</x:f>
        <x:v>0</x:v>
      </x:c>
      <x:c r="S1088" s="13" t="str">
        <x:f>IF(R1088=0,"Em dia",IF(R1088&lt;=15,"1-15 dias",IF(R1088&lt;=30,"16-30 dias",IF(R1088&lt;=60,"31-60 dias","Acima de 60 dias"))))</x:f>
        <x:v>Em dia</x:v>
      </x:c>
    </x:row>
    <x:row r="1089">
      <x:c r="A1089" s="13" t="str">
        <x:v>REC-001088</x:v>
      </x:c>
      <x:c r="B1089" s="23" t="n">
        <x:v>45856</x:v>
      </x:c>
      <x:c r="C1089" s="23" t="n">
        <x:v>45871</x:v>
      </x:c>
      <x:c r="D1089" s="23" t="n">
        <x:v>45868</x:v>
      </x:c>
      <x:c r="E1089" s="13" t="str">
        <x:v>VAL-011</x:v>
      </x:c>
      <x:c r="F1089" s="13" t="str">
        <x:v>Rede Essencial</x:v>
      </x:c>
      <x:c r="G1089" s="13" t="str">
        <x:v>Varejo</x:v>
      </x:c>
      <x:c r="H1089" s="13" t="str">
        <x:v>Médio</x:v>
      </x:c>
      <x:c r="I1089" s="13" t="str">
        <x:v>Performance</x:v>
      </x:c>
      <x:c r="J1089" s="17" t="n">
        <x:v>14055.82</x:v>
      </x:c>
      <x:c r="K1089" s="17" t="n">
        <x:v>0</x:v>
      </x:c>
      <x:c r="L1089" s="17" t="n">
        <x:v>0</x:v>
      </x:c>
      <x:c r="M1089" s="13" t="str">
        <x:v>Pago</x:v>
      </x:c>
      <x:c r="N1089" s="13" t="str">
        <x:v>Sem cobrança</x:v>
      </x:c>
      <x:c r="O1089" s="13" t="str">
        <x:v>Operação Clareza</x:v>
      </x:c>
      <x:c r="P1089" s="17" t="n">
        <x:f>IF(D1089="",0,J1089-K1089+L1089)</x:f>
        <x:v>14055.82</x:v>
      </x:c>
      <x:c r="Q1089" s="17" t="n">
        <x:f>MAX(J1089-P1089-K1089,0)</x:f>
        <x:v>0</x:v>
      </x:c>
      <x:c r="R1089" s="13" t="n">
        <x:f>IF(D1089="",MAX(TODAY()-C1089,0),MAX(D1089-C1089,0))</x:f>
        <x:v>0</x:v>
      </x:c>
      <x:c r="S1089" s="13" t="str">
        <x:f>IF(R1089=0,"Em dia",IF(R1089&lt;=15,"1-15 dias",IF(R1089&lt;=30,"16-30 dias",IF(R1089&lt;=60,"31-60 dias","Acima de 60 dias"))))</x:f>
        <x:v>Em dia</x:v>
      </x:c>
    </x:row>
    <x:row r="1090">
      <x:c r="A1090" s="13" t="str">
        <x:v>REC-001089</x:v>
      </x:c>
      <x:c r="B1090" s="23" t="n">
        <x:v>45847</x:v>
      </x:c>
      <x:c r="C1090" s="23" t="n">
        <x:v>45854</x:v>
      </x:c>
      <x:c r="D1090" s="23" t="n">
        <x:v>45850</x:v>
      </x:c>
      <x:c r="E1090" s="13" t="str">
        <x:v>VAL-006</x:v>
      </x:c>
      <x:c r="F1090" s="13" t="str">
        <x:v>Instituto Saber Mais</x:v>
      </x:c>
      <x:c r="G1090" s="13" t="str">
        <x:v>Educação</x:v>
      </x:c>
      <x:c r="H1090" s="13" t="str">
        <x:v>Médio</x:v>
      </x:c>
      <x:c r="I1090" s="13" t="str">
        <x:v>Gestão</x:v>
      </x:c>
      <x:c r="J1090" s="17" t="n">
        <x:v>2923.3</x:v>
      </x:c>
      <x:c r="K1090" s="17" t="n">
        <x:v>0</x:v>
      </x:c>
      <x:c r="L1090" s="17" t="n">
        <x:v>0</x:v>
      </x:c>
      <x:c r="M1090" s="13" t="str">
        <x:v>Pago</x:v>
      </x:c>
      <x:c r="N1090" s="13" t="str">
        <x:v>Sem cobrança</x:v>
      </x:c>
      <x:c r="O1090" s="13" t="str">
        <x:v>Operação Clareza</x:v>
      </x:c>
      <x:c r="P1090" s="17" t="n">
        <x:f>IF(D1090="",0,J1090-K1090+L1090)</x:f>
        <x:v>2923.3</x:v>
      </x:c>
      <x:c r="Q1090" s="17" t="n">
        <x:f>MAX(J1090-P1090-K1090,0)</x:f>
        <x:v>0</x:v>
      </x:c>
      <x:c r="R1090" s="13" t="n">
        <x:f>IF(D1090="",MAX(TODAY()-C1090,0),MAX(D1090-C1090,0))</x:f>
        <x:v>0</x:v>
      </x:c>
      <x:c r="S1090" s="13" t="str">
        <x:f>IF(R1090=0,"Em dia",IF(R1090&lt;=15,"1-15 dias",IF(R1090&lt;=30,"16-30 dias",IF(R1090&lt;=60,"31-60 dias","Acima de 60 dias"))))</x:f>
        <x:v>Em dia</x:v>
      </x:c>
    </x:row>
    <x:row r="1091">
      <x:c r="A1091" s="13" t="str">
        <x:v>REC-001090</x:v>
      </x:c>
      <x:c r="B1091" s="23" t="n">
        <x:v>45851</x:v>
      </x:c>
      <x:c r="C1091" s="23" t="n">
        <x:v>45879</x:v>
      </x:c>
      <x:c r="D1091" s="23" t="n">
        <x:v>45877</x:v>
      </x:c>
      <x:c r="E1091" s="13" t="str">
        <x:v>VAL-007</x:v>
      </x:c>
      <x:c r="F1091" s="13" t="str">
        <x:v>Loja Prisma Online</x:v>
      </x:c>
      <x:c r="G1091" s="13" t="str">
        <x:v>E-commerce</x:v>
      </x:c>
      <x:c r="H1091" s="13" t="str">
        <x:v>Médio</x:v>
      </x:c>
      <x:c r="I1091" s="13" t="str">
        <x:v>Performance</x:v>
      </x:c>
      <x:c r="J1091" s="17" t="n">
        <x:v>10746.21</x:v>
      </x:c>
      <x:c r="K1091" s="17" t="n">
        <x:v>0</x:v>
      </x:c>
      <x:c r="L1091" s="17" t="n">
        <x:v>0</x:v>
      </x:c>
      <x:c r="M1091" s="13" t="str">
        <x:v>Pago</x:v>
      </x:c>
      <x:c r="N1091" s="13" t="str">
        <x:v>Sem cobrança</x:v>
      </x:c>
      <x:c r="O1091" s="13" t="str">
        <x:v>Operação Clareza</x:v>
      </x:c>
      <x:c r="P1091" s="17" t="n">
        <x:f>IF(D1091="",0,J1091-K1091+L1091)</x:f>
        <x:v>10746.21</x:v>
      </x:c>
      <x:c r="Q1091" s="17" t="n">
        <x:f>MAX(J1091-P1091-K1091,0)</x:f>
        <x:v>0</x:v>
      </x:c>
      <x:c r="R1091" s="13" t="n">
        <x:f>IF(D1091="",MAX(TODAY()-C1091,0),MAX(D1091-C1091,0))</x:f>
        <x:v>0</x:v>
      </x:c>
      <x:c r="S1091" s="13" t="str">
        <x:f>IF(R1091=0,"Em dia",IF(R1091&lt;=15,"1-15 dias",IF(R1091&lt;=30,"16-30 dias",IF(R1091&lt;=60,"31-60 dias","Acima de 60 dias"))))</x:f>
        <x:v>Em dia</x:v>
      </x:c>
    </x:row>
    <x:row r="1092">
      <x:c r="A1092" s="13" t="str">
        <x:v>REC-001091</x:v>
      </x:c>
      <x:c r="B1092" s="23" t="n">
        <x:v>45839</x:v>
      </x:c>
      <x:c r="C1092" s="23" t="n">
        <x:v>45846</x:v>
      </x:c>
      <x:c r="D1092" s="23" t="n">
        <x:v>45843</x:v>
      </x:c>
      <x:c r="E1092" s="13" t="str">
        <x:v>VAL-005</x:v>
      </x:c>
      <x:c r="F1092" s="13" t="str">
        <x:v>Construtora Alameda</x:v>
      </x:c>
      <x:c r="G1092" s="13" t="str">
        <x:v>Construção</x:v>
      </x:c>
      <x:c r="H1092" s="13" t="str">
        <x:v>Médio</x:v>
      </x:c>
      <x:c r="I1092" s="13" t="str">
        <x:v>Essencial</x:v>
      </x:c>
      <x:c r="J1092" s="17" t="n">
        <x:v>11902.67</x:v>
      </x:c>
      <x:c r="K1092" s="17" t="n">
        <x:v>0</x:v>
      </x:c>
      <x:c r="L1092" s="17" t="n">
        <x:v>0</x:v>
      </x:c>
      <x:c r="M1092" s="13" t="str">
        <x:v>Pago</x:v>
      </x:c>
      <x:c r="N1092" s="13" t="str">
        <x:v>Sem cobrança</x:v>
      </x:c>
      <x:c r="O1092" s="13" t="str">
        <x:v>Operação Clareza</x:v>
      </x:c>
      <x:c r="P1092" s="17" t="n">
        <x:f>IF(D1092="",0,J1092-K1092+L1092)</x:f>
        <x:v>11902.67</x:v>
      </x:c>
      <x:c r="Q1092" s="17" t="n">
        <x:f>MAX(J1092-P1092-K1092,0)</x:f>
        <x:v>0</x:v>
      </x:c>
      <x:c r="R1092" s="13" t="n">
        <x:f>IF(D1092="",MAX(TODAY()-C1092,0),MAX(D1092-C1092,0))</x:f>
        <x:v>0</x:v>
      </x:c>
      <x:c r="S1092" s="13" t="str">
        <x:f>IF(R1092=0,"Em dia",IF(R1092&lt;=15,"1-15 dias",IF(R1092&lt;=30,"16-30 dias",IF(R1092&lt;=60,"31-60 dias","Acima de 60 dias"))))</x:f>
        <x:v>Em dia</x:v>
      </x:c>
    </x:row>
    <x:row r="1093">
      <x:c r="A1093" s="13" t="str">
        <x:v>REC-001092</x:v>
      </x:c>
      <x:c r="B1093" s="23" t="n">
        <x:v>45843</x:v>
      </x:c>
      <x:c r="C1093" s="23" t="n">
        <x:v>45871</x:v>
      </x:c>
      <x:c r="D1093" s="23" t="n">
        <x:v>45871</x:v>
      </x:c>
      <x:c r="E1093" s="13" t="str">
        <x:v>VAL-026</x:v>
      </x:c>
      <x:c r="F1093" s="13" t="str">
        <x:v>Ribeiro Arquitetura</x:v>
      </x:c>
      <x:c r="G1093" s="13" t="str">
        <x:v>Serviços Profissionais</x:v>
      </x:c>
      <x:c r="H1093" s="13" t="str">
        <x:v>Baixo</x:v>
      </x:c>
      <x:c r="I1093" s="13" t="str">
        <x:v>Gestão</x:v>
      </x:c>
      <x:c r="J1093" s="17" t="n">
        <x:v>23658.22</x:v>
      </x:c>
      <x:c r="K1093" s="17" t="n">
        <x:v>0</x:v>
      </x:c>
      <x:c r="L1093" s="17" t="n">
        <x:v>0</x:v>
      </x:c>
      <x:c r="M1093" s="13" t="str">
        <x:v>Pago</x:v>
      </x:c>
      <x:c r="N1093" s="13" t="str">
        <x:v>Sem cobrança</x:v>
      </x:c>
      <x:c r="O1093" s="13" t="str">
        <x:v>Operação Clareza</x:v>
      </x:c>
      <x:c r="P1093" s="17" t="n">
        <x:f>IF(D1093="",0,J1093-K1093+L1093)</x:f>
        <x:v>23658.22</x:v>
      </x:c>
      <x:c r="Q1093" s="17" t="n">
        <x:f>MAX(J1093-P1093-K1093,0)</x:f>
        <x:v>0</x:v>
      </x:c>
      <x:c r="R1093" s="13" t="n">
        <x:f>IF(D1093="",MAX(TODAY()-C1093,0),MAX(D1093-C1093,0))</x:f>
        <x:v>0</x:v>
      </x:c>
      <x:c r="S1093" s="13" t="str">
        <x:f>IF(R1093=0,"Em dia",IF(R1093&lt;=15,"1-15 dias",IF(R1093&lt;=30,"16-30 dias",IF(R1093&lt;=60,"31-60 dias","Acima de 60 dias"))))</x:f>
        <x:v>Em dia</x:v>
      </x:c>
    </x:row>
    <x:row r="1094">
      <x:c r="A1094" s="13" t="str">
        <x:v>REC-001093</x:v>
      </x:c>
      <x:c r="B1094" s="23" t="n">
        <x:v>45841</x:v>
      </x:c>
      <x:c r="C1094" s="23" t="n">
        <x:v>45862</x:v>
      </x:c>
      <x:c r="D1094" s="23" t="n">
        <x:v>45861</x:v>
      </x:c>
      <x:c r="E1094" s="13" t="str">
        <x:v>VAL-011</x:v>
      </x:c>
      <x:c r="F1094" s="13" t="str">
        <x:v>Rede Essencial</x:v>
      </x:c>
      <x:c r="G1094" s="13" t="str">
        <x:v>Varejo</x:v>
      </x:c>
      <x:c r="H1094" s="13" t="str">
        <x:v>Médio</x:v>
      </x:c>
      <x:c r="I1094" s="13" t="str">
        <x:v>Performance</x:v>
      </x:c>
      <x:c r="J1094" s="17" t="n">
        <x:v>3088.45</x:v>
      </x:c>
      <x:c r="K1094" s="17" t="n">
        <x:v>0</x:v>
      </x:c>
      <x:c r="L1094" s="17" t="n">
        <x:v>0</x:v>
      </x:c>
      <x:c r="M1094" s="13" t="str">
        <x:v>Pago</x:v>
      </x:c>
      <x:c r="N1094" s="13" t="str">
        <x:v>Sem cobrança</x:v>
      </x:c>
      <x:c r="O1094" s="13" t="str">
        <x:v>Operação Clareza</x:v>
      </x:c>
      <x:c r="P1094" s="17" t="n">
        <x:f>IF(D1094="",0,J1094-K1094+L1094)</x:f>
        <x:v>3088.45</x:v>
      </x:c>
      <x:c r="Q1094" s="17" t="n">
        <x:f>MAX(J1094-P1094-K1094,0)</x:f>
        <x:v>0</x:v>
      </x:c>
      <x:c r="R1094" s="13" t="n">
        <x:f>IF(D1094="",MAX(TODAY()-C1094,0),MAX(D1094-C1094,0))</x:f>
        <x:v>0</x:v>
      </x:c>
      <x:c r="S1094" s="13" t="str">
        <x:f>IF(R1094=0,"Em dia",IF(R1094&lt;=15,"1-15 dias",IF(R1094&lt;=30,"16-30 dias",IF(R1094&lt;=60,"31-60 dias","Acima de 60 dias"))))</x:f>
        <x:v>Em dia</x:v>
      </x:c>
    </x:row>
    <x:row r="1095">
      <x:c r="A1095" s="13" t="str">
        <x:v>REC-001094</x:v>
      </x:c>
      <x:c r="B1095" s="23" t="n">
        <x:v>45844</x:v>
      </x:c>
      <x:c r="C1095" s="23" t="n">
        <x:v>45872</x:v>
      </x:c>
      <x:c r="D1095" s="23" t="n">
        <x:v>45870</x:v>
      </x:c>
      <x:c r="E1095" s="13" t="str">
        <x:v>VAL-023</x:v>
      </x:c>
      <x:c r="F1095" s="13" t="str">
        <x:v>ShopMix Brasil</x:v>
      </x:c>
      <x:c r="G1095" s="13" t="str">
        <x:v>E-commerce</x:v>
      </x:c>
      <x:c r="H1095" s="13" t="str">
        <x:v>Baixo</x:v>
      </x:c>
      <x:c r="I1095" s="13" t="str">
        <x:v>Performance</x:v>
      </x:c>
      <x:c r="J1095" s="17" t="n">
        <x:v>21801.64</x:v>
      </x:c>
      <x:c r="K1095" s="17" t="n">
        <x:v>0</x:v>
      </x:c>
      <x:c r="L1095" s="17" t="n">
        <x:v>0</x:v>
      </x:c>
      <x:c r="M1095" s="13" t="str">
        <x:v>Pago</x:v>
      </x:c>
      <x:c r="N1095" s="13" t="str">
        <x:v>Sem cobrança</x:v>
      </x:c>
      <x:c r="O1095" s="13" t="str">
        <x:v>Operação Clareza</x:v>
      </x:c>
      <x:c r="P1095" s="17" t="n">
        <x:f>IF(D1095="",0,J1095-K1095+L1095)</x:f>
        <x:v>21801.64</x:v>
      </x:c>
      <x:c r="Q1095" s="17" t="n">
        <x:f>MAX(J1095-P1095-K1095,0)</x:f>
        <x:v>0</x:v>
      </x:c>
      <x:c r="R1095" s="13" t="n">
        <x:f>IF(D1095="",MAX(TODAY()-C1095,0),MAX(D1095-C1095,0))</x:f>
        <x:v>0</x:v>
      </x:c>
      <x:c r="S1095" s="13" t="str">
        <x:f>IF(R1095=0,"Em dia",IF(R1095&lt;=15,"1-15 dias",IF(R1095&lt;=30,"16-30 dias",IF(R1095&lt;=60,"31-60 dias","Acima de 60 dias"))))</x:f>
        <x:v>Em dia</x:v>
      </x:c>
    </x:row>
    <x:row r="1096">
      <x:c r="A1096" s="13" t="str">
        <x:v>REC-001095</x:v>
      </x:c>
      <x:c r="B1096" s="23" t="n">
        <x:v>45848</x:v>
      </x:c>
      <x:c r="C1096" s="23" t="n">
        <x:v>45878</x:v>
      </x:c>
      <x:c r="D1096" s="23"/>
      <x:c r="E1096" s="13" t="str">
        <x:v>VAL-003</x:v>
      </x:c>
      <x:c r="F1096" s="13" t="str">
        <x:v>Casa Nova Varejo</x:v>
      </x:c>
      <x:c r="G1096" s="13" t="str">
        <x:v>Varejo</x:v>
      </x:c>
      <x:c r="H1096" s="13" t="str">
        <x:v>Baixo</x:v>
      </x:c>
      <x:c r="I1096" s="13" t="str">
        <x:v>Performance</x:v>
      </x:c>
      <x:c r="J1096" s="17" t="n">
        <x:v>25206.72</x:v>
      </x:c>
      <x:c r="K1096" s="17" t="n">
        <x:v>0</x:v>
      </x:c>
      <x:c r="L1096" s="17" t="n">
        <x:v>0</x:v>
      </x:c>
      <x:c r="M1096" s="13" t="str">
        <x:v>Em aberto</x:v>
      </x:c>
      <x:c r="N1096" s="13" t="str">
        <x:v>Negociação</x:v>
      </x:c>
      <x:c r="O1096" s="13" t="str">
        <x:v>Operação Clareza</x:v>
      </x:c>
      <x:c r="P1096" s="17" t="n">
        <x:f>IF(D1096="",0,J1096-K1096+L1096)</x:f>
        <x:v>0</x:v>
      </x:c>
      <x:c r="Q1096" s="17" t="n">
        <x:f>MAX(J1096-P1096-K1096,0)</x:f>
        <x:v>25206.72</x:v>
      </x:c>
      <x:c r="R1096" s="13" t="n">
        <x:f>IF(D1096="",MAX(TODAY()-C1096,0),MAX(D1096-C1096,0))</x:f>
        <x:v>335</x:v>
      </x:c>
      <x:c r="S1096" s="13" t="str">
        <x:f>IF(R1096=0,"Em dia",IF(R1096&lt;=15,"1-15 dias",IF(R1096&lt;=30,"16-30 dias",IF(R1096&lt;=60,"31-60 dias","Acima de 60 dias"))))</x:f>
        <x:v>Acima de 60 dias</x:v>
      </x:c>
    </x:row>
    <x:row r="1097">
      <x:c r="A1097" s="13" t="str">
        <x:v>REC-001096</x:v>
      </x:c>
      <x:c r="B1097" s="23" t="n">
        <x:v>45854</x:v>
      </x:c>
      <x:c r="C1097" s="23" t="n">
        <x:v>45884</x:v>
      </x:c>
      <x:c r="D1097" s="23" t="n">
        <x:v>45883</x:v>
      </x:c>
      <x:c r="E1097" s="13" t="str">
        <x:v>VAL-001</x:v>
      </x:c>
      <x:c r="F1097" s="13" t="str">
        <x:v>Clínica Horizonte</x:v>
      </x:c>
      <x:c r="G1097" s="13" t="str">
        <x:v>Clínicas e Saúde</x:v>
      </x:c>
      <x:c r="H1097" s="13" t="str">
        <x:v>Baixo</x:v>
      </x:c>
      <x:c r="I1097" s="13" t="str">
        <x:v>Essencial</x:v>
      </x:c>
      <x:c r="J1097" s="17" t="n">
        <x:v>18020.2</x:v>
      </x:c>
      <x:c r="K1097" s="17" t="n">
        <x:v>0</x:v>
      </x:c>
      <x:c r="L1097" s="17" t="n">
        <x:v>0</x:v>
      </x:c>
      <x:c r="M1097" s="13" t="str">
        <x:v>Pago</x:v>
      </x:c>
      <x:c r="N1097" s="13" t="str">
        <x:v>Sem cobrança</x:v>
      </x:c>
      <x:c r="O1097" s="13" t="str">
        <x:v>Operação Clareza</x:v>
      </x:c>
      <x:c r="P1097" s="17" t="n">
        <x:f>IF(D1097="",0,J1097-K1097+L1097)</x:f>
        <x:v>18020.2</x:v>
      </x:c>
      <x:c r="Q1097" s="17" t="n">
        <x:f>MAX(J1097-P1097-K1097,0)</x:f>
        <x:v>0</x:v>
      </x:c>
      <x:c r="R1097" s="13" t="n">
        <x:f>IF(D1097="",MAX(TODAY()-C1097,0),MAX(D1097-C1097,0))</x:f>
        <x:v>0</x:v>
      </x:c>
      <x:c r="S1097" s="13" t="str">
        <x:f>IF(R1097=0,"Em dia",IF(R1097&lt;=15,"1-15 dias",IF(R1097&lt;=30,"16-30 dias",IF(R1097&lt;=60,"31-60 dias","Acima de 60 dias"))))</x:f>
        <x:v>Em dia</x:v>
      </x:c>
    </x:row>
    <x:row r="1098">
      <x:c r="A1098" s="13" t="str">
        <x:v>REC-001097</x:v>
      </x:c>
      <x:c r="B1098" s="23" t="n">
        <x:v>45845</x:v>
      </x:c>
      <x:c r="C1098" s="23" t="n">
        <x:v>45860</x:v>
      </x:c>
      <x:c r="D1098" s="23" t="n">
        <x:v>45860</x:v>
      </x:c>
      <x:c r="E1098" s="13" t="str">
        <x:v>VAL-005</x:v>
      </x:c>
      <x:c r="F1098" s="13" t="str">
        <x:v>Construtora Alameda</x:v>
      </x:c>
      <x:c r="G1098" s="13" t="str">
        <x:v>Construção</x:v>
      </x:c>
      <x:c r="H1098" s="13" t="str">
        <x:v>Médio</x:v>
      </x:c>
      <x:c r="I1098" s="13" t="str">
        <x:v>Essencial</x:v>
      </x:c>
      <x:c r="J1098" s="17" t="n">
        <x:v>17288.79</x:v>
      </x:c>
      <x:c r="K1098" s="17" t="n">
        <x:v>0</x:v>
      </x:c>
      <x:c r="L1098" s="17" t="n">
        <x:v>0</x:v>
      </x:c>
      <x:c r="M1098" s="13" t="str">
        <x:v>Pago</x:v>
      </x:c>
      <x:c r="N1098" s="13" t="str">
        <x:v>Sem cobrança</x:v>
      </x:c>
      <x:c r="O1098" s="13" t="str">
        <x:v>Operação Clareza</x:v>
      </x:c>
      <x:c r="P1098" s="17" t="n">
        <x:f>IF(D1098="",0,J1098-K1098+L1098)</x:f>
        <x:v>17288.79</x:v>
      </x:c>
      <x:c r="Q1098" s="17" t="n">
        <x:f>MAX(J1098-P1098-K1098,0)</x:f>
        <x:v>0</x:v>
      </x:c>
      <x:c r="R1098" s="13" t="n">
        <x:f>IF(D1098="",MAX(TODAY()-C1098,0),MAX(D1098-C1098,0))</x:f>
        <x:v>0</x:v>
      </x:c>
      <x:c r="S1098" s="13" t="str">
        <x:f>IF(R1098=0,"Em dia",IF(R1098&lt;=15,"1-15 dias",IF(R1098&lt;=30,"16-30 dias",IF(R1098&lt;=60,"31-60 dias","Acima de 60 dias"))))</x:f>
        <x:v>Em dia</x:v>
      </x:c>
    </x:row>
    <x:row r="1099">
      <x:c r="A1099" s="13" t="str">
        <x:v>REC-001098</x:v>
      </x:c>
      <x:c r="B1099" s="23" t="n">
        <x:v>45856</x:v>
      </x:c>
      <x:c r="C1099" s="23" t="n">
        <x:v>45886</x:v>
      </x:c>
      <x:c r="D1099" s="23" t="n">
        <x:v>45911</x:v>
      </x:c>
      <x:c r="E1099" s="13" t="str">
        <x:v>VAL-022</x:v>
      </x:c>
      <x:c r="F1099" s="13" t="str">
        <x:v>Academia Evoluir</x:v>
      </x:c>
      <x:c r="G1099" s="13" t="str">
        <x:v>Educação</x:v>
      </x:c>
      <x:c r="H1099" s="13" t="str">
        <x:v>Alto</x:v>
      </x:c>
      <x:c r="I1099" s="13" t="str">
        <x:v>Gestão</x:v>
      </x:c>
      <x:c r="J1099" s="17" t="n">
        <x:v>14375.24</x:v>
      </x:c>
      <x:c r="K1099" s="17" t="n">
        <x:v>0</x:v>
      </x:c>
      <x:c r="L1099" s="17" t="n">
        <x:v>233.6</x:v>
      </x:c>
      <x:c r="M1099" s="13" t="str">
        <x:v>Pago com atraso</x:v>
      </x:c>
      <x:c r="N1099" s="13" t="str">
        <x:v>WhatsApp</x:v>
      </x:c>
      <x:c r="O1099" s="13" t="str">
        <x:v>Operação Clareza</x:v>
      </x:c>
      <x:c r="P1099" s="17" t="n">
        <x:f>IF(D1099="",0,J1099-K1099+L1099)</x:f>
        <x:v>14608.84</x:v>
      </x:c>
      <x:c r="Q1099" s="17" t="n">
        <x:f>MAX(J1099-P1099-K1099,0)</x:f>
        <x:v>0</x:v>
      </x:c>
      <x:c r="R1099" s="13" t="n">
        <x:f>IF(D1099="",MAX(TODAY()-C1099,0),MAX(D1099-C1099,0))</x:f>
        <x:v>25</x:v>
      </x:c>
      <x:c r="S1099" s="13" t="str">
        <x:f>IF(R1099=0,"Em dia",IF(R1099&lt;=15,"1-15 dias",IF(R1099&lt;=30,"16-30 dias",IF(R1099&lt;=60,"31-60 dias","Acima de 60 dias"))))</x:f>
        <x:v>16-30 dias</x:v>
      </x:c>
    </x:row>
    <x:row r="1100">
      <x:c r="A1100" s="13" t="str">
        <x:v>REC-001099</x:v>
      </x:c>
      <x:c r="B1100" s="23" t="n">
        <x:v>45848</x:v>
      </x:c>
      <x:c r="C1100" s="23" t="n">
        <x:v>45855</x:v>
      </x:c>
      <x:c r="D1100" s="23" t="n">
        <x:v>45855</x:v>
      </x:c>
      <x:c r="E1100" s="13" t="str">
        <x:v>VAL-026</x:v>
      </x:c>
      <x:c r="F1100" s="13" t="str">
        <x:v>Ribeiro Arquitetura</x:v>
      </x:c>
      <x:c r="G1100" s="13" t="str">
        <x:v>Serviços Profissionais</x:v>
      </x:c>
      <x:c r="H1100" s="13" t="str">
        <x:v>Baixo</x:v>
      </x:c>
      <x:c r="I1100" s="13" t="str">
        <x:v>Gestão</x:v>
      </x:c>
      <x:c r="J1100" s="17" t="n">
        <x:v>12665.42</x:v>
      </x:c>
      <x:c r="K1100" s="17" t="n">
        <x:v>0</x:v>
      </x:c>
      <x:c r="L1100" s="17" t="n">
        <x:v>0</x:v>
      </x:c>
      <x:c r="M1100" s="13" t="str">
        <x:v>Pago</x:v>
      </x:c>
      <x:c r="N1100" s="13" t="str">
        <x:v>Sem cobrança</x:v>
      </x:c>
      <x:c r="O1100" s="13" t="str">
        <x:v>Operação Clareza</x:v>
      </x:c>
      <x:c r="P1100" s="17" t="n">
        <x:f>IF(D1100="",0,J1100-K1100+L1100)</x:f>
        <x:v>12665.42</x:v>
      </x:c>
      <x:c r="Q1100" s="17" t="n">
        <x:f>MAX(J1100-P1100-K1100,0)</x:f>
        <x:v>0</x:v>
      </x:c>
      <x:c r="R1100" s="13" t="n">
        <x:f>IF(D1100="",MAX(TODAY()-C1100,0),MAX(D1100-C1100,0))</x:f>
        <x:v>0</x:v>
      </x:c>
      <x:c r="S1100" s="13" t="str">
        <x:f>IF(R1100=0,"Em dia",IF(R1100&lt;=15,"1-15 dias",IF(R1100&lt;=30,"16-30 dias",IF(R1100&lt;=60,"31-60 dias","Acima de 60 dias"))))</x:f>
        <x:v>Em dia</x:v>
      </x:c>
    </x:row>
    <x:row r="1101">
      <x:c r="A1101" s="13" t="str">
        <x:v>REC-001100</x:v>
      </x:c>
      <x:c r="B1101" s="23" t="n">
        <x:v>45849</x:v>
      </x:c>
      <x:c r="C1101" s="23" t="n">
        <x:v>45856</x:v>
      </x:c>
      <x:c r="D1101" s="23" t="n">
        <x:v>45855</x:v>
      </x:c>
      <x:c r="E1101" s="13" t="str">
        <x:v>VAL-020</x:v>
      </x:c>
      <x:c r="F1101" s="13" t="str">
        <x:v>Corelink Digital</x:v>
      </x:c>
      <x:c r="G1101" s="13" t="str">
        <x:v>Tecnologia</x:v>
      </x:c>
      <x:c r="H1101" s="13" t="str">
        <x:v>Baixo</x:v>
      </x:c>
      <x:c r="I1101" s="13" t="str">
        <x:v>Enterprise</x:v>
      </x:c>
      <x:c r="J1101" s="17" t="n">
        <x:v>6151.61</x:v>
      </x:c>
      <x:c r="K1101" s="17" t="n">
        <x:v>0</x:v>
      </x:c>
      <x:c r="L1101" s="17" t="n">
        <x:v>0</x:v>
      </x:c>
      <x:c r="M1101" s="13" t="str">
        <x:v>Pago</x:v>
      </x:c>
      <x:c r="N1101" s="13" t="str">
        <x:v>Sem cobrança</x:v>
      </x:c>
      <x:c r="O1101" s="13" t="str">
        <x:v>Operação Clareza</x:v>
      </x:c>
      <x:c r="P1101" s="17" t="n">
        <x:f>IF(D1101="",0,J1101-K1101+L1101)</x:f>
        <x:v>6151.61</x:v>
      </x:c>
      <x:c r="Q1101" s="17" t="n">
        <x:f>MAX(J1101-P1101-K1101,0)</x:f>
        <x:v>0</x:v>
      </x:c>
      <x:c r="R1101" s="13" t="n">
        <x:f>IF(D1101="",MAX(TODAY()-C1101,0),MAX(D1101-C1101,0))</x:f>
        <x:v>0</x:v>
      </x:c>
      <x:c r="S1101" s="13" t="str">
        <x:f>IF(R1101=0,"Em dia",IF(R1101&lt;=15,"1-15 dias",IF(R1101&lt;=30,"16-30 dias",IF(R1101&lt;=60,"31-60 dias","Acima de 60 dias"))))</x:f>
        <x:v>Em dia</x:v>
      </x:c>
    </x:row>
    <x:row r="1102">
      <x:c r="A1102" s="13" t="str">
        <x:v>REC-001101</x:v>
      </x:c>
      <x:c r="B1102" s="23" t="n">
        <x:v>45854</x:v>
      </x:c>
      <x:c r="C1102" s="23" t="n">
        <x:v>45875</x:v>
      </x:c>
      <x:c r="D1102" s="23" t="n">
        <x:v>45875</x:v>
      </x:c>
      <x:c r="E1102" s="13" t="str">
        <x:v>VAL-016</x:v>
      </x:c>
      <x:c r="F1102" s="13" t="str">
        <x:v>Lumina Embalagens</x:v>
      </x:c>
      <x:c r="G1102" s="13" t="str">
        <x:v>Indústria Leve</x:v>
      </x:c>
      <x:c r="H1102" s="13" t="str">
        <x:v>Baixo</x:v>
      </x:c>
      <x:c r="I1102" s="13" t="str">
        <x:v>Enterprise</x:v>
      </x:c>
      <x:c r="J1102" s="17" t="n">
        <x:v>19594.03</x:v>
      </x:c>
      <x:c r="K1102" s="17" t="n">
        <x:v>0</x:v>
      </x:c>
      <x:c r="L1102" s="17" t="n">
        <x:v>0</x:v>
      </x:c>
      <x:c r="M1102" s="13" t="str">
        <x:v>Pago</x:v>
      </x:c>
      <x:c r="N1102" s="13" t="str">
        <x:v>Sem cobrança</x:v>
      </x:c>
      <x:c r="O1102" s="13" t="str">
        <x:v>Operação Clareza</x:v>
      </x:c>
      <x:c r="P1102" s="17" t="n">
        <x:f>IF(D1102="",0,J1102-K1102+L1102)</x:f>
        <x:v>19594.03</x:v>
      </x:c>
      <x:c r="Q1102" s="17" t="n">
        <x:f>MAX(J1102-P1102-K1102,0)</x:f>
        <x:v>0</x:v>
      </x:c>
      <x:c r="R1102" s="13" t="n">
        <x:f>IF(D1102="",MAX(TODAY()-C1102,0),MAX(D1102-C1102,0))</x:f>
        <x:v>0</x:v>
      </x:c>
      <x:c r="S1102" s="13" t="str">
        <x:f>IF(R1102=0,"Em dia",IF(R1102&lt;=15,"1-15 dias",IF(R1102&lt;=30,"16-30 dias",IF(R1102&lt;=60,"31-60 dias","Acima de 60 dias"))))</x:f>
        <x:v>Em dia</x:v>
      </x:c>
    </x:row>
    <x:row r="1103">
      <x:c r="A1103" s="13" t="str">
        <x:v>REC-001102</x:v>
      </x:c>
      <x:c r="B1103" s="23" t="n">
        <x:v>45847</x:v>
      </x:c>
      <x:c r="C1103" s="23" t="n">
        <x:v>45862</x:v>
      </x:c>
      <x:c r="D1103" s="23" t="n">
        <x:v>45859</x:v>
      </x:c>
      <x:c r="E1103" s="13" t="str">
        <x:v>VAL-025</x:v>
      </x:c>
      <x:c r="F1103" s="13" t="str">
        <x:v>Bem-Estar Terapias</x:v>
      </x:c>
      <x:c r="G1103" s="13" t="str">
        <x:v>Clínicas e Saúde</x:v>
      </x:c>
      <x:c r="H1103" s="13" t="str">
        <x:v>Baixo</x:v>
      </x:c>
      <x:c r="I1103" s="13" t="str">
        <x:v>Essencial</x:v>
      </x:c>
      <x:c r="J1103" s="17" t="n">
        <x:v>2773.1</x:v>
      </x:c>
      <x:c r="K1103" s="17" t="n">
        <x:v>0</x:v>
      </x:c>
      <x:c r="L1103" s="17" t="n">
        <x:v>0</x:v>
      </x:c>
      <x:c r="M1103" s="13" t="str">
        <x:v>Pago</x:v>
      </x:c>
      <x:c r="N1103" s="13" t="str">
        <x:v>Sem cobrança</x:v>
      </x:c>
      <x:c r="O1103" s="13" t="str">
        <x:v>Operação Clareza</x:v>
      </x:c>
      <x:c r="P1103" s="17" t="n">
        <x:f>IF(D1103="",0,J1103-K1103+L1103)</x:f>
        <x:v>2773.1</x:v>
      </x:c>
      <x:c r="Q1103" s="17" t="n">
        <x:f>MAX(J1103-P1103-K1103,0)</x:f>
        <x:v>0</x:v>
      </x:c>
      <x:c r="R1103" s="13" t="n">
        <x:f>IF(D1103="",MAX(TODAY()-C1103,0),MAX(D1103-C1103,0))</x:f>
        <x:v>0</x:v>
      </x:c>
      <x:c r="S1103" s="13" t="str">
        <x:f>IF(R1103=0,"Em dia",IF(R1103&lt;=15,"1-15 dias",IF(R1103&lt;=30,"16-30 dias",IF(R1103&lt;=60,"31-60 dias","Acima de 60 dias"))))</x:f>
        <x:v>Em dia</x:v>
      </x:c>
    </x:row>
    <x:row r="1104">
      <x:c r="A1104" s="13" t="str">
        <x:v>REC-001103</x:v>
      </x:c>
      <x:c r="B1104" s="23" t="n">
        <x:v>45858</x:v>
      </x:c>
      <x:c r="C1104" s="23" t="n">
        <x:v>45865</x:v>
      </x:c>
      <x:c r="D1104" s="23" t="n">
        <x:v>45863</x:v>
      </x:c>
      <x:c r="E1104" s="13" t="str">
        <x:v>VAL-025</x:v>
      </x:c>
      <x:c r="F1104" s="13" t="str">
        <x:v>Bem-Estar Terapias</x:v>
      </x:c>
      <x:c r="G1104" s="13" t="str">
        <x:v>Clínicas e Saúde</x:v>
      </x:c>
      <x:c r="H1104" s="13" t="str">
        <x:v>Baixo</x:v>
      </x:c>
      <x:c r="I1104" s="13" t="str">
        <x:v>Essencial</x:v>
      </x:c>
      <x:c r="J1104" s="17" t="n">
        <x:v>25900.38</x:v>
      </x:c>
      <x:c r="K1104" s="17" t="n">
        <x:v>0</x:v>
      </x:c>
      <x:c r="L1104" s="17" t="n">
        <x:v>0</x:v>
      </x:c>
      <x:c r="M1104" s="13" t="str">
        <x:v>Pago</x:v>
      </x:c>
      <x:c r="N1104" s="13" t="str">
        <x:v>Sem cobrança</x:v>
      </x:c>
      <x:c r="O1104" s="13" t="str">
        <x:v>Operação Clareza</x:v>
      </x:c>
      <x:c r="P1104" s="17" t="n">
        <x:f>IF(D1104="",0,J1104-K1104+L1104)</x:f>
        <x:v>25900.38</x:v>
      </x:c>
      <x:c r="Q1104" s="17" t="n">
        <x:f>MAX(J1104-P1104-K1104,0)</x:f>
        <x:v>0</x:v>
      </x:c>
      <x:c r="R1104" s="13" t="n">
        <x:f>IF(D1104="",MAX(TODAY()-C1104,0),MAX(D1104-C1104,0))</x:f>
        <x:v>0</x:v>
      </x:c>
      <x:c r="S1104" s="13" t="str">
        <x:f>IF(R1104=0,"Em dia",IF(R1104&lt;=15,"1-15 dias",IF(R1104&lt;=30,"16-30 dias",IF(R1104&lt;=60,"31-60 dias","Acima de 60 dias"))))</x:f>
        <x:v>Em dia</x:v>
      </x:c>
    </x:row>
    <x:row r="1105">
      <x:c r="A1105" s="13" t="str">
        <x:v>REC-001104</x:v>
      </x:c>
      <x:c r="B1105" s="23" t="n">
        <x:v>45843</x:v>
      </x:c>
      <x:c r="C1105" s="23" t="n">
        <x:v>45873</x:v>
      </x:c>
      <x:c r="D1105" s="23" t="n">
        <x:v>45872</x:v>
      </x:c>
      <x:c r="E1105" s="13" t="str">
        <x:v>VAL-009</x:v>
      </x:c>
      <x:c r="F1105" s="13" t="str">
        <x:v>Odonto Prime</x:v>
      </x:c>
      <x:c r="G1105" s="13" t="str">
        <x:v>Clínicas e Saúde</x:v>
      </x:c>
      <x:c r="H1105" s="13" t="str">
        <x:v>Médio</x:v>
      </x:c>
      <x:c r="I1105" s="13" t="str">
        <x:v>Essencial</x:v>
      </x:c>
      <x:c r="J1105" s="17" t="n">
        <x:v>12929.07</x:v>
      </x:c>
      <x:c r="K1105" s="17" t="n">
        <x:v>0</x:v>
      </x:c>
      <x:c r="L1105" s="17" t="n">
        <x:v>0</x:v>
      </x:c>
      <x:c r="M1105" s="13" t="str">
        <x:v>Pago</x:v>
      </x:c>
      <x:c r="N1105" s="13" t="str">
        <x:v>Sem cobrança</x:v>
      </x:c>
      <x:c r="O1105" s="13" t="str">
        <x:v>Operação Clareza</x:v>
      </x:c>
      <x:c r="P1105" s="17" t="n">
        <x:f>IF(D1105="",0,J1105-K1105+L1105)</x:f>
        <x:v>12929.07</x:v>
      </x:c>
      <x:c r="Q1105" s="17" t="n">
        <x:f>MAX(J1105-P1105-K1105,0)</x:f>
        <x:v>0</x:v>
      </x:c>
      <x:c r="R1105" s="13" t="n">
        <x:f>IF(D1105="",MAX(TODAY()-C1105,0),MAX(D1105-C1105,0))</x:f>
        <x:v>0</x:v>
      </x:c>
      <x:c r="S1105" s="13" t="str">
        <x:f>IF(R1105=0,"Em dia",IF(R1105&lt;=15,"1-15 dias",IF(R1105&lt;=30,"16-30 dias",IF(R1105&lt;=60,"31-60 dias","Acima de 60 dias"))))</x:f>
        <x:v>Em dia</x:v>
      </x:c>
    </x:row>
    <x:row r="1106">
      <x:c r="A1106" s="13" t="str">
        <x:v>REC-001105</x:v>
      </x:c>
      <x:c r="B1106" s="23" t="n">
        <x:v>45840</x:v>
      </x:c>
      <x:c r="C1106" s="23" t="n">
        <x:v>45847</x:v>
      </x:c>
      <x:c r="D1106" s="23" t="n">
        <x:v>45845</x:v>
      </x:c>
      <x:c r="E1106" s="13" t="str">
        <x:v>VAL-022</x:v>
      </x:c>
      <x:c r="F1106" s="13" t="str">
        <x:v>Academia Evoluir</x:v>
      </x:c>
      <x:c r="G1106" s="13" t="str">
        <x:v>Educação</x:v>
      </x:c>
      <x:c r="H1106" s="13" t="str">
        <x:v>Alto</x:v>
      </x:c>
      <x:c r="I1106" s="13" t="str">
        <x:v>Gestão</x:v>
      </x:c>
      <x:c r="J1106" s="17" t="n">
        <x:v>15932.58</x:v>
      </x:c>
      <x:c r="K1106" s="17" t="n">
        <x:v>183.09</x:v>
      </x:c>
      <x:c r="L1106" s="17" t="n">
        <x:v>0</x:v>
      </x:c>
      <x:c r="M1106" s="13" t="str">
        <x:v>Pago</x:v>
      </x:c>
      <x:c r="N1106" s="13" t="str">
        <x:v>Sem cobrança</x:v>
      </x:c>
      <x:c r="O1106" s="13" t="str">
        <x:v>Operação Clareza</x:v>
      </x:c>
      <x:c r="P1106" s="17" t="n">
        <x:f>IF(D1106="",0,J1106-K1106+L1106)</x:f>
        <x:v>15749.49</x:v>
      </x:c>
      <x:c r="Q1106" s="17" t="n">
        <x:f>MAX(J1106-P1106-K1106,0)</x:f>
        <x:v>1.4210854715202004e-13</x:v>
      </x:c>
      <x:c r="R1106" s="13" t="n">
        <x:f>IF(D1106="",MAX(TODAY()-C1106,0),MAX(D1106-C1106,0))</x:f>
        <x:v>0</x:v>
      </x:c>
      <x:c r="S1106" s="13" t="str">
        <x:f>IF(R1106=0,"Em dia",IF(R1106&lt;=15,"1-15 dias",IF(R1106&lt;=30,"16-30 dias",IF(R1106&lt;=60,"31-60 dias","Acima de 60 dias"))))</x:f>
        <x:v>Em dia</x:v>
      </x:c>
    </x:row>
    <x:row r="1107">
      <x:c r="A1107" s="13" t="str">
        <x:v>REC-001106</x:v>
      </x:c>
      <x:c r="B1107" s="23" t="n">
        <x:v>45855</x:v>
      </x:c>
      <x:c r="C1107" s="23" t="n">
        <x:v>45870</x:v>
      </x:c>
      <x:c r="D1107" s="23" t="n">
        <x:v>45870</x:v>
      </x:c>
      <x:c r="E1107" s="13" t="str">
        <x:v>VAL-002</x:v>
      </x:c>
      <x:c r="F1107" s="13" t="str">
        <x:v>Mendes &amp; Prado Consultoria</x:v>
      </x:c>
      <x:c r="G1107" s="13" t="str">
        <x:v>Serviços Profissionais</x:v>
      </x:c>
      <x:c r="H1107" s="13" t="str">
        <x:v>Baixo</x:v>
      </x:c>
      <x:c r="I1107" s="13" t="str">
        <x:v>Gestão</x:v>
      </x:c>
      <x:c r="J1107" s="17" t="n">
        <x:v>14705.56</x:v>
      </x:c>
      <x:c r="K1107" s="17" t="n">
        <x:v>0</x:v>
      </x:c>
      <x:c r="L1107" s="17" t="n">
        <x:v>0</x:v>
      </x:c>
      <x:c r="M1107" s="13" t="str">
        <x:v>Pago</x:v>
      </x:c>
      <x:c r="N1107" s="13" t="str">
        <x:v>Sem cobrança</x:v>
      </x:c>
      <x:c r="O1107" s="13" t="str">
        <x:v>Operação Clareza</x:v>
      </x:c>
      <x:c r="P1107" s="17" t="n">
        <x:f>IF(D1107="",0,J1107-K1107+L1107)</x:f>
        <x:v>14705.56</x:v>
      </x:c>
      <x:c r="Q1107" s="17" t="n">
        <x:f>MAX(J1107-P1107-K1107,0)</x:f>
        <x:v>0</x:v>
      </x:c>
      <x:c r="R1107" s="13" t="n">
        <x:f>IF(D1107="",MAX(TODAY()-C1107,0),MAX(D1107-C1107,0))</x:f>
        <x:v>0</x:v>
      </x:c>
      <x:c r="S1107" s="13" t="str">
        <x:f>IF(R1107=0,"Em dia",IF(R1107&lt;=15,"1-15 dias",IF(R1107&lt;=30,"16-30 dias",IF(R1107&lt;=60,"31-60 dias","Acima de 60 dias"))))</x:f>
        <x:v>Em dia</x:v>
      </x:c>
    </x:row>
    <x:row r="1108">
      <x:c r="A1108" s="13" t="str">
        <x:v>REC-001107</x:v>
      </x:c>
      <x:c r="B1108" s="23" t="n">
        <x:v>45850</x:v>
      </x:c>
      <x:c r="C1108" s="23" t="n">
        <x:v>45857</x:v>
      </x:c>
      <x:c r="D1108" s="23" t="n">
        <x:v>45853</x:v>
      </x:c>
      <x:c r="E1108" s="13" t="str">
        <x:v>VAL-003</x:v>
      </x:c>
      <x:c r="F1108" s="13" t="str">
        <x:v>Casa Nova Varejo</x:v>
      </x:c>
      <x:c r="G1108" s="13" t="str">
        <x:v>Varejo</x:v>
      </x:c>
      <x:c r="H1108" s="13" t="str">
        <x:v>Baixo</x:v>
      </x:c>
      <x:c r="I1108" s="13" t="str">
        <x:v>Performance</x:v>
      </x:c>
      <x:c r="J1108" s="17" t="n">
        <x:v>34096.78</x:v>
      </x:c>
      <x:c r="K1108" s="17" t="n">
        <x:v>0</x:v>
      </x:c>
      <x:c r="L1108" s="17" t="n">
        <x:v>0</x:v>
      </x:c>
      <x:c r="M1108" s="13" t="str">
        <x:v>Pago</x:v>
      </x:c>
      <x:c r="N1108" s="13" t="str">
        <x:v>Sem cobrança</x:v>
      </x:c>
      <x:c r="O1108" s="13" t="str">
        <x:v>Operação Clareza</x:v>
      </x:c>
      <x:c r="P1108" s="17" t="n">
        <x:f>IF(D1108="",0,J1108-K1108+L1108)</x:f>
        <x:v>34096.78</x:v>
      </x:c>
      <x:c r="Q1108" s="17" t="n">
        <x:f>MAX(J1108-P1108-K1108,0)</x:f>
        <x:v>0</x:v>
      </x:c>
      <x:c r="R1108" s="13" t="n">
        <x:f>IF(D1108="",MAX(TODAY()-C1108,0),MAX(D1108-C1108,0))</x:f>
        <x:v>0</x:v>
      </x:c>
      <x:c r="S1108" s="13" t="str">
        <x:f>IF(R1108=0,"Em dia",IF(R1108&lt;=15,"1-15 dias",IF(R1108&lt;=30,"16-30 dias",IF(R1108&lt;=60,"31-60 dias","Acima de 60 dias"))))</x:f>
        <x:v>Em dia</x:v>
      </x:c>
    </x:row>
    <x:row r="1109">
      <x:c r="A1109" s="13" t="str">
        <x:v>REC-001108</x:v>
      </x:c>
      <x:c r="B1109" s="23" t="n">
        <x:v>45843</x:v>
      </x:c>
      <x:c r="C1109" s="23" t="n">
        <x:v>45873</x:v>
      </x:c>
      <x:c r="D1109" s="23" t="n">
        <x:v>45870</x:v>
      </x:c>
      <x:c r="E1109" s="13" t="str">
        <x:v>VAL-007</x:v>
      </x:c>
      <x:c r="F1109" s="13" t="str">
        <x:v>Loja Prisma Online</x:v>
      </x:c>
      <x:c r="G1109" s="13" t="str">
        <x:v>E-commerce</x:v>
      </x:c>
      <x:c r="H1109" s="13" t="str">
        <x:v>Médio</x:v>
      </x:c>
      <x:c r="I1109" s="13" t="str">
        <x:v>Performance</x:v>
      </x:c>
      <x:c r="J1109" s="17" t="n">
        <x:v>9136.35</x:v>
      </x:c>
      <x:c r="K1109" s="17" t="n">
        <x:v>0</x:v>
      </x:c>
      <x:c r="L1109" s="17" t="n">
        <x:v>0</x:v>
      </x:c>
      <x:c r="M1109" s="13" t="str">
        <x:v>Pago</x:v>
      </x:c>
      <x:c r="N1109" s="13" t="str">
        <x:v>Sem cobrança</x:v>
      </x:c>
      <x:c r="O1109" s="13" t="str">
        <x:v>Operação Clareza</x:v>
      </x:c>
      <x:c r="P1109" s="17" t="n">
        <x:f>IF(D1109="",0,J1109-K1109+L1109)</x:f>
        <x:v>9136.35</x:v>
      </x:c>
      <x:c r="Q1109" s="17" t="n">
        <x:f>MAX(J1109-P1109-K1109,0)</x:f>
        <x:v>0</x:v>
      </x:c>
      <x:c r="R1109" s="13" t="n">
        <x:f>IF(D1109="",MAX(TODAY()-C1109,0),MAX(D1109-C1109,0))</x:f>
        <x:v>0</x:v>
      </x:c>
      <x:c r="S1109" s="13" t="str">
        <x:f>IF(R1109=0,"Em dia",IF(R1109&lt;=15,"1-15 dias",IF(R1109&lt;=30,"16-30 dias",IF(R1109&lt;=60,"31-60 dias","Acima de 60 dias"))))</x:f>
        <x:v>Em dia</x:v>
      </x:c>
    </x:row>
    <x:row r="1110">
      <x:c r="A1110" s="13" t="str">
        <x:v>REC-001109</x:v>
      </x:c>
      <x:c r="B1110" s="23" t="n">
        <x:v>45841</x:v>
      </x:c>
      <x:c r="C1110" s="23" t="n">
        <x:v>45848</x:v>
      </x:c>
      <x:c r="D1110" s="23" t="n">
        <x:v>45847</x:v>
      </x:c>
      <x:c r="E1110" s="13" t="str">
        <x:v>VAL-010</x:v>
      </x:c>
      <x:c r="F1110" s="13" t="str">
        <x:v>Atlas Contabilidade</x:v>
      </x:c>
      <x:c r="G1110" s="13" t="str">
        <x:v>Serviços Profissionais</x:v>
      </x:c>
      <x:c r="H1110" s="13" t="str">
        <x:v>Baixo</x:v>
      </x:c>
      <x:c r="I1110" s="13" t="str">
        <x:v>Gestão</x:v>
      </x:c>
      <x:c r="J1110" s="17" t="n">
        <x:v>1351.25</x:v>
      </x:c>
      <x:c r="K1110" s="17" t="n">
        <x:v>0</x:v>
      </x:c>
      <x:c r="L1110" s="17" t="n">
        <x:v>0</x:v>
      </x:c>
      <x:c r="M1110" s="13" t="str">
        <x:v>Pago</x:v>
      </x:c>
      <x:c r="N1110" s="13" t="str">
        <x:v>Sem cobrança</x:v>
      </x:c>
      <x:c r="O1110" s="13" t="str">
        <x:v>Operação Clareza</x:v>
      </x:c>
      <x:c r="P1110" s="17" t="n">
        <x:f>IF(D1110="",0,J1110-K1110+L1110)</x:f>
        <x:v>1351.25</x:v>
      </x:c>
      <x:c r="Q1110" s="17" t="n">
        <x:f>MAX(J1110-P1110-K1110,0)</x:f>
        <x:v>0</x:v>
      </x:c>
      <x:c r="R1110" s="13" t="n">
        <x:f>IF(D1110="",MAX(TODAY()-C1110,0),MAX(D1110-C1110,0))</x:f>
        <x:v>0</x:v>
      </x:c>
      <x:c r="S1110" s="13" t="str">
        <x:f>IF(R1110=0,"Em dia",IF(R1110&lt;=15,"1-15 dias",IF(R1110&lt;=30,"16-30 dias",IF(R1110&lt;=60,"31-60 dias","Acima de 60 dias"))))</x:f>
        <x:v>Em dia</x:v>
      </x:c>
    </x:row>
    <x:row r="1111">
      <x:c r="A1111" s="13" t="str">
        <x:v>REC-001110</x:v>
      </x:c>
      <x:c r="B1111" s="23" t="n">
        <x:v>45851</x:v>
      </x:c>
      <x:c r="C1111" s="23" t="n">
        <x:v>45872</x:v>
      </x:c>
      <x:c r="D1111" s="23" t="n">
        <x:v>45872</x:v>
      </x:c>
      <x:c r="E1111" s="13" t="str">
        <x:v>VAL-028</x:v>
      </x:c>
      <x:c r="F1111" s="13" t="str">
        <x:v>Pixel Norte</x:v>
      </x:c>
      <x:c r="G1111" s="13" t="str">
        <x:v>Tecnologia</x:v>
      </x:c>
      <x:c r="H1111" s="13" t="str">
        <x:v>Alto</x:v>
      </x:c>
      <x:c r="I1111" s="13" t="str">
        <x:v>Enterprise</x:v>
      </x:c>
      <x:c r="J1111" s="17" t="n">
        <x:v>32742.68</x:v>
      </x:c>
      <x:c r="K1111" s="17" t="n">
        <x:v>0</x:v>
      </x:c>
      <x:c r="L1111" s="17" t="n">
        <x:v>0</x:v>
      </x:c>
      <x:c r="M1111" s="13" t="str">
        <x:v>Pago</x:v>
      </x:c>
      <x:c r="N1111" s="13" t="str">
        <x:v>Sem cobrança</x:v>
      </x:c>
      <x:c r="O1111" s="13" t="str">
        <x:v>Operação Clareza</x:v>
      </x:c>
      <x:c r="P1111" s="17" t="n">
        <x:f>IF(D1111="",0,J1111-K1111+L1111)</x:f>
        <x:v>32742.68</x:v>
      </x:c>
      <x:c r="Q1111" s="17" t="n">
        <x:f>MAX(J1111-P1111-K1111,0)</x:f>
        <x:v>0</x:v>
      </x:c>
      <x:c r="R1111" s="13" t="n">
        <x:f>IF(D1111="",MAX(TODAY()-C1111,0),MAX(D1111-C1111,0))</x:f>
        <x:v>0</x:v>
      </x:c>
      <x:c r="S1111" s="13" t="str">
        <x:f>IF(R1111=0,"Em dia",IF(R1111&lt;=15,"1-15 dias",IF(R1111&lt;=30,"16-30 dias",IF(R1111&lt;=60,"31-60 dias","Acima de 60 dias"))))</x:f>
        <x:v>Em dia</x:v>
      </x:c>
    </x:row>
    <x:row r="1112">
      <x:c r="A1112" s="13" t="str">
        <x:v>REC-001111</x:v>
      </x:c>
      <x:c r="B1112" s="23" t="n">
        <x:v>45856</x:v>
      </x:c>
      <x:c r="C1112" s="23" t="n">
        <x:v>45886</x:v>
      </x:c>
      <x:c r="D1112" s="23" t="n">
        <x:v>45882</x:v>
      </x:c>
      <x:c r="E1112" s="13" t="str">
        <x:v>VAL-016</x:v>
      </x:c>
      <x:c r="F1112" s="13" t="str">
        <x:v>Lumina Embalagens</x:v>
      </x:c>
      <x:c r="G1112" s="13" t="str">
        <x:v>Indústria Leve</x:v>
      </x:c>
      <x:c r="H1112" s="13" t="str">
        <x:v>Baixo</x:v>
      </x:c>
      <x:c r="I1112" s="13" t="str">
        <x:v>Enterprise</x:v>
      </x:c>
      <x:c r="J1112" s="17" t="n">
        <x:v>27711.93</x:v>
      </x:c>
      <x:c r="K1112" s="17" t="n">
        <x:v>0</x:v>
      </x:c>
      <x:c r="L1112" s="17" t="n">
        <x:v>0</x:v>
      </x:c>
      <x:c r="M1112" s="13" t="str">
        <x:v>Pago</x:v>
      </x:c>
      <x:c r="N1112" s="13" t="str">
        <x:v>Sem cobrança</x:v>
      </x:c>
      <x:c r="O1112" s="13" t="str">
        <x:v>Operação Clareza</x:v>
      </x:c>
      <x:c r="P1112" s="17" t="n">
        <x:f>IF(D1112="",0,J1112-K1112+L1112)</x:f>
        <x:v>27711.93</x:v>
      </x:c>
      <x:c r="Q1112" s="17" t="n">
        <x:f>MAX(J1112-P1112-K1112,0)</x:f>
        <x:v>0</x:v>
      </x:c>
      <x:c r="R1112" s="13" t="n">
        <x:f>IF(D1112="",MAX(TODAY()-C1112,0),MAX(D1112-C1112,0))</x:f>
        <x:v>0</x:v>
      </x:c>
      <x:c r="S1112" s="13" t="str">
        <x:f>IF(R1112=0,"Em dia",IF(R1112&lt;=15,"1-15 dias",IF(R1112&lt;=30,"16-30 dias",IF(R1112&lt;=60,"31-60 dias","Acima de 60 dias"))))</x:f>
        <x:v>Em dia</x:v>
      </x:c>
    </x:row>
    <x:row r="1113">
      <x:c r="A1113" s="13" t="str">
        <x:v>REC-001112</x:v>
      </x:c>
      <x:c r="B1113" s="23" t="n">
        <x:v>45858</x:v>
      </x:c>
      <x:c r="C1113" s="23" t="n">
        <x:v>45886</x:v>
      </x:c>
      <x:c r="D1113" s="23" t="n">
        <x:v>45883</x:v>
      </x:c>
      <x:c r="E1113" s="13" t="str">
        <x:v>VAL-011</x:v>
      </x:c>
      <x:c r="F1113" s="13" t="str">
        <x:v>Rede Essencial</x:v>
      </x:c>
      <x:c r="G1113" s="13" t="str">
        <x:v>Varejo</x:v>
      </x:c>
      <x:c r="H1113" s="13" t="str">
        <x:v>Médio</x:v>
      </x:c>
      <x:c r="I1113" s="13" t="str">
        <x:v>Performance</x:v>
      </x:c>
      <x:c r="J1113" s="17" t="n">
        <x:v>6964.36</x:v>
      </x:c>
      <x:c r="K1113" s="17" t="n">
        <x:v>0</x:v>
      </x:c>
      <x:c r="L1113" s="17" t="n">
        <x:v>0</x:v>
      </x:c>
      <x:c r="M1113" s="13" t="str">
        <x:v>Pago</x:v>
      </x:c>
      <x:c r="N1113" s="13" t="str">
        <x:v>Sem cobrança</x:v>
      </x:c>
      <x:c r="O1113" s="13" t="str">
        <x:v>Operação Clareza</x:v>
      </x:c>
      <x:c r="P1113" s="17" t="n">
        <x:f>IF(D1113="",0,J1113-K1113+L1113)</x:f>
        <x:v>6964.36</x:v>
      </x:c>
      <x:c r="Q1113" s="17" t="n">
        <x:f>MAX(J1113-P1113-K1113,0)</x:f>
        <x:v>0</x:v>
      </x:c>
      <x:c r="R1113" s="13" t="n">
        <x:f>IF(D1113="",MAX(TODAY()-C1113,0),MAX(D1113-C1113,0))</x:f>
        <x:v>0</x:v>
      </x:c>
      <x:c r="S1113" s="13" t="str">
        <x:f>IF(R1113=0,"Em dia",IF(R1113&lt;=15,"1-15 dias",IF(R1113&lt;=30,"16-30 dias",IF(R1113&lt;=60,"31-60 dias","Acima de 60 dias"))))</x:f>
        <x:v>Em dia</x:v>
      </x:c>
    </x:row>
    <x:row r="1114">
      <x:c r="A1114" s="13" t="str">
        <x:v>REC-001113</x:v>
      </x:c>
      <x:c r="B1114" s="23" t="n">
        <x:v>45847</x:v>
      </x:c>
      <x:c r="C1114" s="23" t="n">
        <x:v>45875</x:v>
      </x:c>
      <x:c r="D1114" s="23" t="n">
        <x:v>45872</x:v>
      </x:c>
      <x:c r="E1114" s="13" t="str">
        <x:v>VAL-007</x:v>
      </x:c>
      <x:c r="F1114" s="13" t="str">
        <x:v>Loja Prisma Online</x:v>
      </x:c>
      <x:c r="G1114" s="13" t="str">
        <x:v>E-commerce</x:v>
      </x:c>
      <x:c r="H1114" s="13" t="str">
        <x:v>Médio</x:v>
      </x:c>
      <x:c r="I1114" s="13" t="str">
        <x:v>Performance</x:v>
      </x:c>
      <x:c r="J1114" s="17" t="n">
        <x:v>17375.11</x:v>
      </x:c>
      <x:c r="K1114" s="17" t="n">
        <x:v>0</x:v>
      </x:c>
      <x:c r="L1114" s="17" t="n">
        <x:v>0</x:v>
      </x:c>
      <x:c r="M1114" s="13" t="str">
        <x:v>Pago</x:v>
      </x:c>
      <x:c r="N1114" s="13" t="str">
        <x:v>Sem cobrança</x:v>
      </x:c>
      <x:c r="O1114" s="13" t="str">
        <x:v>Operação Clareza</x:v>
      </x:c>
      <x:c r="P1114" s="17" t="n">
        <x:f>IF(D1114="",0,J1114-K1114+L1114)</x:f>
        <x:v>17375.11</x:v>
      </x:c>
      <x:c r="Q1114" s="17" t="n">
        <x:f>MAX(J1114-P1114-K1114,0)</x:f>
        <x:v>0</x:v>
      </x:c>
      <x:c r="R1114" s="13" t="n">
        <x:f>IF(D1114="",MAX(TODAY()-C1114,0),MAX(D1114-C1114,0))</x:f>
        <x:v>0</x:v>
      </x:c>
      <x:c r="S1114" s="13" t="str">
        <x:f>IF(R1114=0,"Em dia",IF(R1114&lt;=15,"1-15 dias",IF(R1114&lt;=30,"16-30 dias",IF(R1114&lt;=60,"31-60 dias","Acima de 60 dias"))))</x:f>
        <x:v>Em dia</x:v>
      </x:c>
    </x:row>
    <x:row r="1115">
      <x:c r="A1115" s="13" t="str">
        <x:v>REC-001114</x:v>
      </x:c>
      <x:c r="B1115" s="23" t="n">
        <x:v>45849</x:v>
      </x:c>
      <x:c r="C1115" s="23" t="n">
        <x:v>45856</x:v>
      </x:c>
      <x:c r="D1115" s="23" t="n">
        <x:v>45853</x:v>
      </x:c>
      <x:c r="E1115" s="13" t="str">
        <x:v>VAL-004</x:v>
      </x:c>
      <x:c r="F1115" s="13" t="str">
        <x:v>NuvemBase Tecnologia</x:v>
      </x:c>
      <x:c r="G1115" s="13" t="str">
        <x:v>Tecnologia</x:v>
      </x:c>
      <x:c r="H1115" s="13" t="str">
        <x:v>Baixo</x:v>
      </x:c>
      <x:c r="I1115" s="13" t="str">
        <x:v>Enterprise</x:v>
      </x:c>
      <x:c r="J1115" s="17" t="n">
        <x:v>12852.02</x:v>
      </x:c>
      <x:c r="K1115" s="17" t="n">
        <x:v>0</x:v>
      </x:c>
      <x:c r="L1115" s="17" t="n">
        <x:v>0</x:v>
      </x:c>
      <x:c r="M1115" s="13" t="str">
        <x:v>Pago</x:v>
      </x:c>
      <x:c r="N1115" s="13" t="str">
        <x:v>Sem cobrança</x:v>
      </x:c>
      <x:c r="O1115" s="13" t="str">
        <x:v>Operação Clareza</x:v>
      </x:c>
      <x:c r="P1115" s="17" t="n">
        <x:f>IF(D1115="",0,J1115-K1115+L1115)</x:f>
        <x:v>12852.02</x:v>
      </x:c>
      <x:c r="Q1115" s="17" t="n">
        <x:f>MAX(J1115-P1115-K1115,0)</x:f>
        <x:v>0</x:v>
      </x:c>
      <x:c r="R1115" s="13" t="n">
        <x:f>IF(D1115="",MAX(TODAY()-C1115,0),MAX(D1115-C1115,0))</x:f>
        <x:v>0</x:v>
      </x:c>
      <x:c r="S1115" s="13" t="str">
        <x:f>IF(R1115=0,"Em dia",IF(R1115&lt;=15,"1-15 dias",IF(R1115&lt;=30,"16-30 dias",IF(R1115&lt;=60,"31-60 dias","Acima de 60 dias"))))</x:f>
        <x:v>Em dia</x:v>
      </x:c>
    </x:row>
    <x:row r="1116">
      <x:c r="A1116" s="13" t="str">
        <x:v>REC-001115</x:v>
      </x:c>
      <x:c r="B1116" s="23" t="n">
        <x:v>45839</x:v>
      </x:c>
      <x:c r="C1116" s="23" t="n">
        <x:v>45854</x:v>
      </x:c>
      <x:c r="D1116" s="23" t="n">
        <x:v>45851</x:v>
      </x:c>
      <x:c r="E1116" s="13" t="str">
        <x:v>VAL-007</x:v>
      </x:c>
      <x:c r="F1116" s="13" t="str">
        <x:v>Loja Prisma Online</x:v>
      </x:c>
      <x:c r="G1116" s="13" t="str">
        <x:v>E-commerce</x:v>
      </x:c>
      <x:c r="H1116" s="13" t="str">
        <x:v>Médio</x:v>
      </x:c>
      <x:c r="I1116" s="13" t="str">
        <x:v>Performance</x:v>
      </x:c>
      <x:c r="J1116" s="17" t="n">
        <x:v>11583.47</x:v>
      </x:c>
      <x:c r="K1116" s="17" t="n">
        <x:v>93.72</x:v>
      </x:c>
      <x:c r="L1116" s="17" t="n">
        <x:v>0</x:v>
      </x:c>
      <x:c r="M1116" s="13" t="str">
        <x:v>Pago</x:v>
      </x:c>
      <x:c r="N1116" s="13" t="str">
        <x:v>Sem cobrança</x:v>
      </x:c>
      <x:c r="O1116" s="13" t="str">
        <x:v>Operação Clareza</x:v>
      </x:c>
      <x:c r="P1116" s="17" t="n">
        <x:f>IF(D1116="",0,J1116-K1116+L1116)</x:f>
        <x:v>11489.75</x:v>
      </x:c>
      <x:c r="Q1116" s="17" t="n">
        <x:f>MAX(J1116-P1116-K1116,0)</x:f>
        <x:v>0</x:v>
      </x:c>
      <x:c r="R1116" s="13" t="n">
        <x:f>IF(D1116="",MAX(TODAY()-C1116,0),MAX(D1116-C1116,0))</x:f>
        <x:v>0</x:v>
      </x:c>
      <x:c r="S1116" s="13" t="str">
        <x:f>IF(R1116=0,"Em dia",IF(R1116&lt;=15,"1-15 dias",IF(R1116&lt;=30,"16-30 dias",IF(R1116&lt;=60,"31-60 dias","Acima de 60 dias"))))</x:f>
        <x:v>Em dia</x:v>
      </x:c>
    </x:row>
    <x:row r="1117">
      <x:c r="A1117" s="13" t="str">
        <x:v>REC-001116</x:v>
      </x:c>
      <x:c r="B1117" s="23" t="n">
        <x:v>45856</x:v>
      </x:c>
      <x:c r="C1117" s="23" t="n">
        <x:v>45877</x:v>
      </x:c>
      <x:c r="D1117" s="23" t="n">
        <x:v>45904</x:v>
      </x:c>
      <x:c r="E1117" s="13" t="str">
        <x:v>VAL-025</x:v>
      </x:c>
      <x:c r="F1117" s="13" t="str">
        <x:v>Bem-Estar Terapias</x:v>
      </x:c>
      <x:c r="G1117" s="13" t="str">
        <x:v>Clínicas e Saúde</x:v>
      </x:c>
      <x:c r="H1117" s="13" t="str">
        <x:v>Baixo</x:v>
      </x:c>
      <x:c r="I1117" s="13" t="str">
        <x:v>Essencial</x:v>
      </x:c>
      <x:c r="J1117" s="17" t="n">
        <x:v>19825.84</x:v>
      </x:c>
      <x:c r="K1117" s="17" t="n">
        <x:v>0</x:v>
      </x:c>
      <x:c r="L1117" s="17" t="n">
        <x:v>347.94</x:v>
      </x:c>
      <x:c r="M1117" s="13" t="str">
        <x:v>Pago com atraso</x:v>
      </x:c>
      <x:c r="N1117" s="13" t="str">
        <x:v>Régua automática</x:v>
      </x:c>
      <x:c r="O1117" s="13" t="str">
        <x:v>Operação Clareza</x:v>
      </x:c>
      <x:c r="P1117" s="17" t="n">
        <x:f>IF(D1117="",0,J1117-K1117+L1117)</x:f>
        <x:v>20173.78</x:v>
      </x:c>
      <x:c r="Q1117" s="17" t="n">
        <x:f>MAX(J1117-P1117-K1117,0)</x:f>
        <x:v>0</x:v>
      </x:c>
      <x:c r="R1117" s="13" t="n">
        <x:f>IF(D1117="",MAX(TODAY()-C1117,0),MAX(D1117-C1117,0))</x:f>
        <x:v>27</x:v>
      </x:c>
      <x:c r="S1117" s="13" t="str">
        <x:f>IF(R1117=0,"Em dia",IF(R1117&lt;=15,"1-15 dias",IF(R1117&lt;=30,"16-30 dias",IF(R1117&lt;=60,"31-60 dias","Acima de 60 dias"))))</x:f>
        <x:v>16-30 dias</x:v>
      </x:c>
    </x:row>
    <x:row r="1118">
      <x:c r="A1118" s="13" t="str">
        <x:v>REC-001117</x:v>
      </x:c>
      <x:c r="B1118" s="23" t="n">
        <x:v>45845</x:v>
      </x:c>
      <x:c r="C1118" s="23" t="n">
        <x:v>45852</x:v>
      </x:c>
      <x:c r="D1118" s="23" t="n">
        <x:v>45851</x:v>
      </x:c>
      <x:c r="E1118" s="13" t="str">
        <x:v>VAL-004</x:v>
      </x:c>
      <x:c r="F1118" s="13" t="str">
        <x:v>NuvemBase Tecnologia</x:v>
      </x:c>
      <x:c r="G1118" s="13" t="str">
        <x:v>Tecnologia</x:v>
      </x:c>
      <x:c r="H1118" s="13" t="str">
        <x:v>Baixo</x:v>
      </x:c>
      <x:c r="I1118" s="13" t="str">
        <x:v>Enterprise</x:v>
      </x:c>
      <x:c r="J1118" s="17" t="n">
        <x:v>15931.42</x:v>
      </x:c>
      <x:c r="K1118" s="17" t="n">
        <x:v>0</x:v>
      </x:c>
      <x:c r="L1118" s="17" t="n">
        <x:v>0</x:v>
      </x:c>
      <x:c r="M1118" s="13" t="str">
        <x:v>Pago</x:v>
      </x:c>
      <x:c r="N1118" s="13" t="str">
        <x:v>Sem cobrança</x:v>
      </x:c>
      <x:c r="O1118" s="13" t="str">
        <x:v>Operação Clareza</x:v>
      </x:c>
      <x:c r="P1118" s="17" t="n">
        <x:f>IF(D1118="",0,J1118-K1118+L1118)</x:f>
        <x:v>15931.42</x:v>
      </x:c>
      <x:c r="Q1118" s="17" t="n">
        <x:f>MAX(J1118-P1118-K1118,0)</x:f>
        <x:v>0</x:v>
      </x:c>
      <x:c r="R1118" s="13" t="n">
        <x:f>IF(D1118="",MAX(TODAY()-C1118,0),MAX(D1118-C1118,0))</x:f>
        <x:v>0</x:v>
      </x:c>
      <x:c r="S1118" s="13" t="str">
        <x:f>IF(R1118=0,"Em dia",IF(R1118&lt;=15,"1-15 dias",IF(R1118&lt;=30,"16-30 dias",IF(R1118&lt;=60,"31-60 dias","Acima de 60 dias"))))</x:f>
        <x:v>Em dia</x:v>
      </x:c>
    </x:row>
    <x:row r="1119">
      <x:c r="A1119" s="13" t="str">
        <x:v>REC-001118</x:v>
      </x:c>
      <x:c r="B1119" s="23" t="n">
        <x:v>45854</x:v>
      </x:c>
      <x:c r="C1119" s="23" t="n">
        <x:v>45869</x:v>
      </x:c>
      <x:c r="D1119" s="23" t="n">
        <x:v>45866</x:v>
      </x:c>
      <x:c r="E1119" s="13" t="str">
        <x:v>VAL-025</x:v>
      </x:c>
      <x:c r="F1119" s="13" t="str">
        <x:v>Bem-Estar Terapias</x:v>
      </x:c>
      <x:c r="G1119" s="13" t="str">
        <x:v>Clínicas e Saúde</x:v>
      </x:c>
      <x:c r="H1119" s="13" t="str">
        <x:v>Baixo</x:v>
      </x:c>
      <x:c r="I1119" s="13" t="str">
        <x:v>Essencial</x:v>
      </x:c>
      <x:c r="J1119" s="17" t="n">
        <x:v>19195.44</x:v>
      </x:c>
      <x:c r="K1119" s="17" t="n">
        <x:v>181.7</x:v>
      </x:c>
      <x:c r="L1119" s="17" t="n">
        <x:v>0</x:v>
      </x:c>
      <x:c r="M1119" s="13" t="str">
        <x:v>Pago</x:v>
      </x:c>
      <x:c r="N1119" s="13" t="str">
        <x:v>Sem cobrança</x:v>
      </x:c>
      <x:c r="O1119" s="13" t="str">
        <x:v>Operação Clareza</x:v>
      </x:c>
      <x:c r="P1119" s="17" t="n">
        <x:f>IF(D1119="",0,J1119-K1119+L1119)</x:f>
        <x:v>19013.739999999998</x:v>
      </x:c>
      <x:c r="Q1119" s="17" t="n">
        <x:f>MAX(J1119-P1119-K1119,0)</x:f>
        <x:v>7.389644451905042e-13</x:v>
      </x:c>
      <x:c r="R1119" s="13" t="n">
        <x:f>IF(D1119="",MAX(TODAY()-C1119,0),MAX(D1119-C1119,0))</x:f>
        <x:v>0</x:v>
      </x:c>
      <x:c r="S1119" s="13" t="str">
        <x:f>IF(R1119=0,"Em dia",IF(R1119&lt;=15,"1-15 dias",IF(R1119&lt;=30,"16-30 dias",IF(R1119&lt;=60,"31-60 dias","Acima de 60 dias"))))</x:f>
        <x:v>Em dia</x:v>
      </x:c>
    </x:row>
    <x:row r="1120">
      <x:c r="A1120" s="13" t="str">
        <x:v>REC-001119</x:v>
      </x:c>
      <x:c r="B1120" s="23" t="n">
        <x:v>45855</x:v>
      </x:c>
      <x:c r="C1120" s="23" t="n">
        <x:v>45885</x:v>
      </x:c>
      <x:c r="D1120" s="23" t="n">
        <x:v>45882</x:v>
      </x:c>
      <x:c r="E1120" s="13" t="str">
        <x:v>VAL-022</x:v>
      </x:c>
      <x:c r="F1120" s="13" t="str">
        <x:v>Academia Evoluir</x:v>
      </x:c>
      <x:c r="G1120" s="13" t="str">
        <x:v>Educação</x:v>
      </x:c>
      <x:c r="H1120" s="13" t="str">
        <x:v>Alto</x:v>
      </x:c>
      <x:c r="I1120" s="13" t="str">
        <x:v>Gestão</x:v>
      </x:c>
      <x:c r="J1120" s="17" t="n">
        <x:v>11078.07</x:v>
      </x:c>
      <x:c r="K1120" s="17" t="n">
        <x:v>0</x:v>
      </x:c>
      <x:c r="L1120" s="17" t="n">
        <x:v>0</x:v>
      </x:c>
      <x:c r="M1120" s="13" t="str">
        <x:v>Pago</x:v>
      </x:c>
      <x:c r="N1120" s="13" t="str">
        <x:v>Sem cobrança</x:v>
      </x:c>
      <x:c r="O1120" s="13" t="str">
        <x:v>Operação Clareza</x:v>
      </x:c>
      <x:c r="P1120" s="17" t="n">
        <x:f>IF(D1120="",0,J1120-K1120+L1120)</x:f>
        <x:v>11078.07</x:v>
      </x:c>
      <x:c r="Q1120" s="17" t="n">
        <x:f>MAX(J1120-P1120-K1120,0)</x:f>
        <x:v>0</x:v>
      </x:c>
      <x:c r="R1120" s="13" t="n">
        <x:f>IF(D1120="",MAX(TODAY()-C1120,0),MAX(D1120-C1120,0))</x:f>
        <x:v>0</x:v>
      </x:c>
      <x:c r="S1120" s="13" t="str">
        <x:f>IF(R1120=0,"Em dia",IF(R1120&lt;=15,"1-15 dias",IF(R1120&lt;=30,"16-30 dias",IF(R1120&lt;=60,"31-60 dias","Acima de 60 dias"))))</x:f>
        <x:v>Em dia</x:v>
      </x:c>
    </x:row>
    <x:row r="1121">
      <x:c r="A1121" s="13" t="str">
        <x:v>REC-001120</x:v>
      </x:c>
      <x:c r="B1121" s="23" t="n">
        <x:v>45848</x:v>
      </x:c>
      <x:c r="C1121" s="23" t="n">
        <x:v>45878</x:v>
      </x:c>
      <x:c r="D1121" s="23" t="n">
        <x:v>45876</x:v>
      </x:c>
      <x:c r="E1121" s="13" t="str">
        <x:v>VAL-025</x:v>
      </x:c>
      <x:c r="F1121" s="13" t="str">
        <x:v>Bem-Estar Terapias</x:v>
      </x:c>
      <x:c r="G1121" s="13" t="str">
        <x:v>Clínicas e Saúde</x:v>
      </x:c>
      <x:c r="H1121" s="13" t="str">
        <x:v>Baixo</x:v>
      </x:c>
      <x:c r="I1121" s="13" t="str">
        <x:v>Essencial</x:v>
      </x:c>
      <x:c r="J1121" s="17" t="n">
        <x:v>24262.1</x:v>
      </x:c>
      <x:c r="K1121" s="17" t="n">
        <x:v>0</x:v>
      </x:c>
      <x:c r="L1121" s="17" t="n">
        <x:v>0</x:v>
      </x:c>
      <x:c r="M1121" s="13" t="str">
        <x:v>Pago</x:v>
      </x:c>
      <x:c r="N1121" s="13" t="str">
        <x:v>Sem cobrança</x:v>
      </x:c>
      <x:c r="O1121" s="13" t="str">
        <x:v>Operação Clareza</x:v>
      </x:c>
      <x:c r="P1121" s="17" t="n">
        <x:f>IF(D1121="",0,J1121-K1121+L1121)</x:f>
        <x:v>24262.1</x:v>
      </x:c>
      <x:c r="Q1121" s="17" t="n">
        <x:f>MAX(J1121-P1121-K1121,0)</x:f>
        <x:v>0</x:v>
      </x:c>
      <x:c r="R1121" s="13" t="n">
        <x:f>IF(D1121="",MAX(TODAY()-C1121,0),MAX(D1121-C1121,0))</x:f>
        <x:v>0</x:v>
      </x:c>
      <x:c r="S1121" s="13" t="str">
        <x:f>IF(R1121=0,"Em dia",IF(R1121&lt;=15,"1-15 dias",IF(R1121&lt;=30,"16-30 dias",IF(R1121&lt;=60,"31-60 dias","Acima de 60 dias"))))</x:f>
        <x:v>Em dia</x:v>
      </x:c>
    </x:row>
    <x:row r="1122">
      <x:c r="A1122" s="13" t="str">
        <x:v>REC-001121</x:v>
      </x:c>
      <x:c r="B1122" s="23" t="n">
        <x:v>45857</x:v>
      </x:c>
      <x:c r="C1122" s="23" t="n">
        <x:v>45887</x:v>
      </x:c>
      <x:c r="D1122" s="23" t="n">
        <x:v>45886</x:v>
      </x:c>
      <x:c r="E1122" s="13" t="str">
        <x:v>VAL-025</x:v>
      </x:c>
      <x:c r="F1122" s="13" t="str">
        <x:v>Bem-Estar Terapias</x:v>
      </x:c>
      <x:c r="G1122" s="13" t="str">
        <x:v>Clínicas e Saúde</x:v>
      </x:c>
      <x:c r="H1122" s="13" t="str">
        <x:v>Baixo</x:v>
      </x:c>
      <x:c r="I1122" s="13" t="str">
        <x:v>Essencial</x:v>
      </x:c>
      <x:c r="J1122" s="17" t="n">
        <x:v>14549.95</x:v>
      </x:c>
      <x:c r="K1122" s="17" t="n">
        <x:v>0</x:v>
      </x:c>
      <x:c r="L1122" s="17" t="n">
        <x:v>0</x:v>
      </x:c>
      <x:c r="M1122" s="13" t="str">
        <x:v>Pago</x:v>
      </x:c>
      <x:c r="N1122" s="13" t="str">
        <x:v>Sem cobrança</x:v>
      </x:c>
      <x:c r="O1122" s="13" t="str">
        <x:v>Operação Clareza</x:v>
      </x:c>
      <x:c r="P1122" s="17" t="n">
        <x:f>IF(D1122="",0,J1122-K1122+L1122)</x:f>
        <x:v>14549.95</x:v>
      </x:c>
      <x:c r="Q1122" s="17" t="n">
        <x:f>MAX(J1122-P1122-K1122,0)</x:f>
        <x:v>0</x:v>
      </x:c>
      <x:c r="R1122" s="13" t="n">
        <x:f>IF(D1122="",MAX(TODAY()-C1122,0),MAX(D1122-C1122,0))</x:f>
        <x:v>0</x:v>
      </x:c>
      <x:c r="S1122" s="13" t="str">
        <x:f>IF(R1122=0,"Em dia",IF(R1122&lt;=15,"1-15 dias",IF(R1122&lt;=30,"16-30 dias",IF(R1122&lt;=60,"31-60 dias","Acima de 60 dias"))))</x:f>
        <x:v>Em dia</x:v>
      </x:c>
    </x:row>
    <x:row r="1123">
      <x:c r="A1123" s="13" t="str">
        <x:v>REC-001122</x:v>
      </x:c>
      <x:c r="B1123" s="23" t="n">
        <x:v>45856</x:v>
      </x:c>
      <x:c r="C1123" s="23" t="n">
        <x:v>45863</x:v>
      </x:c>
      <x:c r="D1123" s="23" t="n">
        <x:v>45863</x:v>
      </x:c>
      <x:c r="E1123" s="13" t="str">
        <x:v>VAL-017</x:v>
      </x:c>
      <x:c r="F1123" s="13" t="str">
        <x:v>Centro Médico Vida</x:v>
      </x:c>
      <x:c r="G1123" s="13" t="str">
        <x:v>Clínicas e Saúde</x:v>
      </x:c>
      <x:c r="H1123" s="13" t="str">
        <x:v>Baixo</x:v>
      </x:c>
      <x:c r="I1123" s="13" t="str">
        <x:v>Essencial</x:v>
      </x:c>
      <x:c r="J1123" s="17" t="n">
        <x:v>22919.97</x:v>
      </x:c>
      <x:c r="K1123" s="17" t="n">
        <x:v>353.33</x:v>
      </x:c>
      <x:c r="L1123" s="17" t="n">
        <x:v>0</x:v>
      </x:c>
      <x:c r="M1123" s="13" t="str">
        <x:v>Pago</x:v>
      </x:c>
      <x:c r="N1123" s="13" t="str">
        <x:v>Sem cobrança</x:v>
      </x:c>
      <x:c r="O1123" s="13" t="str">
        <x:v>Operação Clareza</x:v>
      </x:c>
      <x:c r="P1123" s="17" t="n">
        <x:f>IF(D1123="",0,J1123-K1123+L1123)</x:f>
        <x:v>22566.64</x:v>
      </x:c>
      <x:c r="Q1123" s="17" t="n">
        <x:f>MAX(J1123-P1123-K1123,0)</x:f>
        <x:v>1.7621459846850485e-12</x:v>
      </x:c>
      <x:c r="R1123" s="13" t="n">
        <x:f>IF(D1123="",MAX(TODAY()-C1123,0),MAX(D1123-C1123,0))</x:f>
        <x:v>0</x:v>
      </x:c>
      <x:c r="S1123" s="13" t="str">
        <x:f>IF(R1123=0,"Em dia",IF(R1123&lt;=15,"1-15 dias",IF(R1123&lt;=30,"16-30 dias",IF(R1123&lt;=60,"31-60 dias","Acima de 60 dias"))))</x:f>
        <x:v>Em dia</x:v>
      </x:c>
    </x:row>
    <x:row r="1124">
      <x:c r="A1124" s="13" t="str">
        <x:v>REC-001123</x:v>
      </x:c>
      <x:c r="B1124" s="23" t="n">
        <x:v>45850</x:v>
      </x:c>
      <x:c r="C1124" s="23" t="n">
        <x:v>45878</x:v>
      </x:c>
      <x:c r="D1124" s="23" t="n">
        <x:v>45875</x:v>
      </x:c>
      <x:c r="E1124" s="13" t="str">
        <x:v>VAL-025</x:v>
      </x:c>
      <x:c r="F1124" s="13" t="str">
        <x:v>Bem-Estar Terapias</x:v>
      </x:c>
      <x:c r="G1124" s="13" t="str">
        <x:v>Clínicas e Saúde</x:v>
      </x:c>
      <x:c r="H1124" s="13" t="str">
        <x:v>Baixo</x:v>
      </x:c>
      <x:c r="I1124" s="13" t="str">
        <x:v>Essencial</x:v>
      </x:c>
      <x:c r="J1124" s="17" t="n">
        <x:v>3430.12</x:v>
      </x:c>
      <x:c r="K1124" s="17" t="n">
        <x:v>0</x:v>
      </x:c>
      <x:c r="L1124" s="17" t="n">
        <x:v>0</x:v>
      </x:c>
      <x:c r="M1124" s="13" t="str">
        <x:v>Pago</x:v>
      </x:c>
      <x:c r="N1124" s="13" t="str">
        <x:v>Sem cobrança</x:v>
      </x:c>
      <x:c r="O1124" s="13" t="str">
        <x:v>Operação Clareza</x:v>
      </x:c>
      <x:c r="P1124" s="17" t="n">
        <x:f>IF(D1124="",0,J1124-K1124+L1124)</x:f>
        <x:v>3430.12</x:v>
      </x:c>
      <x:c r="Q1124" s="17" t="n">
        <x:f>MAX(J1124-P1124-K1124,0)</x:f>
        <x:v>0</x:v>
      </x:c>
      <x:c r="R1124" s="13" t="n">
        <x:f>IF(D1124="",MAX(TODAY()-C1124,0),MAX(D1124-C1124,0))</x:f>
        <x:v>0</x:v>
      </x:c>
      <x:c r="S1124" s="13" t="str">
        <x:f>IF(R1124=0,"Em dia",IF(R1124&lt;=15,"1-15 dias",IF(R1124&lt;=30,"16-30 dias",IF(R1124&lt;=60,"31-60 dias","Acima de 60 dias"))))</x:f>
        <x:v>Em dia</x:v>
      </x:c>
    </x:row>
    <x:row r="1125">
      <x:c r="A1125" s="13" t="str">
        <x:v>REC-001124</x:v>
      </x:c>
      <x:c r="B1125" s="23" t="n">
        <x:v>45839</x:v>
      </x:c>
      <x:c r="C1125" s="23" t="n">
        <x:v>45867</x:v>
      </x:c>
      <x:c r="D1125" s="23" t="n">
        <x:v>45866</x:v>
      </x:c>
      <x:c r="E1125" s="13" t="str">
        <x:v>VAL-022</x:v>
      </x:c>
      <x:c r="F1125" s="13" t="str">
        <x:v>Academia Evoluir</x:v>
      </x:c>
      <x:c r="G1125" s="13" t="str">
        <x:v>Educação</x:v>
      </x:c>
      <x:c r="H1125" s="13" t="str">
        <x:v>Alto</x:v>
      </x:c>
      <x:c r="I1125" s="13" t="str">
        <x:v>Gestão</x:v>
      </x:c>
      <x:c r="J1125" s="17" t="n">
        <x:v>12451.15</x:v>
      </x:c>
      <x:c r="K1125" s="17" t="n">
        <x:v>0</x:v>
      </x:c>
      <x:c r="L1125" s="17" t="n">
        <x:v>0</x:v>
      </x:c>
      <x:c r="M1125" s="13" t="str">
        <x:v>Pago</x:v>
      </x:c>
      <x:c r="N1125" s="13" t="str">
        <x:v>Sem cobrança</x:v>
      </x:c>
      <x:c r="O1125" s="13" t="str">
        <x:v>Operação Clareza</x:v>
      </x:c>
      <x:c r="P1125" s="17" t="n">
        <x:f>IF(D1125="",0,J1125-K1125+L1125)</x:f>
        <x:v>12451.15</x:v>
      </x:c>
      <x:c r="Q1125" s="17" t="n">
        <x:f>MAX(J1125-P1125-K1125,0)</x:f>
        <x:v>0</x:v>
      </x:c>
      <x:c r="R1125" s="13" t="n">
        <x:f>IF(D1125="",MAX(TODAY()-C1125,0),MAX(D1125-C1125,0))</x:f>
        <x:v>0</x:v>
      </x:c>
      <x:c r="S1125" s="13" t="str">
        <x:f>IF(R1125=0,"Em dia",IF(R1125&lt;=15,"1-15 dias",IF(R1125&lt;=30,"16-30 dias",IF(R1125&lt;=60,"31-60 dias","Acima de 60 dias"))))</x:f>
        <x:v>Em dia</x:v>
      </x:c>
    </x:row>
    <x:row r="1126">
      <x:c r="A1126" s="13" t="str">
        <x:v>REC-001125</x:v>
      </x:c>
      <x:c r="B1126" s="23" t="n">
        <x:v>45857</x:v>
      </x:c>
      <x:c r="C1126" s="23" t="n">
        <x:v>45878</x:v>
      </x:c>
      <x:c r="D1126" s="23"/>
      <x:c r="E1126" s="13" t="str">
        <x:v>VAL-022</x:v>
      </x:c>
      <x:c r="F1126" s="13" t="str">
        <x:v>Academia Evoluir</x:v>
      </x:c>
      <x:c r="G1126" s="13" t="str">
        <x:v>Educação</x:v>
      </x:c>
      <x:c r="H1126" s="13" t="str">
        <x:v>Alto</x:v>
      </x:c>
      <x:c r="I1126" s="13" t="str">
        <x:v>Gestão</x:v>
      </x:c>
      <x:c r="J1126" s="17" t="n">
        <x:v>9984.25</x:v>
      </x:c>
      <x:c r="K1126" s="17" t="n">
        <x:v>0</x:v>
      </x:c>
      <x:c r="L1126" s="17" t="n">
        <x:v>0</x:v>
      </x:c>
      <x:c r="M1126" s="13" t="str">
        <x:v>Em aberto</x:v>
      </x:c>
      <x:c r="N1126" s="13" t="str">
        <x:v>WhatsApp</x:v>
      </x:c>
      <x:c r="O1126" s="13" t="str">
        <x:v>Operação Clareza</x:v>
      </x:c>
      <x:c r="P1126" s="17" t="n">
        <x:f>IF(D1126="",0,J1126-K1126+L1126)</x:f>
        <x:v>0</x:v>
      </x:c>
      <x:c r="Q1126" s="17" t="n">
        <x:f>MAX(J1126-P1126-K1126,0)</x:f>
        <x:v>9984.25</x:v>
      </x:c>
      <x:c r="R1126" s="13" t="n">
        <x:f>IF(D1126="",MAX(TODAY()-C1126,0),MAX(D1126-C1126,0))</x:f>
        <x:v>335</x:v>
      </x:c>
      <x:c r="S1126" s="13" t="str">
        <x:f>IF(R1126=0,"Em dia",IF(R1126&lt;=15,"1-15 dias",IF(R1126&lt;=30,"16-30 dias",IF(R1126&lt;=60,"31-60 dias","Acima de 60 dias"))))</x:f>
        <x:v>Acima de 60 dias</x:v>
      </x:c>
    </x:row>
    <x:row r="1127">
      <x:c r="A1127" s="13" t="str">
        <x:v>REC-001126</x:v>
      </x:c>
      <x:c r="B1127" s="23" t="n">
        <x:v>45855</x:v>
      </x:c>
      <x:c r="C1127" s="23" t="n">
        <x:v>45885</x:v>
      </x:c>
      <x:c r="D1127" s="23" t="n">
        <x:v>45885</x:v>
      </x:c>
      <x:c r="E1127" s="13" t="str">
        <x:v>VAL-016</x:v>
      </x:c>
      <x:c r="F1127" s="13" t="str">
        <x:v>Lumina Embalagens</x:v>
      </x:c>
      <x:c r="G1127" s="13" t="str">
        <x:v>Indústria Leve</x:v>
      </x:c>
      <x:c r="H1127" s="13" t="str">
        <x:v>Baixo</x:v>
      </x:c>
      <x:c r="I1127" s="13" t="str">
        <x:v>Enterprise</x:v>
      </x:c>
      <x:c r="J1127" s="17" t="n">
        <x:v>8028.22</x:v>
      </x:c>
      <x:c r="K1127" s="17" t="n">
        <x:v>0</x:v>
      </x:c>
      <x:c r="L1127" s="17" t="n">
        <x:v>0</x:v>
      </x:c>
      <x:c r="M1127" s="13" t="str">
        <x:v>Pago</x:v>
      </x:c>
      <x:c r="N1127" s="13" t="str">
        <x:v>Sem cobrança</x:v>
      </x:c>
      <x:c r="O1127" s="13" t="str">
        <x:v>Operação Clareza</x:v>
      </x:c>
      <x:c r="P1127" s="17" t="n">
        <x:f>IF(D1127="",0,J1127-K1127+L1127)</x:f>
        <x:v>8028.22</x:v>
      </x:c>
      <x:c r="Q1127" s="17" t="n">
        <x:f>MAX(J1127-P1127-K1127,0)</x:f>
        <x:v>0</x:v>
      </x:c>
      <x:c r="R1127" s="13" t="n">
        <x:f>IF(D1127="",MAX(TODAY()-C1127,0),MAX(D1127-C1127,0))</x:f>
        <x:v>0</x:v>
      </x:c>
      <x:c r="S1127" s="13" t="str">
        <x:f>IF(R1127=0,"Em dia",IF(R1127&lt;=15,"1-15 dias",IF(R1127&lt;=30,"16-30 dias",IF(R1127&lt;=60,"31-60 dias","Acima de 60 dias"))))</x:f>
        <x:v>Em dia</x:v>
      </x:c>
    </x:row>
    <x:row r="1128">
      <x:c r="A1128" s="13" t="str">
        <x:v>REC-001127</x:v>
      </x:c>
      <x:c r="B1128" s="23" t="n">
        <x:v>45840</x:v>
      </x:c>
      <x:c r="C1128" s="23" t="n">
        <x:v>45855</x:v>
      </x:c>
      <x:c r="D1128" s="23" t="n">
        <x:v>45853</x:v>
      </x:c>
      <x:c r="E1128" s="13" t="str">
        <x:v>VAL-023</x:v>
      </x:c>
      <x:c r="F1128" s="13" t="str">
        <x:v>ShopMix Brasil</x:v>
      </x:c>
      <x:c r="G1128" s="13" t="str">
        <x:v>E-commerce</x:v>
      </x:c>
      <x:c r="H1128" s="13" t="str">
        <x:v>Baixo</x:v>
      </x:c>
      <x:c r="I1128" s="13" t="str">
        <x:v>Performance</x:v>
      </x:c>
      <x:c r="J1128" s="17" t="n">
        <x:v>13258.09</x:v>
      </x:c>
      <x:c r="K1128" s="17" t="n">
        <x:v>0</x:v>
      </x:c>
      <x:c r="L1128" s="17" t="n">
        <x:v>0</x:v>
      </x:c>
      <x:c r="M1128" s="13" t="str">
        <x:v>Pago</x:v>
      </x:c>
      <x:c r="N1128" s="13" t="str">
        <x:v>Sem cobrança</x:v>
      </x:c>
      <x:c r="O1128" s="13" t="str">
        <x:v>Operação Clareza</x:v>
      </x:c>
      <x:c r="P1128" s="17" t="n">
        <x:f>IF(D1128="",0,J1128-K1128+L1128)</x:f>
        <x:v>13258.09</x:v>
      </x:c>
      <x:c r="Q1128" s="17" t="n">
        <x:f>MAX(J1128-P1128-K1128,0)</x:f>
        <x:v>0</x:v>
      </x:c>
      <x:c r="R1128" s="13" t="n">
        <x:f>IF(D1128="",MAX(TODAY()-C1128,0),MAX(D1128-C1128,0))</x:f>
        <x:v>0</x:v>
      </x:c>
      <x:c r="S1128" s="13" t="str">
        <x:f>IF(R1128=0,"Em dia",IF(R1128&lt;=15,"1-15 dias",IF(R1128&lt;=30,"16-30 dias",IF(R1128&lt;=60,"31-60 dias","Acima de 60 dias"))))</x:f>
        <x:v>Em dia</x:v>
      </x:c>
    </x:row>
    <x:row r="1129">
      <x:c r="A1129" s="13" t="str">
        <x:v>REC-001128</x:v>
      </x:c>
      <x:c r="B1129" s="23" t="n">
        <x:v>45853</x:v>
      </x:c>
      <x:c r="C1129" s="23" t="n">
        <x:v>45881</x:v>
      </x:c>
      <x:c r="D1129" s="23" t="n">
        <x:v>45879</x:v>
      </x:c>
      <x:c r="E1129" s="13" t="str">
        <x:v>VAL-006</x:v>
      </x:c>
      <x:c r="F1129" s="13" t="str">
        <x:v>Instituto Saber Mais</x:v>
      </x:c>
      <x:c r="G1129" s="13" t="str">
        <x:v>Educação</x:v>
      </x:c>
      <x:c r="H1129" s="13" t="str">
        <x:v>Médio</x:v>
      </x:c>
      <x:c r="I1129" s="13" t="str">
        <x:v>Gestão</x:v>
      </x:c>
      <x:c r="J1129" s="17" t="n">
        <x:v>26295.74</x:v>
      </x:c>
      <x:c r="K1129" s="17" t="n">
        <x:v>0</x:v>
      </x:c>
      <x:c r="L1129" s="17" t="n">
        <x:v>0</x:v>
      </x:c>
      <x:c r="M1129" s="13" t="str">
        <x:v>Pago</x:v>
      </x:c>
      <x:c r="N1129" s="13" t="str">
        <x:v>Sem cobrança</x:v>
      </x:c>
      <x:c r="O1129" s="13" t="str">
        <x:v>Operação Clareza</x:v>
      </x:c>
      <x:c r="P1129" s="17" t="n">
        <x:f>IF(D1129="",0,J1129-K1129+L1129)</x:f>
        <x:v>26295.74</x:v>
      </x:c>
      <x:c r="Q1129" s="17" t="n">
        <x:f>MAX(J1129-P1129-K1129,0)</x:f>
        <x:v>0</x:v>
      </x:c>
      <x:c r="R1129" s="13" t="n">
        <x:f>IF(D1129="",MAX(TODAY()-C1129,0),MAX(D1129-C1129,0))</x:f>
        <x:v>0</x:v>
      </x:c>
      <x:c r="S1129" s="13" t="str">
        <x:f>IF(R1129=0,"Em dia",IF(R1129&lt;=15,"1-15 dias",IF(R1129&lt;=30,"16-30 dias",IF(R1129&lt;=60,"31-60 dias","Acima de 60 dias"))))</x:f>
        <x:v>Em dia</x:v>
      </x:c>
    </x:row>
    <x:row r="1130">
      <x:c r="A1130" s="13" t="str">
        <x:v>REC-001129</x:v>
      </x:c>
      <x:c r="B1130" s="23" t="n">
        <x:v>45847</x:v>
      </x:c>
      <x:c r="C1130" s="23" t="n">
        <x:v>45868</x:v>
      </x:c>
      <x:c r="D1130" s="23" t="n">
        <x:v>45866</x:v>
      </x:c>
      <x:c r="E1130" s="13" t="str">
        <x:v>VAL-012</x:v>
      </x:c>
      <x:c r="F1130" s="13" t="str">
        <x:v>DataFlow Sistemas</x:v>
      </x:c>
      <x:c r="G1130" s="13" t="str">
        <x:v>Tecnologia</x:v>
      </x:c>
      <x:c r="H1130" s="13" t="str">
        <x:v>Médio</x:v>
      </x:c>
      <x:c r="I1130" s="13" t="str">
        <x:v>Enterprise</x:v>
      </x:c>
      <x:c r="J1130" s="17" t="n">
        <x:v>27643.25</x:v>
      </x:c>
      <x:c r="K1130" s="17" t="n">
        <x:v>0</x:v>
      </x:c>
      <x:c r="L1130" s="17" t="n">
        <x:v>0</x:v>
      </x:c>
      <x:c r="M1130" s="13" t="str">
        <x:v>Pago</x:v>
      </x:c>
      <x:c r="N1130" s="13" t="str">
        <x:v>Sem cobrança</x:v>
      </x:c>
      <x:c r="O1130" s="13" t="str">
        <x:v>Operação Clareza</x:v>
      </x:c>
      <x:c r="P1130" s="17" t="n">
        <x:f>IF(D1130="",0,J1130-K1130+L1130)</x:f>
        <x:v>27643.25</x:v>
      </x:c>
      <x:c r="Q1130" s="17" t="n">
        <x:f>MAX(J1130-P1130-K1130,0)</x:f>
        <x:v>0</x:v>
      </x:c>
      <x:c r="R1130" s="13" t="n">
        <x:f>IF(D1130="",MAX(TODAY()-C1130,0),MAX(D1130-C1130,0))</x:f>
        <x:v>0</x:v>
      </x:c>
      <x:c r="S1130" s="13" t="str">
        <x:f>IF(R1130=0,"Em dia",IF(R1130&lt;=15,"1-15 dias",IF(R1130&lt;=30,"16-30 dias",IF(R1130&lt;=60,"31-60 dias","Acima de 60 dias"))))</x:f>
        <x:v>Em dia</x:v>
      </x:c>
    </x:row>
    <x:row r="1131">
      <x:c r="A1131" s="13" t="str">
        <x:v>REC-001130</x:v>
      </x:c>
      <x:c r="B1131" s="23" t="n">
        <x:v>45839</x:v>
      </x:c>
      <x:c r="C1131" s="23" t="n">
        <x:v>45867</x:v>
      </x:c>
      <x:c r="D1131" s="23" t="n">
        <x:v>45864</x:v>
      </x:c>
      <x:c r="E1131" s="13" t="str">
        <x:v>VAL-005</x:v>
      </x:c>
      <x:c r="F1131" s="13" t="str">
        <x:v>Construtora Alameda</x:v>
      </x:c>
      <x:c r="G1131" s="13" t="str">
        <x:v>Construção</x:v>
      </x:c>
      <x:c r="H1131" s="13" t="str">
        <x:v>Médio</x:v>
      </x:c>
      <x:c r="I1131" s="13" t="str">
        <x:v>Essencial</x:v>
      </x:c>
      <x:c r="J1131" s="17" t="n">
        <x:v>5542.02</x:v>
      </x:c>
      <x:c r="K1131" s="17" t="n">
        <x:v>0</x:v>
      </x:c>
      <x:c r="L1131" s="17" t="n">
        <x:v>0</x:v>
      </x:c>
      <x:c r="M1131" s="13" t="str">
        <x:v>Pago</x:v>
      </x:c>
      <x:c r="N1131" s="13" t="str">
        <x:v>Sem cobrança</x:v>
      </x:c>
      <x:c r="O1131" s="13" t="str">
        <x:v>Operação Clareza</x:v>
      </x:c>
      <x:c r="P1131" s="17" t="n">
        <x:f>IF(D1131="",0,J1131-K1131+L1131)</x:f>
        <x:v>5542.02</x:v>
      </x:c>
      <x:c r="Q1131" s="17" t="n">
        <x:f>MAX(J1131-P1131-K1131,0)</x:f>
        <x:v>0</x:v>
      </x:c>
      <x:c r="R1131" s="13" t="n">
        <x:f>IF(D1131="",MAX(TODAY()-C1131,0),MAX(D1131-C1131,0))</x:f>
        <x:v>0</x:v>
      </x:c>
      <x:c r="S1131" s="13" t="str">
        <x:f>IF(R1131=0,"Em dia",IF(R1131&lt;=15,"1-15 dias",IF(R1131&lt;=30,"16-30 dias",IF(R1131&lt;=60,"31-60 dias","Acima de 60 dias"))))</x:f>
        <x:v>Em dia</x:v>
      </x:c>
    </x:row>
    <x:row r="1132">
      <x:c r="A1132" s="13" t="str">
        <x:v>REC-001131</x:v>
      </x:c>
      <x:c r="B1132" s="23" t="n">
        <x:v>45856</x:v>
      </x:c>
      <x:c r="C1132" s="23" t="n">
        <x:v>45877</x:v>
      </x:c>
      <x:c r="D1132" s="23" t="n">
        <x:v>45873</x:v>
      </x:c>
      <x:c r="E1132" s="13" t="str">
        <x:v>VAL-027</x:v>
      </x:c>
      <x:c r="F1132" s="13" t="str">
        <x:v>Mais Lar Utilidades</x:v>
      </x:c>
      <x:c r="G1132" s="13" t="str">
        <x:v>Varejo</x:v>
      </x:c>
      <x:c r="H1132" s="13" t="str">
        <x:v>Baixo</x:v>
      </x:c>
      <x:c r="I1132" s="13" t="str">
        <x:v>Performance</x:v>
      </x:c>
      <x:c r="J1132" s="17" t="n">
        <x:v>7719.67</x:v>
      </x:c>
      <x:c r="K1132" s="17" t="n">
        <x:v>0</x:v>
      </x:c>
      <x:c r="L1132" s="17" t="n">
        <x:v>0</x:v>
      </x:c>
      <x:c r="M1132" s="13" t="str">
        <x:v>Pago</x:v>
      </x:c>
      <x:c r="N1132" s="13" t="str">
        <x:v>Sem cobrança</x:v>
      </x:c>
      <x:c r="O1132" s="13" t="str">
        <x:v>Operação Clareza</x:v>
      </x:c>
      <x:c r="P1132" s="17" t="n">
        <x:f>IF(D1132="",0,J1132-K1132+L1132)</x:f>
        <x:v>7719.67</x:v>
      </x:c>
      <x:c r="Q1132" s="17" t="n">
        <x:f>MAX(J1132-P1132-K1132,0)</x:f>
        <x:v>0</x:v>
      </x:c>
      <x:c r="R1132" s="13" t="n">
        <x:f>IF(D1132="",MAX(TODAY()-C1132,0),MAX(D1132-C1132,0))</x:f>
        <x:v>0</x:v>
      </x:c>
      <x:c r="S1132" s="13" t="str">
        <x:f>IF(R1132=0,"Em dia",IF(R1132&lt;=15,"1-15 dias",IF(R1132&lt;=30,"16-30 dias",IF(R1132&lt;=60,"31-60 dias","Acima de 60 dias"))))</x:f>
        <x:v>Em dia</x:v>
      </x:c>
    </x:row>
    <x:row r="1133">
      <x:c r="A1133" s="13" t="str">
        <x:v>REC-001132</x:v>
      </x:c>
      <x:c r="B1133" s="23" t="n">
        <x:v>45843</x:v>
      </x:c>
      <x:c r="C1133" s="23" t="n">
        <x:v>45850</x:v>
      </x:c>
      <x:c r="D1133" s="23" t="n">
        <x:v>45877</x:v>
      </x:c>
      <x:c r="E1133" s="13" t="str">
        <x:v>VAL-020</x:v>
      </x:c>
      <x:c r="F1133" s="13" t="str">
        <x:v>Corelink Digital</x:v>
      </x:c>
      <x:c r="G1133" s="13" t="str">
        <x:v>Tecnologia</x:v>
      </x:c>
      <x:c r="H1133" s="13" t="str">
        <x:v>Baixo</x:v>
      </x:c>
      <x:c r="I1133" s="13" t="str">
        <x:v>Enterprise</x:v>
      </x:c>
      <x:c r="J1133" s="17" t="n">
        <x:v>12551.43</x:v>
      </x:c>
      <x:c r="K1133" s="17" t="n">
        <x:v>0</x:v>
      </x:c>
      <x:c r="L1133" s="17" t="n">
        <x:v>220.28</x:v>
      </x:c>
      <x:c r="M1133" s="13" t="str">
        <x:v>Pago com atraso</x:v>
      </x:c>
      <x:c r="N1133" s="13" t="str">
        <x:v>Régua automática</x:v>
      </x:c>
      <x:c r="O1133" s="13" t="str">
        <x:v>Operação Clareza</x:v>
      </x:c>
      <x:c r="P1133" s="17" t="n">
        <x:f>IF(D1133="",0,J1133-K1133+L1133)</x:f>
        <x:v>12771.710000000001</x:v>
      </x:c>
      <x:c r="Q1133" s="17" t="n">
        <x:f>MAX(J1133-P1133-K1133,0)</x:f>
        <x:v>0</x:v>
      </x:c>
      <x:c r="R1133" s="13" t="n">
        <x:f>IF(D1133="",MAX(TODAY()-C1133,0),MAX(D1133-C1133,0))</x:f>
        <x:v>27</x:v>
      </x:c>
      <x:c r="S1133" s="13" t="str">
        <x:f>IF(R1133=0,"Em dia",IF(R1133&lt;=15,"1-15 dias",IF(R1133&lt;=30,"16-30 dias",IF(R1133&lt;=60,"31-60 dias","Acima de 60 dias"))))</x:f>
        <x:v>16-30 dias</x:v>
      </x:c>
    </x:row>
    <x:row r="1134">
      <x:c r="A1134" s="13" t="str">
        <x:v>REC-001133</x:v>
      </x:c>
      <x:c r="B1134" s="23" t="n">
        <x:v>45847</x:v>
      </x:c>
      <x:c r="C1134" s="23" t="n">
        <x:v>45868</x:v>
      </x:c>
      <x:c r="D1134" s="23" t="n">
        <x:v>45875</x:v>
      </x:c>
      <x:c r="E1134" s="13" t="str">
        <x:v>VAL-020</x:v>
      </x:c>
      <x:c r="F1134" s="13" t="str">
        <x:v>Corelink Digital</x:v>
      </x:c>
      <x:c r="G1134" s="13" t="str">
        <x:v>Tecnologia</x:v>
      </x:c>
      <x:c r="H1134" s="13" t="str">
        <x:v>Baixo</x:v>
      </x:c>
      <x:c r="I1134" s="13" t="str">
        <x:v>Enterprise</x:v>
      </x:c>
      <x:c r="J1134" s="17" t="n">
        <x:v>13167.63</x:v>
      </x:c>
      <x:c r="K1134" s="17" t="n">
        <x:v>0</x:v>
      </x:c>
      <x:c r="L1134" s="17" t="n">
        <x:v>59.91</x:v>
      </x:c>
      <x:c r="M1134" s="13" t="str">
        <x:v>Pago com atraso</x:v>
      </x:c>
      <x:c r="N1134" s="13" t="str">
        <x:v>Régua automática</x:v>
      </x:c>
      <x:c r="O1134" s="13" t="str">
        <x:v>Operação Clareza</x:v>
      </x:c>
      <x:c r="P1134" s="17" t="n">
        <x:f>IF(D1134="",0,J1134-K1134+L1134)</x:f>
        <x:v>13227.539999999999</x:v>
      </x:c>
      <x:c r="Q1134" s="17" t="n">
        <x:f>MAX(J1134-P1134-K1134,0)</x:f>
        <x:v>0</x:v>
      </x:c>
      <x:c r="R1134" s="13" t="n">
        <x:f>IF(D1134="",MAX(TODAY()-C1134,0),MAX(D1134-C1134,0))</x:f>
        <x:v>7</x:v>
      </x:c>
      <x:c r="S1134" s="13" t="str">
        <x:f>IF(R1134=0,"Em dia",IF(R1134&lt;=15,"1-15 dias",IF(R1134&lt;=30,"16-30 dias",IF(R1134&lt;=60,"31-60 dias","Acima de 60 dias"))))</x:f>
        <x:v>1-15 dias</x:v>
      </x:c>
    </x:row>
    <x:row r="1135">
      <x:c r="A1135" s="13" t="str">
        <x:v>REC-001134</x:v>
      </x:c>
      <x:c r="B1135" s="23" t="n">
        <x:v>45846</x:v>
      </x:c>
      <x:c r="C1135" s="23" t="n">
        <x:v>45874</x:v>
      </x:c>
      <x:c r="D1135" s="23" t="n">
        <x:v>45874</x:v>
      </x:c>
      <x:c r="E1135" s="13" t="str">
        <x:v>VAL-027</x:v>
      </x:c>
      <x:c r="F1135" s="13" t="str">
        <x:v>Mais Lar Utilidades</x:v>
      </x:c>
      <x:c r="G1135" s="13" t="str">
        <x:v>Varejo</x:v>
      </x:c>
      <x:c r="H1135" s="13" t="str">
        <x:v>Baixo</x:v>
      </x:c>
      <x:c r="I1135" s="13" t="str">
        <x:v>Performance</x:v>
      </x:c>
      <x:c r="J1135" s="17" t="n">
        <x:v>34454.96</x:v>
      </x:c>
      <x:c r="K1135" s="17" t="n">
        <x:v>0</x:v>
      </x:c>
      <x:c r="L1135" s="17" t="n">
        <x:v>0</x:v>
      </x:c>
      <x:c r="M1135" s="13" t="str">
        <x:v>Pago</x:v>
      </x:c>
      <x:c r="N1135" s="13" t="str">
        <x:v>Sem cobrança</x:v>
      </x:c>
      <x:c r="O1135" s="13" t="str">
        <x:v>Operação Clareza</x:v>
      </x:c>
      <x:c r="P1135" s="17" t="n">
        <x:f>IF(D1135="",0,J1135-K1135+L1135)</x:f>
        <x:v>34454.96</x:v>
      </x:c>
      <x:c r="Q1135" s="17" t="n">
        <x:f>MAX(J1135-P1135-K1135,0)</x:f>
        <x:v>0</x:v>
      </x:c>
      <x:c r="R1135" s="13" t="n">
        <x:f>IF(D1135="",MAX(TODAY()-C1135,0),MAX(D1135-C1135,0))</x:f>
        <x:v>0</x:v>
      </x:c>
      <x:c r="S1135" s="13" t="str">
        <x:f>IF(R1135=0,"Em dia",IF(R1135&lt;=15,"1-15 dias",IF(R1135&lt;=30,"16-30 dias",IF(R1135&lt;=60,"31-60 dias","Acima de 60 dias"))))</x:f>
        <x:v>Em dia</x:v>
      </x:c>
    </x:row>
    <x:row r="1136">
      <x:c r="A1136" s="13" t="str">
        <x:v>REC-001135</x:v>
      </x:c>
      <x:c r="B1136" s="23" t="n">
        <x:v>45856</x:v>
      </x:c>
      <x:c r="C1136" s="23" t="n">
        <x:v>45877</x:v>
      </x:c>
      <x:c r="D1136" s="23" t="n">
        <x:v>45904</x:v>
      </x:c>
      <x:c r="E1136" s="13" t="str">
        <x:v>VAL-005</x:v>
      </x:c>
      <x:c r="F1136" s="13" t="str">
        <x:v>Construtora Alameda</x:v>
      </x:c>
      <x:c r="G1136" s="13" t="str">
        <x:v>Construção</x:v>
      </x:c>
      <x:c r="H1136" s="13" t="str">
        <x:v>Médio</x:v>
      </x:c>
      <x:c r="I1136" s="13" t="str">
        <x:v>Essencial</x:v>
      </x:c>
      <x:c r="J1136" s="17" t="n">
        <x:v>19362.93</x:v>
      </x:c>
      <x:c r="K1136" s="17" t="n">
        <x:v>0</x:v>
      </x:c>
      <x:c r="L1136" s="17" t="n">
        <x:v>339.82</x:v>
      </x:c>
      <x:c r="M1136" s="13" t="str">
        <x:v>Pago com atraso</x:v>
      </x:c>
      <x:c r="N1136" s="13" t="str">
        <x:v>Régua automática</x:v>
      </x:c>
      <x:c r="O1136" s="13" t="str">
        <x:v>Operação Clareza</x:v>
      </x:c>
      <x:c r="P1136" s="17" t="n">
        <x:f>IF(D1136="",0,J1136-K1136+L1136)</x:f>
        <x:v>19702.75</x:v>
      </x:c>
      <x:c r="Q1136" s="17" t="n">
        <x:f>MAX(J1136-P1136-K1136,0)</x:f>
        <x:v>0</x:v>
      </x:c>
      <x:c r="R1136" s="13" t="n">
        <x:f>IF(D1136="",MAX(TODAY()-C1136,0),MAX(D1136-C1136,0))</x:f>
        <x:v>27</x:v>
      </x:c>
      <x:c r="S1136" s="13" t="str">
        <x:f>IF(R1136=0,"Em dia",IF(R1136&lt;=15,"1-15 dias",IF(R1136&lt;=30,"16-30 dias",IF(R1136&lt;=60,"31-60 dias","Acima de 60 dias"))))</x:f>
        <x:v>16-30 dias</x:v>
      </x:c>
    </x:row>
    <x:row r="1137">
      <x:c r="A1137" s="13" t="str">
        <x:v>REC-001136</x:v>
      </x:c>
      <x:c r="B1137" s="23" t="n">
        <x:v>45855</x:v>
      </x:c>
      <x:c r="C1137" s="23" t="n">
        <x:v>45876</x:v>
      </x:c>
      <x:c r="D1137" s="23" t="n">
        <x:v>45873</x:v>
      </x:c>
      <x:c r="E1137" s="13" t="str">
        <x:v>VAL-012</x:v>
      </x:c>
      <x:c r="F1137" s="13" t="str">
        <x:v>DataFlow Sistemas</x:v>
      </x:c>
      <x:c r="G1137" s="13" t="str">
        <x:v>Tecnologia</x:v>
      </x:c>
      <x:c r="H1137" s="13" t="str">
        <x:v>Médio</x:v>
      </x:c>
      <x:c r="I1137" s="13" t="str">
        <x:v>Enterprise</x:v>
      </x:c>
      <x:c r="J1137" s="17" t="n">
        <x:v>4216.96</x:v>
      </x:c>
      <x:c r="K1137" s="17" t="n">
        <x:v>43.9</x:v>
      </x:c>
      <x:c r="L1137" s="17" t="n">
        <x:v>0</x:v>
      </x:c>
      <x:c r="M1137" s="13" t="str">
        <x:v>Pago</x:v>
      </x:c>
      <x:c r="N1137" s="13" t="str">
        <x:v>Sem cobrança</x:v>
      </x:c>
      <x:c r="O1137" s="13" t="str">
        <x:v>Operação Clareza</x:v>
      </x:c>
      <x:c r="P1137" s="17" t="n">
        <x:f>IF(D1137="",0,J1137-K1137+L1137)</x:f>
        <x:v>4173.06</x:v>
      </x:c>
      <x:c r="Q1137" s="17" t="n">
        <x:f>MAX(J1137-P1137-K1137,0)</x:f>
        <x:v>0</x:v>
      </x:c>
      <x:c r="R1137" s="13" t="n">
        <x:f>IF(D1137="",MAX(TODAY()-C1137,0),MAX(D1137-C1137,0))</x:f>
        <x:v>0</x:v>
      </x:c>
      <x:c r="S1137" s="13" t="str">
        <x:f>IF(R1137=0,"Em dia",IF(R1137&lt;=15,"1-15 dias",IF(R1137&lt;=30,"16-30 dias",IF(R1137&lt;=60,"31-60 dias","Acima de 60 dias"))))</x:f>
        <x:v>Em dia</x:v>
      </x:c>
    </x:row>
    <x:row r="1138">
      <x:c r="A1138" s="13" t="str">
        <x:v>REC-001137</x:v>
      </x:c>
      <x:c r="B1138" s="23" t="n">
        <x:v>45848</x:v>
      </x:c>
      <x:c r="C1138" s="23" t="n">
        <x:v>45863</x:v>
      </x:c>
      <x:c r="D1138" s="23" t="n">
        <x:v>45859</x:v>
      </x:c>
      <x:c r="E1138" s="13" t="str">
        <x:v>VAL-018</x:v>
      </x:c>
      <x:c r="F1138" s="13" t="str">
        <x:v>Ponto Legal Advocacia</x:v>
      </x:c>
      <x:c r="G1138" s="13" t="str">
        <x:v>Serviços Profissionais</x:v>
      </x:c>
      <x:c r="H1138" s="13" t="str">
        <x:v>Baixo</x:v>
      </x:c>
      <x:c r="I1138" s="13" t="str">
        <x:v>Gestão</x:v>
      </x:c>
      <x:c r="J1138" s="17" t="n">
        <x:v>20787.49</x:v>
      </x:c>
      <x:c r="K1138" s="17" t="n">
        <x:v>0</x:v>
      </x:c>
      <x:c r="L1138" s="17" t="n">
        <x:v>0</x:v>
      </x:c>
      <x:c r="M1138" s="13" t="str">
        <x:v>Pago</x:v>
      </x:c>
      <x:c r="N1138" s="13" t="str">
        <x:v>Sem cobrança</x:v>
      </x:c>
      <x:c r="O1138" s="13" t="str">
        <x:v>Operação Clareza</x:v>
      </x:c>
      <x:c r="P1138" s="17" t="n">
        <x:f>IF(D1138="",0,J1138-K1138+L1138)</x:f>
        <x:v>20787.49</x:v>
      </x:c>
      <x:c r="Q1138" s="17" t="n">
        <x:f>MAX(J1138-P1138-K1138,0)</x:f>
        <x:v>0</x:v>
      </x:c>
      <x:c r="R1138" s="13" t="n">
        <x:f>IF(D1138="",MAX(TODAY()-C1138,0),MAX(D1138-C1138,0))</x:f>
        <x:v>0</x:v>
      </x:c>
      <x:c r="S1138" s="13" t="str">
        <x:f>IF(R1138=0,"Em dia",IF(R1138&lt;=15,"1-15 dias",IF(R1138&lt;=30,"16-30 dias",IF(R1138&lt;=60,"31-60 dias","Acima de 60 dias"))))</x:f>
        <x:v>Em dia</x:v>
      </x:c>
    </x:row>
    <x:row r="1139">
      <x:c r="A1139" s="13" t="str">
        <x:v>REC-001138</x:v>
      </x:c>
      <x:c r="B1139" s="23" t="n">
        <x:v>45854</x:v>
      </x:c>
      <x:c r="C1139" s="23" t="n">
        <x:v>45884</x:v>
      </x:c>
      <x:c r="D1139" s="23" t="n">
        <x:v>45883</x:v>
      </x:c>
      <x:c r="E1139" s="13" t="str">
        <x:v>VAL-021</x:v>
      </x:c>
      <x:c r="F1139" s="13" t="str">
        <x:v>Base Forte Obras</x:v>
      </x:c>
      <x:c r="G1139" s="13" t="str">
        <x:v>Construção</x:v>
      </x:c>
      <x:c r="H1139" s="13" t="str">
        <x:v>Médio</x:v>
      </x:c>
      <x:c r="I1139" s="13" t="str">
        <x:v>Essencial</x:v>
      </x:c>
      <x:c r="J1139" s="17" t="n">
        <x:v>8400.41</x:v>
      </x:c>
      <x:c r="K1139" s="17" t="n">
        <x:v>89.18</x:v>
      </x:c>
      <x:c r="L1139" s="17" t="n">
        <x:v>0</x:v>
      </x:c>
      <x:c r="M1139" s="13" t="str">
        <x:v>Pago</x:v>
      </x:c>
      <x:c r="N1139" s="13" t="str">
        <x:v>Sem cobrança</x:v>
      </x:c>
      <x:c r="O1139" s="13" t="str">
        <x:v>Operação Clareza</x:v>
      </x:c>
      <x:c r="P1139" s="17" t="n">
        <x:f>IF(D1139="",0,J1139-K1139+L1139)</x:f>
        <x:v>8311.23</x:v>
      </x:c>
      <x:c r="Q1139" s="17" t="n">
        <x:f>MAX(J1139-P1139-K1139,0)</x:f>
        <x:v>2.8421709430404007e-13</x:v>
      </x:c>
      <x:c r="R1139" s="13" t="n">
        <x:f>IF(D1139="",MAX(TODAY()-C1139,0),MAX(D1139-C1139,0))</x:f>
        <x:v>0</x:v>
      </x:c>
      <x:c r="S1139" s="13" t="str">
        <x:f>IF(R1139=0,"Em dia",IF(R1139&lt;=15,"1-15 dias",IF(R1139&lt;=30,"16-30 dias",IF(R1139&lt;=60,"31-60 dias","Acima de 60 dias"))))</x:f>
        <x:v>Em dia</x:v>
      </x:c>
    </x:row>
    <x:row r="1140">
      <x:c r="A1140" s="13" t="str">
        <x:v>REC-001139</x:v>
      </x:c>
      <x:c r="B1140" s="23" t="n">
        <x:v>45852</x:v>
      </x:c>
      <x:c r="C1140" s="23" t="n">
        <x:v>45882</x:v>
      </x:c>
      <x:c r="D1140" s="23" t="n">
        <x:v>45881</x:v>
      </x:c>
      <x:c r="E1140" s="13" t="str">
        <x:v>VAL-028</x:v>
      </x:c>
      <x:c r="F1140" s="13" t="str">
        <x:v>Pixel Norte</x:v>
      </x:c>
      <x:c r="G1140" s="13" t="str">
        <x:v>Tecnologia</x:v>
      </x:c>
      <x:c r="H1140" s="13" t="str">
        <x:v>Alto</x:v>
      </x:c>
      <x:c r="I1140" s="13" t="str">
        <x:v>Enterprise</x:v>
      </x:c>
      <x:c r="J1140" s="17" t="n">
        <x:v>23656.84</x:v>
      </x:c>
      <x:c r="K1140" s="17" t="n">
        <x:v>0</x:v>
      </x:c>
      <x:c r="L1140" s="17" t="n">
        <x:v>0</x:v>
      </x:c>
      <x:c r="M1140" s="13" t="str">
        <x:v>Pago</x:v>
      </x:c>
      <x:c r="N1140" s="13" t="str">
        <x:v>Sem cobrança</x:v>
      </x:c>
      <x:c r="O1140" s="13" t="str">
        <x:v>Operação Clareza</x:v>
      </x:c>
      <x:c r="P1140" s="17" t="n">
        <x:f>IF(D1140="",0,J1140-K1140+L1140)</x:f>
        <x:v>23656.84</x:v>
      </x:c>
      <x:c r="Q1140" s="17" t="n">
        <x:f>MAX(J1140-P1140-K1140,0)</x:f>
        <x:v>0</x:v>
      </x:c>
      <x:c r="R1140" s="13" t="n">
        <x:f>IF(D1140="",MAX(TODAY()-C1140,0),MAX(D1140-C1140,0))</x:f>
        <x:v>0</x:v>
      </x:c>
      <x:c r="S1140" s="13" t="str">
        <x:f>IF(R1140=0,"Em dia",IF(R1140&lt;=15,"1-15 dias",IF(R1140&lt;=30,"16-30 dias",IF(R1140&lt;=60,"31-60 dias","Acima de 60 dias"))))</x:f>
        <x:v>Em dia</x:v>
      </x:c>
    </x:row>
    <x:row r="1141">
      <x:c r="A1141" s="13" t="str">
        <x:v>REC-001140</x:v>
      </x:c>
      <x:c r="B1141" s="23" t="n">
        <x:v>45841</x:v>
      </x:c>
      <x:c r="C1141" s="23" t="n">
        <x:v>45862</x:v>
      </x:c>
      <x:c r="D1141" s="23" t="n">
        <x:v>45859</x:v>
      </x:c>
      <x:c r="E1141" s="13" t="str">
        <x:v>VAL-018</x:v>
      </x:c>
      <x:c r="F1141" s="13" t="str">
        <x:v>Ponto Legal Advocacia</x:v>
      </x:c>
      <x:c r="G1141" s="13" t="str">
        <x:v>Serviços Profissionais</x:v>
      </x:c>
      <x:c r="H1141" s="13" t="str">
        <x:v>Baixo</x:v>
      </x:c>
      <x:c r="I1141" s="13" t="str">
        <x:v>Gestão</x:v>
      </x:c>
      <x:c r="J1141" s="17" t="n">
        <x:v>13684.98</x:v>
      </x:c>
      <x:c r="K1141" s="17" t="n">
        <x:v>0</x:v>
      </x:c>
      <x:c r="L1141" s="17" t="n">
        <x:v>0</x:v>
      </x:c>
      <x:c r="M1141" s="13" t="str">
        <x:v>Pago</x:v>
      </x:c>
      <x:c r="N1141" s="13" t="str">
        <x:v>Sem cobrança</x:v>
      </x:c>
      <x:c r="O1141" s="13" t="str">
        <x:v>Operação Clareza</x:v>
      </x:c>
      <x:c r="P1141" s="17" t="n">
        <x:f>IF(D1141="",0,J1141-K1141+L1141)</x:f>
        <x:v>13684.98</x:v>
      </x:c>
      <x:c r="Q1141" s="17" t="n">
        <x:f>MAX(J1141-P1141-K1141,0)</x:f>
        <x:v>0</x:v>
      </x:c>
      <x:c r="R1141" s="13" t="n">
        <x:f>IF(D1141="",MAX(TODAY()-C1141,0),MAX(D1141-C1141,0))</x:f>
        <x:v>0</x:v>
      </x:c>
      <x:c r="S1141" s="13" t="str">
        <x:f>IF(R1141=0,"Em dia",IF(R1141&lt;=15,"1-15 dias",IF(R1141&lt;=30,"16-30 dias",IF(R1141&lt;=60,"31-60 dias","Acima de 60 dias"))))</x:f>
        <x:v>Em dia</x:v>
      </x:c>
    </x:row>
    <x:row r="1142">
      <x:c r="A1142" s="13" t="str">
        <x:v>REC-001141</x:v>
      </x:c>
      <x:c r="B1142" s="23" t="n">
        <x:v>45886</x:v>
      </x:c>
      <x:c r="C1142" s="23" t="n">
        <x:v>45914</x:v>
      </x:c>
      <x:c r="D1142" s="23" t="n">
        <x:v>45911</x:v>
      </x:c>
      <x:c r="E1142" s="13" t="str">
        <x:v>VAL-009</x:v>
      </x:c>
      <x:c r="F1142" s="13" t="str">
        <x:v>Odonto Prime</x:v>
      </x:c>
      <x:c r="G1142" s="13" t="str">
        <x:v>Clínicas e Saúde</x:v>
      </x:c>
      <x:c r="H1142" s="13" t="str">
        <x:v>Médio</x:v>
      </x:c>
      <x:c r="I1142" s="13" t="str">
        <x:v>Essencial</x:v>
      </x:c>
      <x:c r="J1142" s="17" t="n">
        <x:v>25597.18</x:v>
      </x:c>
      <x:c r="K1142" s="17" t="n">
        <x:v>0</x:v>
      </x:c>
      <x:c r="L1142" s="17" t="n">
        <x:v>0</x:v>
      </x:c>
      <x:c r="M1142" s="13" t="str">
        <x:v>Pago</x:v>
      </x:c>
      <x:c r="N1142" s="13" t="str">
        <x:v>Sem cobrança</x:v>
      </x:c>
      <x:c r="O1142" s="13" t="str">
        <x:v>Operação Clareza</x:v>
      </x:c>
      <x:c r="P1142" s="17" t="n">
        <x:f>IF(D1142="",0,J1142-K1142+L1142)</x:f>
        <x:v>25597.18</x:v>
      </x:c>
      <x:c r="Q1142" s="17" t="n">
        <x:f>MAX(J1142-P1142-K1142,0)</x:f>
        <x:v>0</x:v>
      </x:c>
      <x:c r="R1142" s="13" t="n">
        <x:f>IF(D1142="",MAX(TODAY()-C1142,0),MAX(D1142-C1142,0))</x:f>
        <x:v>0</x:v>
      </x:c>
      <x:c r="S1142" s="13" t="str">
        <x:f>IF(R1142=0,"Em dia",IF(R1142&lt;=15,"1-15 dias",IF(R1142&lt;=30,"16-30 dias",IF(R1142&lt;=60,"31-60 dias","Acima de 60 dias"))))</x:f>
        <x:v>Em dia</x:v>
      </x:c>
    </x:row>
    <x:row r="1143">
      <x:c r="A1143" s="13" t="str">
        <x:v>REC-001142</x:v>
      </x:c>
      <x:c r="B1143" s="23" t="n">
        <x:v>45889</x:v>
      </x:c>
      <x:c r="C1143" s="23" t="n">
        <x:v>45904</x:v>
      </x:c>
      <x:c r="D1143" s="23" t="n">
        <x:v>45900</x:v>
      </x:c>
      <x:c r="E1143" s="13" t="str">
        <x:v>VAL-002</x:v>
      </x:c>
      <x:c r="F1143" s="13" t="str">
        <x:v>Mendes &amp; Prado Consultoria</x:v>
      </x:c>
      <x:c r="G1143" s="13" t="str">
        <x:v>Serviços Profissionais</x:v>
      </x:c>
      <x:c r="H1143" s="13" t="str">
        <x:v>Baixo</x:v>
      </x:c>
      <x:c r="I1143" s="13" t="str">
        <x:v>Gestão</x:v>
      </x:c>
      <x:c r="J1143" s="17" t="n">
        <x:v>9586.03</x:v>
      </x:c>
      <x:c r="K1143" s="17" t="n">
        <x:v>0</x:v>
      </x:c>
      <x:c r="L1143" s="17" t="n">
        <x:v>0</x:v>
      </x:c>
      <x:c r="M1143" s="13" t="str">
        <x:v>Pago</x:v>
      </x:c>
      <x:c r="N1143" s="13" t="str">
        <x:v>Sem cobrança</x:v>
      </x:c>
      <x:c r="O1143" s="13" t="str">
        <x:v>Operação Clareza</x:v>
      </x:c>
      <x:c r="P1143" s="17" t="n">
        <x:f>IF(D1143="",0,J1143-K1143+L1143)</x:f>
        <x:v>9586.03</x:v>
      </x:c>
      <x:c r="Q1143" s="17" t="n">
        <x:f>MAX(J1143-P1143-K1143,0)</x:f>
        <x:v>0</x:v>
      </x:c>
      <x:c r="R1143" s="13" t="n">
        <x:f>IF(D1143="",MAX(TODAY()-C1143,0),MAX(D1143-C1143,0))</x:f>
        <x:v>0</x:v>
      </x:c>
      <x:c r="S1143" s="13" t="str">
        <x:f>IF(R1143=0,"Em dia",IF(R1143&lt;=15,"1-15 dias",IF(R1143&lt;=30,"16-30 dias",IF(R1143&lt;=60,"31-60 dias","Acima de 60 dias"))))</x:f>
        <x:v>Em dia</x:v>
      </x:c>
    </x:row>
    <x:row r="1144">
      <x:c r="A1144" s="13" t="str">
        <x:v>REC-001143</x:v>
      </x:c>
      <x:c r="B1144" s="23" t="n">
        <x:v>45875</x:v>
      </x:c>
      <x:c r="C1144" s="23" t="n">
        <x:v>45903</x:v>
      </x:c>
      <x:c r="D1144" s="23" t="n">
        <x:v>45900</x:v>
      </x:c>
      <x:c r="E1144" s="13" t="str">
        <x:v>VAL-025</x:v>
      </x:c>
      <x:c r="F1144" s="13" t="str">
        <x:v>Bem-Estar Terapias</x:v>
      </x:c>
      <x:c r="G1144" s="13" t="str">
        <x:v>Clínicas e Saúde</x:v>
      </x:c>
      <x:c r="H1144" s="13" t="str">
        <x:v>Baixo</x:v>
      </x:c>
      <x:c r="I1144" s="13" t="str">
        <x:v>Essencial</x:v>
      </x:c>
      <x:c r="J1144" s="17" t="n">
        <x:v>1833.22</x:v>
      </x:c>
      <x:c r="K1144" s="17" t="n">
        <x:v>0</x:v>
      </x:c>
      <x:c r="L1144" s="17" t="n">
        <x:v>0</x:v>
      </x:c>
      <x:c r="M1144" s="13" t="str">
        <x:v>Pago</x:v>
      </x:c>
      <x:c r="N1144" s="13" t="str">
        <x:v>Sem cobrança</x:v>
      </x:c>
      <x:c r="O1144" s="13" t="str">
        <x:v>Operação Clareza</x:v>
      </x:c>
      <x:c r="P1144" s="17" t="n">
        <x:f>IF(D1144="",0,J1144-K1144+L1144)</x:f>
        <x:v>1833.22</x:v>
      </x:c>
      <x:c r="Q1144" s="17" t="n">
        <x:f>MAX(J1144-P1144-K1144,0)</x:f>
        <x:v>0</x:v>
      </x:c>
      <x:c r="R1144" s="13" t="n">
        <x:f>IF(D1144="",MAX(TODAY()-C1144,0),MAX(D1144-C1144,0))</x:f>
        <x:v>0</x:v>
      </x:c>
      <x:c r="S1144" s="13" t="str">
        <x:f>IF(R1144=0,"Em dia",IF(R1144&lt;=15,"1-15 dias",IF(R1144&lt;=30,"16-30 dias",IF(R1144&lt;=60,"31-60 dias","Acima de 60 dias"))))</x:f>
        <x:v>Em dia</x:v>
      </x:c>
    </x:row>
    <x:row r="1145">
      <x:c r="A1145" s="13" t="str">
        <x:v>REC-001144</x:v>
      </x:c>
      <x:c r="B1145" s="23" t="n">
        <x:v>45880</x:v>
      </x:c>
      <x:c r="C1145" s="23" t="n">
        <x:v>45910</x:v>
      </x:c>
      <x:c r="D1145" s="23" t="n">
        <x:v>45908</x:v>
      </x:c>
      <x:c r="E1145" s="13" t="str">
        <x:v>VAL-006</x:v>
      </x:c>
      <x:c r="F1145" s="13" t="str">
        <x:v>Instituto Saber Mais</x:v>
      </x:c>
      <x:c r="G1145" s="13" t="str">
        <x:v>Educação</x:v>
      </x:c>
      <x:c r="H1145" s="13" t="str">
        <x:v>Médio</x:v>
      </x:c>
      <x:c r="I1145" s="13" t="str">
        <x:v>Gestão</x:v>
      </x:c>
      <x:c r="J1145" s="17" t="n">
        <x:v>17216.74</x:v>
      </x:c>
      <x:c r="K1145" s="17" t="n">
        <x:v>191.38</x:v>
      </x:c>
      <x:c r="L1145" s="17" t="n">
        <x:v>0</x:v>
      </x:c>
      <x:c r="M1145" s="13" t="str">
        <x:v>Pago</x:v>
      </x:c>
      <x:c r="N1145" s="13" t="str">
        <x:v>Sem cobrança</x:v>
      </x:c>
      <x:c r="O1145" s="13" t="str">
        <x:v>Operação Clareza</x:v>
      </x:c>
      <x:c r="P1145" s="17" t="n">
        <x:f>IF(D1145="",0,J1145-K1145+L1145)</x:f>
        <x:v>17025.36</x:v>
      </x:c>
      <x:c r="Q1145" s="17" t="n">
        <x:f>MAX(J1145-P1145-K1145,0)</x:f>
        <x:v>1.0231815394945443e-12</x:v>
      </x:c>
      <x:c r="R1145" s="13" t="n">
        <x:f>IF(D1145="",MAX(TODAY()-C1145,0),MAX(D1145-C1145,0))</x:f>
        <x:v>0</x:v>
      </x:c>
      <x:c r="S1145" s="13" t="str">
        <x:f>IF(R1145=0,"Em dia",IF(R1145&lt;=15,"1-15 dias",IF(R1145&lt;=30,"16-30 dias",IF(R1145&lt;=60,"31-60 dias","Acima de 60 dias"))))</x:f>
        <x:v>Em dia</x:v>
      </x:c>
    </x:row>
    <x:row r="1146">
      <x:c r="A1146" s="13" t="str">
        <x:v>REC-001145</x:v>
      </x:c>
      <x:c r="B1146" s="23" t="n">
        <x:v>45888</x:v>
      </x:c>
      <x:c r="C1146" s="23" t="n">
        <x:v>45909</x:v>
      </x:c>
      <x:c r="D1146" s="23" t="n">
        <x:v>45909</x:v>
      </x:c>
      <x:c r="E1146" s="13" t="str">
        <x:v>VAL-001</x:v>
      </x:c>
      <x:c r="F1146" s="13" t="str">
        <x:v>Clínica Horizonte</x:v>
      </x:c>
      <x:c r="G1146" s="13" t="str">
        <x:v>Clínicas e Saúde</x:v>
      </x:c>
      <x:c r="H1146" s="13" t="str">
        <x:v>Baixo</x:v>
      </x:c>
      <x:c r="I1146" s="13" t="str">
        <x:v>Essencial</x:v>
      </x:c>
      <x:c r="J1146" s="17" t="n">
        <x:v>16102.58</x:v>
      </x:c>
      <x:c r="K1146" s="17" t="n">
        <x:v>88.98</x:v>
      </x:c>
      <x:c r="L1146" s="17" t="n">
        <x:v>0</x:v>
      </x:c>
      <x:c r="M1146" s="13" t="str">
        <x:v>Pago</x:v>
      </x:c>
      <x:c r="N1146" s="13" t="str">
        <x:v>Sem cobrança</x:v>
      </x:c>
      <x:c r="O1146" s="13" t="str">
        <x:v>Operação Clareza</x:v>
      </x:c>
      <x:c r="P1146" s="17" t="n">
        <x:f>IF(D1146="",0,J1146-K1146+L1146)</x:f>
        <x:v>16013.6</x:v>
      </x:c>
      <x:c r="Q1146" s="17" t="n">
        <x:f>MAX(J1146-P1146-K1146,0)</x:f>
        <x:v>0</x:v>
      </x:c>
      <x:c r="R1146" s="13" t="n">
        <x:f>IF(D1146="",MAX(TODAY()-C1146,0),MAX(D1146-C1146,0))</x:f>
        <x:v>0</x:v>
      </x:c>
      <x:c r="S1146" s="13" t="str">
        <x:f>IF(R1146=0,"Em dia",IF(R1146&lt;=15,"1-15 dias",IF(R1146&lt;=30,"16-30 dias",IF(R1146&lt;=60,"31-60 dias","Acima de 60 dias"))))</x:f>
        <x:v>Em dia</x:v>
      </x:c>
    </x:row>
    <x:row r="1147">
      <x:c r="A1147" s="13" t="str">
        <x:v>REC-001146</x:v>
      </x:c>
      <x:c r="B1147" s="23" t="n">
        <x:v>45873</x:v>
      </x:c>
      <x:c r="C1147" s="23" t="n">
        <x:v>45880</x:v>
      </x:c>
      <x:c r="D1147" s="23" t="n">
        <x:v>45879</x:v>
      </x:c>
      <x:c r="E1147" s="13" t="str">
        <x:v>VAL-028</x:v>
      </x:c>
      <x:c r="F1147" s="13" t="str">
        <x:v>Pixel Norte</x:v>
      </x:c>
      <x:c r="G1147" s="13" t="str">
        <x:v>Tecnologia</x:v>
      </x:c>
      <x:c r="H1147" s="13" t="str">
        <x:v>Alto</x:v>
      </x:c>
      <x:c r="I1147" s="13" t="str">
        <x:v>Enterprise</x:v>
      </x:c>
      <x:c r="J1147" s="17" t="n">
        <x:v>15337.99</x:v>
      </x:c>
      <x:c r="K1147" s="17" t="n">
        <x:v>0</x:v>
      </x:c>
      <x:c r="L1147" s="17" t="n">
        <x:v>0</x:v>
      </x:c>
      <x:c r="M1147" s="13" t="str">
        <x:v>Pago</x:v>
      </x:c>
      <x:c r="N1147" s="13" t="str">
        <x:v>Sem cobrança</x:v>
      </x:c>
      <x:c r="O1147" s="13" t="str">
        <x:v>Operação Clareza</x:v>
      </x:c>
      <x:c r="P1147" s="17" t="n">
        <x:f>IF(D1147="",0,J1147-K1147+L1147)</x:f>
        <x:v>15337.99</x:v>
      </x:c>
      <x:c r="Q1147" s="17" t="n">
        <x:f>MAX(J1147-P1147-K1147,0)</x:f>
        <x:v>0</x:v>
      </x:c>
      <x:c r="R1147" s="13" t="n">
        <x:f>IF(D1147="",MAX(TODAY()-C1147,0),MAX(D1147-C1147,0))</x:f>
        <x:v>0</x:v>
      </x:c>
      <x:c r="S1147" s="13" t="str">
        <x:f>IF(R1147=0,"Em dia",IF(R1147&lt;=15,"1-15 dias",IF(R1147&lt;=30,"16-30 dias",IF(R1147&lt;=60,"31-60 dias","Acima de 60 dias"))))</x:f>
        <x:v>Em dia</x:v>
      </x:c>
    </x:row>
    <x:row r="1148">
      <x:c r="A1148" s="13" t="str">
        <x:v>REC-001147</x:v>
      </x:c>
      <x:c r="B1148" s="23" t="n">
        <x:v>45884</x:v>
      </x:c>
      <x:c r="C1148" s="23" t="n">
        <x:v>45912</x:v>
      </x:c>
      <x:c r="D1148" s="23" t="n">
        <x:v>45908</x:v>
      </x:c>
      <x:c r="E1148" s="13" t="str">
        <x:v>VAL-015</x:v>
      </x:c>
      <x:c r="F1148" s="13" t="str">
        <x:v>Mercado Click</x:v>
      </x:c>
      <x:c r="G1148" s="13" t="str">
        <x:v>E-commerce</x:v>
      </x:c>
      <x:c r="H1148" s="13" t="str">
        <x:v>Baixo</x:v>
      </x:c>
      <x:c r="I1148" s="13" t="str">
        <x:v>Performance</x:v>
      </x:c>
      <x:c r="J1148" s="17" t="n">
        <x:v>10643.76</x:v>
      </x:c>
      <x:c r="K1148" s="17" t="n">
        <x:v>0</x:v>
      </x:c>
      <x:c r="L1148" s="17" t="n">
        <x:v>0</x:v>
      </x:c>
      <x:c r="M1148" s="13" t="str">
        <x:v>Pago</x:v>
      </x:c>
      <x:c r="N1148" s="13" t="str">
        <x:v>Sem cobrança</x:v>
      </x:c>
      <x:c r="O1148" s="13" t="str">
        <x:v>Operação Clareza</x:v>
      </x:c>
      <x:c r="P1148" s="17" t="n">
        <x:f>IF(D1148="",0,J1148-K1148+L1148)</x:f>
        <x:v>10643.76</x:v>
      </x:c>
      <x:c r="Q1148" s="17" t="n">
        <x:f>MAX(J1148-P1148-K1148,0)</x:f>
        <x:v>0</x:v>
      </x:c>
      <x:c r="R1148" s="13" t="n">
        <x:f>IF(D1148="",MAX(TODAY()-C1148,0),MAX(D1148-C1148,0))</x:f>
        <x:v>0</x:v>
      </x:c>
      <x:c r="S1148" s="13" t="str">
        <x:f>IF(R1148=0,"Em dia",IF(R1148&lt;=15,"1-15 dias",IF(R1148&lt;=30,"16-30 dias",IF(R1148&lt;=60,"31-60 dias","Acima de 60 dias"))))</x:f>
        <x:v>Em dia</x:v>
      </x:c>
    </x:row>
    <x:row r="1149">
      <x:c r="A1149" s="13" t="str">
        <x:v>REC-001148</x:v>
      </x:c>
      <x:c r="B1149" s="23" t="n">
        <x:v>45876</x:v>
      </x:c>
      <x:c r="C1149" s="23" t="n">
        <x:v>45904</x:v>
      </x:c>
      <x:c r="D1149" s="23" t="n">
        <x:v>45904</x:v>
      </x:c>
      <x:c r="E1149" s="13" t="str">
        <x:v>VAL-024</x:v>
      </x:c>
      <x:c r="F1149" s="13" t="str">
        <x:v>NovaForma Móveis</x:v>
      </x:c>
      <x:c r="G1149" s="13" t="str">
        <x:v>Indústria Leve</x:v>
      </x:c>
      <x:c r="H1149" s="13" t="str">
        <x:v>Baixo</x:v>
      </x:c>
      <x:c r="I1149" s="13" t="str">
        <x:v>Enterprise</x:v>
      </x:c>
      <x:c r="J1149" s="17" t="n">
        <x:v>7433.07</x:v>
      </x:c>
      <x:c r="K1149" s="17" t="n">
        <x:v>0</x:v>
      </x:c>
      <x:c r="L1149" s="17" t="n">
        <x:v>0</x:v>
      </x:c>
      <x:c r="M1149" s="13" t="str">
        <x:v>Pago</x:v>
      </x:c>
      <x:c r="N1149" s="13" t="str">
        <x:v>Sem cobrança</x:v>
      </x:c>
      <x:c r="O1149" s="13" t="str">
        <x:v>Operação Clareza</x:v>
      </x:c>
      <x:c r="P1149" s="17" t="n">
        <x:f>IF(D1149="",0,J1149-K1149+L1149)</x:f>
        <x:v>7433.07</x:v>
      </x:c>
      <x:c r="Q1149" s="17" t="n">
        <x:f>MAX(J1149-P1149-K1149,0)</x:f>
        <x:v>0</x:v>
      </x:c>
      <x:c r="R1149" s="13" t="n">
        <x:f>IF(D1149="",MAX(TODAY()-C1149,0),MAX(D1149-C1149,0))</x:f>
        <x:v>0</x:v>
      </x:c>
      <x:c r="S1149" s="13" t="str">
        <x:f>IF(R1149=0,"Em dia",IF(R1149&lt;=15,"1-15 dias",IF(R1149&lt;=30,"16-30 dias",IF(R1149&lt;=60,"31-60 dias","Acima de 60 dias"))))</x:f>
        <x:v>Em dia</x:v>
      </x:c>
    </x:row>
    <x:row r="1150">
      <x:c r="A1150" s="13" t="str">
        <x:v>REC-001149</x:v>
      </x:c>
      <x:c r="B1150" s="23" t="n">
        <x:v>45887</x:v>
      </x:c>
      <x:c r="C1150" s="23" t="n">
        <x:v>45908</x:v>
      </x:c>
      <x:c r="D1150" s="23" t="n">
        <x:v>45904</x:v>
      </x:c>
      <x:c r="E1150" s="13" t="str">
        <x:v>VAL-005</x:v>
      </x:c>
      <x:c r="F1150" s="13" t="str">
        <x:v>Construtora Alameda</x:v>
      </x:c>
      <x:c r="G1150" s="13" t="str">
        <x:v>Construção</x:v>
      </x:c>
      <x:c r="H1150" s="13" t="str">
        <x:v>Médio</x:v>
      </x:c>
      <x:c r="I1150" s="13" t="str">
        <x:v>Essencial</x:v>
      </x:c>
      <x:c r="J1150" s="17" t="n">
        <x:v>10430.39</x:v>
      </x:c>
      <x:c r="K1150" s="17" t="n">
        <x:v>0</x:v>
      </x:c>
      <x:c r="L1150" s="17" t="n">
        <x:v>0</x:v>
      </x:c>
      <x:c r="M1150" s="13" t="str">
        <x:v>Pago</x:v>
      </x:c>
      <x:c r="N1150" s="13" t="str">
        <x:v>Sem cobrança</x:v>
      </x:c>
      <x:c r="O1150" s="13" t="str">
        <x:v>Operação Clareza</x:v>
      </x:c>
      <x:c r="P1150" s="17" t="n">
        <x:f>IF(D1150="",0,J1150-K1150+L1150)</x:f>
        <x:v>10430.39</x:v>
      </x:c>
      <x:c r="Q1150" s="17" t="n">
        <x:f>MAX(J1150-P1150-K1150,0)</x:f>
        <x:v>0</x:v>
      </x:c>
      <x:c r="R1150" s="13" t="n">
        <x:f>IF(D1150="",MAX(TODAY()-C1150,0),MAX(D1150-C1150,0))</x:f>
        <x:v>0</x:v>
      </x:c>
      <x:c r="S1150" s="13" t="str">
        <x:f>IF(R1150=0,"Em dia",IF(R1150&lt;=15,"1-15 dias",IF(R1150&lt;=30,"16-30 dias",IF(R1150&lt;=60,"31-60 dias","Acima de 60 dias"))))</x:f>
        <x:v>Em dia</x:v>
      </x:c>
    </x:row>
    <x:row r="1151">
      <x:c r="A1151" s="13" t="str">
        <x:v>REC-001150</x:v>
      </x:c>
      <x:c r="B1151" s="23" t="n">
        <x:v>45877</x:v>
      </x:c>
      <x:c r="C1151" s="23" t="n">
        <x:v>45907</x:v>
      </x:c>
      <x:c r="D1151" s="23" t="n">
        <x:v>45906</x:v>
      </x:c>
      <x:c r="E1151" s="13" t="str">
        <x:v>VAL-028</x:v>
      </x:c>
      <x:c r="F1151" s="13" t="str">
        <x:v>Pixel Norte</x:v>
      </x:c>
      <x:c r="G1151" s="13" t="str">
        <x:v>Tecnologia</x:v>
      </x:c>
      <x:c r="H1151" s="13" t="str">
        <x:v>Alto</x:v>
      </x:c>
      <x:c r="I1151" s="13" t="str">
        <x:v>Enterprise</x:v>
      </x:c>
      <x:c r="J1151" s="17" t="n">
        <x:v>21627.21</x:v>
      </x:c>
      <x:c r="K1151" s="17" t="n">
        <x:v>221.82</x:v>
      </x:c>
      <x:c r="L1151" s="17" t="n">
        <x:v>0</x:v>
      </x:c>
      <x:c r="M1151" s="13" t="str">
        <x:v>Pago</x:v>
      </x:c>
      <x:c r="N1151" s="13" t="str">
        <x:v>Sem cobrança</x:v>
      </x:c>
      <x:c r="O1151" s="13" t="str">
        <x:v>Operação Clareza</x:v>
      </x:c>
      <x:c r="P1151" s="17" t="n">
        <x:f>IF(D1151="",0,J1151-K1151+L1151)</x:f>
        <x:v>21405.39</x:v>
      </x:c>
      <x:c r="Q1151" s="17" t="n">
        <x:f>MAX(J1151-P1151-K1151,0)</x:f>
        <x:v>0</x:v>
      </x:c>
      <x:c r="R1151" s="13" t="n">
        <x:f>IF(D1151="",MAX(TODAY()-C1151,0),MAX(D1151-C1151,0))</x:f>
        <x:v>0</x:v>
      </x:c>
      <x:c r="S1151" s="13" t="str">
        <x:f>IF(R1151=0,"Em dia",IF(R1151&lt;=15,"1-15 dias",IF(R1151&lt;=30,"16-30 dias",IF(R1151&lt;=60,"31-60 dias","Acima de 60 dias"))))</x:f>
        <x:v>Em dia</x:v>
      </x:c>
    </x:row>
    <x:row r="1152">
      <x:c r="A1152" s="13" t="str">
        <x:v>REC-001151</x:v>
      </x:c>
      <x:c r="B1152" s="23" t="n">
        <x:v>45886</x:v>
      </x:c>
      <x:c r="C1152" s="23" t="n">
        <x:v>45907</x:v>
      </x:c>
      <x:c r="D1152" s="23" t="n">
        <x:v>45906</x:v>
      </x:c>
      <x:c r="E1152" s="13" t="str">
        <x:v>VAL-028</x:v>
      </x:c>
      <x:c r="F1152" s="13" t="str">
        <x:v>Pixel Norte</x:v>
      </x:c>
      <x:c r="G1152" s="13" t="str">
        <x:v>Tecnologia</x:v>
      </x:c>
      <x:c r="H1152" s="13" t="str">
        <x:v>Alto</x:v>
      </x:c>
      <x:c r="I1152" s="13" t="str">
        <x:v>Enterprise</x:v>
      </x:c>
      <x:c r="J1152" s="17" t="n">
        <x:v>20969.37</x:v>
      </x:c>
      <x:c r="K1152" s="17" t="n">
        <x:v>220.27</x:v>
      </x:c>
      <x:c r="L1152" s="17" t="n">
        <x:v>0</x:v>
      </x:c>
      <x:c r="M1152" s="13" t="str">
        <x:v>Pago</x:v>
      </x:c>
      <x:c r="N1152" s="13" t="str">
        <x:v>Sem cobrança</x:v>
      </x:c>
      <x:c r="O1152" s="13" t="str">
        <x:v>Operação Clareza</x:v>
      </x:c>
      <x:c r="P1152" s="17" t="n">
        <x:f>IF(D1152="",0,J1152-K1152+L1152)</x:f>
        <x:v>20749.1</x:v>
      </x:c>
      <x:c r="Q1152" s="17" t="n">
        <x:f>MAX(J1152-P1152-K1152,0)</x:f>
        <x:v>4.263256414560601e-13</x:v>
      </x:c>
      <x:c r="R1152" s="13" t="n">
        <x:f>IF(D1152="",MAX(TODAY()-C1152,0),MAX(D1152-C1152,0))</x:f>
        <x:v>0</x:v>
      </x:c>
      <x:c r="S1152" s="13" t="str">
        <x:f>IF(R1152=0,"Em dia",IF(R1152&lt;=15,"1-15 dias",IF(R1152&lt;=30,"16-30 dias",IF(R1152&lt;=60,"31-60 dias","Acima de 60 dias"))))</x:f>
        <x:v>Em dia</x:v>
      </x:c>
    </x:row>
    <x:row r="1153">
      <x:c r="A1153" s="13" t="str">
        <x:v>REC-001152</x:v>
      </x:c>
      <x:c r="B1153" s="23" t="n">
        <x:v>45876</x:v>
      </x:c>
      <x:c r="C1153" s="23" t="n">
        <x:v>45897</x:v>
      </x:c>
      <x:c r="D1153" s="23" t="n">
        <x:v>45894</x:v>
      </x:c>
      <x:c r="E1153" s="13" t="str">
        <x:v>VAL-001</x:v>
      </x:c>
      <x:c r="F1153" s="13" t="str">
        <x:v>Clínica Horizonte</x:v>
      </x:c>
      <x:c r="G1153" s="13" t="str">
        <x:v>Clínicas e Saúde</x:v>
      </x:c>
      <x:c r="H1153" s="13" t="str">
        <x:v>Baixo</x:v>
      </x:c>
      <x:c r="I1153" s="13" t="str">
        <x:v>Essencial</x:v>
      </x:c>
      <x:c r="J1153" s="17" t="n">
        <x:v>3749.57</x:v>
      </x:c>
      <x:c r="K1153" s="17" t="n">
        <x:v>0</x:v>
      </x:c>
      <x:c r="L1153" s="17" t="n">
        <x:v>0</x:v>
      </x:c>
      <x:c r="M1153" s="13" t="str">
        <x:v>Pago</x:v>
      </x:c>
      <x:c r="N1153" s="13" t="str">
        <x:v>Sem cobrança</x:v>
      </x:c>
      <x:c r="O1153" s="13" t="str">
        <x:v>Operação Clareza</x:v>
      </x:c>
      <x:c r="P1153" s="17" t="n">
        <x:f>IF(D1153="",0,J1153-K1153+L1153)</x:f>
        <x:v>3749.57</x:v>
      </x:c>
      <x:c r="Q1153" s="17" t="n">
        <x:f>MAX(J1153-P1153-K1153,0)</x:f>
        <x:v>0</x:v>
      </x:c>
      <x:c r="R1153" s="13" t="n">
        <x:f>IF(D1153="",MAX(TODAY()-C1153,0),MAX(D1153-C1153,0))</x:f>
        <x:v>0</x:v>
      </x:c>
      <x:c r="S1153" s="13" t="str">
        <x:f>IF(R1153=0,"Em dia",IF(R1153&lt;=15,"1-15 dias",IF(R1153&lt;=30,"16-30 dias",IF(R1153&lt;=60,"31-60 dias","Acima de 60 dias"))))</x:f>
        <x:v>Em dia</x:v>
      </x:c>
    </x:row>
    <x:row r="1154">
      <x:c r="A1154" s="13" t="str">
        <x:v>REC-001153</x:v>
      </x:c>
      <x:c r="B1154" s="23" t="n">
        <x:v>45872</x:v>
      </x:c>
      <x:c r="C1154" s="23" t="n">
        <x:v>45900</x:v>
      </x:c>
      <x:c r="D1154" s="23" t="n">
        <x:v>45897</x:v>
      </x:c>
      <x:c r="E1154" s="13" t="str">
        <x:v>VAL-013</x:v>
      </x:c>
      <x:c r="F1154" s="13" t="str">
        <x:v>Engenharia Vértice</x:v>
      </x:c>
      <x:c r="G1154" s="13" t="str">
        <x:v>Construção</x:v>
      </x:c>
      <x:c r="H1154" s="13" t="str">
        <x:v>Baixo</x:v>
      </x:c>
      <x:c r="I1154" s="13" t="str">
        <x:v>Essencial</x:v>
      </x:c>
      <x:c r="J1154" s="17" t="n">
        <x:v>7582.46</x:v>
      </x:c>
      <x:c r="K1154" s="17" t="n">
        <x:v>0</x:v>
      </x:c>
      <x:c r="L1154" s="17" t="n">
        <x:v>0</x:v>
      </x:c>
      <x:c r="M1154" s="13" t="str">
        <x:v>Pago</x:v>
      </x:c>
      <x:c r="N1154" s="13" t="str">
        <x:v>Sem cobrança</x:v>
      </x:c>
      <x:c r="O1154" s="13" t="str">
        <x:v>Operação Clareza</x:v>
      </x:c>
      <x:c r="P1154" s="17" t="n">
        <x:f>IF(D1154="",0,J1154-K1154+L1154)</x:f>
        <x:v>7582.46</x:v>
      </x:c>
      <x:c r="Q1154" s="17" t="n">
        <x:f>MAX(J1154-P1154-K1154,0)</x:f>
        <x:v>0</x:v>
      </x:c>
      <x:c r="R1154" s="13" t="n">
        <x:f>IF(D1154="",MAX(TODAY()-C1154,0),MAX(D1154-C1154,0))</x:f>
        <x:v>0</x:v>
      </x:c>
      <x:c r="S1154" s="13" t="str">
        <x:f>IF(R1154=0,"Em dia",IF(R1154&lt;=15,"1-15 dias",IF(R1154&lt;=30,"16-30 dias",IF(R1154&lt;=60,"31-60 dias","Acima de 60 dias"))))</x:f>
        <x:v>Em dia</x:v>
      </x:c>
    </x:row>
    <x:row r="1155">
      <x:c r="A1155" s="13" t="str">
        <x:v>REC-001154</x:v>
      </x:c>
      <x:c r="B1155" s="23" t="n">
        <x:v>45874</x:v>
      </x:c>
      <x:c r="C1155" s="23" t="n">
        <x:v>45895</x:v>
      </x:c>
      <x:c r="D1155" s="23" t="n">
        <x:v>45893</x:v>
      </x:c>
      <x:c r="E1155" s="13" t="str">
        <x:v>VAL-009</x:v>
      </x:c>
      <x:c r="F1155" s="13" t="str">
        <x:v>Odonto Prime</x:v>
      </x:c>
      <x:c r="G1155" s="13" t="str">
        <x:v>Clínicas e Saúde</x:v>
      </x:c>
      <x:c r="H1155" s="13" t="str">
        <x:v>Médio</x:v>
      </x:c>
      <x:c r="I1155" s="13" t="str">
        <x:v>Essencial</x:v>
      </x:c>
      <x:c r="J1155" s="17" t="n">
        <x:v>10479.24</x:v>
      </x:c>
      <x:c r="K1155" s="17" t="n">
        <x:v>0</x:v>
      </x:c>
      <x:c r="L1155" s="17" t="n">
        <x:v>0</x:v>
      </x:c>
      <x:c r="M1155" s="13" t="str">
        <x:v>Pago</x:v>
      </x:c>
      <x:c r="N1155" s="13" t="str">
        <x:v>Sem cobrança</x:v>
      </x:c>
      <x:c r="O1155" s="13" t="str">
        <x:v>Operação Clareza</x:v>
      </x:c>
      <x:c r="P1155" s="17" t="n">
        <x:f>IF(D1155="",0,J1155-K1155+L1155)</x:f>
        <x:v>10479.24</x:v>
      </x:c>
      <x:c r="Q1155" s="17" t="n">
        <x:f>MAX(J1155-P1155-K1155,0)</x:f>
        <x:v>0</x:v>
      </x:c>
      <x:c r="R1155" s="13" t="n">
        <x:f>IF(D1155="",MAX(TODAY()-C1155,0),MAX(D1155-C1155,0))</x:f>
        <x:v>0</x:v>
      </x:c>
      <x:c r="S1155" s="13" t="str">
        <x:f>IF(R1155=0,"Em dia",IF(R1155&lt;=15,"1-15 dias",IF(R1155&lt;=30,"16-30 dias",IF(R1155&lt;=60,"31-60 dias","Acima de 60 dias"))))</x:f>
        <x:v>Em dia</x:v>
      </x:c>
    </x:row>
    <x:row r="1156">
      <x:c r="A1156" s="13" t="str">
        <x:v>REC-001155</x:v>
      </x:c>
      <x:c r="B1156" s="23" t="n">
        <x:v>45875</x:v>
      </x:c>
      <x:c r="C1156" s="23" t="n">
        <x:v>45882</x:v>
      </x:c>
      <x:c r="D1156" s="23" t="n">
        <x:v>45879</x:v>
      </x:c>
      <x:c r="E1156" s="13" t="str">
        <x:v>VAL-015</x:v>
      </x:c>
      <x:c r="F1156" s="13" t="str">
        <x:v>Mercado Click</x:v>
      </x:c>
      <x:c r="G1156" s="13" t="str">
        <x:v>E-commerce</x:v>
      </x:c>
      <x:c r="H1156" s="13" t="str">
        <x:v>Baixo</x:v>
      </x:c>
      <x:c r="I1156" s="13" t="str">
        <x:v>Performance</x:v>
      </x:c>
      <x:c r="J1156" s="17" t="n">
        <x:v>22749.74</x:v>
      </x:c>
      <x:c r="K1156" s="17" t="n">
        <x:v>0</x:v>
      </x:c>
      <x:c r="L1156" s="17" t="n">
        <x:v>0</x:v>
      </x:c>
      <x:c r="M1156" s="13" t="str">
        <x:v>Pago</x:v>
      </x:c>
      <x:c r="N1156" s="13" t="str">
        <x:v>Sem cobrança</x:v>
      </x:c>
      <x:c r="O1156" s="13" t="str">
        <x:v>Operação Clareza</x:v>
      </x:c>
      <x:c r="P1156" s="17" t="n">
        <x:f>IF(D1156="",0,J1156-K1156+L1156)</x:f>
        <x:v>22749.74</x:v>
      </x:c>
      <x:c r="Q1156" s="17" t="n">
        <x:f>MAX(J1156-P1156-K1156,0)</x:f>
        <x:v>0</x:v>
      </x:c>
      <x:c r="R1156" s="13" t="n">
        <x:f>IF(D1156="",MAX(TODAY()-C1156,0),MAX(D1156-C1156,0))</x:f>
        <x:v>0</x:v>
      </x:c>
      <x:c r="S1156" s="13" t="str">
        <x:f>IF(R1156=0,"Em dia",IF(R1156&lt;=15,"1-15 dias",IF(R1156&lt;=30,"16-30 dias",IF(R1156&lt;=60,"31-60 dias","Acima de 60 dias"))))</x:f>
        <x:v>Em dia</x:v>
      </x:c>
    </x:row>
    <x:row r="1157">
      <x:c r="A1157" s="13" t="str">
        <x:v>REC-001156</x:v>
      </x:c>
      <x:c r="B1157" s="23" t="n">
        <x:v>45882</x:v>
      </x:c>
      <x:c r="C1157" s="23" t="n">
        <x:v>45912</x:v>
      </x:c>
      <x:c r="D1157" s="23" t="n">
        <x:v>45911</x:v>
      </x:c>
      <x:c r="E1157" s="13" t="str">
        <x:v>VAL-027</x:v>
      </x:c>
      <x:c r="F1157" s="13" t="str">
        <x:v>Mais Lar Utilidades</x:v>
      </x:c>
      <x:c r="G1157" s="13" t="str">
        <x:v>Varejo</x:v>
      </x:c>
      <x:c r="H1157" s="13" t="str">
        <x:v>Baixo</x:v>
      </x:c>
      <x:c r="I1157" s="13" t="str">
        <x:v>Performance</x:v>
      </x:c>
      <x:c r="J1157" s="17" t="n">
        <x:v>32337.03</x:v>
      </x:c>
      <x:c r="K1157" s="17" t="n">
        <x:v>543.02</x:v>
      </x:c>
      <x:c r="L1157" s="17" t="n">
        <x:v>0</x:v>
      </x:c>
      <x:c r="M1157" s="13" t="str">
        <x:v>Pago</x:v>
      </x:c>
      <x:c r="N1157" s="13" t="str">
        <x:v>Sem cobrança</x:v>
      </x:c>
      <x:c r="O1157" s="13" t="str">
        <x:v>Operação Clareza</x:v>
      </x:c>
      <x:c r="P1157" s="17" t="n">
        <x:f>IF(D1157="",0,J1157-K1157+L1157)</x:f>
        <x:v>31794.01</x:v>
      </x:c>
      <x:c r="Q1157" s="17" t="n">
        <x:f>MAX(J1157-P1157-K1157,0)</x:f>
        <x:v>4.547473508864641e-13</x:v>
      </x:c>
      <x:c r="R1157" s="13" t="n">
        <x:f>IF(D1157="",MAX(TODAY()-C1157,0),MAX(D1157-C1157,0))</x:f>
        <x:v>0</x:v>
      </x:c>
      <x:c r="S1157" s="13" t="str">
        <x:f>IF(R1157=0,"Em dia",IF(R1157&lt;=15,"1-15 dias",IF(R1157&lt;=30,"16-30 dias",IF(R1157&lt;=60,"31-60 dias","Acima de 60 dias"))))</x:f>
        <x:v>Em dia</x:v>
      </x:c>
    </x:row>
    <x:row r="1158">
      <x:c r="A1158" s="13" t="str">
        <x:v>REC-001157</x:v>
      </x:c>
      <x:c r="B1158" s="23" t="n">
        <x:v>45889</x:v>
      </x:c>
      <x:c r="C1158" s="23" t="n">
        <x:v>45896</x:v>
      </x:c>
      <x:c r="D1158" s="23" t="n">
        <x:v>45895</x:v>
      </x:c>
      <x:c r="E1158" s="13" t="str">
        <x:v>VAL-013</x:v>
      </x:c>
      <x:c r="F1158" s="13" t="str">
        <x:v>Engenharia Vértice</x:v>
      </x:c>
      <x:c r="G1158" s="13" t="str">
        <x:v>Construção</x:v>
      </x:c>
      <x:c r="H1158" s="13" t="str">
        <x:v>Baixo</x:v>
      </x:c>
      <x:c r="I1158" s="13" t="str">
        <x:v>Essencial</x:v>
      </x:c>
      <x:c r="J1158" s="17" t="n">
        <x:v>15095.74</x:v>
      </x:c>
      <x:c r="K1158" s="17" t="n">
        <x:v>0</x:v>
      </x:c>
      <x:c r="L1158" s="17" t="n">
        <x:v>0</x:v>
      </x:c>
      <x:c r="M1158" s="13" t="str">
        <x:v>Pago</x:v>
      </x:c>
      <x:c r="N1158" s="13" t="str">
        <x:v>Sem cobrança</x:v>
      </x:c>
      <x:c r="O1158" s="13" t="str">
        <x:v>Operação Clareza</x:v>
      </x:c>
      <x:c r="P1158" s="17" t="n">
        <x:f>IF(D1158="",0,J1158-K1158+L1158)</x:f>
        <x:v>15095.74</x:v>
      </x:c>
      <x:c r="Q1158" s="17" t="n">
        <x:f>MAX(J1158-P1158-K1158,0)</x:f>
        <x:v>0</x:v>
      </x:c>
      <x:c r="R1158" s="13" t="n">
        <x:f>IF(D1158="",MAX(TODAY()-C1158,0),MAX(D1158-C1158,0))</x:f>
        <x:v>0</x:v>
      </x:c>
      <x:c r="S1158" s="13" t="str">
        <x:f>IF(R1158=0,"Em dia",IF(R1158&lt;=15,"1-15 dias",IF(R1158&lt;=30,"16-30 dias",IF(R1158&lt;=60,"31-60 dias","Acima de 60 dias"))))</x:f>
        <x:v>Em dia</x:v>
      </x:c>
    </x:row>
    <x:row r="1159">
      <x:c r="A1159" s="13" t="str">
        <x:v>REC-001158</x:v>
      </x:c>
      <x:c r="B1159" s="23" t="n">
        <x:v>45889</x:v>
      </x:c>
      <x:c r="C1159" s="23" t="n">
        <x:v>45896</x:v>
      </x:c>
      <x:c r="D1159" s="23" t="n">
        <x:v>45894</x:v>
      </x:c>
      <x:c r="E1159" s="13" t="str">
        <x:v>VAL-006</x:v>
      </x:c>
      <x:c r="F1159" s="13" t="str">
        <x:v>Instituto Saber Mais</x:v>
      </x:c>
      <x:c r="G1159" s="13" t="str">
        <x:v>Educação</x:v>
      </x:c>
      <x:c r="H1159" s="13" t="str">
        <x:v>Médio</x:v>
      </x:c>
      <x:c r="I1159" s="13" t="str">
        <x:v>Gestão</x:v>
      </x:c>
      <x:c r="J1159" s="17" t="n">
        <x:v>5086.21</x:v>
      </x:c>
      <x:c r="K1159" s="17" t="n">
        <x:v>0</x:v>
      </x:c>
      <x:c r="L1159" s="17" t="n">
        <x:v>0</x:v>
      </x:c>
      <x:c r="M1159" s="13" t="str">
        <x:v>Pago</x:v>
      </x:c>
      <x:c r="N1159" s="13" t="str">
        <x:v>Sem cobrança</x:v>
      </x:c>
      <x:c r="O1159" s="13" t="str">
        <x:v>Operação Clareza</x:v>
      </x:c>
      <x:c r="P1159" s="17" t="n">
        <x:f>IF(D1159="",0,J1159-K1159+L1159)</x:f>
        <x:v>5086.21</x:v>
      </x:c>
      <x:c r="Q1159" s="17" t="n">
        <x:f>MAX(J1159-P1159-K1159,0)</x:f>
        <x:v>0</x:v>
      </x:c>
      <x:c r="R1159" s="13" t="n">
        <x:f>IF(D1159="",MAX(TODAY()-C1159,0),MAX(D1159-C1159,0))</x:f>
        <x:v>0</x:v>
      </x:c>
      <x:c r="S1159" s="13" t="str">
        <x:f>IF(R1159=0,"Em dia",IF(R1159&lt;=15,"1-15 dias",IF(R1159&lt;=30,"16-30 dias",IF(R1159&lt;=60,"31-60 dias","Acima de 60 dias"))))</x:f>
        <x:v>Em dia</x:v>
      </x:c>
    </x:row>
    <x:row r="1160">
      <x:c r="A1160" s="13" t="str">
        <x:v>REC-001159</x:v>
      </x:c>
      <x:c r="B1160" s="23" t="n">
        <x:v>45889</x:v>
      </x:c>
      <x:c r="C1160" s="23" t="n">
        <x:v>45917</x:v>
      </x:c>
      <x:c r="D1160" s="23" t="n">
        <x:v>45914</x:v>
      </x:c>
      <x:c r="E1160" s="13" t="str">
        <x:v>VAL-011</x:v>
      </x:c>
      <x:c r="F1160" s="13" t="str">
        <x:v>Rede Essencial</x:v>
      </x:c>
      <x:c r="G1160" s="13" t="str">
        <x:v>Varejo</x:v>
      </x:c>
      <x:c r="H1160" s="13" t="str">
        <x:v>Médio</x:v>
      </x:c>
      <x:c r="I1160" s="13" t="str">
        <x:v>Performance</x:v>
      </x:c>
      <x:c r="J1160" s="17" t="n">
        <x:v>10573.96</x:v>
      </x:c>
      <x:c r="K1160" s="17" t="n">
        <x:v>0</x:v>
      </x:c>
      <x:c r="L1160" s="17" t="n">
        <x:v>0</x:v>
      </x:c>
      <x:c r="M1160" s="13" t="str">
        <x:v>Pago</x:v>
      </x:c>
      <x:c r="N1160" s="13" t="str">
        <x:v>Sem cobrança</x:v>
      </x:c>
      <x:c r="O1160" s="13" t="str">
        <x:v>Operação Clareza</x:v>
      </x:c>
      <x:c r="P1160" s="17" t="n">
        <x:f>IF(D1160="",0,J1160-K1160+L1160)</x:f>
        <x:v>10573.96</x:v>
      </x:c>
      <x:c r="Q1160" s="17" t="n">
        <x:f>MAX(J1160-P1160-K1160,0)</x:f>
        <x:v>0</x:v>
      </x:c>
      <x:c r="R1160" s="13" t="n">
        <x:f>IF(D1160="",MAX(TODAY()-C1160,0),MAX(D1160-C1160,0))</x:f>
        <x:v>0</x:v>
      </x:c>
      <x:c r="S1160" s="13" t="str">
        <x:f>IF(R1160=0,"Em dia",IF(R1160&lt;=15,"1-15 dias",IF(R1160&lt;=30,"16-30 dias",IF(R1160&lt;=60,"31-60 dias","Acima de 60 dias"))))</x:f>
        <x:v>Em dia</x:v>
      </x:c>
    </x:row>
    <x:row r="1161">
      <x:c r="A1161" s="13" t="str">
        <x:v>REC-001160</x:v>
      </x:c>
      <x:c r="B1161" s="23" t="n">
        <x:v>45889</x:v>
      </x:c>
      <x:c r="C1161" s="23" t="n">
        <x:v>45919</x:v>
      </x:c>
      <x:c r="D1161" s="23" t="n">
        <x:v>45917</x:v>
      </x:c>
      <x:c r="E1161" s="13" t="str">
        <x:v>VAL-012</x:v>
      </x:c>
      <x:c r="F1161" s="13" t="str">
        <x:v>DataFlow Sistemas</x:v>
      </x:c>
      <x:c r="G1161" s="13" t="str">
        <x:v>Tecnologia</x:v>
      </x:c>
      <x:c r="H1161" s="13" t="str">
        <x:v>Médio</x:v>
      </x:c>
      <x:c r="I1161" s="13" t="str">
        <x:v>Enterprise</x:v>
      </x:c>
      <x:c r="J1161" s="17" t="n">
        <x:v>20356.01</x:v>
      </x:c>
      <x:c r="K1161" s="17" t="n">
        <x:v>0</x:v>
      </x:c>
      <x:c r="L1161" s="17" t="n">
        <x:v>0</x:v>
      </x:c>
      <x:c r="M1161" s="13" t="str">
        <x:v>Pago</x:v>
      </x:c>
      <x:c r="N1161" s="13" t="str">
        <x:v>Sem cobrança</x:v>
      </x:c>
      <x:c r="O1161" s="13" t="str">
        <x:v>Operação Clareza</x:v>
      </x:c>
      <x:c r="P1161" s="17" t="n">
        <x:f>IF(D1161="",0,J1161-K1161+L1161)</x:f>
        <x:v>20356.01</x:v>
      </x:c>
      <x:c r="Q1161" s="17" t="n">
        <x:f>MAX(J1161-P1161-K1161,0)</x:f>
        <x:v>0</x:v>
      </x:c>
      <x:c r="R1161" s="13" t="n">
        <x:f>IF(D1161="",MAX(TODAY()-C1161,0),MAX(D1161-C1161,0))</x:f>
        <x:v>0</x:v>
      </x:c>
      <x:c r="S1161" s="13" t="str">
        <x:f>IF(R1161=0,"Em dia",IF(R1161&lt;=15,"1-15 dias",IF(R1161&lt;=30,"16-30 dias",IF(R1161&lt;=60,"31-60 dias","Acima de 60 dias"))))</x:f>
        <x:v>Em dia</x:v>
      </x:c>
    </x:row>
    <x:row r="1162">
      <x:c r="A1162" s="13" t="str">
        <x:v>REC-001161</x:v>
      </x:c>
      <x:c r="B1162" s="23" t="n">
        <x:v>45873</x:v>
      </x:c>
      <x:c r="C1162" s="23" t="n">
        <x:v>45901</x:v>
      </x:c>
      <x:c r="D1162" s="23" t="n">
        <x:v>45900</x:v>
      </x:c>
      <x:c r="E1162" s="13" t="str">
        <x:v>VAL-014</x:v>
      </x:c>
      <x:c r="F1162" s="13" t="str">
        <x:v>Colégio Caminhos</x:v>
      </x:c>
      <x:c r="G1162" s="13" t="str">
        <x:v>Educação</x:v>
      </x:c>
      <x:c r="H1162" s="13" t="str">
        <x:v>Médio</x:v>
      </x:c>
      <x:c r="I1162" s="13" t="str">
        <x:v>Gestão</x:v>
      </x:c>
      <x:c r="J1162" s="17" t="n">
        <x:v>13031.64</x:v>
      </x:c>
      <x:c r="K1162" s="17" t="n">
        <x:v>118.23</x:v>
      </x:c>
      <x:c r="L1162" s="17" t="n">
        <x:v>0</x:v>
      </x:c>
      <x:c r="M1162" s="13" t="str">
        <x:v>Pago</x:v>
      </x:c>
      <x:c r="N1162" s="13" t="str">
        <x:v>Sem cobrança</x:v>
      </x:c>
      <x:c r="O1162" s="13" t="str">
        <x:v>Operação Clareza</x:v>
      </x:c>
      <x:c r="P1162" s="17" t="n">
        <x:f>IF(D1162="",0,J1162-K1162+L1162)</x:f>
        <x:v>12913.41</x:v>
      </x:c>
      <x:c r="Q1162" s="17" t="n">
        <x:f>MAX(J1162-P1162-K1162,0)</x:f>
        <x:v>0</x:v>
      </x:c>
      <x:c r="R1162" s="13" t="n">
        <x:f>IF(D1162="",MAX(TODAY()-C1162,0),MAX(D1162-C1162,0))</x:f>
        <x:v>0</x:v>
      </x:c>
      <x:c r="S1162" s="13" t="str">
        <x:f>IF(R1162=0,"Em dia",IF(R1162&lt;=15,"1-15 dias",IF(R1162&lt;=30,"16-30 dias",IF(R1162&lt;=60,"31-60 dias","Acima de 60 dias"))))</x:f>
        <x:v>Em dia</x:v>
      </x:c>
    </x:row>
    <x:row r="1163">
      <x:c r="A1163" s="13" t="str">
        <x:v>REC-001162</x:v>
      </x:c>
      <x:c r="B1163" s="23" t="n">
        <x:v>45883</x:v>
      </x:c>
      <x:c r="C1163" s="23" t="n">
        <x:v>45898</x:v>
      </x:c>
      <x:c r="D1163" s="23" t="n">
        <x:v>45894</x:v>
      </x:c>
      <x:c r="E1163" s="13" t="str">
        <x:v>VAL-023</x:v>
      </x:c>
      <x:c r="F1163" s="13" t="str">
        <x:v>ShopMix Brasil</x:v>
      </x:c>
      <x:c r="G1163" s="13" t="str">
        <x:v>E-commerce</x:v>
      </x:c>
      <x:c r="H1163" s="13" t="str">
        <x:v>Baixo</x:v>
      </x:c>
      <x:c r="I1163" s="13" t="str">
        <x:v>Performance</x:v>
      </x:c>
      <x:c r="J1163" s="17" t="n">
        <x:v>25473.89</x:v>
      </x:c>
      <x:c r="K1163" s="17" t="n">
        <x:v>0</x:v>
      </x:c>
      <x:c r="L1163" s="17" t="n">
        <x:v>0</x:v>
      </x:c>
      <x:c r="M1163" s="13" t="str">
        <x:v>Pago</x:v>
      </x:c>
      <x:c r="N1163" s="13" t="str">
        <x:v>Sem cobrança</x:v>
      </x:c>
      <x:c r="O1163" s="13" t="str">
        <x:v>Operação Clareza</x:v>
      </x:c>
      <x:c r="P1163" s="17" t="n">
        <x:f>IF(D1163="",0,J1163-K1163+L1163)</x:f>
        <x:v>25473.89</x:v>
      </x:c>
      <x:c r="Q1163" s="17" t="n">
        <x:f>MAX(J1163-P1163-K1163,0)</x:f>
        <x:v>0</x:v>
      </x:c>
      <x:c r="R1163" s="13" t="n">
        <x:f>IF(D1163="",MAX(TODAY()-C1163,0),MAX(D1163-C1163,0))</x:f>
        <x:v>0</x:v>
      </x:c>
      <x:c r="S1163" s="13" t="str">
        <x:f>IF(R1163=0,"Em dia",IF(R1163&lt;=15,"1-15 dias",IF(R1163&lt;=30,"16-30 dias",IF(R1163&lt;=60,"31-60 dias","Acima de 60 dias"))))</x:f>
        <x:v>Em dia</x:v>
      </x:c>
    </x:row>
    <x:row r="1164">
      <x:c r="A1164" s="13" t="str">
        <x:v>REC-001163</x:v>
      </x:c>
      <x:c r="B1164" s="23" t="n">
        <x:v>45870</x:v>
      </x:c>
      <x:c r="C1164" s="23" t="n">
        <x:v>45898</x:v>
      </x:c>
      <x:c r="D1164" s="23" t="n">
        <x:v>45898</x:v>
      </x:c>
      <x:c r="E1164" s="13" t="str">
        <x:v>VAL-021</x:v>
      </x:c>
      <x:c r="F1164" s="13" t="str">
        <x:v>Base Forte Obras</x:v>
      </x:c>
      <x:c r="G1164" s="13" t="str">
        <x:v>Construção</x:v>
      </x:c>
      <x:c r="H1164" s="13" t="str">
        <x:v>Médio</x:v>
      </x:c>
      <x:c r="I1164" s="13" t="str">
        <x:v>Essencial</x:v>
      </x:c>
      <x:c r="J1164" s="17" t="n">
        <x:v>8082.28</x:v>
      </x:c>
      <x:c r="K1164" s="17" t="n">
        <x:v>0</x:v>
      </x:c>
      <x:c r="L1164" s="17" t="n">
        <x:v>0</x:v>
      </x:c>
      <x:c r="M1164" s="13" t="str">
        <x:v>Pago</x:v>
      </x:c>
      <x:c r="N1164" s="13" t="str">
        <x:v>Sem cobrança</x:v>
      </x:c>
      <x:c r="O1164" s="13" t="str">
        <x:v>Operação Clareza</x:v>
      </x:c>
      <x:c r="P1164" s="17" t="n">
        <x:f>IF(D1164="",0,J1164-K1164+L1164)</x:f>
        <x:v>8082.28</x:v>
      </x:c>
      <x:c r="Q1164" s="17" t="n">
        <x:f>MAX(J1164-P1164-K1164,0)</x:f>
        <x:v>0</x:v>
      </x:c>
      <x:c r="R1164" s="13" t="n">
        <x:f>IF(D1164="",MAX(TODAY()-C1164,0),MAX(D1164-C1164,0))</x:f>
        <x:v>0</x:v>
      </x:c>
      <x:c r="S1164" s="13" t="str">
        <x:f>IF(R1164=0,"Em dia",IF(R1164&lt;=15,"1-15 dias",IF(R1164&lt;=30,"16-30 dias",IF(R1164&lt;=60,"31-60 dias","Acima de 60 dias"))))</x:f>
        <x:v>Em dia</x:v>
      </x:c>
    </x:row>
    <x:row r="1165">
      <x:c r="A1165" s="13" t="str">
        <x:v>REC-001164</x:v>
      </x:c>
      <x:c r="B1165" s="23" t="n">
        <x:v>45878</x:v>
      </x:c>
      <x:c r="C1165" s="23" t="n">
        <x:v>45885</x:v>
      </x:c>
      <x:c r="D1165" s="23" t="n">
        <x:v>45921</x:v>
      </x:c>
      <x:c r="E1165" s="13" t="str">
        <x:v>VAL-025</x:v>
      </x:c>
      <x:c r="F1165" s="13" t="str">
        <x:v>Bem-Estar Terapias</x:v>
      </x:c>
      <x:c r="G1165" s="13" t="str">
        <x:v>Clínicas e Saúde</x:v>
      </x:c>
      <x:c r="H1165" s="13" t="str">
        <x:v>Baixo</x:v>
      </x:c>
      <x:c r="I1165" s="13" t="str">
        <x:v>Essencial</x:v>
      </x:c>
      <x:c r="J1165" s="17" t="n">
        <x:v>17177.73</x:v>
      </x:c>
      <x:c r="K1165" s="17" t="n">
        <x:v>0</x:v>
      </x:c>
      <x:c r="L1165" s="17" t="n">
        <x:v>401.96</x:v>
      </x:c>
      <x:c r="M1165" s="13" t="str">
        <x:v>Pago com atraso</x:v>
      </x:c>
      <x:c r="N1165" s="13" t="str">
        <x:v>Telefone</x:v>
      </x:c>
      <x:c r="O1165" s="13" t="str">
        <x:v>Operação Clareza</x:v>
      </x:c>
      <x:c r="P1165" s="17" t="n">
        <x:f>IF(D1165="",0,J1165-K1165+L1165)</x:f>
        <x:v>17579.69</x:v>
      </x:c>
      <x:c r="Q1165" s="17" t="n">
        <x:f>MAX(J1165-P1165-K1165,0)</x:f>
        <x:v>0</x:v>
      </x:c>
      <x:c r="R1165" s="13" t="n">
        <x:f>IF(D1165="",MAX(TODAY()-C1165,0),MAX(D1165-C1165,0))</x:f>
        <x:v>36</x:v>
      </x:c>
      <x:c r="S1165" s="13" t="str">
        <x:f>IF(R1165=0,"Em dia",IF(R1165&lt;=15,"1-15 dias",IF(R1165&lt;=30,"16-30 dias",IF(R1165&lt;=60,"31-60 dias","Acima de 60 dias"))))</x:f>
        <x:v>31-60 dias</x:v>
      </x:c>
    </x:row>
    <x:row r="1166">
      <x:c r="A1166" s="13" t="str">
        <x:v>REC-001165</x:v>
      </x:c>
      <x:c r="B1166" s="23" t="n">
        <x:v>45889</x:v>
      </x:c>
      <x:c r="C1166" s="23" t="n">
        <x:v>45904</x:v>
      </x:c>
      <x:c r="D1166" s="23" t="n">
        <x:v>45902</x:v>
      </x:c>
      <x:c r="E1166" s="13" t="str">
        <x:v>VAL-026</x:v>
      </x:c>
      <x:c r="F1166" s="13" t="str">
        <x:v>Ribeiro Arquitetura</x:v>
      </x:c>
      <x:c r="G1166" s="13" t="str">
        <x:v>Serviços Profissionais</x:v>
      </x:c>
      <x:c r="H1166" s="13" t="str">
        <x:v>Baixo</x:v>
      </x:c>
      <x:c r="I1166" s="13" t="str">
        <x:v>Gestão</x:v>
      </x:c>
      <x:c r="J1166" s="17" t="n">
        <x:v>8240.68</x:v>
      </x:c>
      <x:c r="K1166" s="17" t="n">
        <x:v>0</x:v>
      </x:c>
      <x:c r="L1166" s="17" t="n">
        <x:v>0</x:v>
      </x:c>
      <x:c r="M1166" s="13" t="str">
        <x:v>Pago</x:v>
      </x:c>
      <x:c r="N1166" s="13" t="str">
        <x:v>Sem cobrança</x:v>
      </x:c>
      <x:c r="O1166" s="13" t="str">
        <x:v>Operação Clareza</x:v>
      </x:c>
      <x:c r="P1166" s="17" t="n">
        <x:f>IF(D1166="",0,J1166-K1166+L1166)</x:f>
        <x:v>8240.68</x:v>
      </x:c>
      <x:c r="Q1166" s="17" t="n">
        <x:f>MAX(J1166-P1166-K1166,0)</x:f>
        <x:v>0</x:v>
      </x:c>
      <x:c r="R1166" s="13" t="n">
        <x:f>IF(D1166="",MAX(TODAY()-C1166,0),MAX(D1166-C1166,0))</x:f>
        <x:v>0</x:v>
      </x:c>
      <x:c r="S1166" s="13" t="str">
        <x:f>IF(R1166=0,"Em dia",IF(R1166&lt;=15,"1-15 dias",IF(R1166&lt;=30,"16-30 dias",IF(R1166&lt;=60,"31-60 dias","Acima de 60 dias"))))</x:f>
        <x:v>Em dia</x:v>
      </x:c>
    </x:row>
    <x:row r="1167">
      <x:c r="A1167" s="13" t="str">
        <x:v>REC-001166</x:v>
      </x:c>
      <x:c r="B1167" s="23" t="n">
        <x:v>45880</x:v>
      </x:c>
      <x:c r="C1167" s="23" t="n">
        <x:v>45908</x:v>
      </x:c>
      <x:c r="D1167" s="23" t="n">
        <x:v>45906</x:v>
      </x:c>
      <x:c r="E1167" s="13" t="str">
        <x:v>VAL-018</x:v>
      </x:c>
      <x:c r="F1167" s="13" t="str">
        <x:v>Ponto Legal Advocacia</x:v>
      </x:c>
      <x:c r="G1167" s="13" t="str">
        <x:v>Serviços Profissionais</x:v>
      </x:c>
      <x:c r="H1167" s="13" t="str">
        <x:v>Baixo</x:v>
      </x:c>
      <x:c r="I1167" s="13" t="str">
        <x:v>Gestão</x:v>
      </x:c>
      <x:c r="J1167" s="17" t="n">
        <x:v>9390.38</x:v>
      </x:c>
      <x:c r="K1167" s="17" t="n">
        <x:v>0</x:v>
      </x:c>
      <x:c r="L1167" s="17" t="n">
        <x:v>0</x:v>
      </x:c>
      <x:c r="M1167" s="13" t="str">
        <x:v>Pago</x:v>
      </x:c>
      <x:c r="N1167" s="13" t="str">
        <x:v>Sem cobrança</x:v>
      </x:c>
      <x:c r="O1167" s="13" t="str">
        <x:v>Operação Clareza</x:v>
      </x:c>
      <x:c r="P1167" s="17" t="n">
        <x:f>IF(D1167="",0,J1167-K1167+L1167)</x:f>
        <x:v>9390.38</x:v>
      </x:c>
      <x:c r="Q1167" s="17" t="n">
        <x:f>MAX(J1167-P1167-K1167,0)</x:f>
        <x:v>0</x:v>
      </x:c>
      <x:c r="R1167" s="13" t="n">
        <x:f>IF(D1167="",MAX(TODAY()-C1167,0),MAX(D1167-C1167,0))</x:f>
        <x:v>0</x:v>
      </x:c>
      <x:c r="S1167" s="13" t="str">
        <x:f>IF(R1167=0,"Em dia",IF(R1167&lt;=15,"1-15 dias",IF(R1167&lt;=30,"16-30 dias",IF(R1167&lt;=60,"31-60 dias","Acima de 60 dias"))))</x:f>
        <x:v>Em dia</x:v>
      </x:c>
    </x:row>
    <x:row r="1168">
      <x:c r="A1168" s="13" t="str">
        <x:v>REC-001167</x:v>
      </x:c>
      <x:c r="B1168" s="23" t="n">
        <x:v>45883</x:v>
      </x:c>
      <x:c r="C1168" s="23" t="n">
        <x:v>45904</x:v>
      </x:c>
      <x:c r="D1168" s="23" t="n">
        <x:v>45904</x:v>
      </x:c>
      <x:c r="E1168" s="13" t="str">
        <x:v>VAL-014</x:v>
      </x:c>
      <x:c r="F1168" s="13" t="str">
        <x:v>Colégio Caminhos</x:v>
      </x:c>
      <x:c r="G1168" s="13" t="str">
        <x:v>Educação</x:v>
      </x:c>
      <x:c r="H1168" s="13" t="str">
        <x:v>Médio</x:v>
      </x:c>
      <x:c r="I1168" s="13" t="str">
        <x:v>Gestão</x:v>
      </x:c>
      <x:c r="J1168" s="17" t="n">
        <x:v>17549.45</x:v>
      </x:c>
      <x:c r="K1168" s="17" t="n">
        <x:v>0</x:v>
      </x:c>
      <x:c r="L1168" s="17" t="n">
        <x:v>0</x:v>
      </x:c>
      <x:c r="M1168" s="13" t="str">
        <x:v>Pago</x:v>
      </x:c>
      <x:c r="N1168" s="13" t="str">
        <x:v>Sem cobrança</x:v>
      </x:c>
      <x:c r="O1168" s="13" t="str">
        <x:v>Operação Clareza</x:v>
      </x:c>
      <x:c r="P1168" s="17" t="n">
        <x:f>IF(D1168="",0,J1168-K1168+L1168)</x:f>
        <x:v>17549.45</x:v>
      </x:c>
      <x:c r="Q1168" s="17" t="n">
        <x:f>MAX(J1168-P1168-K1168,0)</x:f>
        <x:v>0</x:v>
      </x:c>
      <x:c r="R1168" s="13" t="n">
        <x:f>IF(D1168="",MAX(TODAY()-C1168,0),MAX(D1168-C1168,0))</x:f>
        <x:v>0</x:v>
      </x:c>
      <x:c r="S1168" s="13" t="str">
        <x:f>IF(R1168=0,"Em dia",IF(R1168&lt;=15,"1-15 dias",IF(R1168&lt;=30,"16-30 dias",IF(R1168&lt;=60,"31-60 dias","Acima de 60 dias"))))</x:f>
        <x:v>Em dia</x:v>
      </x:c>
    </x:row>
    <x:row r="1169">
      <x:c r="A1169" s="13" t="str">
        <x:v>REC-001168</x:v>
      </x:c>
      <x:c r="B1169" s="23" t="n">
        <x:v>45883</x:v>
      </x:c>
      <x:c r="C1169" s="23" t="n">
        <x:v>45904</x:v>
      </x:c>
      <x:c r="D1169" s="23" t="n">
        <x:v>45902</x:v>
      </x:c>
      <x:c r="E1169" s="13" t="str">
        <x:v>VAL-027</x:v>
      </x:c>
      <x:c r="F1169" s="13" t="str">
        <x:v>Mais Lar Utilidades</x:v>
      </x:c>
      <x:c r="G1169" s="13" t="str">
        <x:v>Varejo</x:v>
      </x:c>
      <x:c r="H1169" s="13" t="str">
        <x:v>Baixo</x:v>
      </x:c>
      <x:c r="I1169" s="13" t="str">
        <x:v>Performance</x:v>
      </x:c>
      <x:c r="J1169" s="17" t="n">
        <x:v>26917.18</x:v>
      </x:c>
      <x:c r="K1169" s="17" t="n">
        <x:v>0</x:v>
      </x:c>
      <x:c r="L1169" s="17" t="n">
        <x:v>0</x:v>
      </x:c>
      <x:c r="M1169" s="13" t="str">
        <x:v>Pago</x:v>
      </x:c>
      <x:c r="N1169" s="13" t="str">
        <x:v>Sem cobrança</x:v>
      </x:c>
      <x:c r="O1169" s="13" t="str">
        <x:v>Operação Clareza</x:v>
      </x:c>
      <x:c r="P1169" s="17" t="n">
        <x:f>IF(D1169="",0,J1169-K1169+L1169)</x:f>
        <x:v>26917.18</x:v>
      </x:c>
      <x:c r="Q1169" s="17" t="n">
        <x:f>MAX(J1169-P1169-K1169,0)</x:f>
        <x:v>0</x:v>
      </x:c>
      <x:c r="R1169" s="13" t="n">
        <x:f>IF(D1169="",MAX(TODAY()-C1169,0),MAX(D1169-C1169,0))</x:f>
        <x:v>0</x:v>
      </x:c>
      <x:c r="S1169" s="13" t="str">
        <x:f>IF(R1169=0,"Em dia",IF(R1169&lt;=15,"1-15 dias",IF(R1169&lt;=30,"16-30 dias",IF(R1169&lt;=60,"31-60 dias","Acima de 60 dias"))))</x:f>
        <x:v>Em dia</x:v>
      </x:c>
    </x:row>
    <x:row r="1170">
      <x:c r="A1170" s="13" t="str">
        <x:v>REC-001169</x:v>
      </x:c>
      <x:c r="B1170" s="23" t="n">
        <x:v>45885</x:v>
      </x:c>
      <x:c r="C1170" s="23" t="n">
        <x:v>45913</x:v>
      </x:c>
      <x:c r="D1170" s="23" t="n">
        <x:v>45910</x:v>
      </x:c>
      <x:c r="E1170" s="13" t="str">
        <x:v>VAL-017</x:v>
      </x:c>
      <x:c r="F1170" s="13" t="str">
        <x:v>Centro Médico Vida</x:v>
      </x:c>
      <x:c r="G1170" s="13" t="str">
        <x:v>Clínicas e Saúde</x:v>
      </x:c>
      <x:c r="H1170" s="13" t="str">
        <x:v>Baixo</x:v>
      </x:c>
      <x:c r="I1170" s="13" t="str">
        <x:v>Essencial</x:v>
      </x:c>
      <x:c r="J1170" s="17" t="n">
        <x:v>5437.47</x:v>
      </x:c>
      <x:c r="K1170" s="17" t="n">
        <x:v>0</x:v>
      </x:c>
      <x:c r="L1170" s="17" t="n">
        <x:v>0</x:v>
      </x:c>
      <x:c r="M1170" s="13" t="str">
        <x:v>Pago</x:v>
      </x:c>
      <x:c r="N1170" s="13" t="str">
        <x:v>Sem cobrança</x:v>
      </x:c>
      <x:c r="O1170" s="13" t="str">
        <x:v>Operação Clareza</x:v>
      </x:c>
      <x:c r="P1170" s="17" t="n">
        <x:f>IF(D1170="",0,J1170-K1170+L1170)</x:f>
        <x:v>5437.47</x:v>
      </x:c>
      <x:c r="Q1170" s="17" t="n">
        <x:f>MAX(J1170-P1170-K1170,0)</x:f>
        <x:v>0</x:v>
      </x:c>
      <x:c r="R1170" s="13" t="n">
        <x:f>IF(D1170="",MAX(TODAY()-C1170,0),MAX(D1170-C1170,0))</x:f>
        <x:v>0</x:v>
      </x:c>
      <x:c r="S1170" s="13" t="str">
        <x:f>IF(R1170=0,"Em dia",IF(R1170&lt;=15,"1-15 dias",IF(R1170&lt;=30,"16-30 dias",IF(R1170&lt;=60,"31-60 dias","Acima de 60 dias"))))</x:f>
        <x:v>Em dia</x:v>
      </x:c>
    </x:row>
    <x:row r="1171">
      <x:c r="A1171" s="13" t="str">
        <x:v>REC-001170</x:v>
      </x:c>
      <x:c r="B1171" s="23" t="n">
        <x:v>45879</x:v>
      </x:c>
      <x:c r="C1171" s="23" t="n">
        <x:v>45886</x:v>
      </x:c>
      <x:c r="D1171" s="23" t="n">
        <x:v>45884</x:v>
      </x:c>
      <x:c r="E1171" s="13" t="str">
        <x:v>VAL-010</x:v>
      </x:c>
      <x:c r="F1171" s="13" t="str">
        <x:v>Atlas Contabilidade</x:v>
      </x:c>
      <x:c r="G1171" s="13" t="str">
        <x:v>Serviços Profissionais</x:v>
      </x:c>
      <x:c r="H1171" s="13" t="str">
        <x:v>Baixo</x:v>
      </x:c>
      <x:c r="I1171" s="13" t="str">
        <x:v>Gestão</x:v>
      </x:c>
      <x:c r="J1171" s="17" t="n">
        <x:v>11946.06</x:v>
      </x:c>
      <x:c r="K1171" s="17" t="n">
        <x:v>0</x:v>
      </x:c>
      <x:c r="L1171" s="17" t="n">
        <x:v>0</x:v>
      </x:c>
      <x:c r="M1171" s="13" t="str">
        <x:v>Pago</x:v>
      </x:c>
      <x:c r="N1171" s="13" t="str">
        <x:v>Sem cobrança</x:v>
      </x:c>
      <x:c r="O1171" s="13" t="str">
        <x:v>Operação Clareza</x:v>
      </x:c>
      <x:c r="P1171" s="17" t="n">
        <x:f>IF(D1171="",0,J1171-K1171+L1171)</x:f>
        <x:v>11946.06</x:v>
      </x:c>
      <x:c r="Q1171" s="17" t="n">
        <x:f>MAX(J1171-P1171-K1171,0)</x:f>
        <x:v>0</x:v>
      </x:c>
      <x:c r="R1171" s="13" t="n">
        <x:f>IF(D1171="",MAX(TODAY()-C1171,0),MAX(D1171-C1171,0))</x:f>
        <x:v>0</x:v>
      </x:c>
      <x:c r="S1171" s="13" t="str">
        <x:f>IF(R1171=0,"Em dia",IF(R1171&lt;=15,"1-15 dias",IF(R1171&lt;=30,"16-30 dias",IF(R1171&lt;=60,"31-60 dias","Acima de 60 dias"))))</x:f>
        <x:v>Em dia</x:v>
      </x:c>
    </x:row>
    <x:row r="1172">
      <x:c r="A1172" s="13" t="str">
        <x:v>REC-001171</x:v>
      </x:c>
      <x:c r="B1172" s="23" t="n">
        <x:v>45884</x:v>
      </x:c>
      <x:c r="C1172" s="23" t="n">
        <x:v>45899</x:v>
      </x:c>
      <x:c r="D1172" s="23" t="n">
        <x:v>45895</x:v>
      </x:c>
      <x:c r="E1172" s="13" t="str">
        <x:v>VAL-022</x:v>
      </x:c>
      <x:c r="F1172" s="13" t="str">
        <x:v>Academia Evoluir</x:v>
      </x:c>
      <x:c r="G1172" s="13" t="str">
        <x:v>Educação</x:v>
      </x:c>
      <x:c r="H1172" s="13" t="str">
        <x:v>Alto</x:v>
      </x:c>
      <x:c r="I1172" s="13" t="str">
        <x:v>Gestão</x:v>
      </x:c>
      <x:c r="J1172" s="17" t="n">
        <x:v>17419.15</x:v>
      </x:c>
      <x:c r="K1172" s="17" t="n">
        <x:v>0</x:v>
      </x:c>
      <x:c r="L1172" s="17" t="n">
        <x:v>0</x:v>
      </x:c>
      <x:c r="M1172" s="13" t="str">
        <x:v>Pago</x:v>
      </x:c>
      <x:c r="N1172" s="13" t="str">
        <x:v>Sem cobrança</x:v>
      </x:c>
      <x:c r="O1172" s="13" t="str">
        <x:v>Operação Clareza</x:v>
      </x:c>
      <x:c r="P1172" s="17" t="n">
        <x:f>IF(D1172="",0,J1172-K1172+L1172)</x:f>
        <x:v>17419.15</x:v>
      </x:c>
      <x:c r="Q1172" s="17" t="n">
        <x:f>MAX(J1172-P1172-K1172,0)</x:f>
        <x:v>0</x:v>
      </x:c>
      <x:c r="R1172" s="13" t="n">
        <x:f>IF(D1172="",MAX(TODAY()-C1172,0),MAX(D1172-C1172,0))</x:f>
        <x:v>0</x:v>
      </x:c>
      <x:c r="S1172" s="13" t="str">
        <x:f>IF(R1172=0,"Em dia",IF(R1172&lt;=15,"1-15 dias",IF(R1172&lt;=30,"16-30 dias",IF(R1172&lt;=60,"31-60 dias","Acima de 60 dias"))))</x:f>
        <x:v>Em dia</x:v>
      </x:c>
    </x:row>
    <x:row r="1173">
      <x:c r="A1173" s="13" t="str">
        <x:v>REC-001172</x:v>
      </x:c>
      <x:c r="B1173" s="23" t="n">
        <x:v>45879</x:v>
      </x:c>
      <x:c r="C1173" s="23" t="n">
        <x:v>45886</x:v>
      </x:c>
      <x:c r="D1173" s="23" t="n">
        <x:v>45886</x:v>
      </x:c>
      <x:c r="E1173" s="13" t="str">
        <x:v>VAL-015</x:v>
      </x:c>
      <x:c r="F1173" s="13" t="str">
        <x:v>Mercado Click</x:v>
      </x:c>
      <x:c r="G1173" s="13" t="str">
        <x:v>E-commerce</x:v>
      </x:c>
      <x:c r="H1173" s="13" t="str">
        <x:v>Baixo</x:v>
      </x:c>
      <x:c r="I1173" s="13" t="str">
        <x:v>Performance</x:v>
      </x:c>
      <x:c r="J1173" s="17" t="n">
        <x:v>34189.73</x:v>
      </x:c>
      <x:c r="K1173" s="17" t="n">
        <x:v>0</x:v>
      </x:c>
      <x:c r="L1173" s="17" t="n">
        <x:v>0</x:v>
      </x:c>
      <x:c r="M1173" s="13" t="str">
        <x:v>Pago</x:v>
      </x:c>
      <x:c r="N1173" s="13" t="str">
        <x:v>Sem cobrança</x:v>
      </x:c>
      <x:c r="O1173" s="13" t="str">
        <x:v>Operação Clareza</x:v>
      </x:c>
      <x:c r="P1173" s="17" t="n">
        <x:f>IF(D1173="",0,J1173-K1173+L1173)</x:f>
        <x:v>34189.73</x:v>
      </x:c>
      <x:c r="Q1173" s="17" t="n">
        <x:f>MAX(J1173-P1173-K1173,0)</x:f>
        <x:v>0</x:v>
      </x:c>
      <x:c r="R1173" s="13" t="n">
        <x:f>IF(D1173="",MAX(TODAY()-C1173,0),MAX(D1173-C1173,0))</x:f>
        <x:v>0</x:v>
      </x:c>
      <x:c r="S1173" s="13" t="str">
        <x:f>IF(R1173=0,"Em dia",IF(R1173&lt;=15,"1-15 dias",IF(R1173&lt;=30,"16-30 dias",IF(R1173&lt;=60,"31-60 dias","Acima de 60 dias"))))</x:f>
        <x:v>Em dia</x:v>
      </x:c>
    </x:row>
    <x:row r="1174">
      <x:c r="A1174" s="13" t="str">
        <x:v>REC-001173</x:v>
      </x:c>
      <x:c r="B1174" s="23" t="n">
        <x:v>45879</x:v>
      </x:c>
      <x:c r="C1174" s="23" t="n">
        <x:v>45894</x:v>
      </x:c>
      <x:c r="D1174" s="23" t="n">
        <x:v>45892</x:v>
      </x:c>
      <x:c r="E1174" s="13" t="str">
        <x:v>VAL-014</x:v>
      </x:c>
      <x:c r="F1174" s="13" t="str">
        <x:v>Colégio Caminhos</x:v>
      </x:c>
      <x:c r="G1174" s="13" t="str">
        <x:v>Educação</x:v>
      </x:c>
      <x:c r="H1174" s="13" t="str">
        <x:v>Médio</x:v>
      </x:c>
      <x:c r="I1174" s="13" t="str">
        <x:v>Gestão</x:v>
      </x:c>
      <x:c r="J1174" s="17" t="n">
        <x:v>17662.26</x:v>
      </x:c>
      <x:c r="K1174" s="17" t="n">
        <x:v>0</x:v>
      </x:c>
      <x:c r="L1174" s="17" t="n">
        <x:v>0</x:v>
      </x:c>
      <x:c r="M1174" s="13" t="str">
        <x:v>Pago</x:v>
      </x:c>
      <x:c r="N1174" s="13" t="str">
        <x:v>Sem cobrança</x:v>
      </x:c>
      <x:c r="O1174" s="13" t="str">
        <x:v>Operação Clareza</x:v>
      </x:c>
      <x:c r="P1174" s="17" t="n">
        <x:f>IF(D1174="",0,J1174-K1174+L1174)</x:f>
        <x:v>17662.26</x:v>
      </x:c>
      <x:c r="Q1174" s="17" t="n">
        <x:f>MAX(J1174-P1174-K1174,0)</x:f>
        <x:v>0</x:v>
      </x:c>
      <x:c r="R1174" s="13" t="n">
        <x:f>IF(D1174="",MAX(TODAY()-C1174,0),MAX(D1174-C1174,0))</x:f>
        <x:v>0</x:v>
      </x:c>
      <x:c r="S1174" s="13" t="str">
        <x:f>IF(R1174=0,"Em dia",IF(R1174&lt;=15,"1-15 dias",IF(R1174&lt;=30,"16-30 dias",IF(R1174&lt;=60,"31-60 dias","Acima de 60 dias"))))</x:f>
        <x:v>Em dia</x:v>
      </x:c>
    </x:row>
    <x:row r="1175">
      <x:c r="A1175" s="13" t="str">
        <x:v>REC-001174</x:v>
      </x:c>
      <x:c r="B1175" s="23" t="n">
        <x:v>45889</x:v>
      </x:c>
      <x:c r="C1175" s="23" t="n">
        <x:v>45910</x:v>
      </x:c>
      <x:c r="D1175" s="23" t="n">
        <x:v>45909</x:v>
      </x:c>
      <x:c r="E1175" s="13" t="str">
        <x:v>VAL-006</x:v>
      </x:c>
      <x:c r="F1175" s="13" t="str">
        <x:v>Instituto Saber Mais</x:v>
      </x:c>
      <x:c r="G1175" s="13" t="str">
        <x:v>Educação</x:v>
      </x:c>
      <x:c r="H1175" s="13" t="str">
        <x:v>Médio</x:v>
      </x:c>
      <x:c r="I1175" s="13" t="str">
        <x:v>Gestão</x:v>
      </x:c>
      <x:c r="J1175" s="17" t="n">
        <x:v>14777.51</x:v>
      </x:c>
      <x:c r="K1175" s="17" t="n">
        <x:v>0</x:v>
      </x:c>
      <x:c r="L1175" s="17" t="n">
        <x:v>0</x:v>
      </x:c>
      <x:c r="M1175" s="13" t="str">
        <x:v>Pago</x:v>
      </x:c>
      <x:c r="N1175" s="13" t="str">
        <x:v>Sem cobrança</x:v>
      </x:c>
      <x:c r="O1175" s="13" t="str">
        <x:v>Operação Clareza</x:v>
      </x:c>
      <x:c r="P1175" s="17" t="n">
        <x:f>IF(D1175="",0,J1175-K1175+L1175)</x:f>
        <x:v>14777.51</x:v>
      </x:c>
      <x:c r="Q1175" s="17" t="n">
        <x:f>MAX(J1175-P1175-K1175,0)</x:f>
        <x:v>0</x:v>
      </x:c>
      <x:c r="R1175" s="13" t="n">
        <x:f>IF(D1175="",MAX(TODAY()-C1175,0),MAX(D1175-C1175,0))</x:f>
        <x:v>0</x:v>
      </x:c>
      <x:c r="S1175" s="13" t="str">
        <x:f>IF(R1175=0,"Em dia",IF(R1175&lt;=15,"1-15 dias",IF(R1175&lt;=30,"16-30 dias",IF(R1175&lt;=60,"31-60 dias","Acima de 60 dias"))))</x:f>
        <x:v>Em dia</x:v>
      </x:c>
    </x:row>
    <x:row r="1176">
      <x:c r="A1176" s="13" t="str">
        <x:v>REC-001175</x:v>
      </x:c>
      <x:c r="B1176" s="23" t="n">
        <x:v>45883</x:v>
      </x:c>
      <x:c r="C1176" s="23" t="n">
        <x:v>45911</x:v>
      </x:c>
      <x:c r="D1176" s="23" t="n">
        <x:v>45910</x:v>
      </x:c>
      <x:c r="E1176" s="13" t="str">
        <x:v>VAL-027</x:v>
      </x:c>
      <x:c r="F1176" s="13" t="str">
        <x:v>Mais Lar Utilidades</x:v>
      </x:c>
      <x:c r="G1176" s="13" t="str">
        <x:v>Varejo</x:v>
      </x:c>
      <x:c r="H1176" s="13" t="str">
        <x:v>Baixo</x:v>
      </x:c>
      <x:c r="I1176" s="13" t="str">
        <x:v>Performance</x:v>
      </x:c>
      <x:c r="J1176" s="17" t="n">
        <x:v>5813.71</x:v>
      </x:c>
      <x:c r="K1176" s="17" t="n">
        <x:v>0</x:v>
      </x:c>
      <x:c r="L1176" s="17" t="n">
        <x:v>0</x:v>
      </x:c>
      <x:c r="M1176" s="13" t="str">
        <x:v>Pago</x:v>
      </x:c>
      <x:c r="N1176" s="13" t="str">
        <x:v>Sem cobrança</x:v>
      </x:c>
      <x:c r="O1176" s="13" t="str">
        <x:v>Operação Clareza</x:v>
      </x:c>
      <x:c r="P1176" s="17" t="n">
        <x:f>IF(D1176="",0,J1176-K1176+L1176)</x:f>
        <x:v>5813.71</x:v>
      </x:c>
      <x:c r="Q1176" s="17" t="n">
        <x:f>MAX(J1176-P1176-K1176,0)</x:f>
        <x:v>0</x:v>
      </x:c>
      <x:c r="R1176" s="13" t="n">
        <x:f>IF(D1176="",MAX(TODAY()-C1176,0),MAX(D1176-C1176,0))</x:f>
        <x:v>0</x:v>
      </x:c>
      <x:c r="S1176" s="13" t="str">
        <x:f>IF(R1176=0,"Em dia",IF(R1176&lt;=15,"1-15 dias",IF(R1176&lt;=30,"16-30 dias",IF(R1176&lt;=60,"31-60 dias","Acima de 60 dias"))))</x:f>
        <x:v>Em dia</x:v>
      </x:c>
    </x:row>
    <x:row r="1177">
      <x:c r="A1177" s="13" t="str">
        <x:v>REC-001176</x:v>
      </x:c>
      <x:c r="B1177" s="23" t="n">
        <x:v>45872</x:v>
      </x:c>
      <x:c r="C1177" s="23" t="n">
        <x:v>45887</x:v>
      </x:c>
      <x:c r="D1177" s="23" t="n">
        <x:v>45884</x:v>
      </x:c>
      <x:c r="E1177" s="13" t="str">
        <x:v>VAL-015</x:v>
      </x:c>
      <x:c r="F1177" s="13" t="str">
        <x:v>Mercado Click</x:v>
      </x:c>
      <x:c r="G1177" s="13" t="str">
        <x:v>E-commerce</x:v>
      </x:c>
      <x:c r="H1177" s="13" t="str">
        <x:v>Baixo</x:v>
      </x:c>
      <x:c r="I1177" s="13" t="str">
        <x:v>Performance</x:v>
      </x:c>
      <x:c r="J1177" s="17" t="n">
        <x:v>11381.5</x:v>
      </x:c>
      <x:c r="K1177" s="17" t="n">
        <x:v>0</x:v>
      </x:c>
      <x:c r="L1177" s="17" t="n">
        <x:v>0</x:v>
      </x:c>
      <x:c r="M1177" s="13" t="str">
        <x:v>Pago</x:v>
      </x:c>
      <x:c r="N1177" s="13" t="str">
        <x:v>Sem cobrança</x:v>
      </x:c>
      <x:c r="O1177" s="13" t="str">
        <x:v>Operação Clareza</x:v>
      </x:c>
      <x:c r="P1177" s="17" t="n">
        <x:f>IF(D1177="",0,J1177-K1177+L1177)</x:f>
        <x:v>11381.5</x:v>
      </x:c>
      <x:c r="Q1177" s="17" t="n">
        <x:f>MAX(J1177-P1177-K1177,0)</x:f>
        <x:v>0</x:v>
      </x:c>
      <x:c r="R1177" s="13" t="n">
        <x:f>IF(D1177="",MAX(TODAY()-C1177,0),MAX(D1177-C1177,0))</x:f>
        <x:v>0</x:v>
      </x:c>
      <x:c r="S1177" s="13" t="str">
        <x:f>IF(R1177=0,"Em dia",IF(R1177&lt;=15,"1-15 dias",IF(R1177&lt;=30,"16-30 dias",IF(R1177&lt;=60,"31-60 dias","Acima de 60 dias"))))</x:f>
        <x:v>Em dia</x:v>
      </x:c>
    </x:row>
    <x:row r="1178">
      <x:c r="A1178" s="13" t="str">
        <x:v>REC-001177</x:v>
      </x:c>
      <x:c r="B1178" s="23" t="n">
        <x:v>45880</x:v>
      </x:c>
      <x:c r="C1178" s="23" t="n">
        <x:v>45901</x:v>
      </x:c>
      <x:c r="D1178" s="23" t="n">
        <x:v>45901</x:v>
      </x:c>
      <x:c r="E1178" s="13" t="str">
        <x:v>VAL-018</x:v>
      </x:c>
      <x:c r="F1178" s="13" t="str">
        <x:v>Ponto Legal Advocacia</x:v>
      </x:c>
      <x:c r="G1178" s="13" t="str">
        <x:v>Serviços Profissionais</x:v>
      </x:c>
      <x:c r="H1178" s="13" t="str">
        <x:v>Baixo</x:v>
      </x:c>
      <x:c r="I1178" s="13" t="str">
        <x:v>Gestão</x:v>
      </x:c>
      <x:c r="J1178" s="17" t="n">
        <x:v>7466.48</x:v>
      </x:c>
      <x:c r="K1178" s="17" t="n">
        <x:v>0</x:v>
      </x:c>
      <x:c r="L1178" s="17" t="n">
        <x:v>0</x:v>
      </x:c>
      <x:c r="M1178" s="13" t="str">
        <x:v>Pago</x:v>
      </x:c>
      <x:c r="N1178" s="13" t="str">
        <x:v>Sem cobrança</x:v>
      </x:c>
      <x:c r="O1178" s="13" t="str">
        <x:v>Operação Clareza</x:v>
      </x:c>
      <x:c r="P1178" s="17" t="n">
        <x:f>IF(D1178="",0,J1178-K1178+L1178)</x:f>
        <x:v>7466.48</x:v>
      </x:c>
      <x:c r="Q1178" s="17" t="n">
        <x:f>MAX(J1178-P1178-K1178,0)</x:f>
        <x:v>0</x:v>
      </x:c>
      <x:c r="R1178" s="13" t="n">
        <x:f>IF(D1178="",MAX(TODAY()-C1178,0),MAX(D1178-C1178,0))</x:f>
        <x:v>0</x:v>
      </x:c>
      <x:c r="S1178" s="13" t="str">
        <x:f>IF(R1178=0,"Em dia",IF(R1178&lt;=15,"1-15 dias",IF(R1178&lt;=30,"16-30 dias",IF(R1178&lt;=60,"31-60 dias","Acima de 60 dias"))))</x:f>
        <x:v>Em dia</x:v>
      </x:c>
    </x:row>
    <x:row r="1179">
      <x:c r="A1179" s="13" t="str">
        <x:v>REC-001178</x:v>
      </x:c>
      <x:c r="B1179" s="23" t="n">
        <x:v>45879</x:v>
      </x:c>
      <x:c r="C1179" s="23" t="n">
        <x:v>45909</x:v>
      </x:c>
      <x:c r="D1179" s="23"/>
      <x:c r="E1179" s="13" t="str">
        <x:v>VAL-016</x:v>
      </x:c>
      <x:c r="F1179" s="13" t="str">
        <x:v>Lumina Embalagens</x:v>
      </x:c>
      <x:c r="G1179" s="13" t="str">
        <x:v>Indústria Leve</x:v>
      </x:c>
      <x:c r="H1179" s="13" t="str">
        <x:v>Baixo</x:v>
      </x:c>
      <x:c r="I1179" s="13" t="str">
        <x:v>Enterprise</x:v>
      </x:c>
      <x:c r="J1179" s="17" t="n">
        <x:v>28254.14</x:v>
      </x:c>
      <x:c r="K1179" s="17" t="n">
        <x:v>0</x:v>
      </x:c>
      <x:c r="L1179" s="17" t="n">
        <x:v>0</x:v>
      </x:c>
      <x:c r="M1179" s="13" t="str">
        <x:v>Em aberto</x:v>
      </x:c>
      <x:c r="N1179" s="13" t="str">
        <x:v>WhatsApp</x:v>
      </x:c>
      <x:c r="O1179" s="13" t="str">
        <x:v>Operação Clareza</x:v>
      </x:c>
      <x:c r="P1179" s="17" t="n">
        <x:f>IF(D1179="",0,J1179-K1179+L1179)</x:f>
        <x:v>0</x:v>
      </x:c>
      <x:c r="Q1179" s="17" t="n">
        <x:f>MAX(J1179-P1179-K1179,0)</x:f>
        <x:v>28254.14</x:v>
      </x:c>
      <x:c r="R1179" s="13" t="n">
        <x:f>IF(D1179="",MAX(TODAY()-C1179,0),MAX(D1179-C1179,0))</x:f>
        <x:v>304</x:v>
      </x:c>
      <x:c r="S1179" s="13" t="str">
        <x:f>IF(R1179=0,"Em dia",IF(R1179&lt;=15,"1-15 dias",IF(R1179&lt;=30,"16-30 dias",IF(R1179&lt;=60,"31-60 dias","Acima de 60 dias"))))</x:f>
        <x:v>Acima de 60 dias</x:v>
      </x:c>
    </x:row>
    <x:row r="1180">
      <x:c r="A1180" s="13" t="str">
        <x:v>REC-001179</x:v>
      </x:c>
      <x:c r="B1180" s="23" t="n">
        <x:v>45872</x:v>
      </x:c>
      <x:c r="C1180" s="23" t="n">
        <x:v>45887</x:v>
      </x:c>
      <x:c r="D1180" s="23" t="n">
        <x:v>45883</x:v>
      </x:c>
      <x:c r="E1180" s="13" t="str">
        <x:v>VAL-012</x:v>
      </x:c>
      <x:c r="F1180" s="13" t="str">
        <x:v>DataFlow Sistemas</x:v>
      </x:c>
      <x:c r="G1180" s="13" t="str">
        <x:v>Tecnologia</x:v>
      </x:c>
      <x:c r="H1180" s="13" t="str">
        <x:v>Médio</x:v>
      </x:c>
      <x:c r="I1180" s="13" t="str">
        <x:v>Enterprise</x:v>
      </x:c>
      <x:c r="J1180" s="17" t="n">
        <x:v>29150.41</x:v>
      </x:c>
      <x:c r="K1180" s="17" t="n">
        <x:v>0</x:v>
      </x:c>
      <x:c r="L1180" s="17" t="n">
        <x:v>0</x:v>
      </x:c>
      <x:c r="M1180" s="13" t="str">
        <x:v>Pago</x:v>
      </x:c>
      <x:c r="N1180" s="13" t="str">
        <x:v>Sem cobrança</x:v>
      </x:c>
      <x:c r="O1180" s="13" t="str">
        <x:v>Operação Clareza</x:v>
      </x:c>
      <x:c r="P1180" s="17" t="n">
        <x:f>IF(D1180="",0,J1180-K1180+L1180)</x:f>
        <x:v>29150.41</x:v>
      </x:c>
      <x:c r="Q1180" s="17" t="n">
        <x:f>MAX(J1180-P1180-K1180,0)</x:f>
        <x:v>0</x:v>
      </x:c>
      <x:c r="R1180" s="13" t="n">
        <x:f>IF(D1180="",MAX(TODAY()-C1180,0),MAX(D1180-C1180,0))</x:f>
        <x:v>0</x:v>
      </x:c>
      <x:c r="S1180" s="13" t="str">
        <x:f>IF(R1180=0,"Em dia",IF(R1180&lt;=15,"1-15 dias",IF(R1180&lt;=30,"16-30 dias",IF(R1180&lt;=60,"31-60 dias","Acima de 60 dias"))))</x:f>
        <x:v>Em dia</x:v>
      </x:c>
    </x:row>
    <x:row r="1181">
      <x:c r="A1181" s="13" t="str">
        <x:v>REC-001180</x:v>
      </x:c>
      <x:c r="B1181" s="23" t="n">
        <x:v>45879</x:v>
      </x:c>
      <x:c r="C1181" s="23" t="n">
        <x:v>45900</x:v>
      </x:c>
      <x:c r="D1181" s="23" t="n">
        <x:v>45900</x:v>
      </x:c>
      <x:c r="E1181" s="13" t="str">
        <x:v>VAL-021</x:v>
      </x:c>
      <x:c r="F1181" s="13" t="str">
        <x:v>Base Forte Obras</x:v>
      </x:c>
      <x:c r="G1181" s="13" t="str">
        <x:v>Construção</x:v>
      </x:c>
      <x:c r="H1181" s="13" t="str">
        <x:v>Médio</x:v>
      </x:c>
      <x:c r="I1181" s="13" t="str">
        <x:v>Essencial</x:v>
      </x:c>
      <x:c r="J1181" s="17" t="n">
        <x:v>27001.26</x:v>
      </x:c>
      <x:c r="K1181" s="17" t="n">
        <x:v>0</x:v>
      </x:c>
      <x:c r="L1181" s="17" t="n">
        <x:v>0</x:v>
      </x:c>
      <x:c r="M1181" s="13" t="str">
        <x:v>Pago</x:v>
      </x:c>
      <x:c r="N1181" s="13" t="str">
        <x:v>Sem cobrança</x:v>
      </x:c>
      <x:c r="O1181" s="13" t="str">
        <x:v>Operação Clareza</x:v>
      </x:c>
      <x:c r="P1181" s="17" t="n">
        <x:f>IF(D1181="",0,J1181-K1181+L1181)</x:f>
        <x:v>27001.26</x:v>
      </x:c>
      <x:c r="Q1181" s="17" t="n">
        <x:f>MAX(J1181-P1181-K1181,0)</x:f>
        <x:v>0</x:v>
      </x:c>
      <x:c r="R1181" s="13" t="n">
        <x:f>IF(D1181="",MAX(TODAY()-C1181,0),MAX(D1181-C1181,0))</x:f>
        <x:v>0</x:v>
      </x:c>
      <x:c r="S1181" s="13" t="str">
        <x:f>IF(R1181=0,"Em dia",IF(R1181&lt;=15,"1-15 dias",IF(R1181&lt;=30,"16-30 dias",IF(R1181&lt;=60,"31-60 dias","Acima de 60 dias"))))</x:f>
        <x:v>Em dia</x:v>
      </x:c>
    </x:row>
    <x:row r="1182">
      <x:c r="A1182" s="13" t="str">
        <x:v>REC-001181</x:v>
      </x:c>
      <x:c r="B1182" s="23" t="n">
        <x:v>45880</x:v>
      </x:c>
      <x:c r="C1182" s="23" t="n">
        <x:v>45908</x:v>
      </x:c>
      <x:c r="D1182" s="23" t="n">
        <x:v>45907</x:v>
      </x:c>
      <x:c r="E1182" s="13" t="str">
        <x:v>VAL-006</x:v>
      </x:c>
      <x:c r="F1182" s="13" t="str">
        <x:v>Instituto Saber Mais</x:v>
      </x:c>
      <x:c r="G1182" s="13" t="str">
        <x:v>Educação</x:v>
      </x:c>
      <x:c r="H1182" s="13" t="str">
        <x:v>Médio</x:v>
      </x:c>
      <x:c r="I1182" s="13" t="str">
        <x:v>Gestão</x:v>
      </x:c>
      <x:c r="J1182" s="17" t="n">
        <x:v>16014.87</x:v>
      </x:c>
      <x:c r="K1182" s="17" t="n">
        <x:v>0</x:v>
      </x:c>
      <x:c r="L1182" s="17" t="n">
        <x:v>0</x:v>
      </x:c>
      <x:c r="M1182" s="13" t="str">
        <x:v>Pago</x:v>
      </x:c>
      <x:c r="N1182" s="13" t="str">
        <x:v>Sem cobrança</x:v>
      </x:c>
      <x:c r="O1182" s="13" t="str">
        <x:v>Operação Clareza</x:v>
      </x:c>
      <x:c r="P1182" s="17" t="n">
        <x:f>IF(D1182="",0,J1182-K1182+L1182)</x:f>
        <x:v>16014.87</x:v>
      </x:c>
      <x:c r="Q1182" s="17" t="n">
        <x:f>MAX(J1182-P1182-K1182,0)</x:f>
        <x:v>0</x:v>
      </x:c>
      <x:c r="R1182" s="13" t="n">
        <x:f>IF(D1182="",MAX(TODAY()-C1182,0),MAX(D1182-C1182,0))</x:f>
        <x:v>0</x:v>
      </x:c>
      <x:c r="S1182" s="13" t="str">
        <x:f>IF(R1182=0,"Em dia",IF(R1182&lt;=15,"1-15 dias",IF(R1182&lt;=30,"16-30 dias",IF(R1182&lt;=60,"31-60 dias","Acima de 60 dias"))))</x:f>
        <x:v>Em dia</x:v>
      </x:c>
    </x:row>
    <x:row r="1183">
      <x:c r="A1183" s="13" t="str">
        <x:v>REC-001182</x:v>
      </x:c>
      <x:c r="B1183" s="23" t="n">
        <x:v>45871</x:v>
      </x:c>
      <x:c r="C1183" s="23" t="n">
        <x:v>45901</x:v>
      </x:c>
      <x:c r="D1183" s="23" t="n">
        <x:v>45900</x:v>
      </x:c>
      <x:c r="E1183" s="13" t="str">
        <x:v>VAL-007</x:v>
      </x:c>
      <x:c r="F1183" s="13" t="str">
        <x:v>Loja Prisma Online</x:v>
      </x:c>
      <x:c r="G1183" s="13" t="str">
        <x:v>E-commerce</x:v>
      </x:c>
      <x:c r="H1183" s="13" t="str">
        <x:v>Médio</x:v>
      </x:c>
      <x:c r="I1183" s="13" t="str">
        <x:v>Performance</x:v>
      </x:c>
      <x:c r="J1183" s="17" t="n">
        <x:v>18954.85</x:v>
      </x:c>
      <x:c r="K1183" s="17" t="n">
        <x:v>0</x:v>
      </x:c>
      <x:c r="L1183" s="17" t="n">
        <x:v>0</x:v>
      </x:c>
      <x:c r="M1183" s="13" t="str">
        <x:v>Pago</x:v>
      </x:c>
      <x:c r="N1183" s="13" t="str">
        <x:v>Sem cobrança</x:v>
      </x:c>
      <x:c r="O1183" s="13" t="str">
        <x:v>Operação Clareza</x:v>
      </x:c>
      <x:c r="P1183" s="17" t="n">
        <x:f>IF(D1183="",0,J1183-K1183+L1183)</x:f>
        <x:v>18954.85</x:v>
      </x:c>
      <x:c r="Q1183" s="17" t="n">
        <x:f>MAX(J1183-P1183-K1183,0)</x:f>
        <x:v>0</x:v>
      </x:c>
      <x:c r="R1183" s="13" t="n">
        <x:f>IF(D1183="",MAX(TODAY()-C1183,0),MAX(D1183-C1183,0))</x:f>
        <x:v>0</x:v>
      </x:c>
      <x:c r="S1183" s="13" t="str">
        <x:f>IF(R1183=0,"Em dia",IF(R1183&lt;=15,"1-15 dias",IF(R1183&lt;=30,"16-30 dias",IF(R1183&lt;=60,"31-60 dias","Acima de 60 dias"))))</x:f>
        <x:v>Em dia</x:v>
      </x:c>
    </x:row>
    <x:row r="1184">
      <x:c r="A1184" s="13" t="str">
        <x:v>REC-001183</x:v>
      </x:c>
      <x:c r="B1184" s="23" t="n">
        <x:v>45882</x:v>
      </x:c>
      <x:c r="C1184" s="23" t="n">
        <x:v>45897</x:v>
      </x:c>
      <x:c r="D1184" s="23" t="n">
        <x:v>45893</x:v>
      </x:c>
      <x:c r="E1184" s="13" t="str">
        <x:v>VAL-012</x:v>
      </x:c>
      <x:c r="F1184" s="13" t="str">
        <x:v>DataFlow Sistemas</x:v>
      </x:c>
      <x:c r="G1184" s="13" t="str">
        <x:v>Tecnologia</x:v>
      </x:c>
      <x:c r="H1184" s="13" t="str">
        <x:v>Médio</x:v>
      </x:c>
      <x:c r="I1184" s="13" t="str">
        <x:v>Enterprise</x:v>
      </x:c>
      <x:c r="J1184" s="17" t="n">
        <x:v>9526.99</x:v>
      </x:c>
      <x:c r="K1184" s="17" t="n">
        <x:v>0</x:v>
      </x:c>
      <x:c r="L1184" s="17" t="n">
        <x:v>0</x:v>
      </x:c>
      <x:c r="M1184" s="13" t="str">
        <x:v>Pago</x:v>
      </x:c>
      <x:c r="N1184" s="13" t="str">
        <x:v>Sem cobrança</x:v>
      </x:c>
      <x:c r="O1184" s="13" t="str">
        <x:v>Operação Clareza</x:v>
      </x:c>
      <x:c r="P1184" s="17" t="n">
        <x:f>IF(D1184="",0,J1184-K1184+L1184)</x:f>
        <x:v>9526.99</x:v>
      </x:c>
      <x:c r="Q1184" s="17" t="n">
        <x:f>MAX(J1184-P1184-K1184,0)</x:f>
        <x:v>0</x:v>
      </x:c>
      <x:c r="R1184" s="13" t="n">
        <x:f>IF(D1184="",MAX(TODAY()-C1184,0),MAX(D1184-C1184,0))</x:f>
        <x:v>0</x:v>
      </x:c>
      <x:c r="S1184" s="13" t="str">
        <x:f>IF(R1184=0,"Em dia",IF(R1184&lt;=15,"1-15 dias",IF(R1184&lt;=30,"16-30 dias",IF(R1184&lt;=60,"31-60 dias","Acima de 60 dias"))))</x:f>
        <x:v>Em dia</x:v>
      </x:c>
    </x:row>
    <x:row r="1185">
      <x:c r="A1185" s="13" t="str">
        <x:v>REC-001184</x:v>
      </x:c>
      <x:c r="B1185" s="23" t="n">
        <x:v>45876</x:v>
      </x:c>
      <x:c r="C1185" s="23" t="n">
        <x:v>45904</x:v>
      </x:c>
      <x:c r="D1185" s="23" t="n">
        <x:v>45900</x:v>
      </x:c>
      <x:c r="E1185" s="13" t="str">
        <x:v>VAL-004</x:v>
      </x:c>
      <x:c r="F1185" s="13" t="str">
        <x:v>NuvemBase Tecnologia</x:v>
      </x:c>
      <x:c r="G1185" s="13" t="str">
        <x:v>Tecnologia</x:v>
      </x:c>
      <x:c r="H1185" s="13" t="str">
        <x:v>Baixo</x:v>
      </x:c>
      <x:c r="I1185" s="13" t="str">
        <x:v>Enterprise</x:v>
      </x:c>
      <x:c r="J1185" s="17" t="n">
        <x:v>27912.59</x:v>
      </x:c>
      <x:c r="K1185" s="17" t="n">
        <x:v>0</x:v>
      </x:c>
      <x:c r="L1185" s="17" t="n">
        <x:v>0</x:v>
      </x:c>
      <x:c r="M1185" s="13" t="str">
        <x:v>Pago</x:v>
      </x:c>
      <x:c r="N1185" s="13" t="str">
        <x:v>Sem cobrança</x:v>
      </x:c>
      <x:c r="O1185" s="13" t="str">
        <x:v>Operação Clareza</x:v>
      </x:c>
      <x:c r="P1185" s="17" t="n">
        <x:f>IF(D1185="",0,J1185-K1185+L1185)</x:f>
        <x:v>27912.59</x:v>
      </x:c>
      <x:c r="Q1185" s="17" t="n">
        <x:f>MAX(J1185-P1185-K1185,0)</x:f>
        <x:v>0</x:v>
      </x:c>
      <x:c r="R1185" s="13" t="n">
        <x:f>IF(D1185="",MAX(TODAY()-C1185,0),MAX(D1185-C1185,0))</x:f>
        <x:v>0</x:v>
      </x:c>
      <x:c r="S1185" s="13" t="str">
        <x:f>IF(R1185=0,"Em dia",IF(R1185&lt;=15,"1-15 dias",IF(R1185&lt;=30,"16-30 dias",IF(R1185&lt;=60,"31-60 dias","Acima de 60 dias"))))</x:f>
        <x:v>Em dia</x:v>
      </x:c>
    </x:row>
    <x:row r="1186">
      <x:c r="A1186" s="13" t="str">
        <x:v>REC-001185</x:v>
      </x:c>
      <x:c r="B1186" s="23" t="n">
        <x:v>45887</x:v>
      </x:c>
      <x:c r="C1186" s="23" t="n">
        <x:v>45902</x:v>
      </x:c>
      <x:c r="D1186" s="23" t="n">
        <x:v>45899</x:v>
      </x:c>
      <x:c r="E1186" s="13" t="str">
        <x:v>VAL-018</x:v>
      </x:c>
      <x:c r="F1186" s="13" t="str">
        <x:v>Ponto Legal Advocacia</x:v>
      </x:c>
      <x:c r="G1186" s="13" t="str">
        <x:v>Serviços Profissionais</x:v>
      </x:c>
      <x:c r="H1186" s="13" t="str">
        <x:v>Baixo</x:v>
      </x:c>
      <x:c r="I1186" s="13" t="str">
        <x:v>Gestão</x:v>
      </x:c>
      <x:c r="J1186" s="17" t="n">
        <x:v>9442</x:v>
      </x:c>
      <x:c r="K1186" s="17" t="n">
        <x:v>0</x:v>
      </x:c>
      <x:c r="L1186" s="17" t="n">
        <x:v>0</x:v>
      </x:c>
      <x:c r="M1186" s="13" t="str">
        <x:v>Pago</x:v>
      </x:c>
      <x:c r="N1186" s="13" t="str">
        <x:v>Sem cobrança</x:v>
      </x:c>
      <x:c r="O1186" s="13" t="str">
        <x:v>Operação Clareza</x:v>
      </x:c>
      <x:c r="P1186" s="17" t="n">
        <x:f>IF(D1186="",0,J1186-K1186+L1186)</x:f>
        <x:v>9442</x:v>
      </x:c>
      <x:c r="Q1186" s="17" t="n">
        <x:f>MAX(J1186-P1186-K1186,0)</x:f>
        <x:v>0</x:v>
      </x:c>
      <x:c r="R1186" s="13" t="n">
        <x:f>IF(D1186="",MAX(TODAY()-C1186,0),MAX(D1186-C1186,0))</x:f>
        <x:v>0</x:v>
      </x:c>
      <x:c r="S1186" s="13" t="str">
        <x:f>IF(R1186=0,"Em dia",IF(R1186&lt;=15,"1-15 dias",IF(R1186&lt;=30,"16-30 dias",IF(R1186&lt;=60,"31-60 dias","Acima de 60 dias"))))</x:f>
        <x:v>Em dia</x:v>
      </x:c>
    </x:row>
    <x:row r="1187">
      <x:c r="A1187" s="13" t="str">
        <x:v>REC-001186</x:v>
      </x:c>
      <x:c r="B1187" s="23" t="n">
        <x:v>45883</x:v>
      </x:c>
      <x:c r="C1187" s="23" t="n">
        <x:v>45913</x:v>
      </x:c>
      <x:c r="D1187" s="23" t="n">
        <x:v>45910</x:v>
      </x:c>
      <x:c r="E1187" s="13" t="str">
        <x:v>VAL-010</x:v>
      </x:c>
      <x:c r="F1187" s="13" t="str">
        <x:v>Atlas Contabilidade</x:v>
      </x:c>
      <x:c r="G1187" s="13" t="str">
        <x:v>Serviços Profissionais</x:v>
      </x:c>
      <x:c r="H1187" s="13" t="str">
        <x:v>Baixo</x:v>
      </x:c>
      <x:c r="I1187" s="13" t="str">
        <x:v>Gestão</x:v>
      </x:c>
      <x:c r="J1187" s="17" t="n">
        <x:v>2373.6</x:v>
      </x:c>
      <x:c r="K1187" s="17" t="n">
        <x:v>0</x:v>
      </x:c>
      <x:c r="L1187" s="17" t="n">
        <x:v>0</x:v>
      </x:c>
      <x:c r="M1187" s="13" t="str">
        <x:v>Pago</x:v>
      </x:c>
      <x:c r="N1187" s="13" t="str">
        <x:v>Sem cobrança</x:v>
      </x:c>
      <x:c r="O1187" s="13" t="str">
        <x:v>Operação Clareza</x:v>
      </x:c>
      <x:c r="P1187" s="17" t="n">
        <x:f>IF(D1187="",0,J1187-K1187+L1187)</x:f>
        <x:v>2373.6</x:v>
      </x:c>
      <x:c r="Q1187" s="17" t="n">
        <x:f>MAX(J1187-P1187-K1187,0)</x:f>
        <x:v>0</x:v>
      </x:c>
      <x:c r="R1187" s="13" t="n">
        <x:f>IF(D1187="",MAX(TODAY()-C1187,0),MAX(D1187-C1187,0))</x:f>
        <x:v>0</x:v>
      </x:c>
      <x:c r="S1187" s="13" t="str">
        <x:f>IF(R1187=0,"Em dia",IF(R1187&lt;=15,"1-15 dias",IF(R1187&lt;=30,"16-30 dias",IF(R1187&lt;=60,"31-60 dias","Acima de 60 dias"))))</x:f>
        <x:v>Em dia</x:v>
      </x:c>
    </x:row>
    <x:row r="1188">
      <x:c r="A1188" s="13" t="str">
        <x:v>REC-001187</x:v>
      </x:c>
      <x:c r="B1188" s="23" t="n">
        <x:v>45888</x:v>
      </x:c>
      <x:c r="C1188" s="23" t="n">
        <x:v>45909</x:v>
      </x:c>
      <x:c r="D1188" s="23"/>
      <x:c r="E1188" s="13" t="str">
        <x:v>VAL-027</x:v>
      </x:c>
      <x:c r="F1188" s="13" t="str">
        <x:v>Mais Lar Utilidades</x:v>
      </x:c>
      <x:c r="G1188" s="13" t="str">
        <x:v>Varejo</x:v>
      </x:c>
      <x:c r="H1188" s="13" t="str">
        <x:v>Baixo</x:v>
      </x:c>
      <x:c r="I1188" s="13" t="str">
        <x:v>Performance</x:v>
      </x:c>
      <x:c r="J1188" s="17" t="n">
        <x:v>5464.06</x:v>
      </x:c>
      <x:c r="K1188" s="17" t="n">
        <x:v>0</x:v>
      </x:c>
      <x:c r="L1188" s="17" t="n">
        <x:v>0</x:v>
      </x:c>
      <x:c r="M1188" s="13" t="str">
        <x:v>Em aberto</x:v>
      </x:c>
      <x:c r="N1188" s="13" t="str">
        <x:v>Telefone</x:v>
      </x:c>
      <x:c r="O1188" s="13" t="str">
        <x:v>Operação Clareza</x:v>
      </x:c>
      <x:c r="P1188" s="17" t="n">
        <x:f>IF(D1188="",0,J1188-K1188+L1188)</x:f>
        <x:v>0</x:v>
      </x:c>
      <x:c r="Q1188" s="17" t="n">
        <x:f>MAX(J1188-P1188-K1188,0)</x:f>
        <x:v>5464.06</x:v>
      </x:c>
      <x:c r="R1188" s="13" t="n">
        <x:f>IF(D1188="",MAX(TODAY()-C1188,0),MAX(D1188-C1188,0))</x:f>
        <x:v>304</x:v>
      </x:c>
      <x:c r="S1188" s="13" t="str">
        <x:f>IF(R1188=0,"Em dia",IF(R1188&lt;=15,"1-15 dias",IF(R1188&lt;=30,"16-30 dias",IF(R1188&lt;=60,"31-60 dias","Acima de 60 dias"))))</x:f>
        <x:v>Acima de 60 dias</x:v>
      </x:c>
    </x:row>
    <x:row r="1189">
      <x:c r="A1189" s="13" t="str">
        <x:v>REC-001188</x:v>
      </x:c>
      <x:c r="B1189" s="23" t="n">
        <x:v>45875</x:v>
      </x:c>
      <x:c r="C1189" s="23" t="n">
        <x:v>45903</x:v>
      </x:c>
      <x:c r="D1189" s="23" t="n">
        <x:v>45902</x:v>
      </x:c>
      <x:c r="E1189" s="13" t="str">
        <x:v>VAL-009</x:v>
      </x:c>
      <x:c r="F1189" s="13" t="str">
        <x:v>Odonto Prime</x:v>
      </x:c>
      <x:c r="G1189" s="13" t="str">
        <x:v>Clínicas e Saúde</x:v>
      </x:c>
      <x:c r="H1189" s="13" t="str">
        <x:v>Médio</x:v>
      </x:c>
      <x:c r="I1189" s="13" t="str">
        <x:v>Essencial</x:v>
      </x:c>
      <x:c r="J1189" s="17" t="n">
        <x:v>22272.42</x:v>
      </x:c>
      <x:c r="K1189" s="17" t="n">
        <x:v>0</x:v>
      </x:c>
      <x:c r="L1189" s="17" t="n">
        <x:v>0</x:v>
      </x:c>
      <x:c r="M1189" s="13" t="str">
        <x:v>Pago</x:v>
      </x:c>
      <x:c r="N1189" s="13" t="str">
        <x:v>Sem cobrança</x:v>
      </x:c>
      <x:c r="O1189" s="13" t="str">
        <x:v>Operação Clareza</x:v>
      </x:c>
      <x:c r="P1189" s="17" t="n">
        <x:f>IF(D1189="",0,J1189-K1189+L1189)</x:f>
        <x:v>22272.42</x:v>
      </x:c>
      <x:c r="Q1189" s="17" t="n">
        <x:f>MAX(J1189-P1189-K1189,0)</x:f>
        <x:v>0</x:v>
      </x:c>
      <x:c r="R1189" s="13" t="n">
        <x:f>IF(D1189="",MAX(TODAY()-C1189,0),MAX(D1189-C1189,0))</x:f>
        <x:v>0</x:v>
      </x:c>
      <x:c r="S1189" s="13" t="str">
        <x:f>IF(R1189=0,"Em dia",IF(R1189&lt;=15,"1-15 dias",IF(R1189&lt;=30,"16-30 dias",IF(R1189&lt;=60,"31-60 dias","Acima de 60 dias"))))</x:f>
        <x:v>Em dia</x:v>
      </x:c>
    </x:row>
    <x:row r="1190">
      <x:c r="A1190" s="13" t="str">
        <x:v>REC-001189</x:v>
      </x:c>
      <x:c r="B1190" s="23" t="n">
        <x:v>45874</x:v>
      </x:c>
      <x:c r="C1190" s="23" t="n">
        <x:v>45904</x:v>
      </x:c>
      <x:c r="D1190" s="23" t="n">
        <x:v>45903</x:v>
      </x:c>
      <x:c r="E1190" s="13" t="str">
        <x:v>VAL-023</x:v>
      </x:c>
      <x:c r="F1190" s="13" t="str">
        <x:v>ShopMix Brasil</x:v>
      </x:c>
      <x:c r="G1190" s="13" t="str">
        <x:v>E-commerce</x:v>
      </x:c>
      <x:c r="H1190" s="13" t="str">
        <x:v>Baixo</x:v>
      </x:c>
      <x:c r="I1190" s="13" t="str">
        <x:v>Performance</x:v>
      </x:c>
      <x:c r="J1190" s="17" t="n">
        <x:v>14972</x:v>
      </x:c>
      <x:c r="K1190" s="17" t="n">
        <x:v>0</x:v>
      </x:c>
      <x:c r="L1190" s="17" t="n">
        <x:v>0</x:v>
      </x:c>
      <x:c r="M1190" s="13" t="str">
        <x:v>Pago</x:v>
      </x:c>
      <x:c r="N1190" s="13" t="str">
        <x:v>Sem cobrança</x:v>
      </x:c>
      <x:c r="O1190" s="13" t="str">
        <x:v>Operação Clareza</x:v>
      </x:c>
      <x:c r="P1190" s="17" t="n">
        <x:f>IF(D1190="",0,J1190-K1190+L1190)</x:f>
        <x:v>14972</x:v>
      </x:c>
      <x:c r="Q1190" s="17" t="n">
        <x:f>MAX(J1190-P1190-K1190,0)</x:f>
        <x:v>0</x:v>
      </x:c>
      <x:c r="R1190" s="13" t="n">
        <x:f>IF(D1190="",MAX(TODAY()-C1190,0),MAX(D1190-C1190,0))</x:f>
        <x:v>0</x:v>
      </x:c>
      <x:c r="S1190" s="13" t="str">
        <x:f>IF(R1190=0,"Em dia",IF(R1190&lt;=15,"1-15 dias",IF(R1190&lt;=30,"16-30 dias",IF(R1190&lt;=60,"31-60 dias","Acima de 60 dias"))))</x:f>
        <x:v>Em dia</x:v>
      </x:c>
    </x:row>
    <x:row r="1191">
      <x:c r="A1191" s="13" t="str">
        <x:v>REC-001190</x:v>
      </x:c>
      <x:c r="B1191" s="23" t="n">
        <x:v>45877</x:v>
      </x:c>
      <x:c r="C1191" s="23" t="n">
        <x:v>45905</x:v>
      </x:c>
      <x:c r="D1191" s="23" t="n">
        <x:v>45904</x:v>
      </x:c>
      <x:c r="E1191" s="13" t="str">
        <x:v>VAL-004</x:v>
      </x:c>
      <x:c r="F1191" s="13" t="str">
        <x:v>NuvemBase Tecnologia</x:v>
      </x:c>
      <x:c r="G1191" s="13" t="str">
        <x:v>Tecnologia</x:v>
      </x:c>
      <x:c r="H1191" s="13" t="str">
        <x:v>Baixo</x:v>
      </x:c>
      <x:c r="I1191" s="13" t="str">
        <x:v>Enterprise</x:v>
      </x:c>
      <x:c r="J1191" s="17" t="n">
        <x:v>18065.33</x:v>
      </x:c>
      <x:c r="K1191" s="17" t="n">
        <x:v>125.87</x:v>
      </x:c>
      <x:c r="L1191" s="17" t="n">
        <x:v>0</x:v>
      </x:c>
      <x:c r="M1191" s="13" t="str">
        <x:v>Pago</x:v>
      </x:c>
      <x:c r="N1191" s="13" t="str">
        <x:v>Sem cobrança</x:v>
      </x:c>
      <x:c r="O1191" s="13" t="str">
        <x:v>Operação Clareza</x:v>
      </x:c>
      <x:c r="P1191" s="17" t="n">
        <x:f>IF(D1191="",0,J1191-K1191+L1191)</x:f>
        <x:v>17939.460000000003</x:v>
      </x:c>
      <x:c r="Q1191" s="17" t="n">
        <x:f>MAX(J1191-P1191-K1191,0)</x:f>
        <x:v>0</x:v>
      </x:c>
      <x:c r="R1191" s="13" t="n">
        <x:f>IF(D1191="",MAX(TODAY()-C1191,0),MAX(D1191-C1191,0))</x:f>
        <x:v>0</x:v>
      </x:c>
      <x:c r="S1191" s="13" t="str">
        <x:f>IF(R1191=0,"Em dia",IF(R1191&lt;=15,"1-15 dias",IF(R1191&lt;=30,"16-30 dias",IF(R1191&lt;=60,"31-60 dias","Acima de 60 dias"))))</x:f>
        <x:v>Em dia</x:v>
      </x:c>
    </x:row>
    <x:row r="1192">
      <x:c r="A1192" s="13" t="str">
        <x:v>REC-001191</x:v>
      </x:c>
      <x:c r="B1192" s="23" t="n">
        <x:v>45874</x:v>
      </x:c>
      <x:c r="C1192" s="23" t="n">
        <x:v>45889</x:v>
      </x:c>
      <x:c r="D1192" s="23" t="n">
        <x:v>45887</x:v>
      </x:c>
      <x:c r="E1192" s="13" t="str">
        <x:v>VAL-021</x:v>
      </x:c>
      <x:c r="F1192" s="13" t="str">
        <x:v>Base Forte Obras</x:v>
      </x:c>
      <x:c r="G1192" s="13" t="str">
        <x:v>Construção</x:v>
      </x:c>
      <x:c r="H1192" s="13" t="str">
        <x:v>Médio</x:v>
      </x:c>
      <x:c r="I1192" s="13" t="str">
        <x:v>Essencial</x:v>
      </x:c>
      <x:c r="J1192" s="17" t="n">
        <x:v>3892.14</x:v>
      </x:c>
      <x:c r="K1192" s="17" t="n">
        <x:v>0</x:v>
      </x:c>
      <x:c r="L1192" s="17" t="n">
        <x:v>0</x:v>
      </x:c>
      <x:c r="M1192" s="13" t="str">
        <x:v>Pago</x:v>
      </x:c>
      <x:c r="N1192" s="13" t="str">
        <x:v>Sem cobrança</x:v>
      </x:c>
      <x:c r="O1192" s="13" t="str">
        <x:v>Operação Clareza</x:v>
      </x:c>
      <x:c r="P1192" s="17" t="n">
        <x:f>IF(D1192="",0,J1192-K1192+L1192)</x:f>
        <x:v>3892.14</x:v>
      </x:c>
      <x:c r="Q1192" s="17" t="n">
        <x:f>MAX(J1192-P1192-K1192,0)</x:f>
        <x:v>0</x:v>
      </x:c>
      <x:c r="R1192" s="13" t="n">
        <x:f>IF(D1192="",MAX(TODAY()-C1192,0),MAX(D1192-C1192,0))</x:f>
        <x:v>0</x:v>
      </x:c>
      <x:c r="S1192" s="13" t="str">
        <x:f>IF(R1192=0,"Em dia",IF(R1192&lt;=15,"1-15 dias",IF(R1192&lt;=30,"16-30 dias",IF(R1192&lt;=60,"31-60 dias","Acima de 60 dias"))))</x:f>
        <x:v>Em dia</x:v>
      </x:c>
    </x:row>
    <x:row r="1193">
      <x:c r="A1193" s="13" t="str">
        <x:v>REC-001192</x:v>
      </x:c>
      <x:c r="B1193" s="23" t="n">
        <x:v>45877</x:v>
      </x:c>
      <x:c r="C1193" s="23" t="n">
        <x:v>45905</x:v>
      </x:c>
      <x:c r="D1193" s="23" t="n">
        <x:v>45905</x:v>
      </x:c>
      <x:c r="E1193" s="13" t="str">
        <x:v>VAL-014</x:v>
      </x:c>
      <x:c r="F1193" s="13" t="str">
        <x:v>Colégio Caminhos</x:v>
      </x:c>
      <x:c r="G1193" s="13" t="str">
        <x:v>Educação</x:v>
      </x:c>
      <x:c r="H1193" s="13" t="str">
        <x:v>Médio</x:v>
      </x:c>
      <x:c r="I1193" s="13" t="str">
        <x:v>Gestão</x:v>
      </x:c>
      <x:c r="J1193" s="17" t="n">
        <x:v>7192.85</x:v>
      </x:c>
      <x:c r="K1193" s="17" t="n">
        <x:v>0</x:v>
      </x:c>
      <x:c r="L1193" s="17" t="n">
        <x:v>0</x:v>
      </x:c>
      <x:c r="M1193" s="13" t="str">
        <x:v>Pago</x:v>
      </x:c>
      <x:c r="N1193" s="13" t="str">
        <x:v>Sem cobrança</x:v>
      </x:c>
      <x:c r="O1193" s="13" t="str">
        <x:v>Operação Clareza</x:v>
      </x:c>
      <x:c r="P1193" s="17" t="n">
        <x:f>IF(D1193="",0,J1193-K1193+L1193)</x:f>
        <x:v>7192.85</x:v>
      </x:c>
      <x:c r="Q1193" s="17" t="n">
        <x:f>MAX(J1193-P1193-K1193,0)</x:f>
        <x:v>0</x:v>
      </x:c>
      <x:c r="R1193" s="13" t="n">
        <x:f>IF(D1193="",MAX(TODAY()-C1193,0),MAX(D1193-C1193,0))</x:f>
        <x:v>0</x:v>
      </x:c>
      <x:c r="S1193" s="13" t="str">
        <x:f>IF(R1193=0,"Em dia",IF(R1193&lt;=15,"1-15 dias",IF(R1193&lt;=30,"16-30 dias",IF(R1193&lt;=60,"31-60 dias","Acima de 60 dias"))))</x:f>
        <x:v>Em dia</x:v>
      </x:c>
    </x:row>
    <x:row r="1194">
      <x:c r="A1194" s="13" t="str">
        <x:v>REC-001193</x:v>
      </x:c>
      <x:c r="B1194" s="23" t="n">
        <x:v>45873</x:v>
      </x:c>
      <x:c r="C1194" s="23" t="n">
        <x:v>45903</x:v>
      </x:c>
      <x:c r="D1194" s="23" t="n">
        <x:v>45900</x:v>
      </x:c>
      <x:c r="E1194" s="13" t="str">
        <x:v>VAL-005</x:v>
      </x:c>
      <x:c r="F1194" s="13" t="str">
        <x:v>Construtora Alameda</x:v>
      </x:c>
      <x:c r="G1194" s="13" t="str">
        <x:v>Construção</x:v>
      </x:c>
      <x:c r="H1194" s="13" t="str">
        <x:v>Médio</x:v>
      </x:c>
      <x:c r="I1194" s="13" t="str">
        <x:v>Essencial</x:v>
      </x:c>
      <x:c r="J1194" s="17" t="n">
        <x:v>24582.15</x:v>
      </x:c>
      <x:c r="K1194" s="17" t="n">
        <x:v>0</x:v>
      </x:c>
      <x:c r="L1194" s="17" t="n">
        <x:v>0</x:v>
      </x:c>
      <x:c r="M1194" s="13" t="str">
        <x:v>Pago</x:v>
      </x:c>
      <x:c r="N1194" s="13" t="str">
        <x:v>Sem cobrança</x:v>
      </x:c>
      <x:c r="O1194" s="13" t="str">
        <x:v>Operação Clareza</x:v>
      </x:c>
      <x:c r="P1194" s="17" t="n">
        <x:f>IF(D1194="",0,J1194-K1194+L1194)</x:f>
        <x:v>24582.15</x:v>
      </x:c>
      <x:c r="Q1194" s="17" t="n">
        <x:f>MAX(J1194-P1194-K1194,0)</x:f>
        <x:v>0</x:v>
      </x:c>
      <x:c r="R1194" s="13" t="n">
        <x:f>IF(D1194="",MAX(TODAY()-C1194,0),MAX(D1194-C1194,0))</x:f>
        <x:v>0</x:v>
      </x:c>
      <x:c r="S1194" s="13" t="str">
        <x:f>IF(R1194=0,"Em dia",IF(R1194&lt;=15,"1-15 dias",IF(R1194&lt;=30,"16-30 dias",IF(R1194&lt;=60,"31-60 dias","Acima de 60 dias"))))</x:f>
        <x:v>Em dia</x:v>
      </x:c>
    </x:row>
    <x:row r="1195">
      <x:c r="A1195" s="13" t="str">
        <x:v>REC-001194</x:v>
      </x:c>
      <x:c r="B1195" s="23" t="n">
        <x:v>45883</x:v>
      </x:c>
      <x:c r="C1195" s="23" t="n">
        <x:v>45913</x:v>
      </x:c>
      <x:c r="D1195" s="23" t="n">
        <x:v>45910</x:v>
      </x:c>
      <x:c r="E1195" s="13" t="str">
        <x:v>VAL-005</x:v>
      </x:c>
      <x:c r="F1195" s="13" t="str">
        <x:v>Construtora Alameda</x:v>
      </x:c>
      <x:c r="G1195" s="13" t="str">
        <x:v>Construção</x:v>
      </x:c>
      <x:c r="H1195" s="13" t="str">
        <x:v>Médio</x:v>
      </x:c>
      <x:c r="I1195" s="13" t="str">
        <x:v>Essencial</x:v>
      </x:c>
      <x:c r="J1195" s="17" t="n">
        <x:v>12779.31</x:v>
      </x:c>
      <x:c r="K1195" s="17" t="n">
        <x:v>0</x:v>
      </x:c>
      <x:c r="L1195" s="17" t="n">
        <x:v>0</x:v>
      </x:c>
      <x:c r="M1195" s="13" t="str">
        <x:v>Pago</x:v>
      </x:c>
      <x:c r="N1195" s="13" t="str">
        <x:v>Sem cobrança</x:v>
      </x:c>
      <x:c r="O1195" s="13" t="str">
        <x:v>Operação Clareza</x:v>
      </x:c>
      <x:c r="P1195" s="17" t="n">
        <x:f>IF(D1195="",0,J1195-K1195+L1195)</x:f>
        <x:v>12779.31</x:v>
      </x:c>
      <x:c r="Q1195" s="17" t="n">
        <x:f>MAX(J1195-P1195-K1195,0)</x:f>
        <x:v>0</x:v>
      </x:c>
      <x:c r="R1195" s="13" t="n">
        <x:f>IF(D1195="",MAX(TODAY()-C1195,0),MAX(D1195-C1195,0))</x:f>
        <x:v>0</x:v>
      </x:c>
      <x:c r="S1195" s="13" t="str">
        <x:f>IF(R1195=0,"Em dia",IF(R1195&lt;=15,"1-15 dias",IF(R1195&lt;=30,"16-30 dias",IF(R1195&lt;=60,"31-60 dias","Acima de 60 dias"))))</x:f>
        <x:v>Em dia</x:v>
      </x:c>
    </x:row>
    <x:row r="1196">
      <x:c r="A1196" s="13" t="str">
        <x:v>REC-001195</x:v>
      </x:c>
      <x:c r="B1196" s="23" t="n">
        <x:v>45872</x:v>
      </x:c>
      <x:c r="C1196" s="23" t="n">
        <x:v>45902</x:v>
      </x:c>
      <x:c r="D1196" s="23" t="n">
        <x:v>45899</x:v>
      </x:c>
      <x:c r="E1196" s="13" t="str">
        <x:v>VAL-024</x:v>
      </x:c>
      <x:c r="F1196" s="13" t="str">
        <x:v>NovaForma Móveis</x:v>
      </x:c>
      <x:c r="G1196" s="13" t="str">
        <x:v>Indústria Leve</x:v>
      </x:c>
      <x:c r="H1196" s="13" t="str">
        <x:v>Baixo</x:v>
      </x:c>
      <x:c r="I1196" s="13" t="str">
        <x:v>Enterprise</x:v>
      </x:c>
      <x:c r="J1196" s="17" t="n">
        <x:v>11872.9</x:v>
      </x:c>
      <x:c r="K1196" s="17" t="n">
        <x:v>0</x:v>
      </x:c>
      <x:c r="L1196" s="17" t="n">
        <x:v>0</x:v>
      </x:c>
      <x:c r="M1196" s="13" t="str">
        <x:v>Pago</x:v>
      </x:c>
      <x:c r="N1196" s="13" t="str">
        <x:v>Sem cobrança</x:v>
      </x:c>
      <x:c r="O1196" s="13" t="str">
        <x:v>Operação Clareza</x:v>
      </x:c>
      <x:c r="P1196" s="17" t="n">
        <x:f>IF(D1196="",0,J1196-K1196+L1196)</x:f>
        <x:v>11872.9</x:v>
      </x:c>
      <x:c r="Q1196" s="17" t="n">
        <x:f>MAX(J1196-P1196-K1196,0)</x:f>
        <x:v>0</x:v>
      </x:c>
      <x:c r="R1196" s="13" t="n">
        <x:f>IF(D1196="",MAX(TODAY()-C1196,0),MAX(D1196-C1196,0))</x:f>
        <x:v>0</x:v>
      </x:c>
      <x:c r="S1196" s="13" t="str">
        <x:f>IF(R1196=0,"Em dia",IF(R1196&lt;=15,"1-15 dias",IF(R1196&lt;=30,"16-30 dias",IF(R1196&lt;=60,"31-60 dias","Acima de 60 dias"))))</x:f>
        <x:v>Em dia</x:v>
      </x:c>
    </x:row>
    <x:row r="1197">
      <x:c r="A1197" s="13" t="str">
        <x:v>REC-001196</x:v>
      </x:c>
      <x:c r="B1197" s="23" t="n">
        <x:v>45879</x:v>
      </x:c>
      <x:c r="C1197" s="23" t="n">
        <x:v>45894</x:v>
      </x:c>
      <x:c r="D1197" s="23" t="n">
        <x:v>45892</x:v>
      </x:c>
      <x:c r="E1197" s="13" t="str">
        <x:v>VAL-024</x:v>
      </x:c>
      <x:c r="F1197" s="13" t="str">
        <x:v>NovaForma Móveis</x:v>
      </x:c>
      <x:c r="G1197" s="13" t="str">
        <x:v>Indústria Leve</x:v>
      </x:c>
      <x:c r="H1197" s="13" t="str">
        <x:v>Baixo</x:v>
      </x:c>
      <x:c r="I1197" s="13" t="str">
        <x:v>Enterprise</x:v>
      </x:c>
      <x:c r="J1197" s="17" t="n">
        <x:v>24708.29</x:v>
      </x:c>
      <x:c r="K1197" s="17" t="n">
        <x:v>0</x:v>
      </x:c>
      <x:c r="L1197" s="17" t="n">
        <x:v>0</x:v>
      </x:c>
      <x:c r="M1197" s="13" t="str">
        <x:v>Pago</x:v>
      </x:c>
      <x:c r="N1197" s="13" t="str">
        <x:v>Sem cobrança</x:v>
      </x:c>
      <x:c r="O1197" s="13" t="str">
        <x:v>Operação Clareza</x:v>
      </x:c>
      <x:c r="P1197" s="17" t="n">
        <x:f>IF(D1197="",0,J1197-K1197+L1197)</x:f>
        <x:v>24708.29</x:v>
      </x:c>
      <x:c r="Q1197" s="17" t="n">
        <x:f>MAX(J1197-P1197-K1197,0)</x:f>
        <x:v>0</x:v>
      </x:c>
      <x:c r="R1197" s="13" t="n">
        <x:f>IF(D1197="",MAX(TODAY()-C1197,0),MAX(D1197-C1197,0))</x:f>
        <x:v>0</x:v>
      </x:c>
      <x:c r="S1197" s="13" t="str">
        <x:f>IF(R1197=0,"Em dia",IF(R1197&lt;=15,"1-15 dias",IF(R1197&lt;=30,"16-30 dias",IF(R1197&lt;=60,"31-60 dias","Acima de 60 dias"))))</x:f>
        <x:v>Em dia</x:v>
      </x:c>
    </x:row>
    <x:row r="1198">
      <x:c r="A1198" s="13" t="str">
        <x:v>REC-001197</x:v>
      </x:c>
      <x:c r="B1198" s="23" t="n">
        <x:v>45875</x:v>
      </x:c>
      <x:c r="C1198" s="23" t="n">
        <x:v>45896</x:v>
      </x:c>
      <x:c r="D1198" s="23" t="n">
        <x:v>45907</x:v>
      </x:c>
      <x:c r="E1198" s="13" t="str">
        <x:v>VAL-020</x:v>
      </x:c>
      <x:c r="F1198" s="13" t="str">
        <x:v>Corelink Digital</x:v>
      </x:c>
      <x:c r="G1198" s="13" t="str">
        <x:v>Tecnologia</x:v>
      </x:c>
      <x:c r="H1198" s="13" t="str">
        <x:v>Baixo</x:v>
      </x:c>
      <x:c r="I1198" s="13" t="str">
        <x:v>Enterprise</x:v>
      </x:c>
      <x:c r="J1198" s="17" t="n">
        <x:v>6703.52</x:v>
      </x:c>
      <x:c r="K1198" s="17" t="n">
        <x:v>0</x:v>
      </x:c>
      <x:c r="L1198" s="17" t="n">
        <x:v>47.93</x:v>
      </x:c>
      <x:c r="M1198" s="13" t="str">
        <x:v>Pago com atraso</x:v>
      </x:c>
      <x:c r="N1198" s="13" t="str">
        <x:v>WhatsApp</x:v>
      </x:c>
      <x:c r="O1198" s="13" t="str">
        <x:v>Operação Clareza</x:v>
      </x:c>
      <x:c r="P1198" s="17" t="n">
        <x:f>IF(D1198="",0,J1198-K1198+L1198)</x:f>
        <x:v>6751.450000000001</x:v>
      </x:c>
      <x:c r="Q1198" s="17" t="n">
        <x:f>MAX(J1198-P1198-K1198,0)</x:f>
        <x:v>0</x:v>
      </x:c>
      <x:c r="R1198" s="13" t="n">
        <x:f>IF(D1198="",MAX(TODAY()-C1198,0),MAX(D1198-C1198,0))</x:f>
        <x:v>11</x:v>
      </x:c>
      <x:c r="S1198" s="13" t="str">
        <x:f>IF(R1198=0,"Em dia",IF(R1198&lt;=15,"1-15 dias",IF(R1198&lt;=30,"16-30 dias",IF(R1198&lt;=60,"31-60 dias","Acima de 60 dias"))))</x:f>
        <x:v>1-15 dias</x:v>
      </x:c>
    </x:row>
    <x:row r="1199">
      <x:c r="A1199" s="13" t="str">
        <x:v>REC-001198</x:v>
      </x:c>
      <x:c r="B1199" s="23" t="n">
        <x:v>45885</x:v>
      </x:c>
      <x:c r="C1199" s="23" t="n">
        <x:v>45892</x:v>
      </x:c>
      <x:c r="D1199" s="23" t="n">
        <x:v>45890</x:v>
      </x:c>
      <x:c r="E1199" s="13" t="str">
        <x:v>VAL-009</x:v>
      </x:c>
      <x:c r="F1199" s="13" t="str">
        <x:v>Odonto Prime</x:v>
      </x:c>
      <x:c r="G1199" s="13" t="str">
        <x:v>Clínicas e Saúde</x:v>
      </x:c>
      <x:c r="H1199" s="13" t="str">
        <x:v>Médio</x:v>
      </x:c>
      <x:c r="I1199" s="13" t="str">
        <x:v>Essencial</x:v>
      </x:c>
      <x:c r="J1199" s="17" t="n">
        <x:v>21759.48</x:v>
      </x:c>
      <x:c r="K1199" s="17" t="n">
        <x:v>0</x:v>
      </x:c>
      <x:c r="L1199" s="17" t="n">
        <x:v>0</x:v>
      </x:c>
      <x:c r="M1199" s="13" t="str">
        <x:v>Pago</x:v>
      </x:c>
      <x:c r="N1199" s="13" t="str">
        <x:v>Sem cobrança</x:v>
      </x:c>
      <x:c r="O1199" s="13" t="str">
        <x:v>Operação Clareza</x:v>
      </x:c>
      <x:c r="P1199" s="17" t="n">
        <x:f>IF(D1199="",0,J1199-K1199+L1199)</x:f>
        <x:v>21759.48</x:v>
      </x:c>
      <x:c r="Q1199" s="17" t="n">
        <x:f>MAX(J1199-P1199-K1199,0)</x:f>
        <x:v>0</x:v>
      </x:c>
      <x:c r="R1199" s="13" t="n">
        <x:f>IF(D1199="",MAX(TODAY()-C1199,0),MAX(D1199-C1199,0))</x:f>
        <x:v>0</x:v>
      </x:c>
      <x:c r="S1199" s="13" t="str">
        <x:f>IF(R1199=0,"Em dia",IF(R1199&lt;=15,"1-15 dias",IF(R1199&lt;=30,"16-30 dias",IF(R1199&lt;=60,"31-60 dias","Acima de 60 dias"))))</x:f>
        <x:v>Em dia</x:v>
      </x:c>
    </x:row>
    <x:row r="1200">
      <x:c r="A1200" s="13" t="str">
        <x:v>REC-001199</x:v>
      </x:c>
      <x:c r="B1200" s="23" t="n">
        <x:v>45875</x:v>
      </x:c>
      <x:c r="C1200" s="23" t="n">
        <x:v>45905</x:v>
      </x:c>
      <x:c r="D1200" s="23" t="n">
        <x:v>45901</x:v>
      </x:c>
      <x:c r="E1200" s="13" t="str">
        <x:v>VAL-029</x:v>
      </x:c>
      <x:c r="F1200" s="13" t="str">
        <x:v>Planobra Serviços</x:v>
      </x:c>
      <x:c r="G1200" s="13" t="str">
        <x:v>Construção</x:v>
      </x:c>
      <x:c r="H1200" s="13" t="str">
        <x:v>Baixo</x:v>
      </x:c>
      <x:c r="I1200" s="13" t="str">
        <x:v>Essencial</x:v>
      </x:c>
      <x:c r="J1200" s="17" t="n">
        <x:v>23393.6</x:v>
      </x:c>
      <x:c r="K1200" s="17" t="n">
        <x:v>0</x:v>
      </x:c>
      <x:c r="L1200" s="17" t="n">
        <x:v>0</x:v>
      </x:c>
      <x:c r="M1200" s="13" t="str">
        <x:v>Pago</x:v>
      </x:c>
      <x:c r="N1200" s="13" t="str">
        <x:v>Sem cobrança</x:v>
      </x:c>
      <x:c r="O1200" s="13" t="str">
        <x:v>Operação Clareza</x:v>
      </x:c>
      <x:c r="P1200" s="17" t="n">
        <x:f>IF(D1200="",0,J1200-K1200+L1200)</x:f>
        <x:v>23393.6</x:v>
      </x:c>
      <x:c r="Q1200" s="17" t="n">
        <x:f>MAX(J1200-P1200-K1200,0)</x:f>
        <x:v>0</x:v>
      </x:c>
      <x:c r="R1200" s="13" t="n">
        <x:f>IF(D1200="",MAX(TODAY()-C1200,0),MAX(D1200-C1200,0))</x:f>
        <x:v>0</x:v>
      </x:c>
      <x:c r="S1200" s="13" t="str">
        <x:f>IF(R1200=0,"Em dia",IF(R1200&lt;=15,"1-15 dias",IF(R1200&lt;=30,"16-30 dias",IF(R1200&lt;=60,"31-60 dias","Acima de 60 dias"))))</x:f>
        <x:v>Em dia</x:v>
      </x:c>
    </x:row>
    <x:row r="1201">
      <x:c r="A1201" s="13" t="str">
        <x:v>REC-001200</x:v>
      </x:c>
      <x:c r="B1201" s="23" t="n">
        <x:v>45884</x:v>
      </x:c>
      <x:c r="C1201" s="23" t="n">
        <x:v>45899</x:v>
      </x:c>
      <x:c r="D1201" s="23" t="n">
        <x:v>45899</x:v>
      </x:c>
      <x:c r="E1201" s="13" t="str">
        <x:v>VAL-023</x:v>
      </x:c>
      <x:c r="F1201" s="13" t="str">
        <x:v>ShopMix Brasil</x:v>
      </x:c>
      <x:c r="G1201" s="13" t="str">
        <x:v>E-commerce</x:v>
      </x:c>
      <x:c r="H1201" s="13" t="str">
        <x:v>Baixo</x:v>
      </x:c>
      <x:c r="I1201" s="13" t="str">
        <x:v>Performance</x:v>
      </x:c>
      <x:c r="J1201" s="17" t="n">
        <x:v>23119.28</x:v>
      </x:c>
      <x:c r="K1201" s="17" t="n">
        <x:v>0</x:v>
      </x:c>
      <x:c r="L1201" s="17" t="n">
        <x:v>0</x:v>
      </x:c>
      <x:c r="M1201" s="13" t="str">
        <x:v>Pago</x:v>
      </x:c>
      <x:c r="N1201" s="13" t="str">
        <x:v>Sem cobrança</x:v>
      </x:c>
      <x:c r="O1201" s="13" t="str">
        <x:v>Operação Clareza</x:v>
      </x:c>
      <x:c r="P1201" s="17" t="n">
        <x:f>IF(D1201="",0,J1201-K1201+L1201)</x:f>
        <x:v>23119.28</x:v>
      </x:c>
      <x:c r="Q1201" s="17" t="n">
        <x:f>MAX(J1201-P1201-K1201,0)</x:f>
        <x:v>0</x:v>
      </x:c>
      <x:c r="R1201" s="13" t="n">
        <x:f>IF(D1201="",MAX(TODAY()-C1201,0),MAX(D1201-C1201,0))</x:f>
        <x:v>0</x:v>
      </x:c>
      <x:c r="S1201" s="13" t="str">
        <x:f>IF(R1201=0,"Em dia",IF(R1201&lt;=15,"1-15 dias",IF(R1201&lt;=30,"16-30 dias",IF(R1201&lt;=60,"31-60 dias","Acima de 60 dias"))))</x:f>
        <x:v>Em dia</x:v>
      </x:c>
    </x:row>
    <x:row r="1202">
      <x:c r="A1202" s="13" t="str">
        <x:v>REC-001201</x:v>
      </x:c>
      <x:c r="B1202" s="23" t="n">
        <x:v>45902</x:v>
      </x:c>
      <x:c r="C1202" s="23" t="n">
        <x:v>45932</x:v>
      </x:c>
      <x:c r="D1202" s="23" t="n">
        <x:v>45931</x:v>
      </x:c>
      <x:c r="E1202" s="13" t="str">
        <x:v>VAL-009</x:v>
      </x:c>
      <x:c r="F1202" s="13" t="str">
        <x:v>Odonto Prime</x:v>
      </x:c>
      <x:c r="G1202" s="13" t="str">
        <x:v>Clínicas e Saúde</x:v>
      </x:c>
      <x:c r="H1202" s="13" t="str">
        <x:v>Médio</x:v>
      </x:c>
      <x:c r="I1202" s="13" t="str">
        <x:v>Essencial</x:v>
      </x:c>
      <x:c r="J1202" s="17" t="n">
        <x:v>2341.12</x:v>
      </x:c>
      <x:c r="K1202" s="17" t="n">
        <x:v>14.8</x:v>
      </x:c>
      <x:c r="L1202" s="17" t="n">
        <x:v>0</x:v>
      </x:c>
      <x:c r="M1202" s="13" t="str">
        <x:v>Pago</x:v>
      </x:c>
      <x:c r="N1202" s="13" t="str">
        <x:v>Sem cobrança</x:v>
      </x:c>
      <x:c r="O1202" s="13" t="str">
        <x:v>Operação Clareza</x:v>
      </x:c>
      <x:c r="P1202" s="17" t="n">
        <x:f>IF(D1202="",0,J1202-K1202+L1202)</x:f>
        <x:v>2326.3199999999997</x:v>
      </x:c>
      <x:c r="Q1202" s="17" t="n">
        <x:f>MAX(J1202-P1202-K1202,0)</x:f>
        <x:v>1.8118839761882555e-13</x:v>
      </x:c>
      <x:c r="R1202" s="13" t="n">
        <x:f>IF(D1202="",MAX(TODAY()-C1202,0),MAX(D1202-C1202,0))</x:f>
        <x:v>0</x:v>
      </x:c>
      <x:c r="S1202" s="13" t="str">
        <x:f>IF(R1202=0,"Em dia",IF(R1202&lt;=15,"1-15 dias",IF(R1202&lt;=30,"16-30 dias",IF(R1202&lt;=60,"31-60 dias","Acima de 60 dias"))))</x:f>
        <x:v>Em dia</x:v>
      </x:c>
    </x:row>
    <x:row r="1203">
      <x:c r="A1203" s="13" t="str">
        <x:v>REC-001202</x:v>
      </x:c>
      <x:c r="B1203" s="23" t="n">
        <x:v>45909</x:v>
      </x:c>
      <x:c r="C1203" s="23" t="n">
        <x:v>45930</x:v>
      </x:c>
      <x:c r="D1203" s="23" t="n">
        <x:v>45961</x:v>
      </x:c>
      <x:c r="E1203" s="13" t="str">
        <x:v>VAL-004</x:v>
      </x:c>
      <x:c r="F1203" s="13" t="str">
        <x:v>NuvemBase Tecnologia</x:v>
      </x:c>
      <x:c r="G1203" s="13" t="str">
        <x:v>Tecnologia</x:v>
      </x:c>
      <x:c r="H1203" s="13" t="str">
        <x:v>Baixo</x:v>
      </x:c>
      <x:c r="I1203" s="13" t="str">
        <x:v>Enterprise</x:v>
      </x:c>
      <x:c r="J1203" s="17" t="n">
        <x:v>26899.48</x:v>
      </x:c>
      <x:c r="K1203" s="17" t="n">
        <x:v>0</x:v>
      </x:c>
      <x:c r="L1203" s="17" t="n">
        <x:v>542.02</x:v>
      </x:c>
      <x:c r="M1203" s="13" t="str">
        <x:v>Pago com atraso</x:v>
      </x:c>
      <x:c r="N1203" s="13" t="str">
        <x:v>WhatsApp</x:v>
      </x:c>
      <x:c r="O1203" s="13" t="str">
        <x:v>Operação Clareza</x:v>
      </x:c>
      <x:c r="P1203" s="17" t="n">
        <x:f>IF(D1203="",0,J1203-K1203+L1203)</x:f>
        <x:v>27441.5</x:v>
      </x:c>
      <x:c r="Q1203" s="17" t="n">
        <x:f>MAX(J1203-P1203-K1203,0)</x:f>
        <x:v>0</x:v>
      </x:c>
      <x:c r="R1203" s="13" t="n">
        <x:f>IF(D1203="",MAX(TODAY()-C1203,0),MAX(D1203-C1203,0))</x:f>
        <x:v>31</x:v>
      </x:c>
      <x:c r="S1203" s="13" t="str">
        <x:f>IF(R1203=0,"Em dia",IF(R1203&lt;=15,"1-15 dias",IF(R1203&lt;=30,"16-30 dias",IF(R1203&lt;=60,"31-60 dias","Acima de 60 dias"))))</x:f>
        <x:v>31-60 dias</x:v>
      </x:c>
    </x:row>
    <x:row r="1204">
      <x:c r="A1204" s="13" t="str">
        <x:v>REC-001203</x:v>
      </x:c>
      <x:c r="B1204" s="23" t="n">
        <x:v>45908</x:v>
      </x:c>
      <x:c r="C1204" s="23" t="n">
        <x:v>45938</x:v>
      </x:c>
      <x:c r="D1204" s="23" t="n">
        <x:v>45937</x:v>
      </x:c>
      <x:c r="E1204" s="13" t="str">
        <x:v>VAL-023</x:v>
      </x:c>
      <x:c r="F1204" s="13" t="str">
        <x:v>ShopMix Brasil</x:v>
      </x:c>
      <x:c r="G1204" s="13" t="str">
        <x:v>E-commerce</x:v>
      </x:c>
      <x:c r="H1204" s="13" t="str">
        <x:v>Baixo</x:v>
      </x:c>
      <x:c r="I1204" s="13" t="str">
        <x:v>Performance</x:v>
      </x:c>
      <x:c r="J1204" s="17" t="n">
        <x:v>28627.22</x:v>
      </x:c>
      <x:c r="K1204" s="17" t="n">
        <x:v>0</x:v>
      </x:c>
      <x:c r="L1204" s="17" t="n">
        <x:v>0</x:v>
      </x:c>
      <x:c r="M1204" s="13" t="str">
        <x:v>Pago</x:v>
      </x:c>
      <x:c r="N1204" s="13" t="str">
        <x:v>Sem cobrança</x:v>
      </x:c>
      <x:c r="O1204" s="13" t="str">
        <x:v>Operação Clareza</x:v>
      </x:c>
      <x:c r="P1204" s="17" t="n">
        <x:f>IF(D1204="",0,J1204-K1204+L1204)</x:f>
        <x:v>28627.22</x:v>
      </x:c>
      <x:c r="Q1204" s="17" t="n">
        <x:f>MAX(J1204-P1204-K1204,0)</x:f>
        <x:v>0</x:v>
      </x:c>
      <x:c r="R1204" s="13" t="n">
        <x:f>IF(D1204="",MAX(TODAY()-C1204,0),MAX(D1204-C1204,0))</x:f>
        <x:v>0</x:v>
      </x:c>
      <x:c r="S1204" s="13" t="str">
        <x:f>IF(R1204=0,"Em dia",IF(R1204&lt;=15,"1-15 dias",IF(R1204&lt;=30,"16-30 dias",IF(R1204&lt;=60,"31-60 dias","Acima de 60 dias"))))</x:f>
        <x:v>Em dia</x:v>
      </x:c>
    </x:row>
    <x:row r="1205">
      <x:c r="A1205" s="13" t="str">
        <x:v>REC-001204</x:v>
      </x:c>
      <x:c r="B1205" s="23" t="n">
        <x:v>45912</x:v>
      </x:c>
      <x:c r="C1205" s="23" t="n">
        <x:v>45927</x:v>
      </x:c>
      <x:c r="D1205" s="23" t="n">
        <x:v>45925</x:v>
      </x:c>
      <x:c r="E1205" s="13" t="str">
        <x:v>VAL-029</x:v>
      </x:c>
      <x:c r="F1205" s="13" t="str">
        <x:v>Planobra Serviços</x:v>
      </x:c>
      <x:c r="G1205" s="13" t="str">
        <x:v>Construção</x:v>
      </x:c>
      <x:c r="H1205" s="13" t="str">
        <x:v>Baixo</x:v>
      </x:c>
      <x:c r="I1205" s="13" t="str">
        <x:v>Essencial</x:v>
      </x:c>
      <x:c r="J1205" s="17" t="n">
        <x:v>11608.85</x:v>
      </x:c>
      <x:c r="K1205" s="17" t="n">
        <x:v>0</x:v>
      </x:c>
      <x:c r="L1205" s="17" t="n">
        <x:v>0</x:v>
      </x:c>
      <x:c r="M1205" s="13" t="str">
        <x:v>Pago</x:v>
      </x:c>
      <x:c r="N1205" s="13" t="str">
        <x:v>Sem cobrança</x:v>
      </x:c>
      <x:c r="O1205" s="13" t="str">
        <x:v>Operação Clareza</x:v>
      </x:c>
      <x:c r="P1205" s="17" t="n">
        <x:f>IF(D1205="",0,J1205-K1205+L1205)</x:f>
        <x:v>11608.85</x:v>
      </x:c>
      <x:c r="Q1205" s="17" t="n">
        <x:f>MAX(J1205-P1205-K1205,0)</x:f>
        <x:v>0</x:v>
      </x:c>
      <x:c r="R1205" s="13" t="n">
        <x:f>IF(D1205="",MAX(TODAY()-C1205,0),MAX(D1205-C1205,0))</x:f>
        <x:v>0</x:v>
      </x:c>
      <x:c r="S1205" s="13" t="str">
        <x:f>IF(R1205=0,"Em dia",IF(R1205&lt;=15,"1-15 dias",IF(R1205&lt;=30,"16-30 dias",IF(R1205&lt;=60,"31-60 dias","Acima de 60 dias"))))</x:f>
        <x:v>Em dia</x:v>
      </x:c>
    </x:row>
    <x:row r="1206">
      <x:c r="A1206" s="13" t="str">
        <x:v>REC-001205</x:v>
      </x:c>
      <x:c r="B1206" s="23" t="n">
        <x:v>45909</x:v>
      </x:c>
      <x:c r="C1206" s="23" t="n">
        <x:v>45930</x:v>
      </x:c>
      <x:c r="D1206" s="23" t="n">
        <x:v>45927</x:v>
      </x:c>
      <x:c r="E1206" s="13" t="str">
        <x:v>VAL-016</x:v>
      </x:c>
      <x:c r="F1206" s="13" t="str">
        <x:v>Lumina Embalagens</x:v>
      </x:c>
      <x:c r="G1206" s="13" t="str">
        <x:v>Indústria Leve</x:v>
      </x:c>
      <x:c r="H1206" s="13" t="str">
        <x:v>Baixo</x:v>
      </x:c>
      <x:c r="I1206" s="13" t="str">
        <x:v>Enterprise</x:v>
      </x:c>
      <x:c r="J1206" s="17" t="n">
        <x:v>4202.38</x:v>
      </x:c>
      <x:c r="K1206" s="17" t="n">
        <x:v>0</x:v>
      </x:c>
      <x:c r="L1206" s="17" t="n">
        <x:v>0</x:v>
      </x:c>
      <x:c r="M1206" s="13" t="str">
        <x:v>Pago</x:v>
      </x:c>
      <x:c r="N1206" s="13" t="str">
        <x:v>Sem cobrança</x:v>
      </x:c>
      <x:c r="O1206" s="13" t="str">
        <x:v>Operação Clareza</x:v>
      </x:c>
      <x:c r="P1206" s="17" t="n">
        <x:f>IF(D1206="",0,J1206-K1206+L1206)</x:f>
        <x:v>4202.38</x:v>
      </x:c>
      <x:c r="Q1206" s="17" t="n">
        <x:f>MAX(J1206-P1206-K1206,0)</x:f>
        <x:v>0</x:v>
      </x:c>
      <x:c r="R1206" s="13" t="n">
        <x:f>IF(D1206="",MAX(TODAY()-C1206,0),MAX(D1206-C1206,0))</x:f>
        <x:v>0</x:v>
      </x:c>
      <x:c r="S1206" s="13" t="str">
        <x:f>IF(R1206=0,"Em dia",IF(R1206&lt;=15,"1-15 dias",IF(R1206&lt;=30,"16-30 dias",IF(R1206&lt;=60,"31-60 dias","Acima de 60 dias"))))</x:f>
        <x:v>Em dia</x:v>
      </x:c>
    </x:row>
    <x:row r="1207">
      <x:c r="A1207" s="13" t="str">
        <x:v>REC-001206</x:v>
      </x:c>
      <x:c r="B1207" s="23" t="n">
        <x:v>45905</x:v>
      </x:c>
      <x:c r="C1207" s="23" t="n">
        <x:v>45935</x:v>
      </x:c>
      <x:c r="D1207" s="23" t="n">
        <x:v>45933</x:v>
      </x:c>
      <x:c r="E1207" s="13" t="str">
        <x:v>VAL-018</x:v>
      </x:c>
      <x:c r="F1207" s="13" t="str">
        <x:v>Ponto Legal Advocacia</x:v>
      </x:c>
      <x:c r="G1207" s="13" t="str">
        <x:v>Serviços Profissionais</x:v>
      </x:c>
      <x:c r="H1207" s="13" t="str">
        <x:v>Baixo</x:v>
      </x:c>
      <x:c r="I1207" s="13" t="str">
        <x:v>Gestão</x:v>
      </x:c>
      <x:c r="J1207" s="17" t="n">
        <x:v>13698.95</x:v>
      </x:c>
      <x:c r="K1207" s="17" t="n">
        <x:v>0</x:v>
      </x:c>
      <x:c r="L1207" s="17" t="n">
        <x:v>0</x:v>
      </x:c>
      <x:c r="M1207" s="13" t="str">
        <x:v>Pago</x:v>
      </x:c>
      <x:c r="N1207" s="13" t="str">
        <x:v>Sem cobrança</x:v>
      </x:c>
      <x:c r="O1207" s="13" t="str">
        <x:v>Operação Clareza</x:v>
      </x:c>
      <x:c r="P1207" s="17" t="n">
        <x:f>IF(D1207="",0,J1207-K1207+L1207)</x:f>
        <x:v>13698.95</x:v>
      </x:c>
      <x:c r="Q1207" s="17" t="n">
        <x:f>MAX(J1207-P1207-K1207,0)</x:f>
        <x:v>0</x:v>
      </x:c>
      <x:c r="R1207" s="13" t="n">
        <x:f>IF(D1207="",MAX(TODAY()-C1207,0),MAX(D1207-C1207,0))</x:f>
        <x:v>0</x:v>
      </x:c>
      <x:c r="S1207" s="13" t="str">
        <x:f>IF(R1207=0,"Em dia",IF(R1207&lt;=15,"1-15 dias",IF(R1207&lt;=30,"16-30 dias",IF(R1207&lt;=60,"31-60 dias","Acima de 60 dias"))))</x:f>
        <x:v>Em dia</x:v>
      </x:c>
    </x:row>
    <x:row r="1208">
      <x:c r="A1208" s="13" t="str">
        <x:v>REC-001207</x:v>
      </x:c>
      <x:c r="B1208" s="23" t="n">
        <x:v>45907</x:v>
      </x:c>
      <x:c r="C1208" s="23" t="n">
        <x:v>45935</x:v>
      </x:c>
      <x:c r="D1208" s="23" t="n">
        <x:v>45932</x:v>
      </x:c>
      <x:c r="E1208" s="13" t="str">
        <x:v>VAL-015</x:v>
      </x:c>
      <x:c r="F1208" s="13" t="str">
        <x:v>Mercado Click</x:v>
      </x:c>
      <x:c r="G1208" s="13" t="str">
        <x:v>E-commerce</x:v>
      </x:c>
      <x:c r="H1208" s="13" t="str">
        <x:v>Baixo</x:v>
      </x:c>
      <x:c r="I1208" s="13" t="str">
        <x:v>Performance</x:v>
      </x:c>
      <x:c r="J1208" s="17" t="n">
        <x:v>32523.86</x:v>
      </x:c>
      <x:c r="K1208" s="17" t="n">
        <x:v>303.33</x:v>
      </x:c>
      <x:c r="L1208" s="17" t="n">
        <x:v>0</x:v>
      </x:c>
      <x:c r="M1208" s="13" t="str">
        <x:v>Pago</x:v>
      </x:c>
      <x:c r="N1208" s="13" t="str">
        <x:v>Sem cobrança</x:v>
      </x:c>
      <x:c r="O1208" s="13" t="str">
        <x:v>Operação Clareza</x:v>
      </x:c>
      <x:c r="P1208" s="17" t="n">
        <x:f>IF(D1208="",0,J1208-K1208+L1208)</x:f>
        <x:v>32220.53</x:v>
      </x:c>
      <x:c r="Q1208" s="17" t="n">
        <x:f>MAX(J1208-P1208-K1208,0)</x:f>
        <x:v>1.7621459846850485e-12</x:v>
      </x:c>
      <x:c r="R1208" s="13" t="n">
        <x:f>IF(D1208="",MAX(TODAY()-C1208,0),MAX(D1208-C1208,0))</x:f>
        <x:v>0</x:v>
      </x:c>
      <x:c r="S1208" s="13" t="str">
        <x:f>IF(R1208=0,"Em dia",IF(R1208&lt;=15,"1-15 dias",IF(R1208&lt;=30,"16-30 dias",IF(R1208&lt;=60,"31-60 dias","Acima de 60 dias"))))</x:f>
        <x:v>Em dia</x:v>
      </x:c>
    </x:row>
    <x:row r="1209">
      <x:c r="A1209" s="13" t="str">
        <x:v>REC-001208</x:v>
      </x:c>
      <x:c r="B1209" s="23" t="n">
        <x:v>45908</x:v>
      </x:c>
      <x:c r="C1209" s="23" t="n">
        <x:v>45923</x:v>
      </x:c>
      <x:c r="D1209" s="23" t="n">
        <x:v>45921</x:v>
      </x:c>
      <x:c r="E1209" s="13" t="str">
        <x:v>VAL-017</x:v>
      </x:c>
      <x:c r="F1209" s="13" t="str">
        <x:v>Centro Médico Vida</x:v>
      </x:c>
      <x:c r="G1209" s="13" t="str">
        <x:v>Clínicas e Saúde</x:v>
      </x:c>
      <x:c r="H1209" s="13" t="str">
        <x:v>Baixo</x:v>
      </x:c>
      <x:c r="I1209" s="13" t="str">
        <x:v>Essencial</x:v>
      </x:c>
      <x:c r="J1209" s="17" t="n">
        <x:v>11554.97</x:v>
      </x:c>
      <x:c r="K1209" s="17" t="n">
        <x:v>0</x:v>
      </x:c>
      <x:c r="L1209" s="17" t="n">
        <x:v>0</x:v>
      </x:c>
      <x:c r="M1209" s="13" t="str">
        <x:v>Pago</x:v>
      </x:c>
      <x:c r="N1209" s="13" t="str">
        <x:v>Sem cobrança</x:v>
      </x:c>
      <x:c r="O1209" s="13" t="str">
        <x:v>Operação Clareza</x:v>
      </x:c>
      <x:c r="P1209" s="17" t="n">
        <x:f>IF(D1209="",0,J1209-K1209+L1209)</x:f>
        <x:v>11554.97</x:v>
      </x:c>
      <x:c r="Q1209" s="17" t="n">
        <x:f>MAX(J1209-P1209-K1209,0)</x:f>
        <x:v>0</x:v>
      </x:c>
      <x:c r="R1209" s="13" t="n">
        <x:f>IF(D1209="",MAX(TODAY()-C1209,0),MAX(D1209-C1209,0))</x:f>
        <x:v>0</x:v>
      </x:c>
      <x:c r="S1209" s="13" t="str">
        <x:f>IF(R1209=0,"Em dia",IF(R1209&lt;=15,"1-15 dias",IF(R1209&lt;=30,"16-30 dias",IF(R1209&lt;=60,"31-60 dias","Acima de 60 dias"))))</x:f>
        <x:v>Em dia</x:v>
      </x:c>
    </x:row>
    <x:row r="1210">
      <x:c r="A1210" s="13" t="str">
        <x:v>REC-001209</x:v>
      </x:c>
      <x:c r="B1210" s="23" t="n">
        <x:v>45911</x:v>
      </x:c>
      <x:c r="C1210" s="23" t="n">
        <x:v>45918</x:v>
      </x:c>
      <x:c r="D1210" s="23" t="n">
        <x:v>45914</x:v>
      </x:c>
      <x:c r="E1210" s="13" t="str">
        <x:v>VAL-018</x:v>
      </x:c>
      <x:c r="F1210" s="13" t="str">
        <x:v>Ponto Legal Advocacia</x:v>
      </x:c>
      <x:c r="G1210" s="13" t="str">
        <x:v>Serviços Profissionais</x:v>
      </x:c>
      <x:c r="H1210" s="13" t="str">
        <x:v>Baixo</x:v>
      </x:c>
      <x:c r="I1210" s="13" t="str">
        <x:v>Gestão</x:v>
      </x:c>
      <x:c r="J1210" s="17" t="n">
        <x:v>10536.39</x:v>
      </x:c>
      <x:c r="K1210" s="17" t="n">
        <x:v>0</x:v>
      </x:c>
      <x:c r="L1210" s="17" t="n">
        <x:v>0</x:v>
      </x:c>
      <x:c r="M1210" s="13" t="str">
        <x:v>Pago</x:v>
      </x:c>
      <x:c r="N1210" s="13" t="str">
        <x:v>Sem cobrança</x:v>
      </x:c>
      <x:c r="O1210" s="13" t="str">
        <x:v>Operação Clareza</x:v>
      </x:c>
      <x:c r="P1210" s="17" t="n">
        <x:f>IF(D1210="",0,J1210-K1210+L1210)</x:f>
        <x:v>10536.39</x:v>
      </x:c>
      <x:c r="Q1210" s="17" t="n">
        <x:f>MAX(J1210-P1210-K1210,0)</x:f>
        <x:v>0</x:v>
      </x:c>
      <x:c r="R1210" s="13" t="n">
        <x:f>IF(D1210="",MAX(TODAY()-C1210,0),MAX(D1210-C1210,0))</x:f>
        <x:v>0</x:v>
      </x:c>
      <x:c r="S1210" s="13" t="str">
        <x:f>IF(R1210=0,"Em dia",IF(R1210&lt;=15,"1-15 dias",IF(R1210&lt;=30,"16-30 dias",IF(R1210&lt;=60,"31-60 dias","Acima de 60 dias"))))</x:f>
        <x:v>Em dia</x:v>
      </x:c>
    </x:row>
    <x:row r="1211">
      <x:c r="A1211" s="13" t="str">
        <x:v>REC-001210</x:v>
      </x:c>
      <x:c r="B1211" s="23" t="n">
        <x:v>45918</x:v>
      </x:c>
      <x:c r="C1211" s="23" t="n">
        <x:v>45933</x:v>
      </x:c>
      <x:c r="D1211" s="23" t="n">
        <x:v>45929</x:v>
      </x:c>
      <x:c r="E1211" s="13" t="str">
        <x:v>VAL-018</x:v>
      </x:c>
      <x:c r="F1211" s="13" t="str">
        <x:v>Ponto Legal Advocacia</x:v>
      </x:c>
      <x:c r="G1211" s="13" t="str">
        <x:v>Serviços Profissionais</x:v>
      </x:c>
      <x:c r="H1211" s="13" t="str">
        <x:v>Baixo</x:v>
      </x:c>
      <x:c r="I1211" s="13" t="str">
        <x:v>Gestão</x:v>
      </x:c>
      <x:c r="J1211" s="17" t="n">
        <x:v>10772.79</x:v>
      </x:c>
      <x:c r="K1211" s="17" t="n">
        <x:v>0</x:v>
      </x:c>
      <x:c r="L1211" s="17" t="n">
        <x:v>0</x:v>
      </x:c>
      <x:c r="M1211" s="13" t="str">
        <x:v>Pago</x:v>
      </x:c>
      <x:c r="N1211" s="13" t="str">
        <x:v>Sem cobrança</x:v>
      </x:c>
      <x:c r="O1211" s="13" t="str">
        <x:v>Operação Clareza</x:v>
      </x:c>
      <x:c r="P1211" s="17" t="n">
        <x:f>IF(D1211="",0,J1211-K1211+L1211)</x:f>
        <x:v>10772.79</x:v>
      </x:c>
      <x:c r="Q1211" s="17" t="n">
        <x:f>MAX(J1211-P1211-K1211,0)</x:f>
        <x:v>0</x:v>
      </x:c>
      <x:c r="R1211" s="13" t="n">
        <x:f>IF(D1211="",MAX(TODAY()-C1211,0),MAX(D1211-C1211,0))</x:f>
        <x:v>0</x:v>
      </x:c>
      <x:c r="S1211" s="13" t="str">
        <x:f>IF(R1211=0,"Em dia",IF(R1211&lt;=15,"1-15 dias",IF(R1211&lt;=30,"16-30 dias",IF(R1211&lt;=60,"31-60 dias","Acima de 60 dias"))))</x:f>
        <x:v>Em dia</x:v>
      </x:c>
    </x:row>
    <x:row r="1212">
      <x:c r="A1212" s="13" t="str">
        <x:v>REC-001211</x:v>
      </x:c>
      <x:c r="B1212" s="23" t="n">
        <x:v>45908</x:v>
      </x:c>
      <x:c r="C1212" s="23" t="n">
        <x:v>45938</x:v>
      </x:c>
      <x:c r="D1212" s="23" t="n">
        <x:v>45974</x:v>
      </x:c>
      <x:c r="E1212" s="13" t="str">
        <x:v>VAL-003</x:v>
      </x:c>
      <x:c r="F1212" s="13" t="str">
        <x:v>Casa Nova Varejo</x:v>
      </x:c>
      <x:c r="G1212" s="13" t="str">
        <x:v>Varejo</x:v>
      </x:c>
      <x:c r="H1212" s="13" t="str">
        <x:v>Baixo</x:v>
      </x:c>
      <x:c r="I1212" s="13" t="str">
        <x:v>Performance</x:v>
      </x:c>
      <x:c r="J1212" s="17" t="n">
        <x:v>7278.21</x:v>
      </x:c>
      <x:c r="K1212" s="17" t="n">
        <x:v>0</x:v>
      </x:c>
      <x:c r="L1212" s="17" t="n">
        <x:v>170.31</x:v>
      </x:c>
      <x:c r="M1212" s="13" t="str">
        <x:v>Pago com atraso</x:v>
      </x:c>
      <x:c r="N1212" s="13" t="str">
        <x:v>E-mail</x:v>
      </x:c>
      <x:c r="O1212" s="13" t="str">
        <x:v>Operação Clareza</x:v>
      </x:c>
      <x:c r="P1212" s="17" t="n">
        <x:f>IF(D1212="",0,J1212-K1212+L1212)</x:f>
        <x:v>7448.52</x:v>
      </x:c>
      <x:c r="Q1212" s="17" t="n">
        <x:f>MAX(J1212-P1212-K1212,0)</x:f>
        <x:v>0</x:v>
      </x:c>
      <x:c r="R1212" s="13" t="n">
        <x:f>IF(D1212="",MAX(TODAY()-C1212,0),MAX(D1212-C1212,0))</x:f>
        <x:v>36</x:v>
      </x:c>
      <x:c r="S1212" s="13" t="str">
        <x:f>IF(R1212=0,"Em dia",IF(R1212&lt;=15,"1-15 dias",IF(R1212&lt;=30,"16-30 dias",IF(R1212&lt;=60,"31-60 dias","Acima de 60 dias"))))</x:f>
        <x:v>31-60 dias</x:v>
      </x:c>
    </x:row>
    <x:row r="1213">
      <x:c r="A1213" s="13" t="str">
        <x:v>REC-001212</x:v>
      </x:c>
      <x:c r="B1213" s="23" t="n">
        <x:v>45918</x:v>
      </x:c>
      <x:c r="C1213" s="23" t="n">
        <x:v>45933</x:v>
      </x:c>
      <x:c r="D1213" s="23" t="n">
        <x:v>45932</x:v>
      </x:c>
      <x:c r="E1213" s="13" t="str">
        <x:v>VAL-005</x:v>
      </x:c>
      <x:c r="F1213" s="13" t="str">
        <x:v>Construtora Alameda</x:v>
      </x:c>
      <x:c r="G1213" s="13" t="str">
        <x:v>Construção</x:v>
      </x:c>
      <x:c r="H1213" s="13" t="str">
        <x:v>Médio</x:v>
      </x:c>
      <x:c r="I1213" s="13" t="str">
        <x:v>Essencial</x:v>
      </x:c>
      <x:c r="J1213" s="17" t="n">
        <x:v>16099.23</x:v>
      </x:c>
      <x:c r="K1213" s="17" t="n">
        <x:v>0</x:v>
      </x:c>
      <x:c r="L1213" s="17" t="n">
        <x:v>0</x:v>
      </x:c>
      <x:c r="M1213" s="13" t="str">
        <x:v>Pago</x:v>
      </x:c>
      <x:c r="N1213" s="13" t="str">
        <x:v>Sem cobrança</x:v>
      </x:c>
      <x:c r="O1213" s="13" t="str">
        <x:v>Operação Clareza</x:v>
      </x:c>
      <x:c r="P1213" s="17" t="n">
        <x:f>IF(D1213="",0,J1213-K1213+L1213)</x:f>
        <x:v>16099.23</x:v>
      </x:c>
      <x:c r="Q1213" s="17" t="n">
        <x:f>MAX(J1213-P1213-K1213,0)</x:f>
        <x:v>0</x:v>
      </x:c>
      <x:c r="R1213" s="13" t="n">
        <x:f>IF(D1213="",MAX(TODAY()-C1213,0),MAX(D1213-C1213,0))</x:f>
        <x:v>0</x:v>
      </x:c>
      <x:c r="S1213" s="13" t="str">
        <x:f>IF(R1213=0,"Em dia",IF(R1213&lt;=15,"1-15 dias",IF(R1213&lt;=30,"16-30 dias",IF(R1213&lt;=60,"31-60 dias","Acima de 60 dias"))))</x:f>
        <x:v>Em dia</x:v>
      </x:c>
    </x:row>
    <x:row r="1214">
      <x:c r="A1214" s="13" t="str">
        <x:v>REC-001213</x:v>
      </x:c>
      <x:c r="B1214" s="23" t="n">
        <x:v>45914</x:v>
      </x:c>
      <x:c r="C1214" s="23" t="n">
        <x:v>45944</x:v>
      </x:c>
      <x:c r="D1214" s="23" t="n">
        <x:v>45980</x:v>
      </x:c>
      <x:c r="E1214" s="13" t="str">
        <x:v>VAL-004</x:v>
      </x:c>
      <x:c r="F1214" s="13" t="str">
        <x:v>NuvemBase Tecnologia</x:v>
      </x:c>
      <x:c r="G1214" s="13" t="str">
        <x:v>Tecnologia</x:v>
      </x:c>
      <x:c r="H1214" s="13" t="str">
        <x:v>Baixo</x:v>
      </x:c>
      <x:c r="I1214" s="13" t="str">
        <x:v>Enterprise</x:v>
      </x:c>
      <x:c r="J1214" s="17" t="n">
        <x:v>16792.05</x:v>
      </x:c>
      <x:c r="K1214" s="17" t="n">
        <x:v>0</x:v>
      </x:c>
      <x:c r="L1214" s="17" t="n">
        <x:v>392.93</x:v>
      </x:c>
      <x:c r="M1214" s="13" t="str">
        <x:v>Pago com atraso</x:v>
      </x:c>
      <x:c r="N1214" s="13" t="str">
        <x:v>E-mail</x:v>
      </x:c>
      <x:c r="O1214" s="13" t="str">
        <x:v>Operação Clareza</x:v>
      </x:c>
      <x:c r="P1214" s="17" t="n">
        <x:f>IF(D1214="",0,J1214-K1214+L1214)</x:f>
        <x:v>17184.98</x:v>
      </x:c>
      <x:c r="Q1214" s="17" t="n">
        <x:f>MAX(J1214-P1214-K1214,0)</x:f>
        <x:v>0</x:v>
      </x:c>
      <x:c r="R1214" s="13" t="n">
        <x:f>IF(D1214="",MAX(TODAY()-C1214,0),MAX(D1214-C1214,0))</x:f>
        <x:v>36</x:v>
      </x:c>
      <x:c r="S1214" s="13" t="str">
        <x:f>IF(R1214=0,"Em dia",IF(R1214&lt;=15,"1-15 dias",IF(R1214&lt;=30,"16-30 dias",IF(R1214&lt;=60,"31-60 dias","Acima de 60 dias"))))</x:f>
        <x:v>31-60 dias</x:v>
      </x:c>
    </x:row>
    <x:row r="1215">
      <x:c r="A1215" s="13" t="str">
        <x:v>REC-001214</x:v>
      </x:c>
      <x:c r="B1215" s="23" t="n">
        <x:v>45914</x:v>
      </x:c>
      <x:c r="C1215" s="23" t="n">
        <x:v>45935</x:v>
      </x:c>
      <x:c r="D1215" s="23" t="n">
        <x:v>45935</x:v>
      </x:c>
      <x:c r="E1215" s="13" t="str">
        <x:v>VAL-004</x:v>
      </x:c>
      <x:c r="F1215" s="13" t="str">
        <x:v>NuvemBase Tecnologia</x:v>
      </x:c>
      <x:c r="G1215" s="13" t="str">
        <x:v>Tecnologia</x:v>
      </x:c>
      <x:c r="H1215" s="13" t="str">
        <x:v>Baixo</x:v>
      </x:c>
      <x:c r="I1215" s="13" t="str">
        <x:v>Enterprise</x:v>
      </x:c>
      <x:c r="J1215" s="17" t="n">
        <x:v>29173.42</x:v>
      </x:c>
      <x:c r="K1215" s="17" t="n">
        <x:v>0</x:v>
      </x:c>
      <x:c r="L1215" s="17" t="n">
        <x:v>0</x:v>
      </x:c>
      <x:c r="M1215" s="13" t="str">
        <x:v>Pago</x:v>
      </x:c>
      <x:c r="N1215" s="13" t="str">
        <x:v>Sem cobrança</x:v>
      </x:c>
      <x:c r="O1215" s="13" t="str">
        <x:v>Operação Clareza</x:v>
      </x:c>
      <x:c r="P1215" s="17" t="n">
        <x:f>IF(D1215="",0,J1215-K1215+L1215)</x:f>
        <x:v>29173.42</x:v>
      </x:c>
      <x:c r="Q1215" s="17" t="n">
        <x:f>MAX(J1215-P1215-K1215,0)</x:f>
        <x:v>0</x:v>
      </x:c>
      <x:c r="R1215" s="13" t="n">
        <x:f>IF(D1215="",MAX(TODAY()-C1215,0),MAX(D1215-C1215,0))</x:f>
        <x:v>0</x:v>
      </x:c>
      <x:c r="S1215" s="13" t="str">
        <x:f>IF(R1215=0,"Em dia",IF(R1215&lt;=15,"1-15 dias",IF(R1215&lt;=30,"16-30 dias",IF(R1215&lt;=60,"31-60 dias","Acima de 60 dias"))))</x:f>
        <x:v>Em dia</x:v>
      </x:c>
    </x:row>
    <x:row r="1216">
      <x:c r="A1216" s="13" t="str">
        <x:v>REC-001215</x:v>
      </x:c>
      <x:c r="B1216" s="23" t="n">
        <x:v>45903</x:v>
      </x:c>
      <x:c r="C1216" s="23" t="n">
        <x:v>45931</x:v>
      </x:c>
      <x:c r="D1216" s="23" t="n">
        <x:v>45927</x:v>
      </x:c>
      <x:c r="E1216" s="13" t="str">
        <x:v>VAL-009</x:v>
      </x:c>
      <x:c r="F1216" s="13" t="str">
        <x:v>Odonto Prime</x:v>
      </x:c>
      <x:c r="G1216" s="13" t="str">
        <x:v>Clínicas e Saúde</x:v>
      </x:c>
      <x:c r="H1216" s="13" t="str">
        <x:v>Médio</x:v>
      </x:c>
      <x:c r="I1216" s="13" t="str">
        <x:v>Essencial</x:v>
      </x:c>
      <x:c r="J1216" s="17" t="n">
        <x:v>7133.69</x:v>
      </x:c>
      <x:c r="K1216" s="17" t="n">
        <x:v>0</x:v>
      </x:c>
      <x:c r="L1216" s="17" t="n">
        <x:v>0</x:v>
      </x:c>
      <x:c r="M1216" s="13" t="str">
        <x:v>Pago</x:v>
      </x:c>
      <x:c r="N1216" s="13" t="str">
        <x:v>Sem cobrança</x:v>
      </x:c>
      <x:c r="O1216" s="13" t="str">
        <x:v>Operação Clareza</x:v>
      </x:c>
      <x:c r="P1216" s="17" t="n">
        <x:f>IF(D1216="",0,J1216-K1216+L1216)</x:f>
        <x:v>7133.69</x:v>
      </x:c>
      <x:c r="Q1216" s="17" t="n">
        <x:f>MAX(J1216-P1216-K1216,0)</x:f>
        <x:v>0</x:v>
      </x:c>
      <x:c r="R1216" s="13" t="n">
        <x:f>IF(D1216="",MAX(TODAY()-C1216,0),MAX(D1216-C1216,0))</x:f>
        <x:v>0</x:v>
      </x:c>
      <x:c r="S1216" s="13" t="str">
        <x:f>IF(R1216=0,"Em dia",IF(R1216&lt;=15,"1-15 dias",IF(R1216&lt;=30,"16-30 dias",IF(R1216&lt;=60,"31-60 dias","Acima de 60 dias"))))</x:f>
        <x:v>Em dia</x:v>
      </x:c>
    </x:row>
    <x:row r="1217">
      <x:c r="A1217" s="13" t="str">
        <x:v>REC-001216</x:v>
      </x:c>
      <x:c r="B1217" s="23" t="n">
        <x:v>45906</x:v>
      </x:c>
      <x:c r="C1217" s="23" t="n">
        <x:v>45936</x:v>
      </x:c>
      <x:c r="D1217" s="23" t="n">
        <x:v>45935</x:v>
      </x:c>
      <x:c r="E1217" s="13" t="str">
        <x:v>VAL-023</x:v>
      </x:c>
      <x:c r="F1217" s="13" t="str">
        <x:v>ShopMix Brasil</x:v>
      </x:c>
      <x:c r="G1217" s="13" t="str">
        <x:v>E-commerce</x:v>
      </x:c>
      <x:c r="H1217" s="13" t="str">
        <x:v>Baixo</x:v>
      </x:c>
      <x:c r="I1217" s="13" t="str">
        <x:v>Performance</x:v>
      </x:c>
      <x:c r="J1217" s="17" t="n">
        <x:v>10586.13</x:v>
      </x:c>
      <x:c r="K1217" s="17" t="n">
        <x:v>0</x:v>
      </x:c>
      <x:c r="L1217" s="17" t="n">
        <x:v>0</x:v>
      </x:c>
      <x:c r="M1217" s="13" t="str">
        <x:v>Pago</x:v>
      </x:c>
      <x:c r="N1217" s="13" t="str">
        <x:v>Sem cobrança</x:v>
      </x:c>
      <x:c r="O1217" s="13" t="str">
        <x:v>Operação Clareza</x:v>
      </x:c>
      <x:c r="P1217" s="17" t="n">
        <x:f>IF(D1217="",0,J1217-K1217+L1217)</x:f>
        <x:v>10586.13</x:v>
      </x:c>
      <x:c r="Q1217" s="17" t="n">
        <x:f>MAX(J1217-P1217-K1217,0)</x:f>
        <x:v>0</x:v>
      </x:c>
      <x:c r="R1217" s="13" t="n">
        <x:f>IF(D1217="",MAX(TODAY()-C1217,0),MAX(D1217-C1217,0))</x:f>
        <x:v>0</x:v>
      </x:c>
      <x:c r="S1217" s="13" t="str">
        <x:f>IF(R1217=0,"Em dia",IF(R1217&lt;=15,"1-15 dias",IF(R1217&lt;=30,"16-30 dias",IF(R1217&lt;=60,"31-60 dias","Acima de 60 dias"))))</x:f>
        <x:v>Em dia</x:v>
      </x:c>
    </x:row>
    <x:row r="1218">
      <x:c r="A1218" s="13" t="str">
        <x:v>REC-001217</x:v>
      </x:c>
      <x:c r="B1218" s="23" t="n">
        <x:v>45905</x:v>
      </x:c>
      <x:c r="C1218" s="23" t="n">
        <x:v>45920</x:v>
      </x:c>
      <x:c r="D1218" s="23" t="n">
        <x:v>45919</x:v>
      </x:c>
      <x:c r="E1218" s="13" t="str">
        <x:v>VAL-001</x:v>
      </x:c>
      <x:c r="F1218" s="13" t="str">
        <x:v>Clínica Horizonte</x:v>
      </x:c>
      <x:c r="G1218" s="13" t="str">
        <x:v>Clínicas e Saúde</x:v>
      </x:c>
      <x:c r="H1218" s="13" t="str">
        <x:v>Baixo</x:v>
      </x:c>
      <x:c r="I1218" s="13" t="str">
        <x:v>Essencial</x:v>
      </x:c>
      <x:c r="J1218" s="17" t="n">
        <x:v>7501.85</x:v>
      </x:c>
      <x:c r="K1218" s="17" t="n">
        <x:v>0</x:v>
      </x:c>
      <x:c r="L1218" s="17" t="n">
        <x:v>0</x:v>
      </x:c>
      <x:c r="M1218" s="13" t="str">
        <x:v>Pago</x:v>
      </x:c>
      <x:c r="N1218" s="13" t="str">
        <x:v>Sem cobrança</x:v>
      </x:c>
      <x:c r="O1218" s="13" t="str">
        <x:v>Operação Clareza</x:v>
      </x:c>
      <x:c r="P1218" s="17" t="n">
        <x:f>IF(D1218="",0,J1218-K1218+L1218)</x:f>
        <x:v>7501.85</x:v>
      </x:c>
      <x:c r="Q1218" s="17" t="n">
        <x:f>MAX(J1218-P1218-K1218,0)</x:f>
        <x:v>0</x:v>
      </x:c>
      <x:c r="R1218" s="13" t="n">
        <x:f>IF(D1218="",MAX(TODAY()-C1218,0),MAX(D1218-C1218,0))</x:f>
        <x:v>0</x:v>
      </x:c>
      <x:c r="S1218" s="13" t="str">
        <x:f>IF(R1218=0,"Em dia",IF(R1218&lt;=15,"1-15 dias",IF(R1218&lt;=30,"16-30 dias",IF(R1218&lt;=60,"31-60 dias","Acima de 60 dias"))))</x:f>
        <x:v>Em dia</x:v>
      </x:c>
    </x:row>
    <x:row r="1219">
      <x:c r="A1219" s="13" t="str">
        <x:v>REC-001218</x:v>
      </x:c>
      <x:c r="B1219" s="23" t="n">
        <x:v>45915</x:v>
      </x:c>
      <x:c r="C1219" s="23" t="n">
        <x:v>45943</x:v>
      </x:c>
      <x:c r="D1219" s="23" t="n">
        <x:v>45942</x:v>
      </x:c>
      <x:c r="E1219" s="13" t="str">
        <x:v>VAL-021</x:v>
      </x:c>
      <x:c r="F1219" s="13" t="str">
        <x:v>Base Forte Obras</x:v>
      </x:c>
      <x:c r="G1219" s="13" t="str">
        <x:v>Construção</x:v>
      </x:c>
      <x:c r="H1219" s="13" t="str">
        <x:v>Médio</x:v>
      </x:c>
      <x:c r="I1219" s="13" t="str">
        <x:v>Essencial</x:v>
      </x:c>
      <x:c r="J1219" s="17" t="n">
        <x:v>10426.15</x:v>
      </x:c>
      <x:c r="K1219" s="17" t="n">
        <x:v>93.16</x:v>
      </x:c>
      <x:c r="L1219" s="17" t="n">
        <x:v>0</x:v>
      </x:c>
      <x:c r="M1219" s="13" t="str">
        <x:v>Pago</x:v>
      </x:c>
      <x:c r="N1219" s="13" t="str">
        <x:v>Sem cobrança</x:v>
      </x:c>
      <x:c r="O1219" s="13" t="str">
        <x:v>Operação Clareza</x:v>
      </x:c>
      <x:c r="P1219" s="17" t="n">
        <x:f>IF(D1219="",0,J1219-K1219+L1219)</x:f>
        <x:v>10332.99</x:v>
      </x:c>
      <x:c r="Q1219" s="17" t="n">
        <x:f>MAX(J1219-P1219-K1219,0)</x:f>
        <x:v>0</x:v>
      </x:c>
      <x:c r="R1219" s="13" t="n">
        <x:f>IF(D1219="",MAX(TODAY()-C1219,0),MAX(D1219-C1219,0))</x:f>
        <x:v>0</x:v>
      </x:c>
      <x:c r="S1219" s="13" t="str">
        <x:f>IF(R1219=0,"Em dia",IF(R1219&lt;=15,"1-15 dias",IF(R1219&lt;=30,"16-30 dias",IF(R1219&lt;=60,"31-60 dias","Acima de 60 dias"))))</x:f>
        <x:v>Em dia</x:v>
      </x:c>
    </x:row>
    <x:row r="1220">
      <x:c r="A1220" s="13" t="str">
        <x:v>REC-001219</x:v>
      </x:c>
      <x:c r="B1220" s="23" t="n">
        <x:v>45920</x:v>
      </x:c>
      <x:c r="C1220" s="23" t="n">
        <x:v>45927</x:v>
      </x:c>
      <x:c r="D1220" s="23" t="n">
        <x:v>45923</x:v>
      </x:c>
      <x:c r="E1220" s="13" t="str">
        <x:v>VAL-006</x:v>
      </x:c>
      <x:c r="F1220" s="13" t="str">
        <x:v>Instituto Saber Mais</x:v>
      </x:c>
      <x:c r="G1220" s="13" t="str">
        <x:v>Educação</x:v>
      </x:c>
      <x:c r="H1220" s="13" t="str">
        <x:v>Médio</x:v>
      </x:c>
      <x:c r="I1220" s="13" t="str">
        <x:v>Gestão</x:v>
      </x:c>
      <x:c r="J1220" s="17" t="n">
        <x:v>3880.06</x:v>
      </x:c>
      <x:c r="K1220" s="17" t="n">
        <x:v>0</x:v>
      </x:c>
      <x:c r="L1220" s="17" t="n">
        <x:v>0</x:v>
      </x:c>
      <x:c r="M1220" s="13" t="str">
        <x:v>Pago</x:v>
      </x:c>
      <x:c r="N1220" s="13" t="str">
        <x:v>Sem cobrança</x:v>
      </x:c>
      <x:c r="O1220" s="13" t="str">
        <x:v>Operação Clareza</x:v>
      </x:c>
      <x:c r="P1220" s="17" t="n">
        <x:f>IF(D1220="",0,J1220-K1220+L1220)</x:f>
        <x:v>3880.06</x:v>
      </x:c>
      <x:c r="Q1220" s="17" t="n">
        <x:f>MAX(J1220-P1220-K1220,0)</x:f>
        <x:v>0</x:v>
      </x:c>
      <x:c r="R1220" s="13" t="n">
        <x:f>IF(D1220="",MAX(TODAY()-C1220,0),MAX(D1220-C1220,0))</x:f>
        <x:v>0</x:v>
      </x:c>
      <x:c r="S1220" s="13" t="str">
        <x:f>IF(R1220=0,"Em dia",IF(R1220&lt;=15,"1-15 dias",IF(R1220&lt;=30,"16-30 dias",IF(R1220&lt;=60,"31-60 dias","Acima de 60 dias"))))</x:f>
        <x:v>Em dia</x:v>
      </x:c>
    </x:row>
    <x:row r="1221">
      <x:c r="A1221" s="13" t="str">
        <x:v>REC-001220</x:v>
      </x:c>
      <x:c r="B1221" s="23" t="n">
        <x:v>45920</x:v>
      </x:c>
      <x:c r="C1221" s="23" t="n">
        <x:v>45935</x:v>
      </x:c>
      <x:c r="D1221" s="23" t="n">
        <x:v>45933</x:v>
      </x:c>
      <x:c r="E1221" s="13" t="str">
        <x:v>VAL-014</x:v>
      </x:c>
      <x:c r="F1221" s="13" t="str">
        <x:v>Colégio Caminhos</x:v>
      </x:c>
      <x:c r="G1221" s="13" t="str">
        <x:v>Educação</x:v>
      </x:c>
      <x:c r="H1221" s="13" t="str">
        <x:v>Médio</x:v>
      </x:c>
      <x:c r="I1221" s="13" t="str">
        <x:v>Gestão</x:v>
      </x:c>
      <x:c r="J1221" s="17" t="n">
        <x:v>16336.39</x:v>
      </x:c>
      <x:c r="K1221" s="17" t="n">
        <x:v>0</x:v>
      </x:c>
      <x:c r="L1221" s="17" t="n">
        <x:v>0</x:v>
      </x:c>
      <x:c r="M1221" s="13" t="str">
        <x:v>Pago</x:v>
      </x:c>
      <x:c r="N1221" s="13" t="str">
        <x:v>Sem cobrança</x:v>
      </x:c>
      <x:c r="O1221" s="13" t="str">
        <x:v>Operação Clareza</x:v>
      </x:c>
      <x:c r="P1221" s="17" t="n">
        <x:f>IF(D1221="",0,J1221-K1221+L1221)</x:f>
        <x:v>16336.39</x:v>
      </x:c>
      <x:c r="Q1221" s="17" t="n">
        <x:f>MAX(J1221-P1221-K1221,0)</x:f>
        <x:v>0</x:v>
      </x:c>
      <x:c r="R1221" s="13" t="n">
        <x:f>IF(D1221="",MAX(TODAY()-C1221,0),MAX(D1221-C1221,0))</x:f>
        <x:v>0</x:v>
      </x:c>
      <x:c r="S1221" s="13" t="str">
        <x:f>IF(R1221=0,"Em dia",IF(R1221&lt;=15,"1-15 dias",IF(R1221&lt;=30,"16-30 dias",IF(R1221&lt;=60,"31-60 dias","Acima de 60 dias"))))</x:f>
        <x:v>Em dia</x:v>
      </x:c>
    </x:row>
    <x:row r="1222">
      <x:c r="A1222" s="13" t="str">
        <x:v>REC-001221</x:v>
      </x:c>
      <x:c r="B1222" s="23" t="n">
        <x:v>45920</x:v>
      </x:c>
      <x:c r="C1222" s="23" t="n">
        <x:v>45948</x:v>
      </x:c>
      <x:c r="D1222" s="23" t="n">
        <x:v>45948</x:v>
      </x:c>
      <x:c r="E1222" s="13" t="str">
        <x:v>VAL-011</x:v>
      </x:c>
      <x:c r="F1222" s="13" t="str">
        <x:v>Rede Essencial</x:v>
      </x:c>
      <x:c r="G1222" s="13" t="str">
        <x:v>Varejo</x:v>
      </x:c>
      <x:c r="H1222" s="13" t="str">
        <x:v>Médio</x:v>
      </x:c>
      <x:c r="I1222" s="13" t="str">
        <x:v>Performance</x:v>
      </x:c>
      <x:c r="J1222" s="17" t="n">
        <x:v>31253.58</x:v>
      </x:c>
      <x:c r="K1222" s="17" t="n">
        <x:v>376.72</x:v>
      </x:c>
      <x:c r="L1222" s="17" t="n">
        <x:v>0</x:v>
      </x:c>
      <x:c r="M1222" s="13" t="str">
        <x:v>Pago</x:v>
      </x:c>
      <x:c r="N1222" s="13" t="str">
        <x:v>Sem cobrança</x:v>
      </x:c>
      <x:c r="O1222" s="13" t="str">
        <x:v>Operação Clareza</x:v>
      </x:c>
      <x:c r="P1222" s="17" t="n">
        <x:f>IF(D1222="",0,J1222-K1222+L1222)</x:f>
        <x:v>30876.86</x:v>
      </x:c>
      <x:c r="Q1222" s="17" t="n">
        <x:f>MAX(J1222-P1222-K1222,0)</x:f>
        <x:v>1.1368683772161603e-12</x:v>
      </x:c>
      <x:c r="R1222" s="13" t="n">
        <x:f>IF(D1222="",MAX(TODAY()-C1222,0),MAX(D1222-C1222,0))</x:f>
        <x:v>0</x:v>
      </x:c>
      <x:c r="S1222" s="13" t="str">
        <x:f>IF(R1222=0,"Em dia",IF(R1222&lt;=15,"1-15 dias",IF(R1222&lt;=30,"16-30 dias",IF(R1222&lt;=60,"31-60 dias","Acima de 60 dias"))))</x:f>
        <x:v>Em dia</x:v>
      </x:c>
    </x:row>
    <x:row r="1223">
      <x:c r="A1223" s="13" t="str">
        <x:v>REC-001222</x:v>
      </x:c>
      <x:c r="B1223" s="23" t="n">
        <x:v>45908</x:v>
      </x:c>
      <x:c r="C1223" s="23" t="n">
        <x:v>45936</x:v>
      </x:c>
      <x:c r="D1223" s="23" t="n">
        <x:v>45935</x:v>
      </x:c>
      <x:c r="E1223" s="13" t="str">
        <x:v>VAL-028</x:v>
      </x:c>
      <x:c r="F1223" s="13" t="str">
        <x:v>Pixel Norte</x:v>
      </x:c>
      <x:c r="G1223" s="13" t="str">
        <x:v>Tecnologia</x:v>
      </x:c>
      <x:c r="H1223" s="13" t="str">
        <x:v>Alto</x:v>
      </x:c>
      <x:c r="I1223" s="13" t="str">
        <x:v>Enterprise</x:v>
      </x:c>
      <x:c r="J1223" s="17" t="n">
        <x:v>6241.26</x:v>
      </x:c>
      <x:c r="K1223" s="17" t="n">
        <x:v>0</x:v>
      </x:c>
      <x:c r="L1223" s="17" t="n">
        <x:v>0</x:v>
      </x:c>
      <x:c r="M1223" s="13" t="str">
        <x:v>Pago</x:v>
      </x:c>
      <x:c r="N1223" s="13" t="str">
        <x:v>Sem cobrança</x:v>
      </x:c>
      <x:c r="O1223" s="13" t="str">
        <x:v>Operação Clareza</x:v>
      </x:c>
      <x:c r="P1223" s="17" t="n">
        <x:f>IF(D1223="",0,J1223-K1223+L1223)</x:f>
        <x:v>6241.26</x:v>
      </x:c>
      <x:c r="Q1223" s="17" t="n">
        <x:f>MAX(J1223-P1223-K1223,0)</x:f>
        <x:v>0</x:v>
      </x:c>
      <x:c r="R1223" s="13" t="n">
        <x:f>IF(D1223="",MAX(TODAY()-C1223,0),MAX(D1223-C1223,0))</x:f>
        <x:v>0</x:v>
      </x:c>
      <x:c r="S1223" s="13" t="str">
        <x:f>IF(R1223=0,"Em dia",IF(R1223&lt;=15,"1-15 dias",IF(R1223&lt;=30,"16-30 dias",IF(R1223&lt;=60,"31-60 dias","Acima de 60 dias"))))</x:f>
        <x:v>Em dia</x:v>
      </x:c>
    </x:row>
    <x:row r="1224">
      <x:c r="A1224" s="13" t="str">
        <x:v>REC-001223</x:v>
      </x:c>
      <x:c r="B1224" s="23" t="n">
        <x:v>45913</x:v>
      </x:c>
      <x:c r="C1224" s="23" t="n">
        <x:v>45928</x:v>
      </x:c>
      <x:c r="D1224" s="23" t="n">
        <x:v>45927</x:v>
      </x:c>
      <x:c r="E1224" s="13" t="str">
        <x:v>VAL-007</x:v>
      </x:c>
      <x:c r="F1224" s="13" t="str">
        <x:v>Loja Prisma Online</x:v>
      </x:c>
      <x:c r="G1224" s="13" t="str">
        <x:v>E-commerce</x:v>
      </x:c>
      <x:c r="H1224" s="13" t="str">
        <x:v>Médio</x:v>
      </x:c>
      <x:c r="I1224" s="13" t="str">
        <x:v>Performance</x:v>
      </x:c>
      <x:c r="J1224" s="17" t="n">
        <x:v>8824.12</x:v>
      </x:c>
      <x:c r="K1224" s="17" t="n">
        <x:v>0</x:v>
      </x:c>
      <x:c r="L1224" s="17" t="n">
        <x:v>0</x:v>
      </x:c>
      <x:c r="M1224" s="13" t="str">
        <x:v>Pago</x:v>
      </x:c>
      <x:c r="N1224" s="13" t="str">
        <x:v>Sem cobrança</x:v>
      </x:c>
      <x:c r="O1224" s="13" t="str">
        <x:v>Operação Clareza</x:v>
      </x:c>
      <x:c r="P1224" s="17" t="n">
        <x:f>IF(D1224="",0,J1224-K1224+L1224)</x:f>
        <x:v>8824.12</x:v>
      </x:c>
      <x:c r="Q1224" s="17" t="n">
        <x:f>MAX(J1224-P1224-K1224,0)</x:f>
        <x:v>0</x:v>
      </x:c>
      <x:c r="R1224" s="13" t="n">
        <x:f>IF(D1224="",MAX(TODAY()-C1224,0),MAX(D1224-C1224,0))</x:f>
        <x:v>0</x:v>
      </x:c>
      <x:c r="S1224" s="13" t="str">
        <x:f>IF(R1224=0,"Em dia",IF(R1224&lt;=15,"1-15 dias",IF(R1224&lt;=30,"16-30 dias",IF(R1224&lt;=60,"31-60 dias","Acima de 60 dias"))))</x:f>
        <x:v>Em dia</x:v>
      </x:c>
    </x:row>
    <x:row r="1225">
      <x:c r="A1225" s="13" t="str">
        <x:v>REC-001224</x:v>
      </x:c>
      <x:c r="B1225" s="23" t="n">
        <x:v>45912</x:v>
      </x:c>
      <x:c r="C1225" s="23" t="n">
        <x:v>45942</x:v>
      </x:c>
      <x:c r="D1225" s="23" t="n">
        <x:v>45948</x:v>
      </x:c>
      <x:c r="E1225" s="13" t="str">
        <x:v>VAL-012</x:v>
      </x:c>
      <x:c r="F1225" s="13" t="str">
        <x:v>DataFlow Sistemas</x:v>
      </x:c>
      <x:c r="G1225" s="13" t="str">
        <x:v>Tecnologia</x:v>
      </x:c>
      <x:c r="H1225" s="13" t="str">
        <x:v>Médio</x:v>
      </x:c>
      <x:c r="I1225" s="13" t="str">
        <x:v>Enterprise</x:v>
      </x:c>
      <x:c r="J1225" s="17" t="n">
        <x:v>28821.91</x:v>
      </x:c>
      <x:c r="K1225" s="17" t="n">
        <x:v>0</x:v>
      </x:c>
      <x:c r="L1225" s="17" t="n">
        <x:v>112.41</x:v>
      </x:c>
      <x:c r="M1225" s="13" t="str">
        <x:v>Pago com atraso</x:v>
      </x:c>
      <x:c r="N1225" s="13" t="str">
        <x:v>WhatsApp</x:v>
      </x:c>
      <x:c r="O1225" s="13" t="str">
        <x:v>Operação Clareza</x:v>
      </x:c>
      <x:c r="P1225" s="17" t="n">
        <x:f>IF(D1225="",0,J1225-K1225+L1225)</x:f>
        <x:v>28934.32</x:v>
      </x:c>
      <x:c r="Q1225" s="17" t="n">
        <x:f>MAX(J1225-P1225-K1225,0)</x:f>
        <x:v>0</x:v>
      </x:c>
      <x:c r="R1225" s="13" t="n">
        <x:f>IF(D1225="",MAX(TODAY()-C1225,0),MAX(D1225-C1225,0))</x:f>
        <x:v>6</x:v>
      </x:c>
      <x:c r="S1225" s="13" t="str">
        <x:f>IF(R1225=0,"Em dia",IF(R1225&lt;=15,"1-15 dias",IF(R1225&lt;=30,"16-30 dias",IF(R1225&lt;=60,"31-60 dias","Acima de 60 dias"))))</x:f>
        <x:v>1-15 dias</x:v>
      </x:c>
    </x:row>
    <x:row r="1226">
      <x:c r="A1226" s="13" t="str">
        <x:v>REC-001225</x:v>
      </x:c>
      <x:c r="B1226" s="23" t="n">
        <x:v>45908</x:v>
      </x:c>
      <x:c r="C1226" s="23" t="n">
        <x:v>45929</x:v>
      </x:c>
      <x:c r="D1226" s="23" t="n">
        <x:v>45928</x:v>
      </x:c>
      <x:c r="E1226" s="13" t="str">
        <x:v>VAL-003</x:v>
      </x:c>
      <x:c r="F1226" s="13" t="str">
        <x:v>Casa Nova Varejo</x:v>
      </x:c>
      <x:c r="G1226" s="13" t="str">
        <x:v>Varejo</x:v>
      </x:c>
      <x:c r="H1226" s="13" t="str">
        <x:v>Baixo</x:v>
      </x:c>
      <x:c r="I1226" s="13" t="str">
        <x:v>Performance</x:v>
      </x:c>
      <x:c r="J1226" s="17" t="n">
        <x:v>13424.38</x:v>
      </x:c>
      <x:c r="K1226" s="17" t="n">
        <x:v>0</x:v>
      </x:c>
      <x:c r="L1226" s="17" t="n">
        <x:v>0</x:v>
      </x:c>
      <x:c r="M1226" s="13" t="str">
        <x:v>Pago</x:v>
      </x:c>
      <x:c r="N1226" s="13" t="str">
        <x:v>Sem cobrança</x:v>
      </x:c>
      <x:c r="O1226" s="13" t="str">
        <x:v>Operação Clareza</x:v>
      </x:c>
      <x:c r="P1226" s="17" t="n">
        <x:f>IF(D1226="",0,J1226-K1226+L1226)</x:f>
        <x:v>13424.38</x:v>
      </x:c>
      <x:c r="Q1226" s="17" t="n">
        <x:f>MAX(J1226-P1226-K1226,0)</x:f>
        <x:v>0</x:v>
      </x:c>
      <x:c r="R1226" s="13" t="n">
        <x:f>IF(D1226="",MAX(TODAY()-C1226,0),MAX(D1226-C1226,0))</x:f>
        <x:v>0</x:v>
      </x:c>
      <x:c r="S1226" s="13" t="str">
        <x:f>IF(R1226=0,"Em dia",IF(R1226&lt;=15,"1-15 dias",IF(R1226&lt;=30,"16-30 dias",IF(R1226&lt;=60,"31-60 dias","Acima de 60 dias"))))</x:f>
        <x:v>Em dia</x:v>
      </x:c>
    </x:row>
    <x:row r="1227">
      <x:c r="A1227" s="13" t="str">
        <x:v>REC-001226</x:v>
      </x:c>
      <x:c r="B1227" s="23" t="n">
        <x:v>45913</x:v>
      </x:c>
      <x:c r="C1227" s="23" t="n">
        <x:v>45928</x:v>
      </x:c>
      <x:c r="D1227" s="23"/>
      <x:c r="E1227" s="13" t="str">
        <x:v>VAL-010</x:v>
      </x:c>
      <x:c r="F1227" s="13" t="str">
        <x:v>Atlas Contabilidade</x:v>
      </x:c>
      <x:c r="G1227" s="13" t="str">
        <x:v>Serviços Profissionais</x:v>
      </x:c>
      <x:c r="H1227" s="13" t="str">
        <x:v>Baixo</x:v>
      </x:c>
      <x:c r="I1227" s="13" t="str">
        <x:v>Gestão</x:v>
      </x:c>
      <x:c r="J1227" s="17" t="n">
        <x:v>2217.16</x:v>
      </x:c>
      <x:c r="K1227" s="17" t="n">
        <x:v>0</x:v>
      </x:c>
      <x:c r="L1227" s="17" t="n">
        <x:v>0</x:v>
      </x:c>
      <x:c r="M1227" s="13" t="str">
        <x:v>Em aberto</x:v>
      </x:c>
      <x:c r="N1227" s="13" t="str">
        <x:v>WhatsApp</x:v>
      </x:c>
      <x:c r="O1227" s="13" t="str">
        <x:v>Operação Clareza</x:v>
      </x:c>
      <x:c r="P1227" s="17" t="n">
        <x:f>IF(D1227="",0,J1227-K1227+L1227)</x:f>
        <x:v>0</x:v>
      </x:c>
      <x:c r="Q1227" s="17" t="n">
        <x:f>MAX(J1227-P1227-K1227,0)</x:f>
        <x:v>2217.16</x:v>
      </x:c>
      <x:c r="R1227" s="13" t="n">
        <x:f>IF(D1227="",MAX(TODAY()-C1227,0),MAX(D1227-C1227,0))</x:f>
        <x:v>285</x:v>
      </x:c>
      <x:c r="S1227" s="13" t="str">
        <x:f>IF(R1227=0,"Em dia",IF(R1227&lt;=15,"1-15 dias",IF(R1227&lt;=30,"16-30 dias",IF(R1227&lt;=60,"31-60 dias","Acima de 60 dias"))))</x:f>
        <x:v>Acima de 60 dias</x:v>
      </x:c>
    </x:row>
    <x:row r="1228">
      <x:c r="A1228" s="13" t="str">
        <x:v>REC-001227</x:v>
      </x:c>
      <x:c r="B1228" s="23" t="n">
        <x:v>45911</x:v>
      </x:c>
      <x:c r="C1228" s="23" t="n">
        <x:v>45939</x:v>
      </x:c>
      <x:c r="D1228" s="23" t="n">
        <x:v>45939</x:v>
      </x:c>
      <x:c r="E1228" s="13" t="str">
        <x:v>VAL-017</x:v>
      </x:c>
      <x:c r="F1228" s="13" t="str">
        <x:v>Centro Médico Vida</x:v>
      </x:c>
      <x:c r="G1228" s="13" t="str">
        <x:v>Clínicas e Saúde</x:v>
      </x:c>
      <x:c r="H1228" s="13" t="str">
        <x:v>Baixo</x:v>
      </x:c>
      <x:c r="I1228" s="13" t="str">
        <x:v>Essencial</x:v>
      </x:c>
      <x:c r="J1228" s="17" t="n">
        <x:v>5412.81</x:v>
      </x:c>
      <x:c r="K1228" s="17" t="n">
        <x:v>0</x:v>
      </x:c>
      <x:c r="L1228" s="17" t="n">
        <x:v>0</x:v>
      </x:c>
      <x:c r="M1228" s="13" t="str">
        <x:v>Pago</x:v>
      </x:c>
      <x:c r="N1228" s="13" t="str">
        <x:v>Sem cobrança</x:v>
      </x:c>
      <x:c r="O1228" s="13" t="str">
        <x:v>Operação Clareza</x:v>
      </x:c>
      <x:c r="P1228" s="17" t="n">
        <x:f>IF(D1228="",0,J1228-K1228+L1228)</x:f>
        <x:v>5412.81</x:v>
      </x:c>
      <x:c r="Q1228" s="17" t="n">
        <x:f>MAX(J1228-P1228-K1228,0)</x:f>
        <x:v>0</x:v>
      </x:c>
      <x:c r="R1228" s="13" t="n">
        <x:f>IF(D1228="",MAX(TODAY()-C1228,0),MAX(D1228-C1228,0))</x:f>
        <x:v>0</x:v>
      </x:c>
      <x:c r="S1228" s="13" t="str">
        <x:f>IF(R1228=0,"Em dia",IF(R1228&lt;=15,"1-15 dias",IF(R1228&lt;=30,"16-30 dias",IF(R1228&lt;=60,"31-60 dias","Acima de 60 dias"))))</x:f>
        <x:v>Em dia</x:v>
      </x:c>
    </x:row>
    <x:row r="1229">
      <x:c r="A1229" s="13" t="str">
        <x:v>REC-001228</x:v>
      </x:c>
      <x:c r="B1229" s="23" t="n">
        <x:v>45906</x:v>
      </x:c>
      <x:c r="C1229" s="23" t="n">
        <x:v>45921</x:v>
      </x:c>
      <x:c r="D1229" s="23" t="n">
        <x:v>45920</x:v>
      </x:c>
      <x:c r="E1229" s="13" t="str">
        <x:v>VAL-021</x:v>
      </x:c>
      <x:c r="F1229" s="13" t="str">
        <x:v>Base Forte Obras</x:v>
      </x:c>
      <x:c r="G1229" s="13" t="str">
        <x:v>Construção</x:v>
      </x:c>
      <x:c r="H1229" s="13" t="str">
        <x:v>Médio</x:v>
      </x:c>
      <x:c r="I1229" s="13" t="str">
        <x:v>Essencial</x:v>
      </x:c>
      <x:c r="J1229" s="17" t="n">
        <x:v>18631.4</x:v>
      </x:c>
      <x:c r="K1229" s="17" t="n">
        <x:v>0</x:v>
      </x:c>
      <x:c r="L1229" s="17" t="n">
        <x:v>0</x:v>
      </x:c>
      <x:c r="M1229" s="13" t="str">
        <x:v>Pago</x:v>
      </x:c>
      <x:c r="N1229" s="13" t="str">
        <x:v>Sem cobrança</x:v>
      </x:c>
      <x:c r="O1229" s="13" t="str">
        <x:v>Operação Clareza</x:v>
      </x:c>
      <x:c r="P1229" s="17" t="n">
        <x:f>IF(D1229="",0,J1229-K1229+L1229)</x:f>
        <x:v>18631.4</x:v>
      </x:c>
      <x:c r="Q1229" s="17" t="n">
        <x:f>MAX(J1229-P1229-K1229,0)</x:f>
        <x:v>0</x:v>
      </x:c>
      <x:c r="R1229" s="13" t="n">
        <x:f>IF(D1229="",MAX(TODAY()-C1229,0),MAX(D1229-C1229,0))</x:f>
        <x:v>0</x:v>
      </x:c>
      <x:c r="S1229" s="13" t="str">
        <x:f>IF(R1229=0,"Em dia",IF(R1229&lt;=15,"1-15 dias",IF(R1229&lt;=30,"16-30 dias",IF(R1229&lt;=60,"31-60 dias","Acima de 60 dias"))))</x:f>
        <x:v>Em dia</x:v>
      </x:c>
    </x:row>
    <x:row r="1230">
      <x:c r="A1230" s="13" t="str">
        <x:v>REC-001229</x:v>
      </x:c>
      <x:c r="B1230" s="23" t="n">
        <x:v>45912</x:v>
      </x:c>
      <x:c r="C1230" s="23" t="n">
        <x:v>45927</x:v>
      </x:c>
      <x:c r="D1230" s="23" t="n">
        <x:v>45926</x:v>
      </x:c>
      <x:c r="E1230" s="13" t="str">
        <x:v>VAL-026</x:v>
      </x:c>
      <x:c r="F1230" s="13" t="str">
        <x:v>Ribeiro Arquitetura</x:v>
      </x:c>
      <x:c r="G1230" s="13" t="str">
        <x:v>Serviços Profissionais</x:v>
      </x:c>
      <x:c r="H1230" s="13" t="str">
        <x:v>Baixo</x:v>
      </x:c>
      <x:c r="I1230" s="13" t="str">
        <x:v>Gestão</x:v>
      </x:c>
      <x:c r="J1230" s="17" t="n">
        <x:v>15442.91</x:v>
      </x:c>
      <x:c r="K1230" s="17" t="n">
        <x:v>0</x:v>
      </x:c>
      <x:c r="L1230" s="17" t="n">
        <x:v>0</x:v>
      </x:c>
      <x:c r="M1230" s="13" t="str">
        <x:v>Pago</x:v>
      </x:c>
      <x:c r="N1230" s="13" t="str">
        <x:v>Sem cobrança</x:v>
      </x:c>
      <x:c r="O1230" s="13" t="str">
        <x:v>Operação Clareza</x:v>
      </x:c>
      <x:c r="P1230" s="17" t="n">
        <x:f>IF(D1230="",0,J1230-K1230+L1230)</x:f>
        <x:v>15442.91</x:v>
      </x:c>
      <x:c r="Q1230" s="17" t="n">
        <x:f>MAX(J1230-P1230-K1230,0)</x:f>
        <x:v>0</x:v>
      </x:c>
      <x:c r="R1230" s="13" t="n">
        <x:f>IF(D1230="",MAX(TODAY()-C1230,0),MAX(D1230-C1230,0))</x:f>
        <x:v>0</x:v>
      </x:c>
      <x:c r="S1230" s="13" t="str">
        <x:f>IF(R1230=0,"Em dia",IF(R1230&lt;=15,"1-15 dias",IF(R1230&lt;=30,"16-30 dias",IF(R1230&lt;=60,"31-60 dias","Acima de 60 dias"))))</x:f>
        <x:v>Em dia</x:v>
      </x:c>
    </x:row>
    <x:row r="1231">
      <x:c r="A1231" s="13" t="str">
        <x:v>REC-001230</x:v>
      </x:c>
      <x:c r="B1231" s="23" t="n">
        <x:v>45904</x:v>
      </x:c>
      <x:c r="C1231" s="23" t="n">
        <x:v>45934</x:v>
      </x:c>
      <x:c r="D1231" s="23" t="n">
        <x:v>45934</x:v>
      </x:c>
      <x:c r="E1231" s="13" t="str">
        <x:v>VAL-010</x:v>
      </x:c>
      <x:c r="F1231" s="13" t="str">
        <x:v>Atlas Contabilidade</x:v>
      </x:c>
      <x:c r="G1231" s="13" t="str">
        <x:v>Serviços Profissionais</x:v>
      </x:c>
      <x:c r="H1231" s="13" t="str">
        <x:v>Baixo</x:v>
      </x:c>
      <x:c r="I1231" s="13" t="str">
        <x:v>Gestão</x:v>
      </x:c>
      <x:c r="J1231" s="17" t="n">
        <x:v>11168.92</x:v>
      </x:c>
      <x:c r="K1231" s="17" t="n">
        <x:v>0</x:v>
      </x:c>
      <x:c r="L1231" s="17" t="n">
        <x:v>0</x:v>
      </x:c>
      <x:c r="M1231" s="13" t="str">
        <x:v>Pago</x:v>
      </x:c>
      <x:c r="N1231" s="13" t="str">
        <x:v>Sem cobrança</x:v>
      </x:c>
      <x:c r="O1231" s="13" t="str">
        <x:v>Operação Clareza</x:v>
      </x:c>
      <x:c r="P1231" s="17" t="n">
        <x:f>IF(D1231="",0,J1231-K1231+L1231)</x:f>
        <x:v>11168.92</x:v>
      </x:c>
      <x:c r="Q1231" s="17" t="n">
        <x:f>MAX(J1231-P1231-K1231,0)</x:f>
        <x:v>0</x:v>
      </x:c>
      <x:c r="R1231" s="13" t="n">
        <x:f>IF(D1231="",MAX(TODAY()-C1231,0),MAX(D1231-C1231,0))</x:f>
        <x:v>0</x:v>
      </x:c>
      <x:c r="S1231" s="13" t="str">
        <x:f>IF(R1231=0,"Em dia",IF(R1231&lt;=15,"1-15 dias",IF(R1231&lt;=30,"16-30 dias",IF(R1231&lt;=60,"31-60 dias","Acima de 60 dias"))))</x:f>
        <x:v>Em dia</x:v>
      </x:c>
    </x:row>
    <x:row r="1232">
      <x:c r="A1232" s="13" t="str">
        <x:v>REC-001231</x:v>
      </x:c>
      <x:c r="B1232" s="23" t="n">
        <x:v>45908</x:v>
      </x:c>
      <x:c r="C1232" s="23" t="n">
        <x:v>45936</x:v>
      </x:c>
      <x:c r="D1232" s="23" t="n">
        <x:v>45934</x:v>
      </x:c>
      <x:c r="E1232" s="13" t="str">
        <x:v>VAL-002</x:v>
      </x:c>
      <x:c r="F1232" s="13" t="str">
        <x:v>Mendes &amp; Prado Consultoria</x:v>
      </x:c>
      <x:c r="G1232" s="13" t="str">
        <x:v>Serviços Profissionais</x:v>
      </x:c>
      <x:c r="H1232" s="13" t="str">
        <x:v>Baixo</x:v>
      </x:c>
      <x:c r="I1232" s="13" t="str">
        <x:v>Gestão</x:v>
      </x:c>
      <x:c r="J1232" s="17" t="n">
        <x:v>14756.47</x:v>
      </x:c>
      <x:c r="K1232" s="17" t="n">
        <x:v>0</x:v>
      </x:c>
      <x:c r="L1232" s="17" t="n">
        <x:v>0</x:v>
      </x:c>
      <x:c r="M1232" s="13" t="str">
        <x:v>Pago</x:v>
      </x:c>
      <x:c r="N1232" s="13" t="str">
        <x:v>Sem cobrança</x:v>
      </x:c>
      <x:c r="O1232" s="13" t="str">
        <x:v>Operação Clareza</x:v>
      </x:c>
      <x:c r="P1232" s="17" t="n">
        <x:f>IF(D1232="",0,J1232-K1232+L1232)</x:f>
        <x:v>14756.47</x:v>
      </x:c>
      <x:c r="Q1232" s="17" t="n">
        <x:f>MAX(J1232-P1232-K1232,0)</x:f>
        <x:v>0</x:v>
      </x:c>
      <x:c r="R1232" s="13" t="n">
        <x:f>IF(D1232="",MAX(TODAY()-C1232,0),MAX(D1232-C1232,0))</x:f>
        <x:v>0</x:v>
      </x:c>
      <x:c r="S1232" s="13" t="str">
        <x:f>IF(R1232=0,"Em dia",IF(R1232&lt;=15,"1-15 dias",IF(R1232&lt;=30,"16-30 dias",IF(R1232&lt;=60,"31-60 dias","Acima de 60 dias"))))</x:f>
        <x:v>Em dia</x:v>
      </x:c>
    </x:row>
    <x:row r="1233">
      <x:c r="A1233" s="13" t="str">
        <x:v>REC-001232</x:v>
      </x:c>
      <x:c r="B1233" s="23" t="n">
        <x:v>45911</x:v>
      </x:c>
      <x:c r="C1233" s="23" t="n">
        <x:v>45941</x:v>
      </x:c>
      <x:c r="D1233" s="23" t="n">
        <x:v>45941</x:v>
      </x:c>
      <x:c r="E1233" s="13" t="str">
        <x:v>VAL-023</x:v>
      </x:c>
      <x:c r="F1233" s="13" t="str">
        <x:v>ShopMix Brasil</x:v>
      </x:c>
      <x:c r="G1233" s="13" t="str">
        <x:v>E-commerce</x:v>
      </x:c>
      <x:c r="H1233" s="13" t="str">
        <x:v>Baixo</x:v>
      </x:c>
      <x:c r="I1233" s="13" t="str">
        <x:v>Performance</x:v>
      </x:c>
      <x:c r="J1233" s="17" t="n">
        <x:v>19797.42</x:v>
      </x:c>
      <x:c r="K1233" s="17" t="n">
        <x:v>135.7</x:v>
      </x:c>
      <x:c r="L1233" s="17" t="n">
        <x:v>0</x:v>
      </x:c>
      <x:c r="M1233" s="13" t="str">
        <x:v>Pago</x:v>
      </x:c>
      <x:c r="N1233" s="13" t="str">
        <x:v>Sem cobrança</x:v>
      </x:c>
      <x:c r="O1233" s="13" t="str">
        <x:v>Operação Clareza</x:v>
      </x:c>
      <x:c r="P1233" s="17" t="n">
        <x:f>IF(D1233="",0,J1233-K1233+L1233)</x:f>
        <x:v>19661.719999999998</x:v>
      </x:c>
      <x:c r="Q1233" s="17" t="n">
        <x:f>MAX(J1233-P1233-K1233,0)</x:f>
        <x:v>7.389644451905042e-13</x:v>
      </x:c>
      <x:c r="R1233" s="13" t="n">
        <x:f>IF(D1233="",MAX(TODAY()-C1233,0),MAX(D1233-C1233,0))</x:f>
        <x:v>0</x:v>
      </x:c>
      <x:c r="S1233" s="13" t="str">
        <x:f>IF(R1233=0,"Em dia",IF(R1233&lt;=15,"1-15 dias",IF(R1233&lt;=30,"16-30 dias",IF(R1233&lt;=60,"31-60 dias","Acima de 60 dias"))))</x:f>
        <x:v>Em dia</x:v>
      </x:c>
    </x:row>
    <x:row r="1234">
      <x:c r="A1234" s="13" t="str">
        <x:v>REC-001233</x:v>
      </x:c>
      <x:c r="B1234" s="23" t="n">
        <x:v>45913</x:v>
      </x:c>
      <x:c r="C1234" s="23" t="n">
        <x:v>45934</x:v>
      </x:c>
      <x:c r="D1234" s="23" t="n">
        <x:v>45934</x:v>
      </x:c>
      <x:c r="E1234" s="13" t="str">
        <x:v>VAL-011</x:v>
      </x:c>
      <x:c r="F1234" s="13" t="str">
        <x:v>Rede Essencial</x:v>
      </x:c>
      <x:c r="G1234" s="13" t="str">
        <x:v>Varejo</x:v>
      </x:c>
      <x:c r="H1234" s="13" t="str">
        <x:v>Médio</x:v>
      </x:c>
      <x:c r="I1234" s="13" t="str">
        <x:v>Performance</x:v>
      </x:c>
      <x:c r="J1234" s="17" t="n">
        <x:v>19461.55</x:v>
      </x:c>
      <x:c r="K1234" s="17" t="n">
        <x:v>0</x:v>
      </x:c>
      <x:c r="L1234" s="17" t="n">
        <x:v>0</x:v>
      </x:c>
      <x:c r="M1234" s="13" t="str">
        <x:v>Pago</x:v>
      </x:c>
      <x:c r="N1234" s="13" t="str">
        <x:v>Sem cobrança</x:v>
      </x:c>
      <x:c r="O1234" s="13" t="str">
        <x:v>Operação Clareza</x:v>
      </x:c>
      <x:c r="P1234" s="17" t="n">
        <x:f>IF(D1234="",0,J1234-K1234+L1234)</x:f>
        <x:v>19461.55</x:v>
      </x:c>
      <x:c r="Q1234" s="17" t="n">
        <x:f>MAX(J1234-P1234-K1234,0)</x:f>
        <x:v>0</x:v>
      </x:c>
      <x:c r="R1234" s="13" t="n">
        <x:f>IF(D1234="",MAX(TODAY()-C1234,0),MAX(D1234-C1234,0))</x:f>
        <x:v>0</x:v>
      </x:c>
      <x:c r="S1234" s="13" t="str">
        <x:f>IF(R1234=0,"Em dia",IF(R1234&lt;=15,"1-15 dias",IF(R1234&lt;=30,"16-30 dias",IF(R1234&lt;=60,"31-60 dias","Acima de 60 dias"))))</x:f>
        <x:v>Em dia</x:v>
      </x:c>
    </x:row>
    <x:row r="1235">
      <x:c r="A1235" s="13" t="str">
        <x:v>REC-001234</x:v>
      </x:c>
      <x:c r="B1235" s="23" t="n">
        <x:v>45916</x:v>
      </x:c>
      <x:c r="C1235" s="23" t="n">
        <x:v>45946</x:v>
      </x:c>
      <x:c r="D1235" s="23" t="n">
        <x:v>45945</x:v>
      </x:c>
      <x:c r="E1235" s="13" t="str">
        <x:v>VAL-021</x:v>
      </x:c>
      <x:c r="F1235" s="13" t="str">
        <x:v>Base Forte Obras</x:v>
      </x:c>
      <x:c r="G1235" s="13" t="str">
        <x:v>Construção</x:v>
      </x:c>
      <x:c r="H1235" s="13" t="str">
        <x:v>Médio</x:v>
      </x:c>
      <x:c r="I1235" s="13" t="str">
        <x:v>Essencial</x:v>
      </x:c>
      <x:c r="J1235" s="17" t="n">
        <x:v>22277.29</x:v>
      </x:c>
      <x:c r="K1235" s="17" t="n">
        <x:v>0</x:v>
      </x:c>
      <x:c r="L1235" s="17" t="n">
        <x:v>0</x:v>
      </x:c>
      <x:c r="M1235" s="13" t="str">
        <x:v>Pago</x:v>
      </x:c>
      <x:c r="N1235" s="13" t="str">
        <x:v>Sem cobrança</x:v>
      </x:c>
      <x:c r="O1235" s="13" t="str">
        <x:v>Operação Clareza</x:v>
      </x:c>
      <x:c r="P1235" s="17" t="n">
        <x:f>IF(D1235="",0,J1235-K1235+L1235)</x:f>
        <x:v>22277.29</x:v>
      </x:c>
      <x:c r="Q1235" s="17" t="n">
        <x:f>MAX(J1235-P1235-K1235,0)</x:f>
        <x:v>0</x:v>
      </x:c>
      <x:c r="R1235" s="13" t="n">
        <x:f>IF(D1235="",MAX(TODAY()-C1235,0),MAX(D1235-C1235,0))</x:f>
        <x:v>0</x:v>
      </x:c>
      <x:c r="S1235" s="13" t="str">
        <x:f>IF(R1235=0,"Em dia",IF(R1235&lt;=15,"1-15 dias",IF(R1235&lt;=30,"16-30 dias",IF(R1235&lt;=60,"31-60 dias","Acima de 60 dias"))))</x:f>
        <x:v>Em dia</x:v>
      </x:c>
    </x:row>
    <x:row r="1236">
      <x:c r="A1236" s="13" t="str">
        <x:v>REC-001235</x:v>
      </x:c>
      <x:c r="B1236" s="23" t="n">
        <x:v>45918</x:v>
      </x:c>
      <x:c r="C1236" s="23" t="n">
        <x:v>45925</x:v>
      </x:c>
      <x:c r="D1236" s="23" t="n">
        <x:v>45924</x:v>
      </x:c>
      <x:c r="E1236" s="13" t="str">
        <x:v>VAL-002</x:v>
      </x:c>
      <x:c r="F1236" s="13" t="str">
        <x:v>Mendes &amp; Prado Consultoria</x:v>
      </x:c>
      <x:c r="G1236" s="13" t="str">
        <x:v>Serviços Profissionais</x:v>
      </x:c>
      <x:c r="H1236" s="13" t="str">
        <x:v>Baixo</x:v>
      </x:c>
      <x:c r="I1236" s="13" t="str">
        <x:v>Gestão</x:v>
      </x:c>
      <x:c r="J1236" s="17" t="n">
        <x:v>24328.07</x:v>
      </x:c>
      <x:c r="K1236" s="17" t="n">
        <x:v>0</x:v>
      </x:c>
      <x:c r="L1236" s="17" t="n">
        <x:v>0</x:v>
      </x:c>
      <x:c r="M1236" s="13" t="str">
        <x:v>Pago</x:v>
      </x:c>
      <x:c r="N1236" s="13" t="str">
        <x:v>Sem cobrança</x:v>
      </x:c>
      <x:c r="O1236" s="13" t="str">
        <x:v>Operação Clareza</x:v>
      </x:c>
      <x:c r="P1236" s="17" t="n">
        <x:f>IF(D1236="",0,J1236-K1236+L1236)</x:f>
        <x:v>24328.07</x:v>
      </x:c>
      <x:c r="Q1236" s="17" t="n">
        <x:f>MAX(J1236-P1236-K1236,0)</x:f>
        <x:v>0</x:v>
      </x:c>
      <x:c r="R1236" s="13" t="n">
        <x:f>IF(D1236="",MAX(TODAY()-C1236,0),MAX(D1236-C1236,0))</x:f>
        <x:v>0</x:v>
      </x:c>
      <x:c r="S1236" s="13" t="str">
        <x:f>IF(R1236=0,"Em dia",IF(R1236&lt;=15,"1-15 dias",IF(R1236&lt;=30,"16-30 dias",IF(R1236&lt;=60,"31-60 dias","Acima de 60 dias"))))</x:f>
        <x:v>Em dia</x:v>
      </x:c>
    </x:row>
    <x:row r="1237">
      <x:c r="A1237" s="13" t="str">
        <x:v>REC-001236</x:v>
      </x:c>
      <x:c r="B1237" s="23" t="n">
        <x:v>45919</x:v>
      </x:c>
      <x:c r="C1237" s="23" t="n">
        <x:v>45926</x:v>
      </x:c>
      <x:c r="D1237" s="23" t="n">
        <x:v>45940</x:v>
      </x:c>
      <x:c r="E1237" s="13" t="str">
        <x:v>VAL-024</x:v>
      </x:c>
      <x:c r="F1237" s="13" t="str">
        <x:v>NovaForma Móveis</x:v>
      </x:c>
      <x:c r="G1237" s="13" t="str">
        <x:v>Indústria Leve</x:v>
      </x:c>
      <x:c r="H1237" s="13" t="str">
        <x:v>Baixo</x:v>
      </x:c>
      <x:c r="I1237" s="13" t="str">
        <x:v>Enterprise</x:v>
      </x:c>
      <x:c r="J1237" s="17" t="n">
        <x:v>1823.61</x:v>
      </x:c>
      <x:c r="K1237" s="17" t="n">
        <x:v>0</x:v>
      </x:c>
      <x:c r="L1237" s="17" t="n">
        <x:v>16.59</x:v>
      </x:c>
      <x:c r="M1237" s="13" t="str">
        <x:v>Pago com atraso</x:v>
      </x:c>
      <x:c r="N1237" s="13" t="str">
        <x:v>Telefone</x:v>
      </x:c>
      <x:c r="O1237" s="13" t="str">
        <x:v>Operação Clareza</x:v>
      </x:c>
      <x:c r="P1237" s="17" t="n">
        <x:f>IF(D1237="",0,J1237-K1237+L1237)</x:f>
        <x:v>1840.1999999999998</x:v>
      </x:c>
      <x:c r="Q1237" s="17" t="n">
        <x:f>MAX(J1237-P1237-K1237,0)</x:f>
        <x:v>0</x:v>
      </x:c>
      <x:c r="R1237" s="13" t="n">
        <x:f>IF(D1237="",MAX(TODAY()-C1237,0),MAX(D1237-C1237,0))</x:f>
        <x:v>14</x:v>
      </x:c>
      <x:c r="S1237" s="13" t="str">
        <x:f>IF(R1237=0,"Em dia",IF(R1237&lt;=15,"1-15 dias",IF(R1237&lt;=30,"16-30 dias",IF(R1237&lt;=60,"31-60 dias","Acima de 60 dias"))))</x:f>
        <x:v>1-15 dias</x:v>
      </x:c>
    </x:row>
    <x:row r="1238">
      <x:c r="A1238" s="13" t="str">
        <x:v>REC-001237</x:v>
      </x:c>
      <x:c r="B1238" s="23" t="n">
        <x:v>45910</x:v>
      </x:c>
      <x:c r="C1238" s="23" t="n">
        <x:v>45938</x:v>
      </x:c>
      <x:c r="D1238" s="23" t="n">
        <x:v>45936</x:v>
      </x:c>
      <x:c r="E1238" s="13" t="str">
        <x:v>VAL-010</x:v>
      </x:c>
      <x:c r="F1238" s="13" t="str">
        <x:v>Atlas Contabilidade</x:v>
      </x:c>
      <x:c r="G1238" s="13" t="str">
        <x:v>Serviços Profissionais</x:v>
      </x:c>
      <x:c r="H1238" s="13" t="str">
        <x:v>Baixo</x:v>
      </x:c>
      <x:c r="I1238" s="13" t="str">
        <x:v>Gestão</x:v>
      </x:c>
      <x:c r="J1238" s="17" t="n">
        <x:v>9524.5</x:v>
      </x:c>
      <x:c r="K1238" s="17" t="n">
        <x:v>0</x:v>
      </x:c>
      <x:c r="L1238" s="17" t="n">
        <x:v>0</x:v>
      </x:c>
      <x:c r="M1238" s="13" t="str">
        <x:v>Pago</x:v>
      </x:c>
      <x:c r="N1238" s="13" t="str">
        <x:v>Sem cobrança</x:v>
      </x:c>
      <x:c r="O1238" s="13" t="str">
        <x:v>Operação Clareza</x:v>
      </x:c>
      <x:c r="P1238" s="17" t="n">
        <x:f>IF(D1238="",0,J1238-K1238+L1238)</x:f>
        <x:v>9524.5</x:v>
      </x:c>
      <x:c r="Q1238" s="17" t="n">
        <x:f>MAX(J1238-P1238-K1238,0)</x:f>
        <x:v>0</x:v>
      </x:c>
      <x:c r="R1238" s="13" t="n">
        <x:f>IF(D1238="",MAX(TODAY()-C1238,0),MAX(D1238-C1238,0))</x:f>
        <x:v>0</x:v>
      </x:c>
      <x:c r="S1238" s="13" t="str">
        <x:f>IF(R1238=0,"Em dia",IF(R1238&lt;=15,"1-15 dias",IF(R1238&lt;=30,"16-30 dias",IF(R1238&lt;=60,"31-60 dias","Acima de 60 dias"))))</x:f>
        <x:v>Em dia</x:v>
      </x:c>
    </x:row>
    <x:row r="1239">
      <x:c r="A1239" s="13" t="str">
        <x:v>REC-001238</x:v>
      </x:c>
      <x:c r="B1239" s="23" t="n">
        <x:v>45908</x:v>
      </x:c>
      <x:c r="C1239" s="23" t="n">
        <x:v>45938</x:v>
      </x:c>
      <x:c r="D1239" s="23" t="n">
        <x:v>45937</x:v>
      </x:c>
      <x:c r="E1239" s="13" t="str">
        <x:v>VAL-004</x:v>
      </x:c>
      <x:c r="F1239" s="13" t="str">
        <x:v>NuvemBase Tecnologia</x:v>
      </x:c>
      <x:c r="G1239" s="13" t="str">
        <x:v>Tecnologia</x:v>
      </x:c>
      <x:c r="H1239" s="13" t="str">
        <x:v>Baixo</x:v>
      </x:c>
      <x:c r="I1239" s="13" t="str">
        <x:v>Enterprise</x:v>
      </x:c>
      <x:c r="J1239" s="17" t="n">
        <x:v>15042.29</x:v>
      </x:c>
      <x:c r="K1239" s="17" t="n">
        <x:v>124.36</x:v>
      </x:c>
      <x:c r="L1239" s="17" t="n">
        <x:v>0</x:v>
      </x:c>
      <x:c r="M1239" s="13" t="str">
        <x:v>Pago</x:v>
      </x:c>
      <x:c r="N1239" s="13" t="str">
        <x:v>Sem cobrança</x:v>
      </x:c>
      <x:c r="O1239" s="13" t="str">
        <x:v>Operação Clareza</x:v>
      </x:c>
      <x:c r="P1239" s="17" t="n">
        <x:f>IF(D1239="",0,J1239-K1239+L1239)</x:f>
        <x:v>14917.93</x:v>
      </x:c>
      <x:c r="Q1239" s="17" t="n">
        <x:f>MAX(J1239-P1239-K1239,0)</x:f>
        <x:v>5.826450433232822e-13</x:v>
      </x:c>
      <x:c r="R1239" s="13" t="n">
        <x:f>IF(D1239="",MAX(TODAY()-C1239,0),MAX(D1239-C1239,0))</x:f>
        <x:v>0</x:v>
      </x:c>
      <x:c r="S1239" s="13" t="str">
        <x:f>IF(R1239=0,"Em dia",IF(R1239&lt;=15,"1-15 dias",IF(R1239&lt;=30,"16-30 dias",IF(R1239&lt;=60,"31-60 dias","Acima de 60 dias"))))</x:f>
        <x:v>Em dia</x:v>
      </x:c>
    </x:row>
    <x:row r="1240">
      <x:c r="A1240" s="13" t="str">
        <x:v>REC-001239</x:v>
      </x:c>
      <x:c r="B1240" s="23" t="n">
        <x:v>45911</x:v>
      </x:c>
      <x:c r="C1240" s="23" t="n">
        <x:v>45941</x:v>
      </x:c>
      <x:c r="D1240" s="23" t="n">
        <x:v>45946</x:v>
      </x:c>
      <x:c r="E1240" s="13" t="str">
        <x:v>VAL-015</x:v>
      </x:c>
      <x:c r="F1240" s="13" t="str">
        <x:v>Mercado Click</x:v>
      </x:c>
      <x:c r="G1240" s="13" t="str">
        <x:v>E-commerce</x:v>
      </x:c>
      <x:c r="H1240" s="13" t="str">
        <x:v>Baixo</x:v>
      </x:c>
      <x:c r="I1240" s="13" t="str">
        <x:v>Performance</x:v>
      </x:c>
      <x:c r="J1240" s="17" t="n">
        <x:v>24109.72</x:v>
      </x:c>
      <x:c r="K1240" s="17" t="n">
        <x:v>0</x:v>
      </x:c>
      <x:c r="L1240" s="17" t="n">
        <x:v>78.36</x:v>
      </x:c>
      <x:c r="M1240" s="13" t="str">
        <x:v>Pago com atraso</x:v>
      </x:c>
      <x:c r="N1240" s="13" t="str">
        <x:v>WhatsApp</x:v>
      </x:c>
      <x:c r="O1240" s="13" t="str">
        <x:v>Operação Clareza</x:v>
      </x:c>
      <x:c r="P1240" s="17" t="n">
        <x:f>IF(D1240="",0,J1240-K1240+L1240)</x:f>
        <x:v>24188.08</x:v>
      </x:c>
      <x:c r="Q1240" s="17" t="n">
        <x:f>MAX(J1240-P1240-K1240,0)</x:f>
        <x:v>0</x:v>
      </x:c>
      <x:c r="R1240" s="13" t="n">
        <x:f>IF(D1240="",MAX(TODAY()-C1240,0),MAX(D1240-C1240,0))</x:f>
        <x:v>5</x:v>
      </x:c>
      <x:c r="S1240" s="13" t="str">
        <x:f>IF(R1240=0,"Em dia",IF(R1240&lt;=15,"1-15 dias",IF(R1240&lt;=30,"16-30 dias",IF(R1240&lt;=60,"31-60 dias","Acima de 60 dias"))))</x:f>
        <x:v>1-15 dias</x:v>
      </x:c>
    </x:row>
    <x:row r="1241">
      <x:c r="A1241" s="13" t="str">
        <x:v>REC-001240</x:v>
      </x:c>
      <x:c r="B1241" s="23" t="n">
        <x:v>45904</x:v>
      </x:c>
      <x:c r="C1241" s="23" t="n">
        <x:v>45932</x:v>
      </x:c>
      <x:c r="D1241" s="23" t="n">
        <x:v>45930</x:v>
      </x:c>
      <x:c r="E1241" s="13" t="str">
        <x:v>VAL-027</x:v>
      </x:c>
      <x:c r="F1241" s="13" t="str">
        <x:v>Mais Lar Utilidades</x:v>
      </x:c>
      <x:c r="G1241" s="13" t="str">
        <x:v>Varejo</x:v>
      </x:c>
      <x:c r="H1241" s="13" t="str">
        <x:v>Baixo</x:v>
      </x:c>
      <x:c r="I1241" s="13" t="str">
        <x:v>Performance</x:v>
      </x:c>
      <x:c r="J1241" s="17" t="n">
        <x:v>4428.07</x:v>
      </x:c>
      <x:c r="K1241" s="17" t="n">
        <x:v>44.93</x:v>
      </x:c>
      <x:c r="L1241" s="17" t="n">
        <x:v>0</x:v>
      </x:c>
      <x:c r="M1241" s="13" t="str">
        <x:v>Pago</x:v>
      </x:c>
      <x:c r="N1241" s="13" t="str">
        <x:v>Sem cobrança</x:v>
      </x:c>
      <x:c r="O1241" s="13" t="str">
        <x:v>Operação Clareza</x:v>
      </x:c>
      <x:c r="P1241" s="17" t="n">
        <x:f>IF(D1241="",0,J1241-K1241+L1241)</x:f>
        <x:v>4383.139999999999</x:v>
      </x:c>
      <x:c r="Q1241" s="17" t="n">
        <x:f>MAX(J1241-P1241-K1241,0)</x:f>
        <x:v>2.913225216616411e-13</x:v>
      </x:c>
      <x:c r="R1241" s="13" t="n">
        <x:f>IF(D1241="",MAX(TODAY()-C1241,0),MAX(D1241-C1241,0))</x:f>
        <x:v>0</x:v>
      </x:c>
      <x:c r="S1241" s="13" t="str">
        <x:f>IF(R1241=0,"Em dia",IF(R1241&lt;=15,"1-15 dias",IF(R1241&lt;=30,"16-30 dias",IF(R1241&lt;=60,"31-60 dias","Acima de 60 dias"))))</x:f>
        <x:v>Em dia</x:v>
      </x:c>
    </x:row>
    <x:row r="1242">
      <x:c r="A1242" s="13" t="str">
        <x:v>REC-001241</x:v>
      </x:c>
      <x:c r="B1242" s="23" t="n">
        <x:v>45910</x:v>
      </x:c>
      <x:c r="C1242" s="23" t="n">
        <x:v>45940</x:v>
      </x:c>
      <x:c r="D1242" s="23" t="n">
        <x:v>45937</x:v>
      </x:c>
      <x:c r="E1242" s="13" t="str">
        <x:v>VAL-029</x:v>
      </x:c>
      <x:c r="F1242" s="13" t="str">
        <x:v>Planobra Serviços</x:v>
      </x:c>
      <x:c r="G1242" s="13" t="str">
        <x:v>Construção</x:v>
      </x:c>
      <x:c r="H1242" s="13" t="str">
        <x:v>Baixo</x:v>
      </x:c>
      <x:c r="I1242" s="13" t="str">
        <x:v>Essencial</x:v>
      </x:c>
      <x:c r="J1242" s="17" t="n">
        <x:v>15664.97</x:v>
      </x:c>
      <x:c r="K1242" s="17" t="n">
        <x:v>0</x:v>
      </x:c>
      <x:c r="L1242" s="17" t="n">
        <x:v>0</x:v>
      </x:c>
      <x:c r="M1242" s="13" t="str">
        <x:v>Pago</x:v>
      </x:c>
      <x:c r="N1242" s="13" t="str">
        <x:v>Sem cobrança</x:v>
      </x:c>
      <x:c r="O1242" s="13" t="str">
        <x:v>Operação Clareza</x:v>
      </x:c>
      <x:c r="P1242" s="17" t="n">
        <x:f>IF(D1242="",0,J1242-K1242+L1242)</x:f>
        <x:v>15664.97</x:v>
      </x:c>
      <x:c r="Q1242" s="17" t="n">
        <x:f>MAX(J1242-P1242-K1242,0)</x:f>
        <x:v>0</x:v>
      </x:c>
      <x:c r="R1242" s="13" t="n">
        <x:f>IF(D1242="",MAX(TODAY()-C1242,0),MAX(D1242-C1242,0))</x:f>
        <x:v>0</x:v>
      </x:c>
      <x:c r="S1242" s="13" t="str">
        <x:f>IF(R1242=0,"Em dia",IF(R1242&lt;=15,"1-15 dias",IF(R1242&lt;=30,"16-30 dias",IF(R1242&lt;=60,"31-60 dias","Acima de 60 dias"))))</x:f>
        <x:v>Em dia</x:v>
      </x:c>
    </x:row>
    <x:row r="1243">
      <x:c r="A1243" s="13" t="str">
        <x:v>REC-001242</x:v>
      </x:c>
      <x:c r="B1243" s="23" t="n">
        <x:v>45918</x:v>
      </x:c>
      <x:c r="C1243" s="23" t="n">
        <x:v>45933</x:v>
      </x:c>
      <x:c r="D1243" s="23" t="n">
        <x:v>45933</x:v>
      </x:c>
      <x:c r="E1243" s="13" t="str">
        <x:v>VAL-025</x:v>
      </x:c>
      <x:c r="F1243" s="13" t="str">
        <x:v>Bem-Estar Terapias</x:v>
      </x:c>
      <x:c r="G1243" s="13" t="str">
        <x:v>Clínicas e Saúde</x:v>
      </x:c>
      <x:c r="H1243" s="13" t="str">
        <x:v>Baixo</x:v>
      </x:c>
      <x:c r="I1243" s="13" t="str">
        <x:v>Essencial</x:v>
      </x:c>
      <x:c r="J1243" s="17" t="n">
        <x:v>15962.67</x:v>
      </x:c>
      <x:c r="K1243" s="17" t="n">
        <x:v>0</x:v>
      </x:c>
      <x:c r="L1243" s="17" t="n">
        <x:v>0</x:v>
      </x:c>
      <x:c r="M1243" s="13" t="str">
        <x:v>Pago</x:v>
      </x:c>
      <x:c r="N1243" s="13" t="str">
        <x:v>Sem cobrança</x:v>
      </x:c>
      <x:c r="O1243" s="13" t="str">
        <x:v>Operação Clareza</x:v>
      </x:c>
      <x:c r="P1243" s="17" t="n">
        <x:f>IF(D1243="",0,J1243-K1243+L1243)</x:f>
        <x:v>15962.67</x:v>
      </x:c>
      <x:c r="Q1243" s="17" t="n">
        <x:f>MAX(J1243-P1243-K1243,0)</x:f>
        <x:v>0</x:v>
      </x:c>
      <x:c r="R1243" s="13" t="n">
        <x:f>IF(D1243="",MAX(TODAY()-C1243,0),MAX(D1243-C1243,0))</x:f>
        <x:v>0</x:v>
      </x:c>
      <x:c r="S1243" s="13" t="str">
        <x:f>IF(R1243=0,"Em dia",IF(R1243&lt;=15,"1-15 dias",IF(R1243&lt;=30,"16-30 dias",IF(R1243&lt;=60,"31-60 dias","Acima de 60 dias"))))</x:f>
        <x:v>Em dia</x:v>
      </x:c>
    </x:row>
    <x:row r="1244">
      <x:c r="A1244" s="13" t="str">
        <x:v>REC-001243</x:v>
      </x:c>
      <x:c r="B1244" s="23" t="n">
        <x:v>45918</x:v>
      </x:c>
      <x:c r="C1244" s="23" t="n">
        <x:v>45948</x:v>
      </x:c>
      <x:c r="D1244" s="23" t="n">
        <x:v>45944</x:v>
      </x:c>
      <x:c r="E1244" s="13" t="str">
        <x:v>VAL-012</x:v>
      </x:c>
      <x:c r="F1244" s="13" t="str">
        <x:v>DataFlow Sistemas</x:v>
      </x:c>
      <x:c r="G1244" s="13" t="str">
        <x:v>Tecnologia</x:v>
      </x:c>
      <x:c r="H1244" s="13" t="str">
        <x:v>Médio</x:v>
      </x:c>
      <x:c r="I1244" s="13" t="str">
        <x:v>Enterprise</x:v>
      </x:c>
      <x:c r="J1244" s="17" t="n">
        <x:v>16123.02</x:v>
      </x:c>
      <x:c r="K1244" s="17" t="n">
        <x:v>0</x:v>
      </x:c>
      <x:c r="L1244" s="17" t="n">
        <x:v>0</x:v>
      </x:c>
      <x:c r="M1244" s="13" t="str">
        <x:v>Pago</x:v>
      </x:c>
      <x:c r="N1244" s="13" t="str">
        <x:v>Sem cobrança</x:v>
      </x:c>
      <x:c r="O1244" s="13" t="str">
        <x:v>Operação Clareza</x:v>
      </x:c>
      <x:c r="P1244" s="17" t="n">
        <x:f>IF(D1244="",0,J1244-K1244+L1244)</x:f>
        <x:v>16123.02</x:v>
      </x:c>
      <x:c r="Q1244" s="17" t="n">
        <x:f>MAX(J1244-P1244-K1244,0)</x:f>
        <x:v>0</x:v>
      </x:c>
      <x:c r="R1244" s="13" t="n">
        <x:f>IF(D1244="",MAX(TODAY()-C1244,0),MAX(D1244-C1244,0))</x:f>
        <x:v>0</x:v>
      </x:c>
      <x:c r="S1244" s="13" t="str">
        <x:f>IF(R1244=0,"Em dia",IF(R1244&lt;=15,"1-15 dias",IF(R1244&lt;=30,"16-30 dias",IF(R1244&lt;=60,"31-60 dias","Acima de 60 dias"))))</x:f>
        <x:v>Em dia</x:v>
      </x:c>
    </x:row>
    <x:row r="1245">
      <x:c r="A1245" s="13" t="str">
        <x:v>REC-001244</x:v>
      </x:c>
      <x:c r="B1245" s="23" t="n">
        <x:v>45907</x:v>
      </x:c>
      <x:c r="C1245" s="23" t="n">
        <x:v>45928</x:v>
      </x:c>
      <x:c r="D1245" s="23" t="n">
        <x:v>45924</x:v>
      </x:c>
      <x:c r="E1245" s="13" t="str">
        <x:v>VAL-009</x:v>
      </x:c>
      <x:c r="F1245" s="13" t="str">
        <x:v>Odonto Prime</x:v>
      </x:c>
      <x:c r="G1245" s="13" t="str">
        <x:v>Clínicas e Saúde</x:v>
      </x:c>
      <x:c r="H1245" s="13" t="str">
        <x:v>Médio</x:v>
      </x:c>
      <x:c r="I1245" s="13" t="str">
        <x:v>Essencial</x:v>
      </x:c>
      <x:c r="J1245" s="17" t="n">
        <x:v>2738.35</x:v>
      </x:c>
      <x:c r="K1245" s="17" t="n">
        <x:v>0</x:v>
      </x:c>
      <x:c r="L1245" s="17" t="n">
        <x:v>0</x:v>
      </x:c>
      <x:c r="M1245" s="13" t="str">
        <x:v>Pago</x:v>
      </x:c>
      <x:c r="N1245" s="13" t="str">
        <x:v>Sem cobrança</x:v>
      </x:c>
      <x:c r="O1245" s="13" t="str">
        <x:v>Operação Clareza</x:v>
      </x:c>
      <x:c r="P1245" s="17" t="n">
        <x:f>IF(D1245="",0,J1245-K1245+L1245)</x:f>
        <x:v>2738.35</x:v>
      </x:c>
      <x:c r="Q1245" s="17" t="n">
        <x:f>MAX(J1245-P1245-K1245,0)</x:f>
        <x:v>0</x:v>
      </x:c>
      <x:c r="R1245" s="13" t="n">
        <x:f>IF(D1245="",MAX(TODAY()-C1245,0),MAX(D1245-C1245,0))</x:f>
        <x:v>0</x:v>
      </x:c>
      <x:c r="S1245" s="13" t="str">
        <x:f>IF(R1245=0,"Em dia",IF(R1245&lt;=15,"1-15 dias",IF(R1245&lt;=30,"16-30 dias",IF(R1245&lt;=60,"31-60 dias","Acima de 60 dias"))))</x:f>
        <x:v>Em dia</x:v>
      </x:c>
    </x:row>
    <x:row r="1246">
      <x:c r="A1246" s="13" t="str">
        <x:v>REC-001245</x:v>
      </x:c>
      <x:c r="B1246" s="23" t="n">
        <x:v>45909</x:v>
      </x:c>
      <x:c r="C1246" s="23" t="n">
        <x:v>45916</x:v>
      </x:c>
      <x:c r="D1246" s="23" t="n">
        <x:v>45914</x:v>
      </x:c>
      <x:c r="E1246" s="13" t="str">
        <x:v>VAL-026</x:v>
      </x:c>
      <x:c r="F1246" s="13" t="str">
        <x:v>Ribeiro Arquitetura</x:v>
      </x:c>
      <x:c r="G1246" s="13" t="str">
        <x:v>Serviços Profissionais</x:v>
      </x:c>
      <x:c r="H1246" s="13" t="str">
        <x:v>Baixo</x:v>
      </x:c>
      <x:c r="I1246" s="13" t="str">
        <x:v>Gestão</x:v>
      </x:c>
      <x:c r="J1246" s="17" t="n">
        <x:v>7320.49</x:v>
      </x:c>
      <x:c r="K1246" s="17" t="n">
        <x:v>0</x:v>
      </x:c>
      <x:c r="L1246" s="17" t="n">
        <x:v>0</x:v>
      </x:c>
      <x:c r="M1246" s="13" t="str">
        <x:v>Pago</x:v>
      </x:c>
      <x:c r="N1246" s="13" t="str">
        <x:v>Sem cobrança</x:v>
      </x:c>
      <x:c r="O1246" s="13" t="str">
        <x:v>Operação Clareza</x:v>
      </x:c>
      <x:c r="P1246" s="17" t="n">
        <x:f>IF(D1246="",0,J1246-K1246+L1246)</x:f>
        <x:v>7320.49</x:v>
      </x:c>
      <x:c r="Q1246" s="17" t="n">
        <x:f>MAX(J1246-P1246-K1246,0)</x:f>
        <x:v>0</x:v>
      </x:c>
      <x:c r="R1246" s="13" t="n">
        <x:f>IF(D1246="",MAX(TODAY()-C1246,0),MAX(D1246-C1246,0))</x:f>
        <x:v>0</x:v>
      </x:c>
      <x:c r="S1246" s="13" t="str">
        <x:f>IF(R1246=0,"Em dia",IF(R1246&lt;=15,"1-15 dias",IF(R1246&lt;=30,"16-30 dias",IF(R1246&lt;=60,"31-60 dias","Acima de 60 dias"))))</x:f>
        <x:v>Em dia</x:v>
      </x:c>
    </x:row>
    <x:row r="1247">
      <x:c r="A1247" s="13" t="str">
        <x:v>REC-001246</x:v>
      </x:c>
      <x:c r="B1247" s="23" t="n">
        <x:v>45906</x:v>
      </x:c>
      <x:c r="C1247" s="23" t="n">
        <x:v>45936</x:v>
      </x:c>
      <x:c r="D1247" s="23" t="n">
        <x:v>45945</x:v>
      </x:c>
      <x:c r="E1247" s="13" t="str">
        <x:v>VAL-011</x:v>
      </x:c>
      <x:c r="F1247" s="13" t="str">
        <x:v>Rede Essencial</x:v>
      </x:c>
      <x:c r="G1247" s="13" t="str">
        <x:v>Varejo</x:v>
      </x:c>
      <x:c r="H1247" s="13" t="str">
        <x:v>Médio</x:v>
      </x:c>
      <x:c r="I1247" s="13" t="str">
        <x:v>Performance</x:v>
      </x:c>
      <x:c r="J1247" s="17" t="n">
        <x:v>21695.88</x:v>
      </x:c>
      <x:c r="K1247" s="17" t="n">
        <x:v>0</x:v>
      </x:c>
      <x:c r="L1247" s="17" t="n">
        <x:v>126.92</x:v>
      </x:c>
      <x:c r="M1247" s="13" t="str">
        <x:v>Pago com atraso</x:v>
      </x:c>
      <x:c r="N1247" s="13" t="str">
        <x:v>Telefone</x:v>
      </x:c>
      <x:c r="O1247" s="13" t="str">
        <x:v>Operação Clareza</x:v>
      </x:c>
      <x:c r="P1247" s="17" t="n">
        <x:f>IF(D1247="",0,J1247-K1247+L1247)</x:f>
        <x:v>21822.8</x:v>
      </x:c>
      <x:c r="Q1247" s="17" t="n">
        <x:f>MAX(J1247-P1247-K1247,0)</x:f>
        <x:v>0</x:v>
      </x:c>
      <x:c r="R1247" s="13" t="n">
        <x:f>IF(D1247="",MAX(TODAY()-C1247,0),MAX(D1247-C1247,0))</x:f>
        <x:v>9</x:v>
      </x:c>
      <x:c r="S1247" s="13" t="str">
        <x:f>IF(R1247=0,"Em dia",IF(R1247&lt;=15,"1-15 dias",IF(R1247&lt;=30,"16-30 dias",IF(R1247&lt;=60,"31-60 dias","Acima de 60 dias"))))</x:f>
        <x:v>1-15 dias</x:v>
      </x:c>
    </x:row>
    <x:row r="1248">
      <x:c r="A1248" s="13" t="str">
        <x:v>REC-001247</x:v>
      </x:c>
      <x:c r="B1248" s="23" t="n">
        <x:v>45907</x:v>
      </x:c>
      <x:c r="C1248" s="23" t="n">
        <x:v>45914</x:v>
      </x:c>
      <x:c r="D1248" s="23" t="n">
        <x:v>45910</x:v>
      </x:c>
      <x:c r="E1248" s="13" t="str">
        <x:v>VAL-022</x:v>
      </x:c>
      <x:c r="F1248" s="13" t="str">
        <x:v>Academia Evoluir</x:v>
      </x:c>
      <x:c r="G1248" s="13" t="str">
        <x:v>Educação</x:v>
      </x:c>
      <x:c r="H1248" s="13" t="str">
        <x:v>Alto</x:v>
      </x:c>
      <x:c r="I1248" s="13" t="str">
        <x:v>Gestão</x:v>
      </x:c>
      <x:c r="J1248" s="17" t="n">
        <x:v>7885.33</x:v>
      </x:c>
      <x:c r="K1248" s="17" t="n">
        <x:v>0</x:v>
      </x:c>
      <x:c r="L1248" s="17" t="n">
        <x:v>0</x:v>
      </x:c>
      <x:c r="M1248" s="13" t="str">
        <x:v>Pago</x:v>
      </x:c>
      <x:c r="N1248" s="13" t="str">
        <x:v>Sem cobrança</x:v>
      </x:c>
      <x:c r="O1248" s="13" t="str">
        <x:v>Operação Clareza</x:v>
      </x:c>
      <x:c r="P1248" s="17" t="n">
        <x:f>IF(D1248="",0,J1248-K1248+L1248)</x:f>
        <x:v>7885.33</x:v>
      </x:c>
      <x:c r="Q1248" s="17" t="n">
        <x:f>MAX(J1248-P1248-K1248,0)</x:f>
        <x:v>0</x:v>
      </x:c>
      <x:c r="R1248" s="13" t="n">
        <x:f>IF(D1248="",MAX(TODAY()-C1248,0),MAX(D1248-C1248,0))</x:f>
        <x:v>0</x:v>
      </x:c>
      <x:c r="S1248" s="13" t="str">
        <x:f>IF(R1248=0,"Em dia",IF(R1248&lt;=15,"1-15 dias",IF(R1248&lt;=30,"16-30 dias",IF(R1248&lt;=60,"31-60 dias","Acima de 60 dias"))))</x:f>
        <x:v>Em dia</x:v>
      </x:c>
    </x:row>
    <x:row r="1249">
      <x:c r="A1249" s="13" t="str">
        <x:v>REC-001248</x:v>
      </x:c>
      <x:c r="B1249" s="23" t="n">
        <x:v>45912</x:v>
      </x:c>
      <x:c r="C1249" s="23" t="n">
        <x:v>45919</x:v>
      </x:c>
      <x:c r="D1249" s="23" t="n">
        <x:v>45915</x:v>
      </x:c>
      <x:c r="E1249" s="13" t="str">
        <x:v>VAL-007</x:v>
      </x:c>
      <x:c r="F1249" s="13" t="str">
        <x:v>Loja Prisma Online</x:v>
      </x:c>
      <x:c r="G1249" s="13" t="str">
        <x:v>E-commerce</x:v>
      </x:c>
      <x:c r="H1249" s="13" t="str">
        <x:v>Médio</x:v>
      </x:c>
      <x:c r="I1249" s="13" t="str">
        <x:v>Performance</x:v>
      </x:c>
      <x:c r="J1249" s="17" t="n">
        <x:v>33363.59</x:v>
      </x:c>
      <x:c r="K1249" s="17" t="n">
        <x:v>242.64</x:v>
      </x:c>
      <x:c r="L1249" s="17" t="n">
        <x:v>0</x:v>
      </x:c>
      <x:c r="M1249" s="13" t="str">
        <x:v>Pago</x:v>
      </x:c>
      <x:c r="N1249" s="13" t="str">
        <x:v>Sem cobrança</x:v>
      </x:c>
      <x:c r="O1249" s="13" t="str">
        <x:v>Operação Clareza</x:v>
      </x:c>
      <x:c r="P1249" s="17" t="n">
        <x:f>IF(D1249="",0,J1249-K1249+L1249)</x:f>
        <x:v>33120.95</x:v>
      </x:c>
      <x:c r="Q1249" s="17" t="n">
        <x:f>MAX(J1249-P1249-K1249,0)</x:f>
        <x:v>0</x:v>
      </x:c>
      <x:c r="R1249" s="13" t="n">
        <x:f>IF(D1249="",MAX(TODAY()-C1249,0),MAX(D1249-C1249,0))</x:f>
        <x:v>0</x:v>
      </x:c>
      <x:c r="S1249" s="13" t="str">
        <x:f>IF(R1249=0,"Em dia",IF(R1249&lt;=15,"1-15 dias",IF(R1249&lt;=30,"16-30 dias",IF(R1249&lt;=60,"31-60 dias","Acima de 60 dias"))))</x:f>
        <x:v>Em dia</x:v>
      </x:c>
    </x:row>
    <x:row r="1250">
      <x:c r="A1250" s="13" t="str">
        <x:v>REC-001249</x:v>
      </x:c>
      <x:c r="B1250" s="23" t="n">
        <x:v>45903</x:v>
      </x:c>
      <x:c r="C1250" s="23" t="n">
        <x:v>45924</x:v>
      </x:c>
      <x:c r="D1250" s="23" t="n">
        <x:v>45923</x:v>
      </x:c>
      <x:c r="E1250" s="13" t="str">
        <x:v>VAL-024</x:v>
      </x:c>
      <x:c r="F1250" s="13" t="str">
        <x:v>NovaForma Móveis</x:v>
      </x:c>
      <x:c r="G1250" s="13" t="str">
        <x:v>Indústria Leve</x:v>
      </x:c>
      <x:c r="H1250" s="13" t="str">
        <x:v>Baixo</x:v>
      </x:c>
      <x:c r="I1250" s="13" t="str">
        <x:v>Enterprise</x:v>
      </x:c>
      <x:c r="J1250" s="17" t="n">
        <x:v>18093.13</x:v>
      </x:c>
      <x:c r="K1250" s="17" t="n">
        <x:v>0</x:v>
      </x:c>
      <x:c r="L1250" s="17" t="n">
        <x:v>0</x:v>
      </x:c>
      <x:c r="M1250" s="13" t="str">
        <x:v>Pago</x:v>
      </x:c>
      <x:c r="N1250" s="13" t="str">
        <x:v>Sem cobrança</x:v>
      </x:c>
      <x:c r="O1250" s="13" t="str">
        <x:v>Operação Clareza</x:v>
      </x:c>
      <x:c r="P1250" s="17" t="n">
        <x:f>IF(D1250="",0,J1250-K1250+L1250)</x:f>
        <x:v>18093.13</x:v>
      </x:c>
      <x:c r="Q1250" s="17" t="n">
        <x:f>MAX(J1250-P1250-K1250,0)</x:f>
        <x:v>0</x:v>
      </x:c>
      <x:c r="R1250" s="13" t="n">
        <x:f>IF(D1250="",MAX(TODAY()-C1250,0),MAX(D1250-C1250,0))</x:f>
        <x:v>0</x:v>
      </x:c>
      <x:c r="S1250" s="13" t="str">
        <x:f>IF(R1250=0,"Em dia",IF(R1250&lt;=15,"1-15 dias",IF(R1250&lt;=30,"16-30 dias",IF(R1250&lt;=60,"31-60 dias","Acima de 60 dias"))))</x:f>
        <x:v>Em dia</x:v>
      </x:c>
    </x:row>
    <x:row r="1251">
      <x:c r="A1251" s="13" t="str">
        <x:v>REC-001250</x:v>
      </x:c>
      <x:c r="B1251" s="23" t="n">
        <x:v>45906</x:v>
      </x:c>
      <x:c r="C1251" s="23" t="n">
        <x:v>45913</x:v>
      </x:c>
      <x:c r="D1251" s="23" t="n">
        <x:v>45913</x:v>
      </x:c>
      <x:c r="E1251" s="13" t="str">
        <x:v>VAL-010</x:v>
      </x:c>
      <x:c r="F1251" s="13" t="str">
        <x:v>Atlas Contabilidade</x:v>
      </x:c>
      <x:c r="G1251" s="13" t="str">
        <x:v>Serviços Profissionais</x:v>
      </x:c>
      <x:c r="H1251" s="13" t="str">
        <x:v>Baixo</x:v>
      </x:c>
      <x:c r="I1251" s="13" t="str">
        <x:v>Gestão</x:v>
      </x:c>
      <x:c r="J1251" s="17" t="n">
        <x:v>27963.59</x:v>
      </x:c>
      <x:c r="K1251" s="17" t="n">
        <x:v>0</x:v>
      </x:c>
      <x:c r="L1251" s="17" t="n">
        <x:v>0</x:v>
      </x:c>
      <x:c r="M1251" s="13" t="str">
        <x:v>Pago</x:v>
      </x:c>
      <x:c r="N1251" s="13" t="str">
        <x:v>Sem cobrança</x:v>
      </x:c>
      <x:c r="O1251" s="13" t="str">
        <x:v>Operação Clareza</x:v>
      </x:c>
      <x:c r="P1251" s="17" t="n">
        <x:f>IF(D1251="",0,J1251-K1251+L1251)</x:f>
        <x:v>27963.59</x:v>
      </x:c>
      <x:c r="Q1251" s="17" t="n">
        <x:f>MAX(J1251-P1251-K1251,0)</x:f>
        <x:v>0</x:v>
      </x:c>
      <x:c r="R1251" s="13" t="n">
        <x:f>IF(D1251="",MAX(TODAY()-C1251,0),MAX(D1251-C1251,0))</x:f>
        <x:v>0</x:v>
      </x:c>
      <x:c r="S1251" s="13" t="str">
        <x:f>IF(R1251=0,"Em dia",IF(R1251&lt;=15,"1-15 dias",IF(R1251&lt;=30,"16-30 dias",IF(R1251&lt;=60,"31-60 dias","Acima de 60 dias"))))</x:f>
        <x:v>Em dia</x:v>
      </x:c>
    </x:row>
    <x:row r="1252">
      <x:c r="A1252" s="13" t="str">
        <x:v>REC-001251</x:v>
      </x:c>
      <x:c r="B1252" s="23" t="n">
        <x:v>45905</x:v>
      </x:c>
      <x:c r="C1252" s="23" t="n">
        <x:v>45933</x:v>
      </x:c>
      <x:c r="D1252" s="23" t="n">
        <x:v>45931</x:v>
      </x:c>
      <x:c r="E1252" s="13" t="str">
        <x:v>VAL-004</x:v>
      </x:c>
      <x:c r="F1252" s="13" t="str">
        <x:v>NuvemBase Tecnologia</x:v>
      </x:c>
      <x:c r="G1252" s="13" t="str">
        <x:v>Tecnologia</x:v>
      </x:c>
      <x:c r="H1252" s="13" t="str">
        <x:v>Baixo</x:v>
      </x:c>
      <x:c r="I1252" s="13" t="str">
        <x:v>Enterprise</x:v>
      </x:c>
      <x:c r="J1252" s="17" t="n">
        <x:v>33611.71</x:v>
      </x:c>
      <x:c r="K1252" s="17" t="n">
        <x:v>480.5</x:v>
      </x:c>
      <x:c r="L1252" s="17" t="n">
        <x:v>0</x:v>
      </x:c>
      <x:c r="M1252" s="13" t="str">
        <x:v>Pago</x:v>
      </x:c>
      <x:c r="N1252" s="13" t="str">
        <x:v>Sem cobrança</x:v>
      </x:c>
      <x:c r="O1252" s="13" t="str">
        <x:v>Operação Clareza</x:v>
      </x:c>
      <x:c r="P1252" s="17" t="n">
        <x:f>IF(D1252="",0,J1252-K1252+L1252)</x:f>
        <x:v>33131.21</x:v>
      </x:c>
      <x:c r="Q1252" s="17" t="n">
        <x:f>MAX(J1252-P1252-K1252,0)</x:f>
        <x:v>0</x:v>
      </x:c>
      <x:c r="R1252" s="13" t="n">
        <x:f>IF(D1252="",MAX(TODAY()-C1252,0),MAX(D1252-C1252,0))</x:f>
        <x:v>0</x:v>
      </x:c>
      <x:c r="S1252" s="13" t="str">
        <x:f>IF(R1252=0,"Em dia",IF(R1252&lt;=15,"1-15 dias",IF(R1252&lt;=30,"16-30 dias",IF(R1252&lt;=60,"31-60 dias","Acima de 60 dias"))))</x:f>
        <x:v>Em dia</x:v>
      </x:c>
    </x:row>
    <x:row r="1253">
      <x:c r="A1253" s="13" t="str">
        <x:v>REC-001252</x:v>
      </x:c>
      <x:c r="B1253" s="23" t="n">
        <x:v>45907</x:v>
      </x:c>
      <x:c r="C1253" s="23" t="n">
        <x:v>45928</x:v>
      </x:c>
      <x:c r="D1253" s="23" t="n">
        <x:v>45928</x:v>
      </x:c>
      <x:c r="E1253" s="13" t="str">
        <x:v>VAL-012</x:v>
      </x:c>
      <x:c r="F1253" s="13" t="str">
        <x:v>DataFlow Sistemas</x:v>
      </x:c>
      <x:c r="G1253" s="13" t="str">
        <x:v>Tecnologia</x:v>
      </x:c>
      <x:c r="H1253" s="13" t="str">
        <x:v>Médio</x:v>
      </x:c>
      <x:c r="I1253" s="13" t="str">
        <x:v>Enterprise</x:v>
      </x:c>
      <x:c r="J1253" s="17" t="n">
        <x:v>3648.4</x:v>
      </x:c>
      <x:c r="K1253" s="17" t="n">
        <x:v>0</x:v>
      </x:c>
      <x:c r="L1253" s="17" t="n">
        <x:v>0</x:v>
      </x:c>
      <x:c r="M1253" s="13" t="str">
        <x:v>Pago</x:v>
      </x:c>
      <x:c r="N1253" s="13" t="str">
        <x:v>Sem cobrança</x:v>
      </x:c>
      <x:c r="O1253" s="13" t="str">
        <x:v>Operação Clareza</x:v>
      </x:c>
      <x:c r="P1253" s="17" t="n">
        <x:f>IF(D1253="",0,J1253-K1253+L1253)</x:f>
        <x:v>3648.4</x:v>
      </x:c>
      <x:c r="Q1253" s="17" t="n">
        <x:f>MAX(J1253-P1253-K1253,0)</x:f>
        <x:v>0</x:v>
      </x:c>
      <x:c r="R1253" s="13" t="n">
        <x:f>IF(D1253="",MAX(TODAY()-C1253,0),MAX(D1253-C1253,0))</x:f>
        <x:v>0</x:v>
      </x:c>
      <x:c r="S1253" s="13" t="str">
        <x:f>IF(R1253=0,"Em dia",IF(R1253&lt;=15,"1-15 dias",IF(R1253&lt;=30,"16-30 dias",IF(R1253&lt;=60,"31-60 dias","Acima de 60 dias"))))</x:f>
        <x:v>Em dia</x:v>
      </x:c>
    </x:row>
    <x:row r="1254">
      <x:c r="A1254" s="13" t="str">
        <x:v>REC-001253</x:v>
      </x:c>
      <x:c r="B1254" s="23" t="n">
        <x:v>45920</x:v>
      </x:c>
      <x:c r="C1254" s="23" t="n">
        <x:v>45935</x:v>
      </x:c>
      <x:c r="D1254" s="23" t="n">
        <x:v>45933</x:v>
      </x:c>
      <x:c r="E1254" s="13" t="str">
        <x:v>VAL-026</x:v>
      </x:c>
      <x:c r="F1254" s="13" t="str">
        <x:v>Ribeiro Arquitetura</x:v>
      </x:c>
      <x:c r="G1254" s="13" t="str">
        <x:v>Serviços Profissionais</x:v>
      </x:c>
      <x:c r="H1254" s="13" t="str">
        <x:v>Baixo</x:v>
      </x:c>
      <x:c r="I1254" s="13" t="str">
        <x:v>Gestão</x:v>
      </x:c>
      <x:c r="J1254" s="17" t="n">
        <x:v>25455.93</x:v>
      </x:c>
      <x:c r="K1254" s="17" t="n">
        <x:v>0</x:v>
      </x:c>
      <x:c r="L1254" s="17" t="n">
        <x:v>0</x:v>
      </x:c>
      <x:c r="M1254" s="13" t="str">
        <x:v>Pago</x:v>
      </x:c>
      <x:c r="N1254" s="13" t="str">
        <x:v>Sem cobrança</x:v>
      </x:c>
      <x:c r="O1254" s="13" t="str">
        <x:v>Operação Clareza</x:v>
      </x:c>
      <x:c r="P1254" s="17" t="n">
        <x:f>IF(D1254="",0,J1254-K1254+L1254)</x:f>
        <x:v>25455.93</x:v>
      </x:c>
      <x:c r="Q1254" s="17" t="n">
        <x:f>MAX(J1254-P1254-K1254,0)</x:f>
        <x:v>0</x:v>
      </x:c>
      <x:c r="R1254" s="13" t="n">
        <x:f>IF(D1254="",MAX(TODAY()-C1254,0),MAX(D1254-C1254,0))</x:f>
        <x:v>0</x:v>
      </x:c>
      <x:c r="S1254" s="13" t="str">
        <x:f>IF(R1254=0,"Em dia",IF(R1254&lt;=15,"1-15 dias",IF(R1254&lt;=30,"16-30 dias",IF(R1254&lt;=60,"31-60 dias","Acima de 60 dias"))))</x:f>
        <x:v>Em dia</x:v>
      </x:c>
    </x:row>
    <x:row r="1255">
      <x:c r="A1255" s="13" t="str">
        <x:v>REC-001254</x:v>
      </x:c>
      <x:c r="B1255" s="23" t="n">
        <x:v>45909</x:v>
      </x:c>
      <x:c r="C1255" s="23" t="n">
        <x:v>45924</x:v>
      </x:c>
      <x:c r="D1255" s="23" t="n">
        <x:v>45922</x:v>
      </x:c>
      <x:c r="E1255" s="13" t="str">
        <x:v>VAL-017</x:v>
      </x:c>
      <x:c r="F1255" s="13" t="str">
        <x:v>Centro Médico Vida</x:v>
      </x:c>
      <x:c r="G1255" s="13" t="str">
        <x:v>Clínicas e Saúde</x:v>
      </x:c>
      <x:c r="H1255" s="13" t="str">
        <x:v>Baixo</x:v>
      </x:c>
      <x:c r="I1255" s="13" t="str">
        <x:v>Essencial</x:v>
      </x:c>
      <x:c r="J1255" s="17" t="n">
        <x:v>13820.27</x:v>
      </x:c>
      <x:c r="K1255" s="17" t="n">
        <x:v>0</x:v>
      </x:c>
      <x:c r="L1255" s="17" t="n">
        <x:v>0</x:v>
      </x:c>
      <x:c r="M1255" s="13" t="str">
        <x:v>Pago</x:v>
      </x:c>
      <x:c r="N1255" s="13" t="str">
        <x:v>Sem cobrança</x:v>
      </x:c>
      <x:c r="O1255" s="13" t="str">
        <x:v>Operação Clareza</x:v>
      </x:c>
      <x:c r="P1255" s="17" t="n">
        <x:f>IF(D1255="",0,J1255-K1255+L1255)</x:f>
        <x:v>13820.27</x:v>
      </x:c>
      <x:c r="Q1255" s="17" t="n">
        <x:f>MAX(J1255-P1255-K1255,0)</x:f>
        <x:v>0</x:v>
      </x:c>
      <x:c r="R1255" s="13" t="n">
        <x:f>IF(D1255="",MAX(TODAY()-C1255,0),MAX(D1255-C1255,0))</x:f>
        <x:v>0</x:v>
      </x:c>
      <x:c r="S1255" s="13" t="str">
        <x:f>IF(R1255=0,"Em dia",IF(R1255&lt;=15,"1-15 dias",IF(R1255&lt;=30,"16-30 dias",IF(R1255&lt;=60,"31-60 dias","Acima de 60 dias"))))</x:f>
        <x:v>Em dia</x:v>
      </x:c>
    </x:row>
    <x:row r="1256">
      <x:c r="A1256" s="13" t="str">
        <x:v>REC-001255</x:v>
      </x:c>
      <x:c r="B1256" s="23" t="n">
        <x:v>45913</x:v>
      </x:c>
      <x:c r="C1256" s="23" t="n">
        <x:v>45943</x:v>
      </x:c>
      <x:c r="D1256" s="23" t="n">
        <x:v>45942</x:v>
      </x:c>
      <x:c r="E1256" s="13" t="str">
        <x:v>VAL-013</x:v>
      </x:c>
      <x:c r="F1256" s="13" t="str">
        <x:v>Engenharia Vértice</x:v>
      </x:c>
      <x:c r="G1256" s="13" t="str">
        <x:v>Construção</x:v>
      </x:c>
      <x:c r="H1256" s="13" t="str">
        <x:v>Baixo</x:v>
      </x:c>
      <x:c r="I1256" s="13" t="str">
        <x:v>Essencial</x:v>
      </x:c>
      <x:c r="J1256" s="17" t="n">
        <x:v>9832.56</x:v>
      </x:c>
      <x:c r="K1256" s="17" t="n">
        <x:v>114.41</x:v>
      </x:c>
      <x:c r="L1256" s="17" t="n">
        <x:v>0</x:v>
      </x:c>
      <x:c r="M1256" s="13" t="str">
        <x:v>Pago</x:v>
      </x:c>
      <x:c r="N1256" s="13" t="str">
        <x:v>Sem cobrança</x:v>
      </x:c>
      <x:c r="O1256" s="13" t="str">
        <x:v>Operação Clareza</x:v>
      </x:c>
      <x:c r="P1256" s="17" t="n">
        <x:f>IF(D1256="",0,J1256-K1256+L1256)</x:f>
        <x:v>9718.15</x:v>
      </x:c>
      <x:c r="Q1256" s="17" t="n">
        <x:f>MAX(J1256-P1256-K1256,0)</x:f>
        <x:v>0</x:v>
      </x:c>
      <x:c r="R1256" s="13" t="n">
        <x:f>IF(D1256="",MAX(TODAY()-C1256,0),MAX(D1256-C1256,0))</x:f>
        <x:v>0</x:v>
      </x:c>
      <x:c r="S1256" s="13" t="str">
        <x:f>IF(R1256=0,"Em dia",IF(R1256&lt;=15,"1-15 dias",IF(R1256&lt;=30,"16-30 dias",IF(R1256&lt;=60,"31-60 dias","Acima de 60 dias"))))</x:f>
        <x:v>Em dia</x:v>
      </x:c>
    </x:row>
    <x:row r="1257">
      <x:c r="A1257" s="13" t="str">
        <x:v>REC-001256</x:v>
      </x:c>
      <x:c r="B1257" s="23" t="n">
        <x:v>45915</x:v>
      </x:c>
      <x:c r="C1257" s="23" t="n">
        <x:v>45945</x:v>
      </x:c>
      <x:c r="D1257" s="23" t="n">
        <x:v>45945</x:v>
      </x:c>
      <x:c r="E1257" s="13" t="str">
        <x:v>VAL-030</x:v>
      </x:c>
      <x:c r="F1257" s="13" t="str">
        <x:v>Mundo Kids Cursos</x:v>
      </x:c>
      <x:c r="G1257" s="13" t="str">
        <x:v>Educação</x:v>
      </x:c>
      <x:c r="H1257" s="13" t="str">
        <x:v>Alto</x:v>
      </x:c>
      <x:c r="I1257" s="13" t="str">
        <x:v>Gestão</x:v>
      </x:c>
      <x:c r="J1257" s="17" t="n">
        <x:v>21737.7</x:v>
      </x:c>
      <x:c r="K1257" s="17" t="n">
        <x:v>0</x:v>
      </x:c>
      <x:c r="L1257" s="17" t="n">
        <x:v>0</x:v>
      </x:c>
      <x:c r="M1257" s="13" t="str">
        <x:v>Pago</x:v>
      </x:c>
      <x:c r="N1257" s="13" t="str">
        <x:v>Sem cobrança</x:v>
      </x:c>
      <x:c r="O1257" s="13" t="str">
        <x:v>Operação Clareza</x:v>
      </x:c>
      <x:c r="P1257" s="17" t="n">
        <x:f>IF(D1257="",0,J1257-K1257+L1257)</x:f>
        <x:v>21737.7</x:v>
      </x:c>
      <x:c r="Q1257" s="17" t="n">
        <x:f>MAX(J1257-P1257-K1257,0)</x:f>
        <x:v>0</x:v>
      </x:c>
      <x:c r="R1257" s="13" t="n">
        <x:f>IF(D1257="",MAX(TODAY()-C1257,0),MAX(D1257-C1257,0))</x:f>
        <x:v>0</x:v>
      </x:c>
      <x:c r="S1257" s="13" t="str">
        <x:f>IF(R1257=0,"Em dia",IF(R1257&lt;=15,"1-15 dias",IF(R1257&lt;=30,"16-30 dias",IF(R1257&lt;=60,"31-60 dias","Acima de 60 dias"))))</x:f>
        <x:v>Em dia</x:v>
      </x:c>
    </x:row>
    <x:row r="1258">
      <x:c r="A1258" s="13" t="str">
        <x:v>REC-001257</x:v>
      </x:c>
      <x:c r="B1258" s="23" t="n">
        <x:v>45905</x:v>
      </x:c>
      <x:c r="C1258" s="23" t="n">
        <x:v>45935</x:v>
      </x:c>
      <x:c r="D1258" s="23" t="n">
        <x:v>45935</x:v>
      </x:c>
      <x:c r="E1258" s="13" t="str">
        <x:v>VAL-025</x:v>
      </x:c>
      <x:c r="F1258" s="13" t="str">
        <x:v>Bem-Estar Terapias</x:v>
      </x:c>
      <x:c r="G1258" s="13" t="str">
        <x:v>Clínicas e Saúde</x:v>
      </x:c>
      <x:c r="H1258" s="13" t="str">
        <x:v>Baixo</x:v>
      </x:c>
      <x:c r="I1258" s="13" t="str">
        <x:v>Essencial</x:v>
      </x:c>
      <x:c r="J1258" s="17" t="n">
        <x:v>11036.69</x:v>
      </x:c>
      <x:c r="K1258" s="17" t="n">
        <x:v>0</x:v>
      </x:c>
      <x:c r="L1258" s="17" t="n">
        <x:v>0</x:v>
      </x:c>
      <x:c r="M1258" s="13" t="str">
        <x:v>Pago</x:v>
      </x:c>
      <x:c r="N1258" s="13" t="str">
        <x:v>Sem cobrança</x:v>
      </x:c>
      <x:c r="O1258" s="13" t="str">
        <x:v>Operação Clareza</x:v>
      </x:c>
      <x:c r="P1258" s="17" t="n">
        <x:f>IF(D1258="",0,J1258-K1258+L1258)</x:f>
        <x:v>11036.69</x:v>
      </x:c>
      <x:c r="Q1258" s="17" t="n">
        <x:f>MAX(J1258-P1258-K1258,0)</x:f>
        <x:v>0</x:v>
      </x:c>
      <x:c r="R1258" s="13" t="n">
        <x:f>IF(D1258="",MAX(TODAY()-C1258,0),MAX(D1258-C1258,0))</x:f>
        <x:v>0</x:v>
      </x:c>
      <x:c r="S1258" s="13" t="str">
        <x:f>IF(R1258=0,"Em dia",IF(R1258&lt;=15,"1-15 dias",IF(R1258&lt;=30,"16-30 dias",IF(R1258&lt;=60,"31-60 dias","Acima de 60 dias"))))</x:f>
        <x:v>Em dia</x:v>
      </x:c>
    </x:row>
    <x:row r="1259">
      <x:c r="A1259" s="13" t="str">
        <x:v>REC-001258</x:v>
      </x:c>
      <x:c r="B1259" s="23" t="n">
        <x:v>45907</x:v>
      </x:c>
      <x:c r="C1259" s="23" t="n">
        <x:v>45914</x:v>
      </x:c>
      <x:c r="D1259" s="23" t="n">
        <x:v>45912</x:v>
      </x:c>
      <x:c r="E1259" s="13" t="str">
        <x:v>VAL-017</x:v>
      </x:c>
      <x:c r="F1259" s="13" t="str">
        <x:v>Centro Médico Vida</x:v>
      </x:c>
      <x:c r="G1259" s="13" t="str">
        <x:v>Clínicas e Saúde</x:v>
      </x:c>
      <x:c r="H1259" s="13" t="str">
        <x:v>Baixo</x:v>
      </x:c>
      <x:c r="I1259" s="13" t="str">
        <x:v>Essencial</x:v>
      </x:c>
      <x:c r="J1259" s="17" t="n">
        <x:v>10648.33</x:v>
      </x:c>
      <x:c r="K1259" s="17" t="n">
        <x:v>80.76</x:v>
      </x:c>
      <x:c r="L1259" s="17" t="n">
        <x:v>0</x:v>
      </x:c>
      <x:c r="M1259" s="13" t="str">
        <x:v>Pago</x:v>
      </x:c>
      <x:c r="N1259" s="13" t="str">
        <x:v>Sem cobrança</x:v>
      </x:c>
      <x:c r="O1259" s="13" t="str">
        <x:v>Operação Clareza</x:v>
      </x:c>
      <x:c r="P1259" s="17" t="n">
        <x:f>IF(D1259="",0,J1259-K1259+L1259)</x:f>
        <x:v>10567.57</x:v>
      </x:c>
      <x:c r="Q1259" s="17" t="n">
        <x:f>MAX(J1259-P1259-K1259,0)</x:f>
        <x:v>2.1316282072803006e-13</x:v>
      </x:c>
      <x:c r="R1259" s="13" t="n">
        <x:f>IF(D1259="",MAX(TODAY()-C1259,0),MAX(D1259-C1259,0))</x:f>
        <x:v>0</x:v>
      </x:c>
      <x:c r="S1259" s="13" t="str">
        <x:f>IF(R1259=0,"Em dia",IF(R1259&lt;=15,"1-15 dias",IF(R1259&lt;=30,"16-30 dias",IF(R1259&lt;=60,"31-60 dias","Acima de 60 dias"))))</x:f>
        <x:v>Em dia</x:v>
      </x:c>
    </x:row>
    <x:row r="1260">
      <x:c r="A1260" s="13" t="str">
        <x:v>REC-001259</x:v>
      </x:c>
      <x:c r="B1260" s="23" t="n">
        <x:v>45913</x:v>
      </x:c>
      <x:c r="C1260" s="23" t="n">
        <x:v>45941</x:v>
      </x:c>
      <x:c r="D1260" s="23" t="n">
        <x:v>45941</x:v>
      </x:c>
      <x:c r="E1260" s="13" t="str">
        <x:v>VAL-023</x:v>
      </x:c>
      <x:c r="F1260" s="13" t="str">
        <x:v>ShopMix Brasil</x:v>
      </x:c>
      <x:c r="G1260" s="13" t="str">
        <x:v>E-commerce</x:v>
      </x:c>
      <x:c r="H1260" s="13" t="str">
        <x:v>Baixo</x:v>
      </x:c>
      <x:c r="I1260" s="13" t="str">
        <x:v>Performance</x:v>
      </x:c>
      <x:c r="J1260" s="17" t="n">
        <x:v>14760.47</x:v>
      </x:c>
      <x:c r="K1260" s="17" t="n">
        <x:v>0</x:v>
      </x:c>
      <x:c r="L1260" s="17" t="n">
        <x:v>0</x:v>
      </x:c>
      <x:c r="M1260" s="13" t="str">
        <x:v>Pago</x:v>
      </x:c>
      <x:c r="N1260" s="13" t="str">
        <x:v>Sem cobrança</x:v>
      </x:c>
      <x:c r="O1260" s="13" t="str">
        <x:v>Operação Clareza</x:v>
      </x:c>
      <x:c r="P1260" s="17" t="n">
        <x:f>IF(D1260="",0,J1260-K1260+L1260)</x:f>
        <x:v>14760.47</x:v>
      </x:c>
      <x:c r="Q1260" s="17" t="n">
        <x:f>MAX(J1260-P1260-K1260,0)</x:f>
        <x:v>0</x:v>
      </x:c>
      <x:c r="R1260" s="13" t="n">
        <x:f>IF(D1260="",MAX(TODAY()-C1260,0),MAX(D1260-C1260,0))</x:f>
        <x:v>0</x:v>
      </x:c>
      <x:c r="S1260" s="13" t="str">
        <x:f>IF(R1260=0,"Em dia",IF(R1260&lt;=15,"1-15 dias",IF(R1260&lt;=30,"16-30 dias",IF(R1260&lt;=60,"31-60 dias","Acima de 60 dias"))))</x:f>
        <x:v>Em dia</x:v>
      </x:c>
    </x:row>
    <x:row r="1261">
      <x:c r="A1261" s="13" t="str">
        <x:v>REC-001260</x:v>
      </x:c>
      <x:c r="B1261" s="23" t="n">
        <x:v>45918</x:v>
      </x:c>
      <x:c r="C1261" s="23" t="n">
        <x:v>45948</x:v>
      </x:c>
      <x:c r="D1261" s="23" t="n">
        <x:v>45946</x:v>
      </x:c>
      <x:c r="E1261" s="13" t="str">
        <x:v>VAL-005</x:v>
      </x:c>
      <x:c r="F1261" s="13" t="str">
        <x:v>Construtora Alameda</x:v>
      </x:c>
      <x:c r="G1261" s="13" t="str">
        <x:v>Construção</x:v>
      </x:c>
      <x:c r="H1261" s="13" t="str">
        <x:v>Médio</x:v>
      </x:c>
      <x:c r="I1261" s="13" t="str">
        <x:v>Essencial</x:v>
      </x:c>
      <x:c r="J1261" s="17" t="n">
        <x:v>11091.71</x:v>
      </x:c>
      <x:c r="K1261" s="17" t="n">
        <x:v>0</x:v>
      </x:c>
      <x:c r="L1261" s="17" t="n">
        <x:v>0</x:v>
      </x:c>
      <x:c r="M1261" s="13" t="str">
        <x:v>Pago</x:v>
      </x:c>
      <x:c r="N1261" s="13" t="str">
        <x:v>Sem cobrança</x:v>
      </x:c>
      <x:c r="O1261" s="13" t="str">
        <x:v>Operação Clareza</x:v>
      </x:c>
      <x:c r="P1261" s="17" t="n">
        <x:f>IF(D1261="",0,J1261-K1261+L1261)</x:f>
        <x:v>11091.71</x:v>
      </x:c>
      <x:c r="Q1261" s="17" t="n">
        <x:f>MAX(J1261-P1261-K1261,0)</x:f>
        <x:v>0</x:v>
      </x:c>
      <x:c r="R1261" s="13" t="n">
        <x:f>IF(D1261="",MAX(TODAY()-C1261,0),MAX(D1261-C1261,0))</x:f>
        <x:v>0</x:v>
      </x:c>
      <x:c r="S1261" s="13" t="str">
        <x:f>IF(R1261=0,"Em dia",IF(R1261&lt;=15,"1-15 dias",IF(R1261&lt;=30,"16-30 dias",IF(R1261&lt;=60,"31-60 dias","Acima de 60 dias"))))</x:f>
        <x:v>Em dia</x:v>
      </x:c>
    </x:row>
    <x:row r="1262">
      <x:c r="A1262" s="13" t="str">
        <x:v>REC-001261</x:v>
      </x:c>
      <x:c r="B1262" s="23" t="n">
        <x:v>45947</x:v>
      </x:c>
      <x:c r="C1262" s="23" t="n">
        <x:v>45968</x:v>
      </x:c>
      <x:c r="D1262" s="23" t="n">
        <x:v>45965</x:v>
      </x:c>
      <x:c r="E1262" s="13" t="str">
        <x:v>VAL-007</x:v>
      </x:c>
      <x:c r="F1262" s="13" t="str">
        <x:v>Loja Prisma Online</x:v>
      </x:c>
      <x:c r="G1262" s="13" t="str">
        <x:v>E-commerce</x:v>
      </x:c>
      <x:c r="H1262" s="13" t="str">
        <x:v>Médio</x:v>
      </x:c>
      <x:c r="I1262" s="13" t="str">
        <x:v>Performance</x:v>
      </x:c>
      <x:c r="J1262" s="17" t="n">
        <x:v>25042.39</x:v>
      </x:c>
      <x:c r="K1262" s="17" t="n">
        <x:v>0</x:v>
      </x:c>
      <x:c r="L1262" s="17" t="n">
        <x:v>0</x:v>
      </x:c>
      <x:c r="M1262" s="13" t="str">
        <x:v>Pago</x:v>
      </x:c>
      <x:c r="N1262" s="13" t="str">
        <x:v>Sem cobrança</x:v>
      </x:c>
      <x:c r="O1262" s="13" t="str">
        <x:v>Operação Clareza</x:v>
      </x:c>
      <x:c r="P1262" s="17" t="n">
        <x:f>IF(D1262="",0,J1262-K1262+L1262)</x:f>
        <x:v>25042.39</x:v>
      </x:c>
      <x:c r="Q1262" s="17" t="n">
        <x:f>MAX(J1262-P1262-K1262,0)</x:f>
        <x:v>0</x:v>
      </x:c>
      <x:c r="R1262" s="13" t="n">
        <x:f>IF(D1262="",MAX(TODAY()-C1262,0),MAX(D1262-C1262,0))</x:f>
        <x:v>0</x:v>
      </x:c>
      <x:c r="S1262" s="13" t="str">
        <x:f>IF(R1262=0,"Em dia",IF(R1262&lt;=15,"1-15 dias",IF(R1262&lt;=30,"16-30 dias",IF(R1262&lt;=60,"31-60 dias","Acima de 60 dias"))))</x:f>
        <x:v>Em dia</x:v>
      </x:c>
    </x:row>
    <x:row r="1263">
      <x:c r="A1263" s="13" t="str">
        <x:v>REC-001262</x:v>
      </x:c>
      <x:c r="B1263" s="23" t="n">
        <x:v>45932</x:v>
      </x:c>
      <x:c r="C1263" s="23" t="n">
        <x:v>45947</x:v>
      </x:c>
      <x:c r="D1263" s="23" t="n">
        <x:v>45947</x:v>
      </x:c>
      <x:c r="E1263" s="13" t="str">
        <x:v>VAL-003</x:v>
      </x:c>
      <x:c r="F1263" s="13" t="str">
        <x:v>Casa Nova Varejo</x:v>
      </x:c>
      <x:c r="G1263" s="13" t="str">
        <x:v>Varejo</x:v>
      </x:c>
      <x:c r="H1263" s="13" t="str">
        <x:v>Baixo</x:v>
      </x:c>
      <x:c r="I1263" s="13" t="str">
        <x:v>Performance</x:v>
      </x:c>
      <x:c r="J1263" s="17" t="n">
        <x:v>18331.06</x:v>
      </x:c>
      <x:c r="K1263" s="17" t="n">
        <x:v>0</x:v>
      </x:c>
      <x:c r="L1263" s="17" t="n">
        <x:v>0</x:v>
      </x:c>
      <x:c r="M1263" s="13" t="str">
        <x:v>Pago</x:v>
      </x:c>
      <x:c r="N1263" s="13" t="str">
        <x:v>Sem cobrança</x:v>
      </x:c>
      <x:c r="O1263" s="13" t="str">
        <x:v>Operação Clareza</x:v>
      </x:c>
      <x:c r="P1263" s="17" t="n">
        <x:f>IF(D1263="",0,J1263-K1263+L1263)</x:f>
        <x:v>18331.06</x:v>
      </x:c>
      <x:c r="Q1263" s="17" t="n">
        <x:f>MAX(J1263-P1263-K1263,0)</x:f>
        <x:v>0</x:v>
      </x:c>
      <x:c r="R1263" s="13" t="n">
        <x:f>IF(D1263="",MAX(TODAY()-C1263,0),MAX(D1263-C1263,0))</x:f>
        <x:v>0</x:v>
      </x:c>
      <x:c r="S1263" s="13" t="str">
        <x:f>IF(R1263=0,"Em dia",IF(R1263&lt;=15,"1-15 dias",IF(R1263&lt;=30,"16-30 dias",IF(R1263&lt;=60,"31-60 dias","Acima de 60 dias"))))</x:f>
        <x:v>Em dia</x:v>
      </x:c>
    </x:row>
    <x:row r="1264">
      <x:c r="A1264" s="13" t="str">
        <x:v>REC-001263</x:v>
      </x:c>
      <x:c r="B1264" s="23" t="n">
        <x:v>45942</x:v>
      </x:c>
      <x:c r="C1264" s="23" t="n">
        <x:v>45970</x:v>
      </x:c>
      <x:c r="D1264" s="23" t="n">
        <x:v>45969</x:v>
      </x:c>
      <x:c r="E1264" s="13" t="str">
        <x:v>VAL-001</x:v>
      </x:c>
      <x:c r="F1264" s="13" t="str">
        <x:v>Clínica Horizonte</x:v>
      </x:c>
      <x:c r="G1264" s="13" t="str">
        <x:v>Clínicas e Saúde</x:v>
      </x:c>
      <x:c r="H1264" s="13" t="str">
        <x:v>Baixo</x:v>
      </x:c>
      <x:c r="I1264" s="13" t="str">
        <x:v>Essencial</x:v>
      </x:c>
      <x:c r="J1264" s="17" t="n">
        <x:v>9185.18</x:v>
      </x:c>
      <x:c r="K1264" s="17" t="n">
        <x:v>0</x:v>
      </x:c>
      <x:c r="L1264" s="17" t="n">
        <x:v>0</x:v>
      </x:c>
      <x:c r="M1264" s="13" t="str">
        <x:v>Pago</x:v>
      </x:c>
      <x:c r="N1264" s="13" t="str">
        <x:v>Sem cobrança</x:v>
      </x:c>
      <x:c r="O1264" s="13" t="str">
        <x:v>Operação Clareza</x:v>
      </x:c>
      <x:c r="P1264" s="17" t="n">
        <x:f>IF(D1264="",0,J1264-K1264+L1264)</x:f>
        <x:v>9185.18</x:v>
      </x:c>
      <x:c r="Q1264" s="17" t="n">
        <x:f>MAX(J1264-P1264-K1264,0)</x:f>
        <x:v>0</x:v>
      </x:c>
      <x:c r="R1264" s="13" t="n">
        <x:f>IF(D1264="",MAX(TODAY()-C1264,0),MAX(D1264-C1264,0))</x:f>
        <x:v>0</x:v>
      </x:c>
      <x:c r="S1264" s="13" t="str">
        <x:f>IF(R1264=0,"Em dia",IF(R1264&lt;=15,"1-15 dias",IF(R1264&lt;=30,"16-30 dias",IF(R1264&lt;=60,"31-60 dias","Acima de 60 dias"))))</x:f>
        <x:v>Em dia</x:v>
      </x:c>
    </x:row>
    <x:row r="1265">
      <x:c r="A1265" s="13" t="str">
        <x:v>REC-001264</x:v>
      </x:c>
      <x:c r="B1265" s="23" t="n">
        <x:v>45935</x:v>
      </x:c>
      <x:c r="C1265" s="23" t="n">
        <x:v>45950</x:v>
      </x:c>
      <x:c r="D1265" s="23" t="n">
        <x:v>45950</x:v>
      </x:c>
      <x:c r="E1265" s="13" t="str">
        <x:v>VAL-020</x:v>
      </x:c>
      <x:c r="F1265" s="13" t="str">
        <x:v>Corelink Digital</x:v>
      </x:c>
      <x:c r="G1265" s="13" t="str">
        <x:v>Tecnologia</x:v>
      </x:c>
      <x:c r="H1265" s="13" t="str">
        <x:v>Baixo</x:v>
      </x:c>
      <x:c r="I1265" s="13" t="str">
        <x:v>Enterprise</x:v>
      </x:c>
      <x:c r="J1265" s="17" t="n">
        <x:v>5868.2</x:v>
      </x:c>
      <x:c r="K1265" s="17" t="n">
        <x:v>96.42</x:v>
      </x:c>
      <x:c r="L1265" s="17" t="n">
        <x:v>0</x:v>
      </x:c>
      <x:c r="M1265" s="13" t="str">
        <x:v>Pago</x:v>
      </x:c>
      <x:c r="N1265" s="13" t="str">
        <x:v>Sem cobrança</x:v>
      </x:c>
      <x:c r="O1265" s="13" t="str">
        <x:v>Operação Clareza</x:v>
      </x:c>
      <x:c r="P1265" s="17" t="n">
        <x:f>IF(D1265="",0,J1265-K1265+L1265)</x:f>
        <x:v>5771.78</x:v>
      </x:c>
      <x:c r="Q1265" s="17" t="n">
        <x:f>MAX(J1265-P1265-K1265,0)</x:f>
        <x:v>7.105427357601002e-14</x:v>
      </x:c>
      <x:c r="R1265" s="13" t="n">
        <x:f>IF(D1265="",MAX(TODAY()-C1265,0),MAX(D1265-C1265,0))</x:f>
        <x:v>0</x:v>
      </x:c>
      <x:c r="S1265" s="13" t="str">
        <x:f>IF(R1265=0,"Em dia",IF(R1265&lt;=15,"1-15 dias",IF(R1265&lt;=30,"16-30 dias",IF(R1265&lt;=60,"31-60 dias","Acima de 60 dias"))))</x:f>
        <x:v>Em dia</x:v>
      </x:c>
    </x:row>
    <x:row r="1266">
      <x:c r="A1266" s="13" t="str">
        <x:v>REC-001265</x:v>
      </x:c>
      <x:c r="B1266" s="23" t="n">
        <x:v>45934</x:v>
      </x:c>
      <x:c r="C1266" s="23" t="n">
        <x:v>45941</x:v>
      </x:c>
      <x:c r="D1266" s="23" t="n">
        <x:v>45941</x:v>
      </x:c>
      <x:c r="E1266" s="13" t="str">
        <x:v>VAL-015</x:v>
      </x:c>
      <x:c r="F1266" s="13" t="str">
        <x:v>Mercado Click</x:v>
      </x:c>
      <x:c r="G1266" s="13" t="str">
        <x:v>E-commerce</x:v>
      </x:c>
      <x:c r="H1266" s="13" t="str">
        <x:v>Baixo</x:v>
      </x:c>
      <x:c r="I1266" s="13" t="str">
        <x:v>Performance</x:v>
      </x:c>
      <x:c r="J1266" s="17" t="n">
        <x:v>13319.17</x:v>
      </x:c>
      <x:c r="K1266" s="17" t="n">
        <x:v>152.01</x:v>
      </x:c>
      <x:c r="L1266" s="17" t="n">
        <x:v>0</x:v>
      </x:c>
      <x:c r="M1266" s="13" t="str">
        <x:v>Pago</x:v>
      </x:c>
      <x:c r="N1266" s="13" t="str">
        <x:v>Sem cobrança</x:v>
      </x:c>
      <x:c r="O1266" s="13" t="str">
        <x:v>Operação Clareza</x:v>
      </x:c>
      <x:c r="P1266" s="17" t="n">
        <x:f>IF(D1266="",0,J1266-K1266+L1266)</x:f>
        <x:v>13167.16</x:v>
      </x:c>
      <x:c r="Q1266" s="17" t="n">
        <x:f>MAX(J1266-P1266-K1266,0)</x:f>
        <x:v>2.2737367544323206e-13</x:v>
      </x:c>
      <x:c r="R1266" s="13" t="n">
        <x:f>IF(D1266="",MAX(TODAY()-C1266,0),MAX(D1266-C1266,0))</x:f>
        <x:v>0</x:v>
      </x:c>
      <x:c r="S1266" s="13" t="str">
        <x:f>IF(R1266=0,"Em dia",IF(R1266&lt;=15,"1-15 dias",IF(R1266&lt;=30,"16-30 dias",IF(R1266&lt;=60,"31-60 dias","Acima de 60 dias"))))</x:f>
        <x:v>Em dia</x:v>
      </x:c>
    </x:row>
    <x:row r="1267">
      <x:c r="A1267" s="13" t="str">
        <x:v>REC-001266</x:v>
      </x:c>
      <x:c r="B1267" s="23" t="n">
        <x:v>45943</x:v>
      </x:c>
      <x:c r="C1267" s="23" t="n">
        <x:v>45950</x:v>
      </x:c>
      <x:c r="D1267" s="23" t="n">
        <x:v>45947</x:v>
      </x:c>
      <x:c r="E1267" s="13" t="str">
        <x:v>VAL-013</x:v>
      </x:c>
      <x:c r="F1267" s="13" t="str">
        <x:v>Engenharia Vértice</x:v>
      </x:c>
      <x:c r="G1267" s="13" t="str">
        <x:v>Construção</x:v>
      </x:c>
      <x:c r="H1267" s="13" t="str">
        <x:v>Baixo</x:v>
      </x:c>
      <x:c r="I1267" s="13" t="str">
        <x:v>Essencial</x:v>
      </x:c>
      <x:c r="J1267" s="17" t="n">
        <x:v>6728.86</x:v>
      </x:c>
      <x:c r="K1267" s="17" t="n">
        <x:v>0</x:v>
      </x:c>
      <x:c r="L1267" s="17" t="n">
        <x:v>0</x:v>
      </x:c>
      <x:c r="M1267" s="13" t="str">
        <x:v>Pago</x:v>
      </x:c>
      <x:c r="N1267" s="13" t="str">
        <x:v>Sem cobrança</x:v>
      </x:c>
      <x:c r="O1267" s="13" t="str">
        <x:v>Operação Clareza</x:v>
      </x:c>
      <x:c r="P1267" s="17" t="n">
        <x:f>IF(D1267="",0,J1267-K1267+L1267)</x:f>
        <x:v>6728.86</x:v>
      </x:c>
      <x:c r="Q1267" s="17" t="n">
        <x:f>MAX(J1267-P1267-K1267,0)</x:f>
        <x:v>0</x:v>
      </x:c>
      <x:c r="R1267" s="13" t="n">
        <x:f>IF(D1267="",MAX(TODAY()-C1267,0),MAX(D1267-C1267,0))</x:f>
        <x:v>0</x:v>
      </x:c>
      <x:c r="S1267" s="13" t="str">
        <x:f>IF(R1267=0,"Em dia",IF(R1267&lt;=15,"1-15 dias",IF(R1267&lt;=30,"16-30 dias",IF(R1267&lt;=60,"31-60 dias","Acima de 60 dias"))))</x:f>
        <x:v>Em dia</x:v>
      </x:c>
    </x:row>
    <x:row r="1268">
      <x:c r="A1268" s="13" t="str">
        <x:v>REC-001267</x:v>
      </x:c>
      <x:c r="B1268" s="23" t="n">
        <x:v>45950</x:v>
      </x:c>
      <x:c r="C1268" s="23" t="n">
        <x:v>45971</x:v>
      </x:c>
      <x:c r="D1268" s="23" t="n">
        <x:v>45969</x:v>
      </x:c>
      <x:c r="E1268" s="13" t="str">
        <x:v>VAL-024</x:v>
      </x:c>
      <x:c r="F1268" s="13" t="str">
        <x:v>NovaForma Móveis</x:v>
      </x:c>
      <x:c r="G1268" s="13" t="str">
        <x:v>Indústria Leve</x:v>
      </x:c>
      <x:c r="H1268" s="13" t="str">
        <x:v>Baixo</x:v>
      </x:c>
      <x:c r="I1268" s="13" t="str">
        <x:v>Enterprise</x:v>
      </x:c>
      <x:c r="J1268" s="17" t="n">
        <x:v>2344.38</x:v>
      </x:c>
      <x:c r="K1268" s="17" t="n">
        <x:v>0</x:v>
      </x:c>
      <x:c r="L1268" s="17" t="n">
        <x:v>0</x:v>
      </x:c>
      <x:c r="M1268" s="13" t="str">
        <x:v>Pago</x:v>
      </x:c>
      <x:c r="N1268" s="13" t="str">
        <x:v>Sem cobrança</x:v>
      </x:c>
      <x:c r="O1268" s="13" t="str">
        <x:v>Operação Clareza</x:v>
      </x:c>
      <x:c r="P1268" s="17" t="n">
        <x:f>IF(D1268="",0,J1268-K1268+L1268)</x:f>
        <x:v>2344.38</x:v>
      </x:c>
      <x:c r="Q1268" s="17" t="n">
        <x:f>MAX(J1268-P1268-K1268,0)</x:f>
        <x:v>0</x:v>
      </x:c>
      <x:c r="R1268" s="13" t="n">
        <x:f>IF(D1268="",MAX(TODAY()-C1268,0),MAX(D1268-C1268,0))</x:f>
        <x:v>0</x:v>
      </x:c>
      <x:c r="S1268" s="13" t="str">
        <x:f>IF(R1268=0,"Em dia",IF(R1268&lt;=15,"1-15 dias",IF(R1268&lt;=30,"16-30 dias",IF(R1268&lt;=60,"31-60 dias","Acima de 60 dias"))))</x:f>
        <x:v>Em dia</x:v>
      </x:c>
    </x:row>
    <x:row r="1269">
      <x:c r="A1269" s="13" t="str">
        <x:v>REC-001268</x:v>
      </x:c>
      <x:c r="B1269" s="23" t="n">
        <x:v>45941</x:v>
      </x:c>
      <x:c r="C1269" s="23" t="n">
        <x:v>45971</x:v>
      </x:c>
      <x:c r="D1269" s="23" t="n">
        <x:v>45967</x:v>
      </x:c>
      <x:c r="E1269" s="13" t="str">
        <x:v>VAL-020</x:v>
      </x:c>
      <x:c r="F1269" s="13" t="str">
        <x:v>Corelink Digital</x:v>
      </x:c>
      <x:c r="G1269" s="13" t="str">
        <x:v>Tecnologia</x:v>
      </x:c>
      <x:c r="H1269" s="13" t="str">
        <x:v>Baixo</x:v>
      </x:c>
      <x:c r="I1269" s="13" t="str">
        <x:v>Enterprise</x:v>
      </x:c>
      <x:c r="J1269" s="17" t="n">
        <x:v>2095.07</x:v>
      </x:c>
      <x:c r="K1269" s="17" t="n">
        <x:v>0</x:v>
      </x:c>
      <x:c r="L1269" s="17" t="n">
        <x:v>0</x:v>
      </x:c>
      <x:c r="M1269" s="13" t="str">
        <x:v>Pago</x:v>
      </x:c>
      <x:c r="N1269" s="13" t="str">
        <x:v>Sem cobrança</x:v>
      </x:c>
      <x:c r="O1269" s="13" t="str">
        <x:v>Operação Clareza</x:v>
      </x:c>
      <x:c r="P1269" s="17" t="n">
        <x:f>IF(D1269="",0,J1269-K1269+L1269)</x:f>
        <x:v>2095.07</x:v>
      </x:c>
      <x:c r="Q1269" s="17" t="n">
        <x:f>MAX(J1269-P1269-K1269,0)</x:f>
        <x:v>0</x:v>
      </x:c>
      <x:c r="R1269" s="13" t="n">
        <x:f>IF(D1269="",MAX(TODAY()-C1269,0),MAX(D1269-C1269,0))</x:f>
        <x:v>0</x:v>
      </x:c>
      <x:c r="S1269" s="13" t="str">
        <x:f>IF(R1269=0,"Em dia",IF(R1269&lt;=15,"1-15 dias",IF(R1269&lt;=30,"16-30 dias",IF(R1269&lt;=60,"31-60 dias","Acima de 60 dias"))))</x:f>
        <x:v>Em dia</x:v>
      </x:c>
    </x:row>
    <x:row r="1270">
      <x:c r="A1270" s="13" t="str">
        <x:v>REC-001269</x:v>
      </x:c>
      <x:c r="B1270" s="23" t="n">
        <x:v>45947</x:v>
      </x:c>
      <x:c r="C1270" s="23" t="n">
        <x:v>45975</x:v>
      </x:c>
      <x:c r="D1270" s="23" t="n">
        <x:v>45972</x:v>
      </x:c>
      <x:c r="E1270" s="13" t="str">
        <x:v>VAL-005</x:v>
      </x:c>
      <x:c r="F1270" s="13" t="str">
        <x:v>Construtora Alameda</x:v>
      </x:c>
      <x:c r="G1270" s="13" t="str">
        <x:v>Construção</x:v>
      </x:c>
      <x:c r="H1270" s="13" t="str">
        <x:v>Médio</x:v>
      </x:c>
      <x:c r="I1270" s="13" t="str">
        <x:v>Essencial</x:v>
      </x:c>
      <x:c r="J1270" s="17" t="n">
        <x:v>8116.06</x:v>
      </x:c>
      <x:c r="K1270" s="17" t="n">
        <x:v>135.87</x:v>
      </x:c>
      <x:c r="L1270" s="17" t="n">
        <x:v>0</x:v>
      </x:c>
      <x:c r="M1270" s="13" t="str">
        <x:v>Pago</x:v>
      </x:c>
      <x:c r="N1270" s="13" t="str">
        <x:v>Sem cobrança</x:v>
      </x:c>
      <x:c r="O1270" s="13" t="str">
        <x:v>Operação Clareza</x:v>
      </x:c>
      <x:c r="P1270" s="17" t="n">
        <x:f>IF(D1270="",0,J1270-K1270+L1270)</x:f>
        <x:v>7980.1900000000005</x:v>
      </x:c>
      <x:c r="Q1270" s="17" t="n">
        <x:f>MAX(J1270-P1270-K1270,0)</x:f>
        <x:v>0</x:v>
      </x:c>
      <x:c r="R1270" s="13" t="n">
        <x:f>IF(D1270="",MAX(TODAY()-C1270,0),MAX(D1270-C1270,0))</x:f>
        <x:v>0</x:v>
      </x:c>
      <x:c r="S1270" s="13" t="str">
        <x:f>IF(R1270=0,"Em dia",IF(R1270&lt;=15,"1-15 dias",IF(R1270&lt;=30,"16-30 dias",IF(R1270&lt;=60,"31-60 dias","Acima de 60 dias"))))</x:f>
        <x:v>Em dia</x:v>
      </x:c>
    </x:row>
    <x:row r="1271">
      <x:c r="A1271" s="13" t="str">
        <x:v>REC-001270</x:v>
      </x:c>
      <x:c r="B1271" s="23" t="n">
        <x:v>45936</x:v>
      </x:c>
      <x:c r="C1271" s="23" t="n">
        <x:v>45964</x:v>
      </x:c>
      <x:c r="D1271" s="23" t="n">
        <x:v>45962</x:v>
      </x:c>
      <x:c r="E1271" s="13" t="str">
        <x:v>VAL-024</x:v>
      </x:c>
      <x:c r="F1271" s="13" t="str">
        <x:v>NovaForma Móveis</x:v>
      </x:c>
      <x:c r="G1271" s="13" t="str">
        <x:v>Indústria Leve</x:v>
      </x:c>
      <x:c r="H1271" s="13" t="str">
        <x:v>Baixo</x:v>
      </x:c>
      <x:c r="I1271" s="13" t="str">
        <x:v>Enterprise</x:v>
      </x:c>
      <x:c r="J1271" s="17" t="n">
        <x:v>6789.71</x:v>
      </x:c>
      <x:c r="K1271" s="17" t="n">
        <x:v>0</x:v>
      </x:c>
      <x:c r="L1271" s="17" t="n">
        <x:v>0</x:v>
      </x:c>
      <x:c r="M1271" s="13" t="str">
        <x:v>Pago</x:v>
      </x:c>
      <x:c r="N1271" s="13" t="str">
        <x:v>Sem cobrança</x:v>
      </x:c>
      <x:c r="O1271" s="13" t="str">
        <x:v>Operação Clareza</x:v>
      </x:c>
      <x:c r="P1271" s="17" t="n">
        <x:f>IF(D1271="",0,J1271-K1271+L1271)</x:f>
        <x:v>6789.71</x:v>
      </x:c>
      <x:c r="Q1271" s="17" t="n">
        <x:f>MAX(J1271-P1271-K1271,0)</x:f>
        <x:v>0</x:v>
      </x:c>
      <x:c r="R1271" s="13" t="n">
        <x:f>IF(D1271="",MAX(TODAY()-C1271,0),MAX(D1271-C1271,0))</x:f>
        <x:v>0</x:v>
      </x:c>
      <x:c r="S1271" s="13" t="str">
        <x:f>IF(R1271=0,"Em dia",IF(R1271&lt;=15,"1-15 dias",IF(R1271&lt;=30,"16-30 dias",IF(R1271&lt;=60,"31-60 dias","Acima de 60 dias"))))</x:f>
        <x:v>Em dia</x:v>
      </x:c>
    </x:row>
    <x:row r="1272">
      <x:c r="A1272" s="13" t="str">
        <x:v>REC-001271</x:v>
      </x:c>
      <x:c r="B1272" s="23" t="n">
        <x:v>45933</x:v>
      </x:c>
      <x:c r="C1272" s="23" t="n">
        <x:v>45963</x:v>
      </x:c>
      <x:c r="D1272" s="23" t="n">
        <x:v>45959</x:v>
      </x:c>
      <x:c r="E1272" s="13" t="str">
        <x:v>VAL-015</x:v>
      </x:c>
      <x:c r="F1272" s="13" t="str">
        <x:v>Mercado Click</x:v>
      </x:c>
      <x:c r="G1272" s="13" t="str">
        <x:v>E-commerce</x:v>
      </x:c>
      <x:c r="H1272" s="13" t="str">
        <x:v>Baixo</x:v>
      </x:c>
      <x:c r="I1272" s="13" t="str">
        <x:v>Performance</x:v>
      </x:c>
      <x:c r="J1272" s="17" t="n">
        <x:v>10830.3</x:v>
      </x:c>
      <x:c r="K1272" s="17" t="n">
        <x:v>0</x:v>
      </x:c>
      <x:c r="L1272" s="17" t="n">
        <x:v>0</x:v>
      </x:c>
      <x:c r="M1272" s="13" t="str">
        <x:v>Pago</x:v>
      </x:c>
      <x:c r="N1272" s="13" t="str">
        <x:v>Sem cobrança</x:v>
      </x:c>
      <x:c r="O1272" s="13" t="str">
        <x:v>Operação Clareza</x:v>
      </x:c>
      <x:c r="P1272" s="17" t="n">
        <x:f>IF(D1272="",0,J1272-K1272+L1272)</x:f>
        <x:v>10830.3</x:v>
      </x:c>
      <x:c r="Q1272" s="17" t="n">
        <x:f>MAX(J1272-P1272-K1272,0)</x:f>
        <x:v>0</x:v>
      </x:c>
      <x:c r="R1272" s="13" t="n">
        <x:f>IF(D1272="",MAX(TODAY()-C1272,0),MAX(D1272-C1272,0))</x:f>
        <x:v>0</x:v>
      </x:c>
      <x:c r="S1272" s="13" t="str">
        <x:f>IF(R1272=0,"Em dia",IF(R1272&lt;=15,"1-15 dias",IF(R1272&lt;=30,"16-30 dias",IF(R1272&lt;=60,"31-60 dias","Acima de 60 dias"))))</x:f>
        <x:v>Em dia</x:v>
      </x:c>
    </x:row>
    <x:row r="1273">
      <x:c r="A1273" s="13" t="str">
        <x:v>REC-001272</x:v>
      </x:c>
      <x:c r="B1273" s="23" t="n">
        <x:v>45948</x:v>
      </x:c>
      <x:c r="C1273" s="23" t="n">
        <x:v>45978</x:v>
      </x:c>
      <x:c r="D1273" s="23" t="n">
        <x:v>45976</x:v>
      </x:c>
      <x:c r="E1273" s="13" t="str">
        <x:v>VAL-007</x:v>
      </x:c>
      <x:c r="F1273" s="13" t="str">
        <x:v>Loja Prisma Online</x:v>
      </x:c>
      <x:c r="G1273" s="13" t="str">
        <x:v>E-commerce</x:v>
      </x:c>
      <x:c r="H1273" s="13" t="str">
        <x:v>Médio</x:v>
      </x:c>
      <x:c r="I1273" s="13" t="str">
        <x:v>Performance</x:v>
      </x:c>
      <x:c r="J1273" s="17" t="n">
        <x:v>6443.01</x:v>
      </x:c>
      <x:c r="K1273" s="17" t="n">
        <x:v>0</x:v>
      </x:c>
      <x:c r="L1273" s="17" t="n">
        <x:v>0</x:v>
      </x:c>
      <x:c r="M1273" s="13" t="str">
        <x:v>Pago</x:v>
      </x:c>
      <x:c r="N1273" s="13" t="str">
        <x:v>Sem cobrança</x:v>
      </x:c>
      <x:c r="O1273" s="13" t="str">
        <x:v>Operação Clareza</x:v>
      </x:c>
      <x:c r="P1273" s="17" t="n">
        <x:f>IF(D1273="",0,J1273-K1273+L1273)</x:f>
        <x:v>6443.01</x:v>
      </x:c>
      <x:c r="Q1273" s="17" t="n">
        <x:f>MAX(J1273-P1273-K1273,0)</x:f>
        <x:v>0</x:v>
      </x:c>
      <x:c r="R1273" s="13" t="n">
        <x:f>IF(D1273="",MAX(TODAY()-C1273,0),MAX(D1273-C1273,0))</x:f>
        <x:v>0</x:v>
      </x:c>
      <x:c r="S1273" s="13" t="str">
        <x:f>IF(R1273=0,"Em dia",IF(R1273&lt;=15,"1-15 dias",IF(R1273&lt;=30,"16-30 dias",IF(R1273&lt;=60,"31-60 dias","Acima de 60 dias"))))</x:f>
        <x:v>Em dia</x:v>
      </x:c>
    </x:row>
    <x:row r="1274">
      <x:c r="A1274" s="13" t="str">
        <x:v>REC-001273</x:v>
      </x:c>
      <x:c r="B1274" s="23" t="n">
        <x:v>45932</x:v>
      </x:c>
      <x:c r="C1274" s="23" t="n">
        <x:v>45947</x:v>
      </x:c>
      <x:c r="D1274" s="23" t="n">
        <x:v>45947</x:v>
      </x:c>
      <x:c r="E1274" s="13" t="str">
        <x:v>VAL-018</x:v>
      </x:c>
      <x:c r="F1274" s="13" t="str">
        <x:v>Ponto Legal Advocacia</x:v>
      </x:c>
      <x:c r="G1274" s="13" t="str">
        <x:v>Serviços Profissionais</x:v>
      </x:c>
      <x:c r="H1274" s="13" t="str">
        <x:v>Baixo</x:v>
      </x:c>
      <x:c r="I1274" s="13" t="str">
        <x:v>Gestão</x:v>
      </x:c>
      <x:c r="J1274" s="17" t="n">
        <x:v>5522.55</x:v>
      </x:c>
      <x:c r="K1274" s="17" t="n">
        <x:v>0</x:v>
      </x:c>
      <x:c r="L1274" s="17" t="n">
        <x:v>0</x:v>
      </x:c>
      <x:c r="M1274" s="13" t="str">
        <x:v>Pago</x:v>
      </x:c>
      <x:c r="N1274" s="13" t="str">
        <x:v>Sem cobrança</x:v>
      </x:c>
      <x:c r="O1274" s="13" t="str">
        <x:v>Operação Clareza</x:v>
      </x:c>
      <x:c r="P1274" s="17" t="n">
        <x:f>IF(D1274="",0,J1274-K1274+L1274)</x:f>
        <x:v>5522.55</x:v>
      </x:c>
      <x:c r="Q1274" s="17" t="n">
        <x:f>MAX(J1274-P1274-K1274,0)</x:f>
        <x:v>0</x:v>
      </x:c>
      <x:c r="R1274" s="13" t="n">
        <x:f>IF(D1274="",MAX(TODAY()-C1274,0),MAX(D1274-C1274,0))</x:f>
        <x:v>0</x:v>
      </x:c>
      <x:c r="S1274" s="13" t="str">
        <x:f>IF(R1274=0,"Em dia",IF(R1274&lt;=15,"1-15 dias",IF(R1274&lt;=30,"16-30 dias",IF(R1274&lt;=60,"31-60 dias","Acima de 60 dias"))))</x:f>
        <x:v>Em dia</x:v>
      </x:c>
    </x:row>
    <x:row r="1275">
      <x:c r="A1275" s="13" t="str">
        <x:v>REC-001274</x:v>
      </x:c>
      <x:c r="B1275" s="23" t="n">
        <x:v>45947</x:v>
      </x:c>
      <x:c r="C1275" s="23" t="n">
        <x:v>45975</x:v>
      </x:c>
      <x:c r="D1275" s="23" t="n">
        <x:v>45972</x:v>
      </x:c>
      <x:c r="E1275" s="13" t="str">
        <x:v>VAL-028</x:v>
      </x:c>
      <x:c r="F1275" s="13" t="str">
        <x:v>Pixel Norte</x:v>
      </x:c>
      <x:c r="G1275" s="13" t="str">
        <x:v>Tecnologia</x:v>
      </x:c>
      <x:c r="H1275" s="13" t="str">
        <x:v>Alto</x:v>
      </x:c>
      <x:c r="I1275" s="13" t="str">
        <x:v>Enterprise</x:v>
      </x:c>
      <x:c r="J1275" s="17" t="n">
        <x:v>21591.16</x:v>
      </x:c>
      <x:c r="K1275" s="17" t="n">
        <x:v>0</x:v>
      </x:c>
      <x:c r="L1275" s="17" t="n">
        <x:v>0</x:v>
      </x:c>
      <x:c r="M1275" s="13" t="str">
        <x:v>Pago</x:v>
      </x:c>
      <x:c r="N1275" s="13" t="str">
        <x:v>Sem cobrança</x:v>
      </x:c>
      <x:c r="O1275" s="13" t="str">
        <x:v>Operação Clareza</x:v>
      </x:c>
      <x:c r="P1275" s="17" t="n">
        <x:f>IF(D1275="",0,J1275-K1275+L1275)</x:f>
        <x:v>21591.16</x:v>
      </x:c>
      <x:c r="Q1275" s="17" t="n">
        <x:f>MAX(J1275-P1275-K1275,0)</x:f>
        <x:v>0</x:v>
      </x:c>
      <x:c r="R1275" s="13" t="n">
        <x:f>IF(D1275="",MAX(TODAY()-C1275,0),MAX(D1275-C1275,0))</x:f>
        <x:v>0</x:v>
      </x:c>
      <x:c r="S1275" s="13" t="str">
        <x:f>IF(R1275=0,"Em dia",IF(R1275&lt;=15,"1-15 dias",IF(R1275&lt;=30,"16-30 dias",IF(R1275&lt;=60,"31-60 dias","Acima de 60 dias"))))</x:f>
        <x:v>Em dia</x:v>
      </x:c>
    </x:row>
    <x:row r="1276">
      <x:c r="A1276" s="13" t="str">
        <x:v>REC-001275</x:v>
      </x:c>
      <x:c r="B1276" s="23" t="n">
        <x:v>45935</x:v>
      </x:c>
      <x:c r="C1276" s="23" t="n">
        <x:v>45963</x:v>
      </x:c>
      <x:c r="D1276" s="23" t="n">
        <x:v>45963</x:v>
      </x:c>
      <x:c r="E1276" s="13" t="str">
        <x:v>VAL-029</x:v>
      </x:c>
      <x:c r="F1276" s="13" t="str">
        <x:v>Planobra Serviços</x:v>
      </x:c>
      <x:c r="G1276" s="13" t="str">
        <x:v>Construção</x:v>
      </x:c>
      <x:c r="H1276" s="13" t="str">
        <x:v>Baixo</x:v>
      </x:c>
      <x:c r="I1276" s="13" t="str">
        <x:v>Essencial</x:v>
      </x:c>
      <x:c r="J1276" s="17" t="n">
        <x:v>26304.61</x:v>
      </x:c>
      <x:c r="K1276" s="17" t="n">
        <x:v>0</x:v>
      </x:c>
      <x:c r="L1276" s="17" t="n">
        <x:v>0</x:v>
      </x:c>
      <x:c r="M1276" s="13" t="str">
        <x:v>Pago</x:v>
      </x:c>
      <x:c r="N1276" s="13" t="str">
        <x:v>Sem cobrança</x:v>
      </x:c>
      <x:c r="O1276" s="13" t="str">
        <x:v>Operação Clareza</x:v>
      </x:c>
      <x:c r="P1276" s="17" t="n">
        <x:f>IF(D1276="",0,J1276-K1276+L1276)</x:f>
        <x:v>26304.61</x:v>
      </x:c>
      <x:c r="Q1276" s="17" t="n">
        <x:f>MAX(J1276-P1276-K1276,0)</x:f>
        <x:v>0</x:v>
      </x:c>
      <x:c r="R1276" s="13" t="n">
        <x:f>IF(D1276="",MAX(TODAY()-C1276,0),MAX(D1276-C1276,0))</x:f>
        <x:v>0</x:v>
      </x:c>
      <x:c r="S1276" s="13" t="str">
        <x:f>IF(R1276=0,"Em dia",IF(R1276&lt;=15,"1-15 dias",IF(R1276&lt;=30,"16-30 dias",IF(R1276&lt;=60,"31-60 dias","Acima de 60 dias"))))</x:f>
        <x:v>Em dia</x:v>
      </x:c>
    </x:row>
    <x:row r="1277">
      <x:c r="A1277" s="13" t="str">
        <x:v>REC-001276</x:v>
      </x:c>
      <x:c r="B1277" s="23" t="n">
        <x:v>45948</x:v>
      </x:c>
      <x:c r="C1277" s="23" t="n">
        <x:v>45969</x:v>
      </x:c>
      <x:c r="D1277" s="23" t="n">
        <x:v>45966</x:v>
      </x:c>
      <x:c r="E1277" s="13" t="str">
        <x:v>VAL-012</x:v>
      </x:c>
      <x:c r="F1277" s="13" t="str">
        <x:v>DataFlow Sistemas</x:v>
      </x:c>
      <x:c r="G1277" s="13" t="str">
        <x:v>Tecnologia</x:v>
      </x:c>
      <x:c r="H1277" s="13" t="str">
        <x:v>Médio</x:v>
      </x:c>
      <x:c r="I1277" s="13" t="str">
        <x:v>Enterprise</x:v>
      </x:c>
      <x:c r="J1277" s="17" t="n">
        <x:v>24431.55</x:v>
      </x:c>
      <x:c r="K1277" s="17" t="n">
        <x:v>0</x:v>
      </x:c>
      <x:c r="L1277" s="17" t="n">
        <x:v>0</x:v>
      </x:c>
      <x:c r="M1277" s="13" t="str">
        <x:v>Pago</x:v>
      </x:c>
      <x:c r="N1277" s="13" t="str">
        <x:v>Sem cobrança</x:v>
      </x:c>
      <x:c r="O1277" s="13" t="str">
        <x:v>Operação Clareza</x:v>
      </x:c>
      <x:c r="P1277" s="17" t="n">
        <x:f>IF(D1277="",0,J1277-K1277+L1277)</x:f>
        <x:v>24431.55</x:v>
      </x:c>
      <x:c r="Q1277" s="17" t="n">
        <x:f>MAX(J1277-P1277-K1277,0)</x:f>
        <x:v>0</x:v>
      </x:c>
      <x:c r="R1277" s="13" t="n">
        <x:f>IF(D1277="",MAX(TODAY()-C1277,0),MAX(D1277-C1277,0))</x:f>
        <x:v>0</x:v>
      </x:c>
      <x:c r="S1277" s="13" t="str">
        <x:f>IF(R1277=0,"Em dia",IF(R1277&lt;=15,"1-15 dias",IF(R1277&lt;=30,"16-30 dias",IF(R1277&lt;=60,"31-60 dias","Acima de 60 dias"))))</x:f>
        <x:v>Em dia</x:v>
      </x:c>
    </x:row>
    <x:row r="1278">
      <x:c r="A1278" s="13" t="str">
        <x:v>REC-001277</x:v>
      </x:c>
      <x:c r="B1278" s="23" t="n">
        <x:v>45948</x:v>
      </x:c>
      <x:c r="C1278" s="23" t="n">
        <x:v>45969</x:v>
      </x:c>
      <x:c r="D1278" s="23" t="n">
        <x:v>45967</x:v>
      </x:c>
      <x:c r="E1278" s="13" t="str">
        <x:v>VAL-003</x:v>
      </x:c>
      <x:c r="F1278" s="13" t="str">
        <x:v>Casa Nova Varejo</x:v>
      </x:c>
      <x:c r="G1278" s="13" t="str">
        <x:v>Varejo</x:v>
      </x:c>
      <x:c r="H1278" s="13" t="str">
        <x:v>Baixo</x:v>
      </x:c>
      <x:c r="I1278" s="13" t="str">
        <x:v>Performance</x:v>
      </x:c>
      <x:c r="J1278" s="17" t="n">
        <x:v>17399.95</x:v>
      </x:c>
      <x:c r="K1278" s="17" t="n">
        <x:v>0</x:v>
      </x:c>
      <x:c r="L1278" s="17" t="n">
        <x:v>0</x:v>
      </x:c>
      <x:c r="M1278" s="13" t="str">
        <x:v>Pago</x:v>
      </x:c>
      <x:c r="N1278" s="13" t="str">
        <x:v>Sem cobrança</x:v>
      </x:c>
      <x:c r="O1278" s="13" t="str">
        <x:v>Operação Clareza</x:v>
      </x:c>
      <x:c r="P1278" s="17" t="n">
        <x:f>IF(D1278="",0,J1278-K1278+L1278)</x:f>
        <x:v>17399.95</x:v>
      </x:c>
      <x:c r="Q1278" s="17" t="n">
        <x:f>MAX(J1278-P1278-K1278,0)</x:f>
        <x:v>0</x:v>
      </x:c>
      <x:c r="R1278" s="13" t="n">
        <x:f>IF(D1278="",MAX(TODAY()-C1278,0),MAX(D1278-C1278,0))</x:f>
        <x:v>0</x:v>
      </x:c>
      <x:c r="S1278" s="13" t="str">
        <x:f>IF(R1278=0,"Em dia",IF(R1278&lt;=15,"1-15 dias",IF(R1278&lt;=30,"16-30 dias",IF(R1278&lt;=60,"31-60 dias","Acima de 60 dias"))))</x:f>
        <x:v>Em dia</x:v>
      </x:c>
    </x:row>
    <x:row r="1279">
      <x:c r="A1279" s="13" t="str">
        <x:v>REC-001278</x:v>
      </x:c>
      <x:c r="B1279" s="23" t="n">
        <x:v>45949</x:v>
      </x:c>
      <x:c r="C1279" s="23" t="n">
        <x:v>45964</x:v>
      </x:c>
      <x:c r="D1279" s="23" t="n">
        <x:v>45962</x:v>
      </x:c>
      <x:c r="E1279" s="13" t="str">
        <x:v>VAL-025</x:v>
      </x:c>
      <x:c r="F1279" s="13" t="str">
        <x:v>Bem-Estar Terapias</x:v>
      </x:c>
      <x:c r="G1279" s="13" t="str">
        <x:v>Clínicas e Saúde</x:v>
      </x:c>
      <x:c r="H1279" s="13" t="str">
        <x:v>Baixo</x:v>
      </x:c>
      <x:c r="I1279" s="13" t="str">
        <x:v>Essencial</x:v>
      </x:c>
      <x:c r="J1279" s="17" t="n">
        <x:v>19789.21</x:v>
      </x:c>
      <x:c r="K1279" s="17" t="n">
        <x:v>0</x:v>
      </x:c>
      <x:c r="L1279" s="17" t="n">
        <x:v>0</x:v>
      </x:c>
      <x:c r="M1279" s="13" t="str">
        <x:v>Pago</x:v>
      </x:c>
      <x:c r="N1279" s="13" t="str">
        <x:v>Sem cobrança</x:v>
      </x:c>
      <x:c r="O1279" s="13" t="str">
        <x:v>Operação Clareza</x:v>
      </x:c>
      <x:c r="P1279" s="17" t="n">
        <x:f>IF(D1279="",0,J1279-K1279+L1279)</x:f>
        <x:v>19789.21</x:v>
      </x:c>
      <x:c r="Q1279" s="17" t="n">
        <x:f>MAX(J1279-P1279-K1279,0)</x:f>
        <x:v>0</x:v>
      </x:c>
      <x:c r="R1279" s="13" t="n">
        <x:f>IF(D1279="",MAX(TODAY()-C1279,0),MAX(D1279-C1279,0))</x:f>
        <x:v>0</x:v>
      </x:c>
      <x:c r="S1279" s="13" t="str">
        <x:f>IF(R1279=0,"Em dia",IF(R1279&lt;=15,"1-15 dias",IF(R1279&lt;=30,"16-30 dias",IF(R1279&lt;=60,"31-60 dias","Acima de 60 dias"))))</x:f>
        <x:v>Em dia</x:v>
      </x:c>
    </x:row>
    <x:row r="1280">
      <x:c r="A1280" s="13" t="str">
        <x:v>REC-001279</x:v>
      </x:c>
      <x:c r="B1280" s="23" t="n">
        <x:v>45933</x:v>
      </x:c>
      <x:c r="C1280" s="23" t="n">
        <x:v>45963</x:v>
      </x:c>
      <x:c r="D1280" s="23" t="n">
        <x:v>45996</x:v>
      </x:c>
      <x:c r="E1280" s="13" t="str">
        <x:v>VAL-005</x:v>
      </x:c>
      <x:c r="F1280" s="13" t="str">
        <x:v>Construtora Alameda</x:v>
      </x:c>
      <x:c r="G1280" s="13" t="str">
        <x:v>Construção</x:v>
      </x:c>
      <x:c r="H1280" s="13" t="str">
        <x:v>Médio</x:v>
      </x:c>
      <x:c r="I1280" s="13" t="str">
        <x:v>Essencial</x:v>
      </x:c>
      <x:c r="J1280" s="17" t="n">
        <x:v>25052.76</x:v>
      </x:c>
      <x:c r="K1280" s="17" t="n">
        <x:v>0</x:v>
      </x:c>
      <x:c r="L1280" s="17" t="n">
        <x:v>537.38</x:v>
      </x:c>
      <x:c r="M1280" s="13" t="str">
        <x:v>Pago com atraso</x:v>
      </x:c>
      <x:c r="N1280" s="13" t="str">
        <x:v>Telefone</x:v>
      </x:c>
      <x:c r="O1280" s="13" t="str">
        <x:v>Operação Clareza</x:v>
      </x:c>
      <x:c r="P1280" s="17" t="n">
        <x:f>IF(D1280="",0,J1280-K1280+L1280)</x:f>
        <x:v>25590.14</x:v>
      </x:c>
      <x:c r="Q1280" s="17" t="n">
        <x:f>MAX(J1280-P1280-K1280,0)</x:f>
        <x:v>0</x:v>
      </x:c>
      <x:c r="R1280" s="13" t="n">
        <x:f>IF(D1280="",MAX(TODAY()-C1280,0),MAX(D1280-C1280,0))</x:f>
        <x:v>33</x:v>
      </x:c>
      <x:c r="S1280" s="13" t="str">
        <x:f>IF(R1280=0,"Em dia",IF(R1280&lt;=15,"1-15 dias",IF(R1280&lt;=30,"16-30 dias",IF(R1280&lt;=60,"31-60 dias","Acima de 60 dias"))))</x:f>
        <x:v>31-60 dias</x:v>
      </x:c>
    </x:row>
    <x:row r="1281">
      <x:c r="A1281" s="13" t="str">
        <x:v>REC-001280</x:v>
      </x:c>
      <x:c r="B1281" s="23" t="n">
        <x:v>45949</x:v>
      </x:c>
      <x:c r="C1281" s="23" t="n">
        <x:v>45977</x:v>
      </x:c>
      <x:c r="D1281" s="23" t="n">
        <x:v>45973</x:v>
      </x:c>
      <x:c r="E1281" s="13" t="str">
        <x:v>VAL-021</x:v>
      </x:c>
      <x:c r="F1281" s="13" t="str">
        <x:v>Base Forte Obras</x:v>
      </x:c>
      <x:c r="G1281" s="13" t="str">
        <x:v>Construção</x:v>
      </x:c>
      <x:c r="H1281" s="13" t="str">
        <x:v>Médio</x:v>
      </x:c>
      <x:c r="I1281" s="13" t="str">
        <x:v>Essencial</x:v>
      </x:c>
      <x:c r="J1281" s="17" t="n">
        <x:v>12291.88</x:v>
      </x:c>
      <x:c r="K1281" s="17" t="n">
        <x:v>0</x:v>
      </x:c>
      <x:c r="L1281" s="17" t="n">
        <x:v>0</x:v>
      </x:c>
      <x:c r="M1281" s="13" t="str">
        <x:v>Pago</x:v>
      </x:c>
      <x:c r="N1281" s="13" t="str">
        <x:v>Sem cobrança</x:v>
      </x:c>
      <x:c r="O1281" s="13" t="str">
        <x:v>Operação Clareza</x:v>
      </x:c>
      <x:c r="P1281" s="17" t="n">
        <x:f>IF(D1281="",0,J1281-K1281+L1281)</x:f>
        <x:v>12291.88</x:v>
      </x:c>
      <x:c r="Q1281" s="17" t="n">
        <x:f>MAX(J1281-P1281-K1281,0)</x:f>
        <x:v>0</x:v>
      </x:c>
      <x:c r="R1281" s="13" t="n">
        <x:f>IF(D1281="",MAX(TODAY()-C1281,0),MAX(D1281-C1281,0))</x:f>
        <x:v>0</x:v>
      </x:c>
      <x:c r="S1281" s="13" t="str">
        <x:f>IF(R1281=0,"Em dia",IF(R1281&lt;=15,"1-15 dias",IF(R1281&lt;=30,"16-30 dias",IF(R1281&lt;=60,"31-60 dias","Acima de 60 dias"))))</x:f>
        <x:v>Em dia</x:v>
      </x:c>
    </x:row>
    <x:row r="1282">
      <x:c r="A1282" s="13" t="str">
        <x:v>REC-001281</x:v>
      </x:c>
      <x:c r="B1282" s="23" t="n">
        <x:v>45938</x:v>
      </x:c>
      <x:c r="C1282" s="23" t="n">
        <x:v>45966</x:v>
      </x:c>
      <x:c r="D1282" s="23" t="n">
        <x:v>45965</x:v>
      </x:c>
      <x:c r="E1282" s="13" t="str">
        <x:v>VAL-017</x:v>
      </x:c>
      <x:c r="F1282" s="13" t="str">
        <x:v>Centro Médico Vida</x:v>
      </x:c>
      <x:c r="G1282" s="13" t="str">
        <x:v>Clínicas e Saúde</x:v>
      </x:c>
      <x:c r="H1282" s="13" t="str">
        <x:v>Baixo</x:v>
      </x:c>
      <x:c r="I1282" s="13" t="str">
        <x:v>Essencial</x:v>
      </x:c>
      <x:c r="J1282" s="17" t="n">
        <x:v>10052.44</x:v>
      </x:c>
      <x:c r="K1282" s="17" t="n">
        <x:v>0</x:v>
      </x:c>
      <x:c r="L1282" s="17" t="n">
        <x:v>0</x:v>
      </x:c>
      <x:c r="M1282" s="13" t="str">
        <x:v>Pago</x:v>
      </x:c>
      <x:c r="N1282" s="13" t="str">
        <x:v>Sem cobrança</x:v>
      </x:c>
      <x:c r="O1282" s="13" t="str">
        <x:v>Operação Clareza</x:v>
      </x:c>
      <x:c r="P1282" s="17" t="n">
        <x:f>IF(D1282="",0,J1282-K1282+L1282)</x:f>
        <x:v>10052.44</x:v>
      </x:c>
      <x:c r="Q1282" s="17" t="n">
        <x:f>MAX(J1282-P1282-K1282,0)</x:f>
        <x:v>0</x:v>
      </x:c>
      <x:c r="R1282" s="13" t="n">
        <x:f>IF(D1282="",MAX(TODAY()-C1282,0),MAX(D1282-C1282,0))</x:f>
        <x:v>0</x:v>
      </x:c>
      <x:c r="S1282" s="13" t="str">
        <x:f>IF(R1282=0,"Em dia",IF(R1282&lt;=15,"1-15 dias",IF(R1282&lt;=30,"16-30 dias",IF(R1282&lt;=60,"31-60 dias","Acima de 60 dias"))))</x:f>
        <x:v>Em dia</x:v>
      </x:c>
    </x:row>
    <x:row r="1283">
      <x:c r="A1283" s="13" t="str">
        <x:v>REC-001282</x:v>
      </x:c>
      <x:c r="B1283" s="23" t="n">
        <x:v>45942</x:v>
      </x:c>
      <x:c r="C1283" s="23" t="n">
        <x:v>45972</x:v>
      </x:c>
      <x:c r="D1283" s="23" t="n">
        <x:v>45971</x:v>
      </x:c>
      <x:c r="E1283" s="13" t="str">
        <x:v>VAL-024</x:v>
      </x:c>
      <x:c r="F1283" s="13" t="str">
        <x:v>NovaForma Móveis</x:v>
      </x:c>
      <x:c r="G1283" s="13" t="str">
        <x:v>Indústria Leve</x:v>
      </x:c>
      <x:c r="H1283" s="13" t="str">
        <x:v>Baixo</x:v>
      </x:c>
      <x:c r="I1283" s="13" t="str">
        <x:v>Enterprise</x:v>
      </x:c>
      <x:c r="J1283" s="17" t="n">
        <x:v>7486.87</x:v>
      </x:c>
      <x:c r="K1283" s="17" t="n">
        <x:v>0</x:v>
      </x:c>
      <x:c r="L1283" s="17" t="n">
        <x:v>0</x:v>
      </x:c>
      <x:c r="M1283" s="13" t="str">
        <x:v>Pago</x:v>
      </x:c>
      <x:c r="N1283" s="13" t="str">
        <x:v>Sem cobrança</x:v>
      </x:c>
      <x:c r="O1283" s="13" t="str">
        <x:v>Operação Clareza</x:v>
      </x:c>
      <x:c r="P1283" s="17" t="n">
        <x:f>IF(D1283="",0,J1283-K1283+L1283)</x:f>
        <x:v>7486.87</x:v>
      </x:c>
      <x:c r="Q1283" s="17" t="n">
        <x:f>MAX(J1283-P1283-K1283,0)</x:f>
        <x:v>0</x:v>
      </x:c>
      <x:c r="R1283" s="13" t="n">
        <x:f>IF(D1283="",MAX(TODAY()-C1283,0),MAX(D1283-C1283,0))</x:f>
        <x:v>0</x:v>
      </x:c>
      <x:c r="S1283" s="13" t="str">
        <x:f>IF(R1283=0,"Em dia",IF(R1283&lt;=15,"1-15 dias",IF(R1283&lt;=30,"16-30 dias",IF(R1283&lt;=60,"31-60 dias","Acima de 60 dias"))))</x:f>
        <x:v>Em dia</x:v>
      </x:c>
    </x:row>
    <x:row r="1284">
      <x:c r="A1284" s="13" t="str">
        <x:v>REC-001283</x:v>
      </x:c>
      <x:c r="B1284" s="23" t="n">
        <x:v>45941</x:v>
      </x:c>
      <x:c r="C1284" s="23" t="n">
        <x:v>45971</x:v>
      </x:c>
      <x:c r="D1284" s="23" t="n">
        <x:v>45971</x:v>
      </x:c>
      <x:c r="E1284" s="13" t="str">
        <x:v>VAL-026</x:v>
      </x:c>
      <x:c r="F1284" s="13" t="str">
        <x:v>Ribeiro Arquitetura</x:v>
      </x:c>
      <x:c r="G1284" s="13" t="str">
        <x:v>Serviços Profissionais</x:v>
      </x:c>
      <x:c r="H1284" s="13" t="str">
        <x:v>Baixo</x:v>
      </x:c>
      <x:c r="I1284" s="13" t="str">
        <x:v>Gestão</x:v>
      </x:c>
      <x:c r="J1284" s="17" t="n">
        <x:v>5775.99</x:v>
      </x:c>
      <x:c r="K1284" s="17" t="n">
        <x:v>0</x:v>
      </x:c>
      <x:c r="L1284" s="17" t="n">
        <x:v>0</x:v>
      </x:c>
      <x:c r="M1284" s="13" t="str">
        <x:v>Pago</x:v>
      </x:c>
      <x:c r="N1284" s="13" t="str">
        <x:v>Sem cobrança</x:v>
      </x:c>
      <x:c r="O1284" s="13" t="str">
        <x:v>Operação Clareza</x:v>
      </x:c>
      <x:c r="P1284" s="17" t="n">
        <x:f>IF(D1284="",0,J1284-K1284+L1284)</x:f>
        <x:v>5775.99</x:v>
      </x:c>
      <x:c r="Q1284" s="17" t="n">
        <x:f>MAX(J1284-P1284-K1284,0)</x:f>
        <x:v>0</x:v>
      </x:c>
      <x:c r="R1284" s="13" t="n">
        <x:f>IF(D1284="",MAX(TODAY()-C1284,0),MAX(D1284-C1284,0))</x:f>
        <x:v>0</x:v>
      </x:c>
      <x:c r="S1284" s="13" t="str">
        <x:f>IF(R1284=0,"Em dia",IF(R1284&lt;=15,"1-15 dias",IF(R1284&lt;=30,"16-30 dias",IF(R1284&lt;=60,"31-60 dias","Acima de 60 dias"))))</x:f>
        <x:v>Em dia</x:v>
      </x:c>
    </x:row>
    <x:row r="1285">
      <x:c r="A1285" s="13" t="str">
        <x:v>REC-001284</x:v>
      </x:c>
      <x:c r="B1285" s="23" t="n">
        <x:v>45941</x:v>
      </x:c>
      <x:c r="C1285" s="23" t="n">
        <x:v>45956</x:v>
      </x:c>
      <x:c r="D1285" s="23" t="n">
        <x:v>45955</x:v>
      </x:c>
      <x:c r="E1285" s="13" t="str">
        <x:v>VAL-022</x:v>
      </x:c>
      <x:c r="F1285" s="13" t="str">
        <x:v>Academia Evoluir</x:v>
      </x:c>
      <x:c r="G1285" s="13" t="str">
        <x:v>Educação</x:v>
      </x:c>
      <x:c r="H1285" s="13" t="str">
        <x:v>Alto</x:v>
      </x:c>
      <x:c r="I1285" s="13" t="str">
        <x:v>Gestão</x:v>
      </x:c>
      <x:c r="J1285" s="17" t="n">
        <x:v>13194.8</x:v>
      </x:c>
      <x:c r="K1285" s="17" t="n">
        <x:v>0</x:v>
      </x:c>
      <x:c r="L1285" s="17" t="n">
        <x:v>0</x:v>
      </x:c>
      <x:c r="M1285" s="13" t="str">
        <x:v>Pago</x:v>
      </x:c>
      <x:c r="N1285" s="13" t="str">
        <x:v>Sem cobrança</x:v>
      </x:c>
      <x:c r="O1285" s="13" t="str">
        <x:v>Operação Clareza</x:v>
      </x:c>
      <x:c r="P1285" s="17" t="n">
        <x:f>IF(D1285="",0,J1285-K1285+L1285)</x:f>
        <x:v>13194.8</x:v>
      </x:c>
      <x:c r="Q1285" s="17" t="n">
        <x:f>MAX(J1285-P1285-K1285,0)</x:f>
        <x:v>0</x:v>
      </x:c>
      <x:c r="R1285" s="13" t="n">
        <x:f>IF(D1285="",MAX(TODAY()-C1285,0),MAX(D1285-C1285,0))</x:f>
        <x:v>0</x:v>
      </x:c>
      <x:c r="S1285" s="13" t="str">
        <x:f>IF(R1285=0,"Em dia",IF(R1285&lt;=15,"1-15 dias",IF(R1285&lt;=30,"16-30 dias",IF(R1285&lt;=60,"31-60 dias","Acima de 60 dias"))))</x:f>
        <x:v>Em dia</x:v>
      </x:c>
    </x:row>
    <x:row r="1286">
      <x:c r="A1286" s="13" t="str">
        <x:v>REC-001285</x:v>
      </x:c>
      <x:c r="B1286" s="23" t="n">
        <x:v>45931</x:v>
      </x:c>
      <x:c r="C1286" s="23" t="n">
        <x:v>45938</x:v>
      </x:c>
      <x:c r="D1286" s="23" t="n">
        <x:v>45941</x:v>
      </x:c>
      <x:c r="E1286" s="13" t="str">
        <x:v>VAL-014</x:v>
      </x:c>
      <x:c r="F1286" s="13" t="str">
        <x:v>Colégio Caminhos</x:v>
      </x:c>
      <x:c r="G1286" s="13" t="str">
        <x:v>Educação</x:v>
      </x:c>
      <x:c r="H1286" s="13" t="str">
        <x:v>Médio</x:v>
      </x:c>
      <x:c r="I1286" s="13" t="str">
        <x:v>Gestão</x:v>
      </x:c>
      <x:c r="J1286" s="17" t="n">
        <x:v>18718.15</x:v>
      </x:c>
      <x:c r="K1286" s="17" t="n">
        <x:v>0</x:v>
      </x:c>
      <x:c r="L1286" s="17" t="n">
        <x:v>36.5</x:v>
      </x:c>
      <x:c r="M1286" s="13" t="str">
        <x:v>Pago com atraso</x:v>
      </x:c>
      <x:c r="N1286" s="13" t="str">
        <x:v>E-mail</x:v>
      </x:c>
      <x:c r="O1286" s="13" t="str">
        <x:v>Operação Clareza</x:v>
      </x:c>
      <x:c r="P1286" s="17" t="n">
        <x:f>IF(D1286="",0,J1286-K1286+L1286)</x:f>
        <x:v>18754.65</x:v>
      </x:c>
      <x:c r="Q1286" s="17" t="n">
        <x:f>MAX(J1286-P1286-K1286,0)</x:f>
        <x:v>0</x:v>
      </x:c>
      <x:c r="R1286" s="13" t="n">
        <x:f>IF(D1286="",MAX(TODAY()-C1286,0),MAX(D1286-C1286,0))</x:f>
        <x:v>3</x:v>
      </x:c>
      <x:c r="S1286" s="13" t="str">
        <x:f>IF(R1286=0,"Em dia",IF(R1286&lt;=15,"1-15 dias",IF(R1286&lt;=30,"16-30 dias",IF(R1286&lt;=60,"31-60 dias","Acima de 60 dias"))))</x:f>
        <x:v>1-15 dias</x:v>
      </x:c>
    </x:row>
    <x:row r="1287">
      <x:c r="A1287" s="13" t="str">
        <x:v>REC-001286</x:v>
      </x:c>
      <x:c r="B1287" s="23" t="n">
        <x:v>45937</x:v>
      </x:c>
      <x:c r="C1287" s="23" t="n">
        <x:v>45952</x:v>
      </x:c>
      <x:c r="D1287" s="23" t="n">
        <x:v>45951</x:v>
      </x:c>
      <x:c r="E1287" s="13" t="str">
        <x:v>VAL-025</x:v>
      </x:c>
      <x:c r="F1287" s="13" t="str">
        <x:v>Bem-Estar Terapias</x:v>
      </x:c>
      <x:c r="G1287" s="13" t="str">
        <x:v>Clínicas e Saúde</x:v>
      </x:c>
      <x:c r="H1287" s="13" t="str">
        <x:v>Baixo</x:v>
      </x:c>
      <x:c r="I1287" s="13" t="str">
        <x:v>Essencial</x:v>
      </x:c>
      <x:c r="J1287" s="17" t="n">
        <x:v>15119.75</x:v>
      </x:c>
      <x:c r="K1287" s="17" t="n">
        <x:v>0</x:v>
      </x:c>
      <x:c r="L1287" s="17" t="n">
        <x:v>0</x:v>
      </x:c>
      <x:c r="M1287" s="13" t="str">
        <x:v>Pago</x:v>
      </x:c>
      <x:c r="N1287" s="13" t="str">
        <x:v>Sem cobrança</x:v>
      </x:c>
      <x:c r="O1287" s="13" t="str">
        <x:v>Operação Clareza</x:v>
      </x:c>
      <x:c r="P1287" s="17" t="n">
        <x:f>IF(D1287="",0,J1287-K1287+L1287)</x:f>
        <x:v>15119.75</x:v>
      </x:c>
      <x:c r="Q1287" s="17" t="n">
        <x:f>MAX(J1287-P1287-K1287,0)</x:f>
        <x:v>0</x:v>
      </x:c>
      <x:c r="R1287" s="13" t="n">
        <x:f>IF(D1287="",MAX(TODAY()-C1287,0),MAX(D1287-C1287,0))</x:f>
        <x:v>0</x:v>
      </x:c>
      <x:c r="S1287" s="13" t="str">
        <x:f>IF(R1287=0,"Em dia",IF(R1287&lt;=15,"1-15 dias",IF(R1287&lt;=30,"16-30 dias",IF(R1287&lt;=60,"31-60 dias","Acima de 60 dias"))))</x:f>
        <x:v>Em dia</x:v>
      </x:c>
    </x:row>
    <x:row r="1288">
      <x:c r="A1288" s="13" t="str">
        <x:v>REC-001287</x:v>
      </x:c>
      <x:c r="B1288" s="23" t="n">
        <x:v>45931</x:v>
      </x:c>
      <x:c r="C1288" s="23" t="n">
        <x:v>45946</x:v>
      </x:c>
      <x:c r="D1288" s="23" t="n">
        <x:v>45942</x:v>
      </x:c>
      <x:c r="E1288" s="13" t="str">
        <x:v>VAL-010</x:v>
      </x:c>
      <x:c r="F1288" s="13" t="str">
        <x:v>Atlas Contabilidade</x:v>
      </x:c>
      <x:c r="G1288" s="13" t="str">
        <x:v>Serviços Profissionais</x:v>
      </x:c>
      <x:c r="H1288" s="13" t="str">
        <x:v>Baixo</x:v>
      </x:c>
      <x:c r="I1288" s="13" t="str">
        <x:v>Gestão</x:v>
      </x:c>
      <x:c r="J1288" s="17" t="n">
        <x:v>7208.04</x:v>
      </x:c>
      <x:c r="K1288" s="17" t="n">
        <x:v>0</x:v>
      </x:c>
      <x:c r="L1288" s="17" t="n">
        <x:v>0</x:v>
      </x:c>
      <x:c r="M1288" s="13" t="str">
        <x:v>Pago</x:v>
      </x:c>
      <x:c r="N1288" s="13" t="str">
        <x:v>Sem cobrança</x:v>
      </x:c>
      <x:c r="O1288" s="13" t="str">
        <x:v>Operação Clareza</x:v>
      </x:c>
      <x:c r="P1288" s="17" t="n">
        <x:f>IF(D1288="",0,J1288-K1288+L1288)</x:f>
        <x:v>7208.04</x:v>
      </x:c>
      <x:c r="Q1288" s="17" t="n">
        <x:f>MAX(J1288-P1288-K1288,0)</x:f>
        <x:v>0</x:v>
      </x:c>
      <x:c r="R1288" s="13" t="n">
        <x:f>IF(D1288="",MAX(TODAY()-C1288,0),MAX(D1288-C1288,0))</x:f>
        <x:v>0</x:v>
      </x:c>
      <x:c r="S1288" s="13" t="str">
        <x:f>IF(R1288=0,"Em dia",IF(R1288&lt;=15,"1-15 dias",IF(R1288&lt;=30,"16-30 dias",IF(R1288&lt;=60,"31-60 dias","Acima de 60 dias"))))</x:f>
        <x:v>Em dia</x:v>
      </x:c>
    </x:row>
    <x:row r="1289">
      <x:c r="A1289" s="13" t="str">
        <x:v>REC-001288</x:v>
      </x:c>
      <x:c r="B1289" s="23" t="n">
        <x:v>45943</x:v>
      </x:c>
      <x:c r="C1289" s="23" t="n">
        <x:v>45964</x:v>
      </x:c>
      <x:c r="D1289" s="23" t="n">
        <x:v>45964</x:v>
      </x:c>
      <x:c r="E1289" s="13" t="str">
        <x:v>VAL-030</x:v>
      </x:c>
      <x:c r="F1289" s="13" t="str">
        <x:v>Mundo Kids Cursos</x:v>
      </x:c>
      <x:c r="G1289" s="13" t="str">
        <x:v>Educação</x:v>
      </x:c>
      <x:c r="H1289" s="13" t="str">
        <x:v>Alto</x:v>
      </x:c>
      <x:c r="I1289" s="13" t="str">
        <x:v>Gestão</x:v>
      </x:c>
      <x:c r="J1289" s="17" t="n">
        <x:v>11681.89</x:v>
      </x:c>
      <x:c r="K1289" s="17" t="n">
        <x:v>0</x:v>
      </x:c>
      <x:c r="L1289" s="17" t="n">
        <x:v>0</x:v>
      </x:c>
      <x:c r="M1289" s="13" t="str">
        <x:v>Pago</x:v>
      </x:c>
      <x:c r="N1289" s="13" t="str">
        <x:v>Sem cobrança</x:v>
      </x:c>
      <x:c r="O1289" s="13" t="str">
        <x:v>Operação Clareza</x:v>
      </x:c>
      <x:c r="P1289" s="17" t="n">
        <x:f>IF(D1289="",0,J1289-K1289+L1289)</x:f>
        <x:v>11681.89</x:v>
      </x:c>
      <x:c r="Q1289" s="17" t="n">
        <x:f>MAX(J1289-P1289-K1289,0)</x:f>
        <x:v>0</x:v>
      </x:c>
      <x:c r="R1289" s="13" t="n">
        <x:f>IF(D1289="",MAX(TODAY()-C1289,0),MAX(D1289-C1289,0))</x:f>
        <x:v>0</x:v>
      </x:c>
      <x:c r="S1289" s="13" t="str">
        <x:f>IF(R1289=0,"Em dia",IF(R1289&lt;=15,"1-15 dias",IF(R1289&lt;=30,"16-30 dias",IF(R1289&lt;=60,"31-60 dias","Acima de 60 dias"))))</x:f>
        <x:v>Em dia</x:v>
      </x:c>
    </x:row>
    <x:row r="1290">
      <x:c r="A1290" s="13" t="str">
        <x:v>REC-001289</x:v>
      </x:c>
      <x:c r="B1290" s="23" t="n">
        <x:v>45933</x:v>
      </x:c>
      <x:c r="C1290" s="23" t="n">
        <x:v>45961</x:v>
      </x:c>
      <x:c r="D1290" s="23" t="n">
        <x:v>45957</x:v>
      </x:c>
      <x:c r="E1290" s="13" t="str">
        <x:v>VAL-012</x:v>
      </x:c>
      <x:c r="F1290" s="13" t="str">
        <x:v>DataFlow Sistemas</x:v>
      </x:c>
      <x:c r="G1290" s="13" t="str">
        <x:v>Tecnologia</x:v>
      </x:c>
      <x:c r="H1290" s="13" t="str">
        <x:v>Médio</x:v>
      </x:c>
      <x:c r="I1290" s="13" t="str">
        <x:v>Enterprise</x:v>
      </x:c>
      <x:c r="J1290" s="17" t="n">
        <x:v>21783.63</x:v>
      </x:c>
      <x:c r="K1290" s="17" t="n">
        <x:v>0</x:v>
      </x:c>
      <x:c r="L1290" s="17" t="n">
        <x:v>0</x:v>
      </x:c>
      <x:c r="M1290" s="13" t="str">
        <x:v>Pago</x:v>
      </x:c>
      <x:c r="N1290" s="13" t="str">
        <x:v>Sem cobrança</x:v>
      </x:c>
      <x:c r="O1290" s="13" t="str">
        <x:v>Operação Clareza</x:v>
      </x:c>
      <x:c r="P1290" s="17" t="n">
        <x:f>IF(D1290="",0,J1290-K1290+L1290)</x:f>
        <x:v>21783.63</x:v>
      </x:c>
      <x:c r="Q1290" s="17" t="n">
        <x:f>MAX(J1290-P1290-K1290,0)</x:f>
        <x:v>0</x:v>
      </x:c>
      <x:c r="R1290" s="13" t="n">
        <x:f>IF(D1290="",MAX(TODAY()-C1290,0),MAX(D1290-C1290,0))</x:f>
        <x:v>0</x:v>
      </x:c>
      <x:c r="S1290" s="13" t="str">
        <x:f>IF(R1290=0,"Em dia",IF(R1290&lt;=15,"1-15 dias",IF(R1290&lt;=30,"16-30 dias",IF(R1290&lt;=60,"31-60 dias","Acima de 60 dias"))))</x:f>
        <x:v>Em dia</x:v>
      </x:c>
    </x:row>
    <x:row r="1291">
      <x:c r="A1291" s="13" t="str">
        <x:v>REC-001290</x:v>
      </x:c>
      <x:c r="B1291" s="23" t="n">
        <x:v>45946</x:v>
      </x:c>
      <x:c r="C1291" s="23" t="n">
        <x:v>45974</x:v>
      </x:c>
      <x:c r="D1291" s="23" t="n">
        <x:v>45970</x:v>
      </x:c>
      <x:c r="E1291" s="13" t="str">
        <x:v>VAL-011</x:v>
      </x:c>
      <x:c r="F1291" s="13" t="str">
        <x:v>Rede Essencial</x:v>
      </x:c>
      <x:c r="G1291" s="13" t="str">
        <x:v>Varejo</x:v>
      </x:c>
      <x:c r="H1291" s="13" t="str">
        <x:v>Médio</x:v>
      </x:c>
      <x:c r="I1291" s="13" t="str">
        <x:v>Performance</x:v>
      </x:c>
      <x:c r="J1291" s="17" t="n">
        <x:v>6733.86</x:v>
      </x:c>
      <x:c r="K1291" s="17" t="n">
        <x:v>0</x:v>
      </x:c>
      <x:c r="L1291" s="17" t="n">
        <x:v>0</x:v>
      </x:c>
      <x:c r="M1291" s="13" t="str">
        <x:v>Pago</x:v>
      </x:c>
      <x:c r="N1291" s="13" t="str">
        <x:v>Sem cobrança</x:v>
      </x:c>
      <x:c r="O1291" s="13" t="str">
        <x:v>Operação Clareza</x:v>
      </x:c>
      <x:c r="P1291" s="17" t="n">
        <x:f>IF(D1291="",0,J1291-K1291+L1291)</x:f>
        <x:v>6733.86</x:v>
      </x:c>
      <x:c r="Q1291" s="17" t="n">
        <x:f>MAX(J1291-P1291-K1291,0)</x:f>
        <x:v>0</x:v>
      </x:c>
      <x:c r="R1291" s="13" t="n">
        <x:f>IF(D1291="",MAX(TODAY()-C1291,0),MAX(D1291-C1291,0))</x:f>
        <x:v>0</x:v>
      </x:c>
      <x:c r="S1291" s="13" t="str">
        <x:f>IF(R1291=0,"Em dia",IF(R1291&lt;=15,"1-15 dias",IF(R1291&lt;=30,"16-30 dias",IF(R1291&lt;=60,"31-60 dias","Acima de 60 dias"))))</x:f>
        <x:v>Em dia</x:v>
      </x:c>
    </x:row>
    <x:row r="1292">
      <x:c r="A1292" s="13" t="str">
        <x:v>REC-001291</x:v>
      </x:c>
      <x:c r="B1292" s="23" t="n">
        <x:v>45933</x:v>
      </x:c>
      <x:c r="C1292" s="23" t="n">
        <x:v>45948</x:v>
      </x:c>
      <x:c r="D1292" s="23" t="n">
        <x:v>45948</x:v>
      </x:c>
      <x:c r="E1292" s="13" t="str">
        <x:v>VAL-023</x:v>
      </x:c>
      <x:c r="F1292" s="13" t="str">
        <x:v>ShopMix Brasil</x:v>
      </x:c>
      <x:c r="G1292" s="13" t="str">
        <x:v>E-commerce</x:v>
      </x:c>
      <x:c r="H1292" s="13" t="str">
        <x:v>Baixo</x:v>
      </x:c>
      <x:c r="I1292" s="13" t="str">
        <x:v>Performance</x:v>
      </x:c>
      <x:c r="J1292" s="17" t="n">
        <x:v>27991.82</x:v>
      </x:c>
      <x:c r="K1292" s="17" t="n">
        <x:v>270.15</x:v>
      </x:c>
      <x:c r="L1292" s="17" t="n">
        <x:v>0</x:v>
      </x:c>
      <x:c r="M1292" s="13" t="str">
        <x:v>Pago</x:v>
      </x:c>
      <x:c r="N1292" s="13" t="str">
        <x:v>Sem cobrança</x:v>
      </x:c>
      <x:c r="O1292" s="13" t="str">
        <x:v>Operação Clareza</x:v>
      </x:c>
      <x:c r="P1292" s="17" t="n">
        <x:f>IF(D1292="",0,J1292-K1292+L1292)</x:f>
        <x:v>27721.67</x:v>
      </x:c>
      <x:c r="Q1292" s="17" t="n">
        <x:f>MAX(J1292-P1292-K1292,0)</x:f>
        <x:v>1.4779288903810084e-12</x:v>
      </x:c>
      <x:c r="R1292" s="13" t="n">
        <x:f>IF(D1292="",MAX(TODAY()-C1292,0),MAX(D1292-C1292,0))</x:f>
        <x:v>0</x:v>
      </x:c>
      <x:c r="S1292" s="13" t="str">
        <x:f>IF(R1292=0,"Em dia",IF(R1292&lt;=15,"1-15 dias",IF(R1292&lt;=30,"16-30 dias",IF(R1292&lt;=60,"31-60 dias","Acima de 60 dias"))))</x:f>
        <x:v>Em dia</x:v>
      </x:c>
    </x:row>
    <x:row r="1293">
      <x:c r="A1293" s="13" t="str">
        <x:v>REC-001292</x:v>
      </x:c>
      <x:c r="B1293" s="23" t="n">
        <x:v>45932</x:v>
      </x:c>
      <x:c r="C1293" s="23" t="n">
        <x:v>45947</x:v>
      </x:c>
      <x:c r="D1293" s="23" t="n">
        <x:v>45946</x:v>
      </x:c>
      <x:c r="E1293" s="13" t="str">
        <x:v>VAL-004</x:v>
      </x:c>
      <x:c r="F1293" s="13" t="str">
        <x:v>NuvemBase Tecnologia</x:v>
      </x:c>
      <x:c r="G1293" s="13" t="str">
        <x:v>Tecnologia</x:v>
      </x:c>
      <x:c r="H1293" s="13" t="str">
        <x:v>Baixo</x:v>
      </x:c>
      <x:c r="I1293" s="13" t="str">
        <x:v>Enterprise</x:v>
      </x:c>
      <x:c r="J1293" s="17" t="n">
        <x:v>8206.81</x:v>
      </x:c>
      <x:c r="K1293" s="17" t="n">
        <x:v>0</x:v>
      </x:c>
      <x:c r="L1293" s="17" t="n">
        <x:v>0</x:v>
      </x:c>
      <x:c r="M1293" s="13" t="str">
        <x:v>Pago</x:v>
      </x:c>
      <x:c r="N1293" s="13" t="str">
        <x:v>Sem cobrança</x:v>
      </x:c>
      <x:c r="O1293" s="13" t="str">
        <x:v>Operação Clareza</x:v>
      </x:c>
      <x:c r="P1293" s="17" t="n">
        <x:f>IF(D1293="",0,J1293-K1293+L1293)</x:f>
        <x:v>8206.81</x:v>
      </x:c>
      <x:c r="Q1293" s="17" t="n">
        <x:f>MAX(J1293-P1293-K1293,0)</x:f>
        <x:v>0</x:v>
      </x:c>
      <x:c r="R1293" s="13" t="n">
        <x:f>IF(D1293="",MAX(TODAY()-C1293,0),MAX(D1293-C1293,0))</x:f>
        <x:v>0</x:v>
      </x:c>
      <x:c r="S1293" s="13" t="str">
        <x:f>IF(R1293=0,"Em dia",IF(R1293&lt;=15,"1-15 dias",IF(R1293&lt;=30,"16-30 dias",IF(R1293&lt;=60,"31-60 dias","Acima de 60 dias"))))</x:f>
        <x:v>Em dia</x:v>
      </x:c>
    </x:row>
    <x:row r="1294">
      <x:c r="A1294" s="13" t="str">
        <x:v>REC-001293</x:v>
      </x:c>
      <x:c r="B1294" s="23" t="n">
        <x:v>45931</x:v>
      </x:c>
      <x:c r="C1294" s="23" t="n">
        <x:v>45938</x:v>
      </x:c>
      <x:c r="D1294" s="23" t="n">
        <x:v>45935</x:v>
      </x:c>
      <x:c r="E1294" s="13" t="str">
        <x:v>VAL-007</x:v>
      </x:c>
      <x:c r="F1294" s="13" t="str">
        <x:v>Loja Prisma Online</x:v>
      </x:c>
      <x:c r="G1294" s="13" t="str">
        <x:v>E-commerce</x:v>
      </x:c>
      <x:c r="H1294" s="13" t="str">
        <x:v>Médio</x:v>
      </x:c>
      <x:c r="I1294" s="13" t="str">
        <x:v>Performance</x:v>
      </x:c>
      <x:c r="J1294" s="17" t="n">
        <x:v>1173.27</x:v>
      </x:c>
      <x:c r="K1294" s="17" t="n">
        <x:v>0</x:v>
      </x:c>
      <x:c r="L1294" s="17" t="n">
        <x:v>0</x:v>
      </x:c>
      <x:c r="M1294" s="13" t="str">
        <x:v>Pago</x:v>
      </x:c>
      <x:c r="N1294" s="13" t="str">
        <x:v>Sem cobrança</x:v>
      </x:c>
      <x:c r="O1294" s="13" t="str">
        <x:v>Operação Clareza</x:v>
      </x:c>
      <x:c r="P1294" s="17" t="n">
        <x:f>IF(D1294="",0,J1294-K1294+L1294)</x:f>
        <x:v>1173.27</x:v>
      </x:c>
      <x:c r="Q1294" s="17" t="n">
        <x:f>MAX(J1294-P1294-K1294,0)</x:f>
        <x:v>0</x:v>
      </x:c>
      <x:c r="R1294" s="13" t="n">
        <x:f>IF(D1294="",MAX(TODAY()-C1294,0),MAX(D1294-C1294,0))</x:f>
        <x:v>0</x:v>
      </x:c>
      <x:c r="S1294" s="13" t="str">
        <x:f>IF(R1294=0,"Em dia",IF(R1294&lt;=15,"1-15 dias",IF(R1294&lt;=30,"16-30 dias",IF(R1294&lt;=60,"31-60 dias","Acima de 60 dias"))))</x:f>
        <x:v>Em dia</x:v>
      </x:c>
    </x:row>
    <x:row r="1295">
      <x:c r="A1295" s="13" t="str">
        <x:v>REC-001294</x:v>
      </x:c>
      <x:c r="B1295" s="23" t="n">
        <x:v>45940</x:v>
      </x:c>
      <x:c r="C1295" s="23" t="n">
        <x:v>45955</x:v>
      </x:c>
      <x:c r="D1295" s="23" t="n">
        <x:v>45955</x:v>
      </x:c>
      <x:c r="E1295" s="13" t="str">
        <x:v>VAL-014</x:v>
      </x:c>
      <x:c r="F1295" s="13" t="str">
        <x:v>Colégio Caminhos</x:v>
      </x:c>
      <x:c r="G1295" s="13" t="str">
        <x:v>Educação</x:v>
      </x:c>
      <x:c r="H1295" s="13" t="str">
        <x:v>Médio</x:v>
      </x:c>
      <x:c r="I1295" s="13" t="str">
        <x:v>Gestão</x:v>
      </x:c>
      <x:c r="J1295" s="17" t="n">
        <x:v>18319.56</x:v>
      </x:c>
      <x:c r="K1295" s="17" t="n">
        <x:v>0</x:v>
      </x:c>
      <x:c r="L1295" s="17" t="n">
        <x:v>0</x:v>
      </x:c>
      <x:c r="M1295" s="13" t="str">
        <x:v>Pago</x:v>
      </x:c>
      <x:c r="N1295" s="13" t="str">
        <x:v>Sem cobrança</x:v>
      </x:c>
      <x:c r="O1295" s="13" t="str">
        <x:v>Operação Clareza</x:v>
      </x:c>
      <x:c r="P1295" s="17" t="n">
        <x:f>IF(D1295="",0,J1295-K1295+L1295)</x:f>
        <x:v>18319.56</x:v>
      </x:c>
      <x:c r="Q1295" s="17" t="n">
        <x:f>MAX(J1295-P1295-K1295,0)</x:f>
        <x:v>0</x:v>
      </x:c>
      <x:c r="R1295" s="13" t="n">
        <x:f>IF(D1295="",MAX(TODAY()-C1295,0),MAX(D1295-C1295,0))</x:f>
        <x:v>0</x:v>
      </x:c>
      <x:c r="S1295" s="13" t="str">
        <x:f>IF(R1295=0,"Em dia",IF(R1295&lt;=15,"1-15 dias",IF(R1295&lt;=30,"16-30 dias",IF(R1295&lt;=60,"31-60 dias","Acima de 60 dias"))))</x:f>
        <x:v>Em dia</x:v>
      </x:c>
    </x:row>
    <x:row r="1296">
      <x:c r="A1296" s="13" t="str">
        <x:v>REC-001295</x:v>
      </x:c>
      <x:c r="B1296" s="23" t="n">
        <x:v>45939</x:v>
      </x:c>
      <x:c r="C1296" s="23" t="n">
        <x:v>45946</x:v>
      </x:c>
      <x:c r="D1296" s="23" t="n">
        <x:v>45945</x:v>
      </x:c>
      <x:c r="E1296" s="13" t="str">
        <x:v>VAL-026</x:v>
      </x:c>
      <x:c r="F1296" s="13" t="str">
        <x:v>Ribeiro Arquitetura</x:v>
      </x:c>
      <x:c r="G1296" s="13" t="str">
        <x:v>Serviços Profissionais</x:v>
      </x:c>
      <x:c r="H1296" s="13" t="str">
        <x:v>Baixo</x:v>
      </x:c>
      <x:c r="I1296" s="13" t="str">
        <x:v>Gestão</x:v>
      </x:c>
      <x:c r="J1296" s="17" t="n">
        <x:v>13763.99</x:v>
      </x:c>
      <x:c r="K1296" s="17" t="n">
        <x:v>0</x:v>
      </x:c>
      <x:c r="L1296" s="17" t="n">
        <x:v>0</x:v>
      </x:c>
      <x:c r="M1296" s="13" t="str">
        <x:v>Pago</x:v>
      </x:c>
      <x:c r="N1296" s="13" t="str">
        <x:v>Sem cobrança</x:v>
      </x:c>
      <x:c r="O1296" s="13" t="str">
        <x:v>Operação Clareza</x:v>
      </x:c>
      <x:c r="P1296" s="17" t="n">
        <x:f>IF(D1296="",0,J1296-K1296+L1296)</x:f>
        <x:v>13763.99</x:v>
      </x:c>
      <x:c r="Q1296" s="17" t="n">
        <x:f>MAX(J1296-P1296-K1296,0)</x:f>
        <x:v>0</x:v>
      </x:c>
      <x:c r="R1296" s="13" t="n">
        <x:f>IF(D1296="",MAX(TODAY()-C1296,0),MAX(D1296-C1296,0))</x:f>
        <x:v>0</x:v>
      </x:c>
      <x:c r="S1296" s="13" t="str">
        <x:f>IF(R1296=0,"Em dia",IF(R1296&lt;=15,"1-15 dias",IF(R1296&lt;=30,"16-30 dias",IF(R1296&lt;=60,"31-60 dias","Acima de 60 dias"))))</x:f>
        <x:v>Em dia</x:v>
      </x:c>
    </x:row>
    <x:row r="1297">
      <x:c r="A1297" s="13" t="str">
        <x:v>REC-001296</x:v>
      </x:c>
      <x:c r="B1297" s="23" t="n">
        <x:v>45943</x:v>
      </x:c>
      <x:c r="C1297" s="23" t="n">
        <x:v>45950</x:v>
      </x:c>
      <x:c r="D1297" s="23" t="n">
        <x:v>45946</x:v>
      </x:c>
      <x:c r="E1297" s="13" t="str">
        <x:v>VAL-015</x:v>
      </x:c>
      <x:c r="F1297" s="13" t="str">
        <x:v>Mercado Click</x:v>
      </x:c>
      <x:c r="G1297" s="13" t="str">
        <x:v>E-commerce</x:v>
      </x:c>
      <x:c r="H1297" s="13" t="str">
        <x:v>Baixo</x:v>
      </x:c>
      <x:c r="I1297" s="13" t="str">
        <x:v>Performance</x:v>
      </x:c>
      <x:c r="J1297" s="17" t="n">
        <x:v>25254.21</x:v>
      </x:c>
      <x:c r="K1297" s="17" t="n">
        <x:v>0</x:v>
      </x:c>
      <x:c r="L1297" s="17" t="n">
        <x:v>0</x:v>
      </x:c>
      <x:c r="M1297" s="13" t="str">
        <x:v>Pago</x:v>
      </x:c>
      <x:c r="N1297" s="13" t="str">
        <x:v>Sem cobrança</x:v>
      </x:c>
      <x:c r="O1297" s="13" t="str">
        <x:v>Operação Clareza</x:v>
      </x:c>
      <x:c r="P1297" s="17" t="n">
        <x:f>IF(D1297="",0,J1297-K1297+L1297)</x:f>
        <x:v>25254.21</x:v>
      </x:c>
      <x:c r="Q1297" s="17" t="n">
        <x:f>MAX(J1297-P1297-K1297,0)</x:f>
        <x:v>0</x:v>
      </x:c>
      <x:c r="R1297" s="13" t="n">
        <x:f>IF(D1297="",MAX(TODAY()-C1297,0),MAX(D1297-C1297,0))</x:f>
        <x:v>0</x:v>
      </x:c>
      <x:c r="S1297" s="13" t="str">
        <x:f>IF(R1297=0,"Em dia",IF(R1297&lt;=15,"1-15 dias",IF(R1297&lt;=30,"16-30 dias",IF(R1297&lt;=60,"31-60 dias","Acima de 60 dias"))))</x:f>
        <x:v>Em dia</x:v>
      </x:c>
    </x:row>
    <x:row r="1298">
      <x:c r="A1298" s="13" t="str">
        <x:v>REC-001297</x:v>
      </x:c>
      <x:c r="B1298" s="23" t="n">
        <x:v>45938</x:v>
      </x:c>
      <x:c r="C1298" s="23" t="n">
        <x:v>45968</x:v>
      </x:c>
      <x:c r="D1298" s="23" t="n">
        <x:v>45965</x:v>
      </x:c>
      <x:c r="E1298" s="13" t="str">
        <x:v>VAL-010</x:v>
      </x:c>
      <x:c r="F1298" s="13" t="str">
        <x:v>Atlas Contabilidade</x:v>
      </x:c>
      <x:c r="G1298" s="13" t="str">
        <x:v>Serviços Profissionais</x:v>
      </x:c>
      <x:c r="H1298" s="13" t="str">
        <x:v>Baixo</x:v>
      </x:c>
      <x:c r="I1298" s="13" t="str">
        <x:v>Gestão</x:v>
      </x:c>
      <x:c r="J1298" s="17" t="n">
        <x:v>5045.16</x:v>
      </x:c>
      <x:c r="K1298" s="17" t="n">
        <x:v>0</x:v>
      </x:c>
      <x:c r="L1298" s="17" t="n">
        <x:v>0</x:v>
      </x:c>
      <x:c r="M1298" s="13" t="str">
        <x:v>Pago</x:v>
      </x:c>
      <x:c r="N1298" s="13" t="str">
        <x:v>Sem cobrança</x:v>
      </x:c>
      <x:c r="O1298" s="13" t="str">
        <x:v>Operação Clareza</x:v>
      </x:c>
      <x:c r="P1298" s="17" t="n">
        <x:f>IF(D1298="",0,J1298-K1298+L1298)</x:f>
        <x:v>5045.16</x:v>
      </x:c>
      <x:c r="Q1298" s="17" t="n">
        <x:f>MAX(J1298-P1298-K1298,0)</x:f>
        <x:v>0</x:v>
      </x:c>
      <x:c r="R1298" s="13" t="n">
        <x:f>IF(D1298="",MAX(TODAY()-C1298,0),MAX(D1298-C1298,0))</x:f>
        <x:v>0</x:v>
      </x:c>
      <x:c r="S1298" s="13" t="str">
        <x:f>IF(R1298=0,"Em dia",IF(R1298&lt;=15,"1-15 dias",IF(R1298&lt;=30,"16-30 dias",IF(R1298&lt;=60,"31-60 dias","Acima de 60 dias"))))</x:f>
        <x:v>Em dia</x:v>
      </x:c>
    </x:row>
    <x:row r="1299">
      <x:c r="A1299" s="13" t="str">
        <x:v>REC-001298</x:v>
      </x:c>
      <x:c r="B1299" s="23" t="n">
        <x:v>45947</x:v>
      </x:c>
      <x:c r="C1299" s="23" t="n">
        <x:v>45962</x:v>
      </x:c>
      <x:c r="D1299" s="23" t="n">
        <x:v>45959</x:v>
      </x:c>
      <x:c r="E1299" s="13" t="str">
        <x:v>VAL-009</x:v>
      </x:c>
      <x:c r="F1299" s="13" t="str">
        <x:v>Odonto Prime</x:v>
      </x:c>
      <x:c r="G1299" s="13" t="str">
        <x:v>Clínicas e Saúde</x:v>
      </x:c>
      <x:c r="H1299" s="13" t="str">
        <x:v>Médio</x:v>
      </x:c>
      <x:c r="I1299" s="13" t="str">
        <x:v>Essencial</x:v>
      </x:c>
      <x:c r="J1299" s="17" t="n">
        <x:v>5361.07</x:v>
      </x:c>
      <x:c r="K1299" s="17" t="n">
        <x:v>0</x:v>
      </x:c>
      <x:c r="L1299" s="17" t="n">
        <x:v>0</x:v>
      </x:c>
      <x:c r="M1299" s="13" t="str">
        <x:v>Pago</x:v>
      </x:c>
      <x:c r="N1299" s="13" t="str">
        <x:v>Sem cobrança</x:v>
      </x:c>
      <x:c r="O1299" s="13" t="str">
        <x:v>Operação Clareza</x:v>
      </x:c>
      <x:c r="P1299" s="17" t="n">
        <x:f>IF(D1299="",0,J1299-K1299+L1299)</x:f>
        <x:v>5361.07</x:v>
      </x:c>
      <x:c r="Q1299" s="17" t="n">
        <x:f>MAX(J1299-P1299-K1299,0)</x:f>
        <x:v>0</x:v>
      </x:c>
      <x:c r="R1299" s="13" t="n">
        <x:f>IF(D1299="",MAX(TODAY()-C1299,0),MAX(D1299-C1299,0))</x:f>
        <x:v>0</x:v>
      </x:c>
      <x:c r="S1299" s="13" t="str">
        <x:f>IF(R1299=0,"Em dia",IF(R1299&lt;=15,"1-15 dias",IF(R1299&lt;=30,"16-30 dias",IF(R1299&lt;=60,"31-60 dias","Acima de 60 dias"))))</x:f>
        <x:v>Em dia</x:v>
      </x:c>
    </x:row>
    <x:row r="1300">
      <x:c r="A1300" s="13" t="str">
        <x:v>REC-001299</x:v>
      </x:c>
      <x:c r="B1300" s="23" t="n">
        <x:v>45944</x:v>
      </x:c>
      <x:c r="C1300" s="23" t="n">
        <x:v>45974</x:v>
      </x:c>
      <x:c r="D1300" s="23" t="n">
        <x:v>45973</x:v>
      </x:c>
      <x:c r="E1300" s="13" t="str">
        <x:v>VAL-012</x:v>
      </x:c>
      <x:c r="F1300" s="13" t="str">
        <x:v>DataFlow Sistemas</x:v>
      </x:c>
      <x:c r="G1300" s="13" t="str">
        <x:v>Tecnologia</x:v>
      </x:c>
      <x:c r="H1300" s="13" t="str">
        <x:v>Médio</x:v>
      </x:c>
      <x:c r="I1300" s="13" t="str">
        <x:v>Enterprise</x:v>
      </x:c>
      <x:c r="J1300" s="17" t="n">
        <x:v>13747.15</x:v>
      </x:c>
      <x:c r="K1300" s="17" t="n">
        <x:v>0</x:v>
      </x:c>
      <x:c r="L1300" s="17" t="n">
        <x:v>0</x:v>
      </x:c>
      <x:c r="M1300" s="13" t="str">
        <x:v>Pago</x:v>
      </x:c>
      <x:c r="N1300" s="13" t="str">
        <x:v>Sem cobrança</x:v>
      </x:c>
      <x:c r="O1300" s="13" t="str">
        <x:v>Operação Clareza</x:v>
      </x:c>
      <x:c r="P1300" s="17" t="n">
        <x:f>IF(D1300="",0,J1300-K1300+L1300)</x:f>
        <x:v>13747.15</x:v>
      </x:c>
      <x:c r="Q1300" s="17" t="n">
        <x:f>MAX(J1300-P1300-K1300,0)</x:f>
        <x:v>0</x:v>
      </x:c>
      <x:c r="R1300" s="13" t="n">
        <x:f>IF(D1300="",MAX(TODAY()-C1300,0),MAX(D1300-C1300,0))</x:f>
        <x:v>0</x:v>
      </x:c>
      <x:c r="S1300" s="13" t="str">
        <x:f>IF(R1300=0,"Em dia",IF(R1300&lt;=15,"1-15 dias",IF(R1300&lt;=30,"16-30 dias",IF(R1300&lt;=60,"31-60 dias","Acima de 60 dias"))))</x:f>
        <x:v>Em dia</x:v>
      </x:c>
    </x:row>
    <x:row r="1301">
      <x:c r="A1301" s="13" t="str">
        <x:v>REC-001300</x:v>
      </x:c>
      <x:c r="B1301" s="23" t="n">
        <x:v>45931</x:v>
      </x:c>
      <x:c r="C1301" s="23" t="n">
        <x:v>45961</x:v>
      </x:c>
      <x:c r="D1301" s="23" t="n">
        <x:v>45959</x:v>
      </x:c>
      <x:c r="E1301" s="13" t="str">
        <x:v>VAL-010</x:v>
      </x:c>
      <x:c r="F1301" s="13" t="str">
        <x:v>Atlas Contabilidade</x:v>
      </x:c>
      <x:c r="G1301" s="13" t="str">
        <x:v>Serviços Profissionais</x:v>
      </x:c>
      <x:c r="H1301" s="13" t="str">
        <x:v>Baixo</x:v>
      </x:c>
      <x:c r="I1301" s="13" t="str">
        <x:v>Gestão</x:v>
      </x:c>
      <x:c r="J1301" s="17" t="n">
        <x:v>23809.34</x:v>
      </x:c>
      <x:c r="K1301" s="17" t="n">
        <x:v>0</x:v>
      </x:c>
      <x:c r="L1301" s="17" t="n">
        <x:v>0</x:v>
      </x:c>
      <x:c r="M1301" s="13" t="str">
        <x:v>Pago</x:v>
      </x:c>
      <x:c r="N1301" s="13" t="str">
        <x:v>Sem cobrança</x:v>
      </x:c>
      <x:c r="O1301" s="13" t="str">
        <x:v>Operação Clareza</x:v>
      </x:c>
      <x:c r="P1301" s="17" t="n">
        <x:f>IF(D1301="",0,J1301-K1301+L1301)</x:f>
        <x:v>23809.34</x:v>
      </x:c>
      <x:c r="Q1301" s="17" t="n">
        <x:f>MAX(J1301-P1301-K1301,0)</x:f>
        <x:v>0</x:v>
      </x:c>
      <x:c r="R1301" s="13" t="n">
        <x:f>IF(D1301="",MAX(TODAY()-C1301,0),MAX(D1301-C1301,0))</x:f>
        <x:v>0</x:v>
      </x:c>
      <x:c r="S1301" s="13" t="str">
        <x:f>IF(R1301=0,"Em dia",IF(R1301&lt;=15,"1-15 dias",IF(R1301&lt;=30,"16-30 dias",IF(R1301&lt;=60,"31-60 dias","Acima de 60 dias"))))</x:f>
        <x:v>Em dia</x:v>
      </x:c>
    </x:row>
    <x:row r="1302">
      <x:c r="A1302" s="13" t="str">
        <x:v>REC-001301</x:v>
      </x:c>
      <x:c r="B1302" s="23" t="n">
        <x:v>45934</x:v>
      </x:c>
      <x:c r="C1302" s="23" t="n">
        <x:v>45962</x:v>
      </x:c>
      <x:c r="D1302" s="23" t="n">
        <x:v>45959</x:v>
      </x:c>
      <x:c r="E1302" s="13" t="str">
        <x:v>VAL-014</x:v>
      </x:c>
      <x:c r="F1302" s="13" t="str">
        <x:v>Colégio Caminhos</x:v>
      </x:c>
      <x:c r="G1302" s="13" t="str">
        <x:v>Educação</x:v>
      </x:c>
      <x:c r="H1302" s="13" t="str">
        <x:v>Médio</x:v>
      </x:c>
      <x:c r="I1302" s="13" t="str">
        <x:v>Gestão</x:v>
      </x:c>
      <x:c r="J1302" s="17" t="n">
        <x:v>17864.01</x:v>
      </x:c>
      <x:c r="K1302" s="17" t="n">
        <x:v>0</x:v>
      </x:c>
      <x:c r="L1302" s="17" t="n">
        <x:v>0</x:v>
      </x:c>
      <x:c r="M1302" s="13" t="str">
        <x:v>Pago</x:v>
      </x:c>
      <x:c r="N1302" s="13" t="str">
        <x:v>Sem cobrança</x:v>
      </x:c>
      <x:c r="O1302" s="13" t="str">
        <x:v>Operação Clareza</x:v>
      </x:c>
      <x:c r="P1302" s="17" t="n">
        <x:f>IF(D1302="",0,J1302-K1302+L1302)</x:f>
        <x:v>17864.01</x:v>
      </x:c>
      <x:c r="Q1302" s="17" t="n">
        <x:f>MAX(J1302-P1302-K1302,0)</x:f>
        <x:v>0</x:v>
      </x:c>
      <x:c r="R1302" s="13" t="n">
        <x:f>IF(D1302="",MAX(TODAY()-C1302,0),MAX(D1302-C1302,0))</x:f>
        <x:v>0</x:v>
      </x:c>
      <x:c r="S1302" s="13" t="str">
        <x:f>IF(R1302=0,"Em dia",IF(R1302&lt;=15,"1-15 dias",IF(R1302&lt;=30,"16-30 dias",IF(R1302&lt;=60,"31-60 dias","Acima de 60 dias"))))</x:f>
        <x:v>Em dia</x:v>
      </x:c>
    </x:row>
    <x:row r="1303">
      <x:c r="A1303" s="13" t="str">
        <x:v>REC-001302</x:v>
      </x:c>
      <x:c r="B1303" s="23" t="n">
        <x:v>45948</x:v>
      </x:c>
      <x:c r="C1303" s="23" t="n">
        <x:v>45978</x:v>
      </x:c>
      <x:c r="D1303" s="23" t="n">
        <x:v>45977</x:v>
      </x:c>
      <x:c r="E1303" s="13" t="str">
        <x:v>VAL-012</x:v>
      </x:c>
      <x:c r="F1303" s="13" t="str">
        <x:v>DataFlow Sistemas</x:v>
      </x:c>
      <x:c r="G1303" s="13" t="str">
        <x:v>Tecnologia</x:v>
      </x:c>
      <x:c r="H1303" s="13" t="str">
        <x:v>Médio</x:v>
      </x:c>
      <x:c r="I1303" s="13" t="str">
        <x:v>Enterprise</x:v>
      </x:c>
      <x:c r="J1303" s="17" t="n">
        <x:v>1077.15</x:v>
      </x:c>
      <x:c r="K1303" s="17" t="n">
        <x:v>0</x:v>
      </x:c>
      <x:c r="L1303" s="17" t="n">
        <x:v>0</x:v>
      </x:c>
      <x:c r="M1303" s="13" t="str">
        <x:v>Pago</x:v>
      </x:c>
      <x:c r="N1303" s="13" t="str">
        <x:v>Sem cobrança</x:v>
      </x:c>
      <x:c r="O1303" s="13" t="str">
        <x:v>Operação Clareza</x:v>
      </x:c>
      <x:c r="P1303" s="17" t="n">
        <x:f>IF(D1303="",0,J1303-K1303+L1303)</x:f>
        <x:v>1077.15</x:v>
      </x:c>
      <x:c r="Q1303" s="17" t="n">
        <x:f>MAX(J1303-P1303-K1303,0)</x:f>
        <x:v>0</x:v>
      </x:c>
      <x:c r="R1303" s="13" t="n">
        <x:f>IF(D1303="",MAX(TODAY()-C1303,0),MAX(D1303-C1303,0))</x:f>
        <x:v>0</x:v>
      </x:c>
      <x:c r="S1303" s="13" t="str">
        <x:f>IF(R1303=0,"Em dia",IF(R1303&lt;=15,"1-15 dias",IF(R1303&lt;=30,"16-30 dias",IF(R1303&lt;=60,"31-60 dias","Acima de 60 dias"))))</x:f>
        <x:v>Em dia</x:v>
      </x:c>
    </x:row>
    <x:row r="1304">
      <x:c r="A1304" s="13" t="str">
        <x:v>REC-001303</x:v>
      </x:c>
      <x:c r="B1304" s="23" t="n">
        <x:v>45939</x:v>
      </x:c>
      <x:c r="C1304" s="23" t="n">
        <x:v>45960</x:v>
      </x:c>
      <x:c r="D1304" s="23" t="n">
        <x:v>45959</x:v>
      </x:c>
      <x:c r="E1304" s="13" t="str">
        <x:v>VAL-005</x:v>
      </x:c>
      <x:c r="F1304" s="13" t="str">
        <x:v>Construtora Alameda</x:v>
      </x:c>
      <x:c r="G1304" s="13" t="str">
        <x:v>Construção</x:v>
      </x:c>
      <x:c r="H1304" s="13" t="str">
        <x:v>Médio</x:v>
      </x:c>
      <x:c r="I1304" s="13" t="str">
        <x:v>Essencial</x:v>
      </x:c>
      <x:c r="J1304" s="17" t="n">
        <x:v>5654.55</x:v>
      </x:c>
      <x:c r="K1304" s="17" t="n">
        <x:v>0</x:v>
      </x:c>
      <x:c r="L1304" s="17" t="n">
        <x:v>0</x:v>
      </x:c>
      <x:c r="M1304" s="13" t="str">
        <x:v>Pago</x:v>
      </x:c>
      <x:c r="N1304" s="13" t="str">
        <x:v>Sem cobrança</x:v>
      </x:c>
      <x:c r="O1304" s="13" t="str">
        <x:v>Operação Clareza</x:v>
      </x:c>
      <x:c r="P1304" s="17" t="n">
        <x:f>IF(D1304="",0,J1304-K1304+L1304)</x:f>
        <x:v>5654.55</x:v>
      </x:c>
      <x:c r="Q1304" s="17" t="n">
        <x:f>MAX(J1304-P1304-K1304,0)</x:f>
        <x:v>0</x:v>
      </x:c>
      <x:c r="R1304" s="13" t="n">
        <x:f>IF(D1304="",MAX(TODAY()-C1304,0),MAX(D1304-C1304,0))</x:f>
        <x:v>0</x:v>
      </x:c>
      <x:c r="S1304" s="13" t="str">
        <x:f>IF(R1304=0,"Em dia",IF(R1304&lt;=15,"1-15 dias",IF(R1304&lt;=30,"16-30 dias",IF(R1304&lt;=60,"31-60 dias","Acima de 60 dias"))))</x:f>
        <x:v>Em dia</x:v>
      </x:c>
    </x:row>
    <x:row r="1305">
      <x:c r="A1305" s="13" t="str">
        <x:v>REC-001304</x:v>
      </x:c>
      <x:c r="B1305" s="23" t="n">
        <x:v>45944</x:v>
      </x:c>
      <x:c r="C1305" s="23" t="n">
        <x:v>45951</x:v>
      </x:c>
      <x:c r="D1305" s="23" t="n">
        <x:v>45950</x:v>
      </x:c>
      <x:c r="E1305" s="13" t="str">
        <x:v>VAL-002</x:v>
      </x:c>
      <x:c r="F1305" s="13" t="str">
        <x:v>Mendes &amp; Prado Consultoria</x:v>
      </x:c>
      <x:c r="G1305" s="13" t="str">
        <x:v>Serviços Profissionais</x:v>
      </x:c>
      <x:c r="H1305" s="13" t="str">
        <x:v>Baixo</x:v>
      </x:c>
      <x:c r="I1305" s="13" t="str">
        <x:v>Gestão</x:v>
      </x:c>
      <x:c r="J1305" s="17" t="n">
        <x:v>4905.43</x:v>
      </x:c>
      <x:c r="K1305" s="17" t="n">
        <x:v>0</x:v>
      </x:c>
      <x:c r="L1305" s="17" t="n">
        <x:v>0</x:v>
      </x:c>
      <x:c r="M1305" s="13" t="str">
        <x:v>Pago</x:v>
      </x:c>
      <x:c r="N1305" s="13" t="str">
        <x:v>Sem cobrança</x:v>
      </x:c>
      <x:c r="O1305" s="13" t="str">
        <x:v>Operação Clareza</x:v>
      </x:c>
      <x:c r="P1305" s="17" t="n">
        <x:f>IF(D1305="",0,J1305-K1305+L1305)</x:f>
        <x:v>4905.43</x:v>
      </x:c>
      <x:c r="Q1305" s="17" t="n">
        <x:f>MAX(J1305-P1305-K1305,0)</x:f>
        <x:v>0</x:v>
      </x:c>
      <x:c r="R1305" s="13" t="n">
        <x:f>IF(D1305="",MAX(TODAY()-C1305,0),MAX(D1305-C1305,0))</x:f>
        <x:v>0</x:v>
      </x:c>
      <x:c r="S1305" s="13" t="str">
        <x:f>IF(R1305=0,"Em dia",IF(R1305&lt;=15,"1-15 dias",IF(R1305&lt;=30,"16-30 dias",IF(R1305&lt;=60,"31-60 dias","Acima de 60 dias"))))</x:f>
        <x:v>Em dia</x:v>
      </x:c>
    </x:row>
    <x:row r="1306">
      <x:c r="A1306" s="13" t="str">
        <x:v>REC-001305</x:v>
      </x:c>
      <x:c r="B1306" s="23" t="n">
        <x:v>45932</x:v>
      </x:c>
      <x:c r="C1306" s="23" t="n">
        <x:v>45947</x:v>
      </x:c>
      <x:c r="D1306" s="23" t="n">
        <x:v>45943</x:v>
      </x:c>
      <x:c r="E1306" s="13" t="str">
        <x:v>VAL-011</x:v>
      </x:c>
      <x:c r="F1306" s="13" t="str">
        <x:v>Rede Essencial</x:v>
      </x:c>
      <x:c r="G1306" s="13" t="str">
        <x:v>Varejo</x:v>
      </x:c>
      <x:c r="H1306" s="13" t="str">
        <x:v>Médio</x:v>
      </x:c>
      <x:c r="I1306" s="13" t="str">
        <x:v>Performance</x:v>
      </x:c>
      <x:c r="J1306" s="17" t="n">
        <x:v>16363.23</x:v>
      </x:c>
      <x:c r="K1306" s="17" t="n">
        <x:v>0</x:v>
      </x:c>
      <x:c r="L1306" s="17" t="n">
        <x:v>0</x:v>
      </x:c>
      <x:c r="M1306" s="13" t="str">
        <x:v>Pago</x:v>
      </x:c>
      <x:c r="N1306" s="13" t="str">
        <x:v>Sem cobrança</x:v>
      </x:c>
      <x:c r="O1306" s="13" t="str">
        <x:v>Operação Clareza</x:v>
      </x:c>
      <x:c r="P1306" s="17" t="n">
        <x:f>IF(D1306="",0,J1306-K1306+L1306)</x:f>
        <x:v>16363.23</x:v>
      </x:c>
      <x:c r="Q1306" s="17" t="n">
        <x:f>MAX(J1306-P1306-K1306,0)</x:f>
        <x:v>0</x:v>
      </x:c>
      <x:c r="R1306" s="13" t="n">
        <x:f>IF(D1306="",MAX(TODAY()-C1306,0),MAX(D1306-C1306,0))</x:f>
        <x:v>0</x:v>
      </x:c>
      <x:c r="S1306" s="13" t="str">
        <x:f>IF(R1306=0,"Em dia",IF(R1306&lt;=15,"1-15 dias",IF(R1306&lt;=30,"16-30 dias",IF(R1306&lt;=60,"31-60 dias","Acima de 60 dias"))))</x:f>
        <x:v>Em dia</x:v>
      </x:c>
    </x:row>
    <x:row r="1307">
      <x:c r="A1307" s="13" t="str">
        <x:v>REC-001306</x:v>
      </x:c>
      <x:c r="B1307" s="23" t="n">
        <x:v>45938</x:v>
      </x:c>
      <x:c r="C1307" s="23" t="n">
        <x:v>45953</x:v>
      </x:c>
      <x:c r="D1307" s="23" t="n">
        <x:v>45952</x:v>
      </x:c>
      <x:c r="E1307" s="13" t="str">
        <x:v>VAL-021</x:v>
      </x:c>
      <x:c r="F1307" s="13" t="str">
        <x:v>Base Forte Obras</x:v>
      </x:c>
      <x:c r="G1307" s="13" t="str">
        <x:v>Construção</x:v>
      </x:c>
      <x:c r="H1307" s="13" t="str">
        <x:v>Médio</x:v>
      </x:c>
      <x:c r="I1307" s="13" t="str">
        <x:v>Essencial</x:v>
      </x:c>
      <x:c r="J1307" s="17" t="n">
        <x:v>25858.57</x:v>
      </x:c>
      <x:c r="K1307" s="17" t="n">
        <x:v>0</x:v>
      </x:c>
      <x:c r="L1307" s="17" t="n">
        <x:v>0</x:v>
      </x:c>
      <x:c r="M1307" s="13" t="str">
        <x:v>Pago</x:v>
      </x:c>
      <x:c r="N1307" s="13" t="str">
        <x:v>Sem cobrança</x:v>
      </x:c>
      <x:c r="O1307" s="13" t="str">
        <x:v>Operação Clareza</x:v>
      </x:c>
      <x:c r="P1307" s="17" t="n">
        <x:f>IF(D1307="",0,J1307-K1307+L1307)</x:f>
        <x:v>25858.57</x:v>
      </x:c>
      <x:c r="Q1307" s="17" t="n">
        <x:f>MAX(J1307-P1307-K1307,0)</x:f>
        <x:v>0</x:v>
      </x:c>
      <x:c r="R1307" s="13" t="n">
        <x:f>IF(D1307="",MAX(TODAY()-C1307,0),MAX(D1307-C1307,0))</x:f>
        <x:v>0</x:v>
      </x:c>
      <x:c r="S1307" s="13" t="str">
        <x:f>IF(R1307=0,"Em dia",IF(R1307&lt;=15,"1-15 dias",IF(R1307&lt;=30,"16-30 dias",IF(R1307&lt;=60,"31-60 dias","Acima de 60 dias"))))</x:f>
        <x:v>Em dia</x:v>
      </x:c>
    </x:row>
    <x:row r="1308">
      <x:c r="A1308" s="13" t="str">
        <x:v>REC-001307</x:v>
      </x:c>
      <x:c r="B1308" s="23" t="n">
        <x:v>45936</x:v>
      </x:c>
      <x:c r="C1308" s="23" t="n">
        <x:v>45966</x:v>
      </x:c>
      <x:c r="D1308" s="23" t="n">
        <x:v>45962</x:v>
      </x:c>
      <x:c r="E1308" s="13" t="str">
        <x:v>VAL-016</x:v>
      </x:c>
      <x:c r="F1308" s="13" t="str">
        <x:v>Lumina Embalagens</x:v>
      </x:c>
      <x:c r="G1308" s="13" t="str">
        <x:v>Indústria Leve</x:v>
      </x:c>
      <x:c r="H1308" s="13" t="str">
        <x:v>Baixo</x:v>
      </x:c>
      <x:c r="I1308" s="13" t="str">
        <x:v>Enterprise</x:v>
      </x:c>
      <x:c r="J1308" s="17" t="n">
        <x:v>18153.24</x:v>
      </x:c>
      <x:c r="K1308" s="17" t="n">
        <x:v>0</x:v>
      </x:c>
      <x:c r="L1308" s="17" t="n">
        <x:v>0</x:v>
      </x:c>
      <x:c r="M1308" s="13" t="str">
        <x:v>Pago</x:v>
      </x:c>
      <x:c r="N1308" s="13" t="str">
        <x:v>Sem cobrança</x:v>
      </x:c>
      <x:c r="O1308" s="13" t="str">
        <x:v>Operação Clareza</x:v>
      </x:c>
      <x:c r="P1308" s="17" t="n">
        <x:f>IF(D1308="",0,J1308-K1308+L1308)</x:f>
        <x:v>18153.24</x:v>
      </x:c>
      <x:c r="Q1308" s="17" t="n">
        <x:f>MAX(J1308-P1308-K1308,0)</x:f>
        <x:v>0</x:v>
      </x:c>
      <x:c r="R1308" s="13" t="n">
        <x:f>IF(D1308="",MAX(TODAY()-C1308,0),MAX(D1308-C1308,0))</x:f>
        <x:v>0</x:v>
      </x:c>
      <x:c r="S1308" s="13" t="str">
        <x:f>IF(R1308=0,"Em dia",IF(R1308&lt;=15,"1-15 dias",IF(R1308&lt;=30,"16-30 dias",IF(R1308&lt;=60,"31-60 dias","Acima de 60 dias"))))</x:f>
        <x:v>Em dia</x:v>
      </x:c>
    </x:row>
    <x:row r="1309">
      <x:c r="A1309" s="13" t="str">
        <x:v>REC-001308</x:v>
      </x:c>
      <x:c r="B1309" s="23" t="n">
        <x:v>45947</x:v>
      </x:c>
      <x:c r="C1309" s="23" t="n">
        <x:v>45962</x:v>
      </x:c>
      <x:c r="D1309" s="23" t="n">
        <x:v>45958</x:v>
      </x:c>
      <x:c r="E1309" s="13" t="str">
        <x:v>VAL-004</x:v>
      </x:c>
      <x:c r="F1309" s="13" t="str">
        <x:v>NuvemBase Tecnologia</x:v>
      </x:c>
      <x:c r="G1309" s="13" t="str">
        <x:v>Tecnologia</x:v>
      </x:c>
      <x:c r="H1309" s="13" t="str">
        <x:v>Baixo</x:v>
      </x:c>
      <x:c r="I1309" s="13" t="str">
        <x:v>Enterprise</x:v>
      </x:c>
      <x:c r="J1309" s="17" t="n">
        <x:v>26475.52</x:v>
      </x:c>
      <x:c r="K1309" s="17" t="n">
        <x:v>0</x:v>
      </x:c>
      <x:c r="L1309" s="17" t="n">
        <x:v>0</x:v>
      </x:c>
      <x:c r="M1309" s="13" t="str">
        <x:v>Pago</x:v>
      </x:c>
      <x:c r="N1309" s="13" t="str">
        <x:v>Sem cobrança</x:v>
      </x:c>
      <x:c r="O1309" s="13" t="str">
        <x:v>Operação Clareza</x:v>
      </x:c>
      <x:c r="P1309" s="17" t="n">
        <x:f>IF(D1309="",0,J1309-K1309+L1309)</x:f>
        <x:v>26475.52</x:v>
      </x:c>
      <x:c r="Q1309" s="17" t="n">
        <x:f>MAX(J1309-P1309-K1309,0)</x:f>
        <x:v>0</x:v>
      </x:c>
      <x:c r="R1309" s="13" t="n">
        <x:f>IF(D1309="",MAX(TODAY()-C1309,0),MAX(D1309-C1309,0))</x:f>
        <x:v>0</x:v>
      </x:c>
      <x:c r="S1309" s="13" t="str">
        <x:f>IF(R1309=0,"Em dia",IF(R1309&lt;=15,"1-15 dias",IF(R1309&lt;=30,"16-30 dias",IF(R1309&lt;=60,"31-60 dias","Acima de 60 dias"))))</x:f>
        <x:v>Em dia</x:v>
      </x:c>
    </x:row>
    <x:row r="1310">
      <x:c r="A1310" s="13" t="str">
        <x:v>REC-001309</x:v>
      </x:c>
      <x:c r="B1310" s="23" t="n">
        <x:v>45933</x:v>
      </x:c>
      <x:c r="C1310" s="23" t="n">
        <x:v>45948</x:v>
      </x:c>
      <x:c r="D1310" s="23" t="n">
        <x:v>45945</x:v>
      </x:c>
      <x:c r="E1310" s="13" t="str">
        <x:v>VAL-010</x:v>
      </x:c>
      <x:c r="F1310" s="13" t="str">
        <x:v>Atlas Contabilidade</x:v>
      </x:c>
      <x:c r="G1310" s="13" t="str">
        <x:v>Serviços Profissionais</x:v>
      </x:c>
      <x:c r="H1310" s="13" t="str">
        <x:v>Baixo</x:v>
      </x:c>
      <x:c r="I1310" s="13" t="str">
        <x:v>Gestão</x:v>
      </x:c>
      <x:c r="J1310" s="17" t="n">
        <x:v>6881.22</x:v>
      </x:c>
      <x:c r="K1310" s="17" t="n">
        <x:v>0</x:v>
      </x:c>
      <x:c r="L1310" s="17" t="n">
        <x:v>0</x:v>
      </x:c>
      <x:c r="M1310" s="13" t="str">
        <x:v>Pago</x:v>
      </x:c>
      <x:c r="N1310" s="13" t="str">
        <x:v>Sem cobrança</x:v>
      </x:c>
      <x:c r="O1310" s="13" t="str">
        <x:v>Operação Clareza</x:v>
      </x:c>
      <x:c r="P1310" s="17" t="n">
        <x:f>IF(D1310="",0,J1310-K1310+L1310)</x:f>
        <x:v>6881.22</x:v>
      </x:c>
      <x:c r="Q1310" s="17" t="n">
        <x:f>MAX(J1310-P1310-K1310,0)</x:f>
        <x:v>0</x:v>
      </x:c>
      <x:c r="R1310" s="13" t="n">
        <x:f>IF(D1310="",MAX(TODAY()-C1310,0),MAX(D1310-C1310,0))</x:f>
        <x:v>0</x:v>
      </x:c>
      <x:c r="S1310" s="13" t="str">
        <x:f>IF(R1310=0,"Em dia",IF(R1310&lt;=15,"1-15 dias",IF(R1310&lt;=30,"16-30 dias",IF(R1310&lt;=60,"31-60 dias","Acima de 60 dias"))))</x:f>
        <x:v>Em dia</x:v>
      </x:c>
    </x:row>
    <x:row r="1311">
      <x:c r="A1311" s="13" t="str">
        <x:v>REC-001310</x:v>
      </x:c>
      <x:c r="B1311" s="23" t="n">
        <x:v>45947</x:v>
      </x:c>
      <x:c r="C1311" s="23" t="n">
        <x:v>45975</x:v>
      </x:c>
      <x:c r="D1311" s="23" t="n">
        <x:v>45971</x:v>
      </x:c>
      <x:c r="E1311" s="13" t="str">
        <x:v>VAL-007</x:v>
      </x:c>
      <x:c r="F1311" s="13" t="str">
        <x:v>Loja Prisma Online</x:v>
      </x:c>
      <x:c r="G1311" s="13" t="str">
        <x:v>E-commerce</x:v>
      </x:c>
      <x:c r="H1311" s="13" t="str">
        <x:v>Médio</x:v>
      </x:c>
      <x:c r="I1311" s="13" t="str">
        <x:v>Performance</x:v>
      </x:c>
      <x:c r="J1311" s="17" t="n">
        <x:v>19811.1</x:v>
      </x:c>
      <x:c r="K1311" s="17" t="n">
        <x:v>0</x:v>
      </x:c>
      <x:c r="L1311" s="17" t="n">
        <x:v>0</x:v>
      </x:c>
      <x:c r="M1311" s="13" t="str">
        <x:v>Pago</x:v>
      </x:c>
      <x:c r="N1311" s="13" t="str">
        <x:v>Sem cobrança</x:v>
      </x:c>
      <x:c r="O1311" s="13" t="str">
        <x:v>Operação Clareza</x:v>
      </x:c>
      <x:c r="P1311" s="17" t="n">
        <x:f>IF(D1311="",0,J1311-K1311+L1311)</x:f>
        <x:v>19811.1</x:v>
      </x:c>
      <x:c r="Q1311" s="17" t="n">
        <x:f>MAX(J1311-P1311-K1311,0)</x:f>
        <x:v>0</x:v>
      </x:c>
      <x:c r="R1311" s="13" t="n">
        <x:f>IF(D1311="",MAX(TODAY()-C1311,0),MAX(D1311-C1311,0))</x:f>
        <x:v>0</x:v>
      </x:c>
      <x:c r="S1311" s="13" t="str">
        <x:f>IF(R1311=0,"Em dia",IF(R1311&lt;=15,"1-15 dias",IF(R1311&lt;=30,"16-30 dias",IF(R1311&lt;=60,"31-60 dias","Acima de 60 dias"))))</x:f>
        <x:v>Em dia</x:v>
      </x:c>
    </x:row>
    <x:row r="1312">
      <x:c r="A1312" s="13" t="str">
        <x:v>REC-001311</x:v>
      </x:c>
      <x:c r="B1312" s="23" t="n">
        <x:v>45945</x:v>
      </x:c>
      <x:c r="C1312" s="23" t="n">
        <x:v>45952</x:v>
      </x:c>
      <x:c r="D1312" s="23" t="n">
        <x:v>45948</x:v>
      </x:c>
      <x:c r="E1312" s="13" t="str">
        <x:v>VAL-011</x:v>
      </x:c>
      <x:c r="F1312" s="13" t="str">
        <x:v>Rede Essencial</x:v>
      </x:c>
      <x:c r="G1312" s="13" t="str">
        <x:v>Varejo</x:v>
      </x:c>
      <x:c r="H1312" s="13" t="str">
        <x:v>Médio</x:v>
      </x:c>
      <x:c r="I1312" s="13" t="str">
        <x:v>Performance</x:v>
      </x:c>
      <x:c r="J1312" s="17" t="n">
        <x:v>33958.55</x:v>
      </x:c>
      <x:c r="K1312" s="17" t="n">
        <x:v>0</x:v>
      </x:c>
      <x:c r="L1312" s="17" t="n">
        <x:v>0</x:v>
      </x:c>
      <x:c r="M1312" s="13" t="str">
        <x:v>Pago</x:v>
      </x:c>
      <x:c r="N1312" s="13" t="str">
        <x:v>Sem cobrança</x:v>
      </x:c>
      <x:c r="O1312" s="13" t="str">
        <x:v>Operação Clareza</x:v>
      </x:c>
      <x:c r="P1312" s="17" t="n">
        <x:f>IF(D1312="",0,J1312-K1312+L1312)</x:f>
        <x:v>33958.55</x:v>
      </x:c>
      <x:c r="Q1312" s="17" t="n">
        <x:f>MAX(J1312-P1312-K1312,0)</x:f>
        <x:v>0</x:v>
      </x:c>
      <x:c r="R1312" s="13" t="n">
        <x:f>IF(D1312="",MAX(TODAY()-C1312,0),MAX(D1312-C1312,0))</x:f>
        <x:v>0</x:v>
      </x:c>
      <x:c r="S1312" s="13" t="str">
        <x:f>IF(R1312=0,"Em dia",IF(R1312&lt;=15,"1-15 dias",IF(R1312&lt;=30,"16-30 dias",IF(R1312&lt;=60,"31-60 dias","Acima de 60 dias"))))</x:f>
        <x:v>Em dia</x:v>
      </x:c>
    </x:row>
    <x:row r="1313">
      <x:c r="A1313" s="13" t="str">
        <x:v>REC-001312</x:v>
      </x:c>
      <x:c r="B1313" s="23" t="n">
        <x:v>45948</x:v>
      </x:c>
      <x:c r="C1313" s="23" t="n">
        <x:v>45978</x:v>
      </x:c>
      <x:c r="D1313" s="23" t="n">
        <x:v>45975</x:v>
      </x:c>
      <x:c r="E1313" s="13" t="str">
        <x:v>VAL-011</x:v>
      </x:c>
      <x:c r="F1313" s="13" t="str">
        <x:v>Rede Essencial</x:v>
      </x:c>
      <x:c r="G1313" s="13" t="str">
        <x:v>Varejo</x:v>
      </x:c>
      <x:c r="H1313" s="13" t="str">
        <x:v>Médio</x:v>
      </x:c>
      <x:c r="I1313" s="13" t="str">
        <x:v>Performance</x:v>
      </x:c>
      <x:c r="J1313" s="17" t="n">
        <x:v>34851.62</x:v>
      </x:c>
      <x:c r="K1313" s="17" t="n">
        <x:v>0</x:v>
      </x:c>
      <x:c r="L1313" s="17" t="n">
        <x:v>0</x:v>
      </x:c>
      <x:c r="M1313" s="13" t="str">
        <x:v>Pago</x:v>
      </x:c>
      <x:c r="N1313" s="13" t="str">
        <x:v>Sem cobrança</x:v>
      </x:c>
      <x:c r="O1313" s="13" t="str">
        <x:v>Operação Clareza</x:v>
      </x:c>
      <x:c r="P1313" s="17" t="n">
        <x:f>IF(D1313="",0,J1313-K1313+L1313)</x:f>
        <x:v>34851.62</x:v>
      </x:c>
      <x:c r="Q1313" s="17" t="n">
        <x:f>MAX(J1313-P1313-K1313,0)</x:f>
        <x:v>0</x:v>
      </x:c>
      <x:c r="R1313" s="13" t="n">
        <x:f>IF(D1313="",MAX(TODAY()-C1313,0),MAX(D1313-C1313,0))</x:f>
        <x:v>0</x:v>
      </x:c>
      <x:c r="S1313" s="13" t="str">
        <x:f>IF(R1313=0,"Em dia",IF(R1313&lt;=15,"1-15 dias",IF(R1313&lt;=30,"16-30 dias",IF(R1313&lt;=60,"31-60 dias","Acima de 60 dias"))))</x:f>
        <x:v>Em dia</x:v>
      </x:c>
    </x:row>
    <x:row r="1314">
      <x:c r="A1314" s="13" t="str">
        <x:v>REC-001313</x:v>
      </x:c>
      <x:c r="B1314" s="23" t="n">
        <x:v>45940</x:v>
      </x:c>
      <x:c r="C1314" s="23" t="n">
        <x:v>45955</x:v>
      </x:c>
      <x:c r="D1314" s="23" t="n">
        <x:v>45954</x:v>
      </x:c>
      <x:c r="E1314" s="13" t="str">
        <x:v>VAL-012</x:v>
      </x:c>
      <x:c r="F1314" s="13" t="str">
        <x:v>DataFlow Sistemas</x:v>
      </x:c>
      <x:c r="G1314" s="13" t="str">
        <x:v>Tecnologia</x:v>
      </x:c>
      <x:c r="H1314" s="13" t="str">
        <x:v>Médio</x:v>
      </x:c>
      <x:c r="I1314" s="13" t="str">
        <x:v>Enterprise</x:v>
      </x:c>
      <x:c r="J1314" s="17" t="n">
        <x:v>26852.91</x:v>
      </x:c>
      <x:c r="K1314" s="17" t="n">
        <x:v>0</x:v>
      </x:c>
      <x:c r="L1314" s="17" t="n">
        <x:v>0</x:v>
      </x:c>
      <x:c r="M1314" s="13" t="str">
        <x:v>Pago</x:v>
      </x:c>
      <x:c r="N1314" s="13" t="str">
        <x:v>Sem cobrança</x:v>
      </x:c>
      <x:c r="O1314" s="13" t="str">
        <x:v>Operação Clareza</x:v>
      </x:c>
      <x:c r="P1314" s="17" t="n">
        <x:f>IF(D1314="",0,J1314-K1314+L1314)</x:f>
        <x:v>26852.91</x:v>
      </x:c>
      <x:c r="Q1314" s="17" t="n">
        <x:f>MAX(J1314-P1314-K1314,0)</x:f>
        <x:v>0</x:v>
      </x:c>
      <x:c r="R1314" s="13" t="n">
        <x:f>IF(D1314="",MAX(TODAY()-C1314,0),MAX(D1314-C1314,0))</x:f>
        <x:v>0</x:v>
      </x:c>
      <x:c r="S1314" s="13" t="str">
        <x:f>IF(R1314=0,"Em dia",IF(R1314&lt;=15,"1-15 dias",IF(R1314&lt;=30,"16-30 dias",IF(R1314&lt;=60,"31-60 dias","Acima de 60 dias"))))</x:f>
        <x:v>Em dia</x:v>
      </x:c>
    </x:row>
    <x:row r="1315">
      <x:c r="A1315" s="13" t="str">
        <x:v>REC-001314</x:v>
      </x:c>
      <x:c r="B1315" s="23" t="n">
        <x:v>45937</x:v>
      </x:c>
      <x:c r="C1315" s="23" t="n">
        <x:v>45952</x:v>
      </x:c>
      <x:c r="D1315" s="23" t="n">
        <x:v>45952</x:v>
      </x:c>
      <x:c r="E1315" s="13" t="str">
        <x:v>VAL-024</x:v>
      </x:c>
      <x:c r="F1315" s="13" t="str">
        <x:v>NovaForma Móveis</x:v>
      </x:c>
      <x:c r="G1315" s="13" t="str">
        <x:v>Indústria Leve</x:v>
      </x:c>
      <x:c r="H1315" s="13" t="str">
        <x:v>Baixo</x:v>
      </x:c>
      <x:c r="I1315" s="13" t="str">
        <x:v>Enterprise</x:v>
      </x:c>
      <x:c r="J1315" s="17" t="n">
        <x:v>30826.54</x:v>
      </x:c>
      <x:c r="K1315" s="17" t="n">
        <x:v>539.06</x:v>
      </x:c>
      <x:c r="L1315" s="17" t="n">
        <x:v>0</x:v>
      </x:c>
      <x:c r="M1315" s="13" t="str">
        <x:v>Pago</x:v>
      </x:c>
      <x:c r="N1315" s="13" t="str">
        <x:v>Sem cobrança</x:v>
      </x:c>
      <x:c r="O1315" s="13" t="str">
        <x:v>Operação Clareza</x:v>
      </x:c>
      <x:c r="P1315" s="17" t="n">
        <x:f>IF(D1315="",0,J1315-K1315+L1315)</x:f>
        <x:v>30287.48</x:v>
      </x:c>
      <x:c r="Q1315" s="17" t="n">
        <x:f>MAX(J1315-P1315-K1315,0)</x:f>
        <x:v>1.3642420526593924e-12</x:v>
      </x:c>
      <x:c r="R1315" s="13" t="n">
        <x:f>IF(D1315="",MAX(TODAY()-C1315,0),MAX(D1315-C1315,0))</x:f>
        <x:v>0</x:v>
      </x:c>
      <x:c r="S1315" s="13" t="str">
        <x:f>IF(R1315=0,"Em dia",IF(R1315&lt;=15,"1-15 dias",IF(R1315&lt;=30,"16-30 dias",IF(R1315&lt;=60,"31-60 dias","Acima de 60 dias"))))</x:f>
        <x:v>Em dia</x:v>
      </x:c>
    </x:row>
    <x:row r="1316">
      <x:c r="A1316" s="13" t="str">
        <x:v>REC-001315</x:v>
      </x:c>
      <x:c r="B1316" s="23" t="n">
        <x:v>45934</x:v>
      </x:c>
      <x:c r="C1316" s="23" t="n">
        <x:v>45955</x:v>
      </x:c>
      <x:c r="D1316" s="23" t="n">
        <x:v>45955</x:v>
      </x:c>
      <x:c r="E1316" s="13" t="str">
        <x:v>VAL-015</x:v>
      </x:c>
      <x:c r="F1316" s="13" t="str">
        <x:v>Mercado Click</x:v>
      </x:c>
      <x:c r="G1316" s="13" t="str">
        <x:v>E-commerce</x:v>
      </x:c>
      <x:c r="H1316" s="13" t="str">
        <x:v>Baixo</x:v>
      </x:c>
      <x:c r="I1316" s="13" t="str">
        <x:v>Performance</x:v>
      </x:c>
      <x:c r="J1316" s="17" t="n">
        <x:v>34407.82</x:v>
      </x:c>
      <x:c r="K1316" s="17" t="n">
        <x:v>0</x:v>
      </x:c>
      <x:c r="L1316" s="17" t="n">
        <x:v>0</x:v>
      </x:c>
      <x:c r="M1316" s="13" t="str">
        <x:v>Pago</x:v>
      </x:c>
      <x:c r="N1316" s="13" t="str">
        <x:v>Sem cobrança</x:v>
      </x:c>
      <x:c r="O1316" s="13" t="str">
        <x:v>Operação Clareza</x:v>
      </x:c>
      <x:c r="P1316" s="17" t="n">
        <x:f>IF(D1316="",0,J1316-K1316+L1316)</x:f>
        <x:v>34407.82</x:v>
      </x:c>
      <x:c r="Q1316" s="17" t="n">
        <x:f>MAX(J1316-P1316-K1316,0)</x:f>
        <x:v>0</x:v>
      </x:c>
      <x:c r="R1316" s="13" t="n">
        <x:f>IF(D1316="",MAX(TODAY()-C1316,0),MAX(D1316-C1316,0))</x:f>
        <x:v>0</x:v>
      </x:c>
      <x:c r="S1316" s="13" t="str">
        <x:f>IF(R1316=0,"Em dia",IF(R1316&lt;=15,"1-15 dias",IF(R1316&lt;=30,"16-30 dias",IF(R1316&lt;=60,"31-60 dias","Acima de 60 dias"))))</x:f>
        <x:v>Em dia</x:v>
      </x:c>
    </x:row>
    <x:row r="1317">
      <x:c r="A1317" s="13" t="str">
        <x:v>REC-001316</x:v>
      </x:c>
      <x:c r="B1317" s="23" t="n">
        <x:v>45933</x:v>
      </x:c>
      <x:c r="C1317" s="23" t="n">
        <x:v>45954</x:v>
      </x:c>
      <x:c r="D1317" s="23" t="n">
        <x:v>45953</x:v>
      </x:c>
      <x:c r="E1317" s="13" t="str">
        <x:v>VAL-020</x:v>
      </x:c>
      <x:c r="F1317" s="13" t="str">
        <x:v>Corelink Digital</x:v>
      </x:c>
      <x:c r="G1317" s="13" t="str">
        <x:v>Tecnologia</x:v>
      </x:c>
      <x:c r="H1317" s="13" t="str">
        <x:v>Baixo</x:v>
      </x:c>
      <x:c r="I1317" s="13" t="str">
        <x:v>Enterprise</x:v>
      </x:c>
      <x:c r="J1317" s="17" t="n">
        <x:v>31067.96</x:v>
      </x:c>
      <x:c r="K1317" s="17" t="n">
        <x:v>0</x:v>
      </x:c>
      <x:c r="L1317" s="17" t="n">
        <x:v>0</x:v>
      </x:c>
      <x:c r="M1317" s="13" t="str">
        <x:v>Pago</x:v>
      </x:c>
      <x:c r="N1317" s="13" t="str">
        <x:v>Sem cobrança</x:v>
      </x:c>
      <x:c r="O1317" s="13" t="str">
        <x:v>Operação Clareza</x:v>
      </x:c>
      <x:c r="P1317" s="17" t="n">
        <x:f>IF(D1317="",0,J1317-K1317+L1317)</x:f>
        <x:v>31067.96</x:v>
      </x:c>
      <x:c r="Q1317" s="17" t="n">
        <x:f>MAX(J1317-P1317-K1317,0)</x:f>
        <x:v>0</x:v>
      </x:c>
      <x:c r="R1317" s="13" t="n">
        <x:f>IF(D1317="",MAX(TODAY()-C1317,0),MAX(D1317-C1317,0))</x:f>
        <x:v>0</x:v>
      </x:c>
      <x:c r="S1317" s="13" t="str">
        <x:f>IF(R1317=0,"Em dia",IF(R1317&lt;=15,"1-15 dias",IF(R1317&lt;=30,"16-30 dias",IF(R1317&lt;=60,"31-60 dias","Acima de 60 dias"))))</x:f>
        <x:v>Em dia</x:v>
      </x:c>
    </x:row>
    <x:row r="1318">
      <x:c r="A1318" s="13" t="str">
        <x:v>REC-001317</x:v>
      </x:c>
      <x:c r="B1318" s="23" t="n">
        <x:v>45948</x:v>
      </x:c>
      <x:c r="C1318" s="23" t="n">
        <x:v>45976</x:v>
      </x:c>
      <x:c r="D1318" s="23" t="n">
        <x:v>45972</x:v>
      </x:c>
      <x:c r="E1318" s="13" t="str">
        <x:v>VAL-025</x:v>
      </x:c>
      <x:c r="F1318" s="13" t="str">
        <x:v>Bem-Estar Terapias</x:v>
      </x:c>
      <x:c r="G1318" s="13" t="str">
        <x:v>Clínicas e Saúde</x:v>
      </x:c>
      <x:c r="H1318" s="13" t="str">
        <x:v>Baixo</x:v>
      </x:c>
      <x:c r="I1318" s="13" t="str">
        <x:v>Essencial</x:v>
      </x:c>
      <x:c r="J1318" s="17" t="n">
        <x:v>2528.92</x:v>
      </x:c>
      <x:c r="K1318" s="17" t="n">
        <x:v>0</x:v>
      </x:c>
      <x:c r="L1318" s="17" t="n">
        <x:v>0</x:v>
      </x:c>
      <x:c r="M1318" s="13" t="str">
        <x:v>Pago</x:v>
      </x:c>
      <x:c r="N1318" s="13" t="str">
        <x:v>Sem cobrança</x:v>
      </x:c>
      <x:c r="O1318" s="13" t="str">
        <x:v>Operação Clareza</x:v>
      </x:c>
      <x:c r="P1318" s="17" t="n">
        <x:f>IF(D1318="",0,J1318-K1318+L1318)</x:f>
        <x:v>2528.92</x:v>
      </x:c>
      <x:c r="Q1318" s="17" t="n">
        <x:f>MAX(J1318-P1318-K1318,0)</x:f>
        <x:v>0</x:v>
      </x:c>
      <x:c r="R1318" s="13" t="n">
        <x:f>IF(D1318="",MAX(TODAY()-C1318,0),MAX(D1318-C1318,0))</x:f>
        <x:v>0</x:v>
      </x:c>
      <x:c r="S1318" s="13" t="str">
        <x:f>IF(R1318=0,"Em dia",IF(R1318&lt;=15,"1-15 dias",IF(R1318&lt;=30,"16-30 dias",IF(R1318&lt;=60,"31-60 dias","Acima de 60 dias"))))</x:f>
        <x:v>Em dia</x:v>
      </x:c>
    </x:row>
    <x:row r="1319">
      <x:c r="A1319" s="13" t="str">
        <x:v>REC-001318</x:v>
      </x:c>
      <x:c r="B1319" s="23" t="n">
        <x:v>45938</x:v>
      </x:c>
      <x:c r="C1319" s="23" t="n">
        <x:v>45959</x:v>
      </x:c>
      <x:c r="D1319" s="23" t="n">
        <x:v>45956</x:v>
      </x:c>
      <x:c r="E1319" s="13" t="str">
        <x:v>VAL-021</x:v>
      </x:c>
      <x:c r="F1319" s="13" t="str">
        <x:v>Base Forte Obras</x:v>
      </x:c>
      <x:c r="G1319" s="13" t="str">
        <x:v>Construção</x:v>
      </x:c>
      <x:c r="H1319" s="13" t="str">
        <x:v>Médio</x:v>
      </x:c>
      <x:c r="I1319" s="13" t="str">
        <x:v>Essencial</x:v>
      </x:c>
      <x:c r="J1319" s="17" t="n">
        <x:v>11908.14</x:v>
      </x:c>
      <x:c r="K1319" s="17" t="n">
        <x:v>0</x:v>
      </x:c>
      <x:c r="L1319" s="17" t="n">
        <x:v>0</x:v>
      </x:c>
      <x:c r="M1319" s="13" t="str">
        <x:v>Pago</x:v>
      </x:c>
      <x:c r="N1319" s="13" t="str">
        <x:v>Sem cobrança</x:v>
      </x:c>
      <x:c r="O1319" s="13" t="str">
        <x:v>Operação Clareza</x:v>
      </x:c>
      <x:c r="P1319" s="17" t="n">
        <x:f>IF(D1319="",0,J1319-K1319+L1319)</x:f>
        <x:v>11908.14</x:v>
      </x:c>
      <x:c r="Q1319" s="17" t="n">
        <x:f>MAX(J1319-P1319-K1319,0)</x:f>
        <x:v>0</x:v>
      </x:c>
      <x:c r="R1319" s="13" t="n">
        <x:f>IF(D1319="",MAX(TODAY()-C1319,0),MAX(D1319-C1319,0))</x:f>
        <x:v>0</x:v>
      </x:c>
      <x:c r="S1319" s="13" t="str">
        <x:f>IF(R1319=0,"Em dia",IF(R1319&lt;=15,"1-15 dias",IF(R1319&lt;=30,"16-30 dias",IF(R1319&lt;=60,"31-60 dias","Acima de 60 dias"))))</x:f>
        <x:v>Em dia</x:v>
      </x:c>
    </x:row>
    <x:row r="1320">
      <x:c r="A1320" s="13" t="str">
        <x:v>REC-001319</x:v>
      </x:c>
      <x:c r="B1320" s="23" t="n">
        <x:v>45940</x:v>
      </x:c>
      <x:c r="C1320" s="23" t="n">
        <x:v>45955</x:v>
      </x:c>
      <x:c r="D1320" s="23" t="n">
        <x:v>45951</x:v>
      </x:c>
      <x:c r="E1320" s="13" t="str">
        <x:v>VAL-028</x:v>
      </x:c>
      <x:c r="F1320" s="13" t="str">
        <x:v>Pixel Norte</x:v>
      </x:c>
      <x:c r="G1320" s="13" t="str">
        <x:v>Tecnologia</x:v>
      </x:c>
      <x:c r="H1320" s="13" t="str">
        <x:v>Alto</x:v>
      </x:c>
      <x:c r="I1320" s="13" t="str">
        <x:v>Enterprise</x:v>
      </x:c>
      <x:c r="J1320" s="17" t="n">
        <x:v>10998.15</x:v>
      </x:c>
      <x:c r="K1320" s="17" t="n">
        <x:v>0</x:v>
      </x:c>
      <x:c r="L1320" s="17" t="n">
        <x:v>0</x:v>
      </x:c>
      <x:c r="M1320" s="13" t="str">
        <x:v>Pago</x:v>
      </x:c>
      <x:c r="N1320" s="13" t="str">
        <x:v>Sem cobrança</x:v>
      </x:c>
      <x:c r="O1320" s="13" t="str">
        <x:v>Operação Clareza</x:v>
      </x:c>
      <x:c r="P1320" s="17" t="n">
        <x:f>IF(D1320="",0,J1320-K1320+L1320)</x:f>
        <x:v>10998.15</x:v>
      </x:c>
      <x:c r="Q1320" s="17" t="n">
        <x:f>MAX(J1320-P1320-K1320,0)</x:f>
        <x:v>0</x:v>
      </x:c>
      <x:c r="R1320" s="13" t="n">
        <x:f>IF(D1320="",MAX(TODAY()-C1320,0),MAX(D1320-C1320,0))</x:f>
        <x:v>0</x:v>
      </x:c>
      <x:c r="S1320" s="13" t="str">
        <x:f>IF(R1320=0,"Em dia",IF(R1320&lt;=15,"1-15 dias",IF(R1320&lt;=30,"16-30 dias",IF(R1320&lt;=60,"31-60 dias","Acima de 60 dias"))))</x:f>
        <x:v>Em dia</x:v>
      </x:c>
    </x:row>
    <x:row r="1321">
      <x:c r="A1321" s="13" t="str">
        <x:v>REC-001320</x:v>
      </x:c>
      <x:c r="B1321" s="23" t="n">
        <x:v>45949</x:v>
      </x:c>
      <x:c r="C1321" s="23" t="n">
        <x:v>45977</x:v>
      </x:c>
      <x:c r="D1321" s="23" t="n">
        <x:v>45975</x:v>
      </x:c>
      <x:c r="E1321" s="13" t="str">
        <x:v>VAL-014</x:v>
      </x:c>
      <x:c r="F1321" s="13" t="str">
        <x:v>Colégio Caminhos</x:v>
      </x:c>
      <x:c r="G1321" s="13" t="str">
        <x:v>Educação</x:v>
      </x:c>
      <x:c r="H1321" s="13" t="str">
        <x:v>Médio</x:v>
      </x:c>
      <x:c r="I1321" s="13" t="str">
        <x:v>Gestão</x:v>
      </x:c>
      <x:c r="J1321" s="17" t="n">
        <x:v>24453.4</x:v>
      </x:c>
      <x:c r="K1321" s="17" t="n">
        <x:v>0</x:v>
      </x:c>
      <x:c r="L1321" s="17" t="n">
        <x:v>0</x:v>
      </x:c>
      <x:c r="M1321" s="13" t="str">
        <x:v>Pago</x:v>
      </x:c>
      <x:c r="N1321" s="13" t="str">
        <x:v>Sem cobrança</x:v>
      </x:c>
      <x:c r="O1321" s="13" t="str">
        <x:v>Operação Clareza</x:v>
      </x:c>
      <x:c r="P1321" s="17" t="n">
        <x:f>IF(D1321="",0,J1321-K1321+L1321)</x:f>
        <x:v>24453.4</x:v>
      </x:c>
      <x:c r="Q1321" s="17" t="n">
        <x:f>MAX(J1321-P1321-K1321,0)</x:f>
        <x:v>0</x:v>
      </x:c>
      <x:c r="R1321" s="13" t="n">
        <x:f>IF(D1321="",MAX(TODAY()-C1321,0),MAX(D1321-C1321,0))</x:f>
        <x:v>0</x:v>
      </x:c>
      <x:c r="S1321" s="13" t="str">
        <x:f>IF(R1321=0,"Em dia",IF(R1321&lt;=15,"1-15 dias",IF(R1321&lt;=30,"16-30 dias",IF(R1321&lt;=60,"31-60 dias","Acima de 60 dias"))))</x:f>
        <x:v>Em dia</x:v>
      </x:c>
    </x:row>
    <x:row r="1322">
      <x:c r="A1322" s="13" t="str">
        <x:v>REC-001321</x:v>
      </x:c>
      <x:c r="B1322" s="23" t="n">
        <x:v>45975</x:v>
      </x:c>
      <x:c r="C1322" s="23" t="n">
        <x:v>45990</x:v>
      </x:c>
      <x:c r="D1322" s="23" t="n">
        <x:v>45990</x:v>
      </x:c>
      <x:c r="E1322" s="13" t="str">
        <x:v>VAL-026</x:v>
      </x:c>
      <x:c r="F1322" s="13" t="str">
        <x:v>Ribeiro Arquitetura</x:v>
      </x:c>
      <x:c r="G1322" s="13" t="str">
        <x:v>Serviços Profissionais</x:v>
      </x:c>
      <x:c r="H1322" s="13" t="str">
        <x:v>Baixo</x:v>
      </x:c>
      <x:c r="I1322" s="13" t="str">
        <x:v>Gestão</x:v>
      </x:c>
      <x:c r="J1322" s="17" t="n">
        <x:v>17243.34</x:v>
      </x:c>
      <x:c r="K1322" s="17" t="n">
        <x:v>0</x:v>
      </x:c>
      <x:c r="L1322" s="17" t="n">
        <x:v>0</x:v>
      </x:c>
      <x:c r="M1322" s="13" t="str">
        <x:v>Pago</x:v>
      </x:c>
      <x:c r="N1322" s="13" t="str">
        <x:v>Sem cobrança</x:v>
      </x:c>
      <x:c r="O1322" s="13" t="str">
        <x:v>Operação Clareza</x:v>
      </x:c>
      <x:c r="P1322" s="17" t="n">
        <x:f>IF(D1322="",0,J1322-K1322+L1322)</x:f>
        <x:v>17243.34</x:v>
      </x:c>
      <x:c r="Q1322" s="17" t="n">
        <x:f>MAX(J1322-P1322-K1322,0)</x:f>
        <x:v>0</x:v>
      </x:c>
      <x:c r="R1322" s="13" t="n">
        <x:f>IF(D1322="",MAX(TODAY()-C1322,0),MAX(D1322-C1322,0))</x:f>
        <x:v>0</x:v>
      </x:c>
      <x:c r="S1322" s="13" t="str">
        <x:f>IF(R1322=0,"Em dia",IF(R1322&lt;=15,"1-15 dias",IF(R1322&lt;=30,"16-30 dias",IF(R1322&lt;=60,"31-60 dias","Acima de 60 dias"))))</x:f>
        <x:v>Em dia</x:v>
      </x:c>
    </x:row>
    <x:row r="1323">
      <x:c r="A1323" s="13" t="str">
        <x:v>REC-001322</x:v>
      </x:c>
      <x:c r="B1323" s="23" t="n">
        <x:v>45964</x:v>
      </x:c>
      <x:c r="C1323" s="23" t="n">
        <x:v>45992</x:v>
      </x:c>
      <x:c r="D1323" s="23" t="n">
        <x:v>45990</x:v>
      </x:c>
      <x:c r="E1323" s="13" t="str">
        <x:v>VAL-010</x:v>
      </x:c>
      <x:c r="F1323" s="13" t="str">
        <x:v>Atlas Contabilidade</x:v>
      </x:c>
      <x:c r="G1323" s="13" t="str">
        <x:v>Serviços Profissionais</x:v>
      </x:c>
      <x:c r="H1323" s="13" t="str">
        <x:v>Baixo</x:v>
      </x:c>
      <x:c r="I1323" s="13" t="str">
        <x:v>Gestão</x:v>
      </x:c>
      <x:c r="J1323" s="17" t="n">
        <x:v>18105.4</x:v>
      </x:c>
      <x:c r="K1323" s="17" t="n">
        <x:v>0</x:v>
      </x:c>
      <x:c r="L1323" s="17" t="n">
        <x:v>0</x:v>
      </x:c>
      <x:c r="M1323" s="13" t="str">
        <x:v>Pago</x:v>
      </x:c>
      <x:c r="N1323" s="13" t="str">
        <x:v>Sem cobrança</x:v>
      </x:c>
      <x:c r="O1323" s="13" t="str">
        <x:v>Operação Clareza</x:v>
      </x:c>
      <x:c r="P1323" s="17" t="n">
        <x:f>IF(D1323="",0,J1323-K1323+L1323)</x:f>
        <x:v>18105.4</x:v>
      </x:c>
      <x:c r="Q1323" s="17" t="n">
        <x:f>MAX(J1323-P1323-K1323,0)</x:f>
        <x:v>0</x:v>
      </x:c>
      <x:c r="R1323" s="13" t="n">
        <x:f>IF(D1323="",MAX(TODAY()-C1323,0),MAX(D1323-C1323,0))</x:f>
        <x:v>0</x:v>
      </x:c>
      <x:c r="S1323" s="13" t="str">
        <x:f>IF(R1323=0,"Em dia",IF(R1323&lt;=15,"1-15 dias",IF(R1323&lt;=30,"16-30 dias",IF(R1323&lt;=60,"31-60 dias","Acima de 60 dias"))))</x:f>
        <x:v>Em dia</x:v>
      </x:c>
    </x:row>
    <x:row r="1324">
      <x:c r="A1324" s="13" t="str">
        <x:v>REC-001323</x:v>
      </x:c>
      <x:c r="B1324" s="23" t="n">
        <x:v>45974</x:v>
      </x:c>
      <x:c r="C1324" s="23" t="n">
        <x:v>46004</x:v>
      </x:c>
      <x:c r="D1324" s="23" t="n">
        <x:v>46000</x:v>
      </x:c>
      <x:c r="E1324" s="13" t="str">
        <x:v>VAL-001</x:v>
      </x:c>
      <x:c r="F1324" s="13" t="str">
        <x:v>Clínica Horizonte</x:v>
      </x:c>
      <x:c r="G1324" s="13" t="str">
        <x:v>Clínicas e Saúde</x:v>
      </x:c>
      <x:c r="H1324" s="13" t="str">
        <x:v>Baixo</x:v>
      </x:c>
      <x:c r="I1324" s="13" t="str">
        <x:v>Essencial</x:v>
      </x:c>
      <x:c r="J1324" s="17" t="n">
        <x:v>23977.28</x:v>
      </x:c>
      <x:c r="K1324" s="17" t="n">
        <x:v>0</x:v>
      </x:c>
      <x:c r="L1324" s="17" t="n">
        <x:v>0</x:v>
      </x:c>
      <x:c r="M1324" s="13" t="str">
        <x:v>Pago</x:v>
      </x:c>
      <x:c r="N1324" s="13" t="str">
        <x:v>Sem cobrança</x:v>
      </x:c>
      <x:c r="O1324" s="13" t="str">
        <x:v>Operação Clareza</x:v>
      </x:c>
      <x:c r="P1324" s="17" t="n">
        <x:f>IF(D1324="",0,J1324-K1324+L1324)</x:f>
        <x:v>23977.28</x:v>
      </x:c>
      <x:c r="Q1324" s="17" t="n">
        <x:f>MAX(J1324-P1324-K1324,0)</x:f>
        <x:v>0</x:v>
      </x:c>
      <x:c r="R1324" s="13" t="n">
        <x:f>IF(D1324="",MAX(TODAY()-C1324,0),MAX(D1324-C1324,0))</x:f>
        <x:v>0</x:v>
      </x:c>
      <x:c r="S1324" s="13" t="str">
        <x:f>IF(R1324=0,"Em dia",IF(R1324&lt;=15,"1-15 dias",IF(R1324&lt;=30,"16-30 dias",IF(R1324&lt;=60,"31-60 dias","Acima de 60 dias"))))</x:f>
        <x:v>Em dia</x:v>
      </x:c>
    </x:row>
    <x:row r="1325">
      <x:c r="A1325" s="13" t="str">
        <x:v>REC-001324</x:v>
      </x:c>
      <x:c r="B1325" s="23" t="n">
        <x:v>45962</x:v>
      </x:c>
      <x:c r="C1325" s="23" t="n">
        <x:v>45992</x:v>
      </x:c>
      <x:c r="D1325" s="23" t="n">
        <x:v>45991</x:v>
      </x:c>
      <x:c r="E1325" s="13" t="str">
        <x:v>VAL-030</x:v>
      </x:c>
      <x:c r="F1325" s="13" t="str">
        <x:v>Mundo Kids Cursos</x:v>
      </x:c>
      <x:c r="G1325" s="13" t="str">
        <x:v>Educação</x:v>
      </x:c>
      <x:c r="H1325" s="13" t="str">
        <x:v>Alto</x:v>
      </x:c>
      <x:c r="I1325" s="13" t="str">
        <x:v>Gestão</x:v>
      </x:c>
      <x:c r="J1325" s="17" t="n">
        <x:v>15358.1</x:v>
      </x:c>
      <x:c r="K1325" s="17" t="n">
        <x:v>0</x:v>
      </x:c>
      <x:c r="L1325" s="17" t="n">
        <x:v>0</x:v>
      </x:c>
      <x:c r="M1325" s="13" t="str">
        <x:v>Pago</x:v>
      </x:c>
      <x:c r="N1325" s="13" t="str">
        <x:v>Sem cobrança</x:v>
      </x:c>
      <x:c r="O1325" s="13" t="str">
        <x:v>Operação Clareza</x:v>
      </x:c>
      <x:c r="P1325" s="17" t="n">
        <x:f>IF(D1325="",0,J1325-K1325+L1325)</x:f>
        <x:v>15358.1</x:v>
      </x:c>
      <x:c r="Q1325" s="17" t="n">
        <x:f>MAX(J1325-P1325-K1325,0)</x:f>
        <x:v>0</x:v>
      </x:c>
      <x:c r="R1325" s="13" t="n">
        <x:f>IF(D1325="",MAX(TODAY()-C1325,0),MAX(D1325-C1325,0))</x:f>
        <x:v>0</x:v>
      </x:c>
      <x:c r="S1325" s="13" t="str">
        <x:f>IF(R1325=0,"Em dia",IF(R1325&lt;=15,"1-15 dias",IF(R1325&lt;=30,"16-30 dias",IF(R1325&lt;=60,"31-60 dias","Acima de 60 dias"))))</x:f>
        <x:v>Em dia</x:v>
      </x:c>
    </x:row>
    <x:row r="1326">
      <x:c r="A1326" s="13" t="str">
        <x:v>REC-001325</x:v>
      </x:c>
      <x:c r="B1326" s="23" t="n">
        <x:v>45964</x:v>
      </x:c>
      <x:c r="C1326" s="23" t="n">
        <x:v>45979</x:v>
      </x:c>
      <x:c r="D1326" s="23" t="n">
        <x:v>45978</x:v>
      </x:c>
      <x:c r="E1326" s="13" t="str">
        <x:v>VAL-018</x:v>
      </x:c>
      <x:c r="F1326" s="13" t="str">
        <x:v>Ponto Legal Advocacia</x:v>
      </x:c>
      <x:c r="G1326" s="13" t="str">
        <x:v>Serviços Profissionais</x:v>
      </x:c>
      <x:c r="H1326" s="13" t="str">
        <x:v>Baixo</x:v>
      </x:c>
      <x:c r="I1326" s="13" t="str">
        <x:v>Gestão</x:v>
      </x:c>
      <x:c r="J1326" s="17" t="n">
        <x:v>2607.46</x:v>
      </x:c>
      <x:c r="K1326" s="17" t="n">
        <x:v>0</x:v>
      </x:c>
      <x:c r="L1326" s="17" t="n">
        <x:v>0</x:v>
      </x:c>
      <x:c r="M1326" s="13" t="str">
        <x:v>Pago</x:v>
      </x:c>
      <x:c r="N1326" s="13" t="str">
        <x:v>Sem cobrança</x:v>
      </x:c>
      <x:c r="O1326" s="13" t="str">
        <x:v>Operação Clareza</x:v>
      </x:c>
      <x:c r="P1326" s="17" t="n">
        <x:f>IF(D1326="",0,J1326-K1326+L1326)</x:f>
        <x:v>2607.46</x:v>
      </x:c>
      <x:c r="Q1326" s="17" t="n">
        <x:f>MAX(J1326-P1326-K1326,0)</x:f>
        <x:v>0</x:v>
      </x:c>
      <x:c r="R1326" s="13" t="n">
        <x:f>IF(D1326="",MAX(TODAY()-C1326,0),MAX(D1326-C1326,0))</x:f>
        <x:v>0</x:v>
      </x:c>
      <x:c r="S1326" s="13" t="str">
        <x:f>IF(R1326=0,"Em dia",IF(R1326&lt;=15,"1-15 dias",IF(R1326&lt;=30,"16-30 dias",IF(R1326&lt;=60,"31-60 dias","Acima de 60 dias"))))</x:f>
        <x:v>Em dia</x:v>
      </x:c>
    </x:row>
    <x:row r="1327">
      <x:c r="A1327" s="13" t="str">
        <x:v>REC-001326</x:v>
      </x:c>
      <x:c r="B1327" s="23" t="n">
        <x:v>45974</x:v>
      </x:c>
      <x:c r="C1327" s="23" t="n">
        <x:v>46002</x:v>
      </x:c>
      <x:c r="D1327" s="23" t="n">
        <x:v>46002</x:v>
      </x:c>
      <x:c r="E1327" s="13" t="str">
        <x:v>VAL-009</x:v>
      </x:c>
      <x:c r="F1327" s="13" t="str">
        <x:v>Odonto Prime</x:v>
      </x:c>
      <x:c r="G1327" s="13" t="str">
        <x:v>Clínicas e Saúde</x:v>
      </x:c>
      <x:c r="H1327" s="13" t="str">
        <x:v>Médio</x:v>
      </x:c>
      <x:c r="I1327" s="13" t="str">
        <x:v>Essencial</x:v>
      </x:c>
      <x:c r="J1327" s="17" t="n">
        <x:v>17021.05</x:v>
      </x:c>
      <x:c r="K1327" s="17" t="n">
        <x:v>0</x:v>
      </x:c>
      <x:c r="L1327" s="17" t="n">
        <x:v>0</x:v>
      </x:c>
      <x:c r="M1327" s="13" t="str">
        <x:v>Pago</x:v>
      </x:c>
      <x:c r="N1327" s="13" t="str">
        <x:v>Sem cobrança</x:v>
      </x:c>
      <x:c r="O1327" s="13" t="str">
        <x:v>Operação Clareza</x:v>
      </x:c>
      <x:c r="P1327" s="17" t="n">
        <x:f>IF(D1327="",0,J1327-K1327+L1327)</x:f>
        <x:v>17021.05</x:v>
      </x:c>
      <x:c r="Q1327" s="17" t="n">
        <x:f>MAX(J1327-P1327-K1327,0)</x:f>
        <x:v>0</x:v>
      </x:c>
      <x:c r="R1327" s="13" t="n">
        <x:f>IF(D1327="",MAX(TODAY()-C1327,0),MAX(D1327-C1327,0))</x:f>
        <x:v>0</x:v>
      </x:c>
      <x:c r="S1327" s="13" t="str">
        <x:f>IF(R1327=0,"Em dia",IF(R1327&lt;=15,"1-15 dias",IF(R1327&lt;=30,"16-30 dias",IF(R1327&lt;=60,"31-60 dias","Acima de 60 dias"))))</x:f>
        <x:v>Em dia</x:v>
      </x:c>
    </x:row>
    <x:row r="1328">
      <x:c r="A1328" s="13" t="str">
        <x:v>REC-001327</x:v>
      </x:c>
      <x:c r="B1328" s="23" t="n">
        <x:v>45973</x:v>
      </x:c>
      <x:c r="C1328" s="23" t="n">
        <x:v>45980</x:v>
      </x:c>
      <x:c r="D1328" s="23" t="n">
        <x:v>45976</x:v>
      </x:c>
      <x:c r="E1328" s="13" t="str">
        <x:v>VAL-022</x:v>
      </x:c>
      <x:c r="F1328" s="13" t="str">
        <x:v>Academia Evoluir</x:v>
      </x:c>
      <x:c r="G1328" s="13" t="str">
        <x:v>Educação</x:v>
      </x:c>
      <x:c r="H1328" s="13" t="str">
        <x:v>Alto</x:v>
      </x:c>
      <x:c r="I1328" s="13" t="str">
        <x:v>Gestão</x:v>
      </x:c>
      <x:c r="J1328" s="17" t="n">
        <x:v>7557.69</x:v>
      </x:c>
      <x:c r="K1328" s="17" t="n">
        <x:v>0</x:v>
      </x:c>
      <x:c r="L1328" s="17" t="n">
        <x:v>0</x:v>
      </x:c>
      <x:c r="M1328" s="13" t="str">
        <x:v>Pago</x:v>
      </x:c>
      <x:c r="N1328" s="13" t="str">
        <x:v>Sem cobrança</x:v>
      </x:c>
      <x:c r="O1328" s="13" t="str">
        <x:v>Operação Clareza</x:v>
      </x:c>
      <x:c r="P1328" s="17" t="n">
        <x:f>IF(D1328="",0,J1328-K1328+L1328)</x:f>
        <x:v>7557.69</x:v>
      </x:c>
      <x:c r="Q1328" s="17" t="n">
        <x:f>MAX(J1328-P1328-K1328,0)</x:f>
        <x:v>0</x:v>
      </x:c>
      <x:c r="R1328" s="13" t="n">
        <x:f>IF(D1328="",MAX(TODAY()-C1328,0),MAX(D1328-C1328,0))</x:f>
        <x:v>0</x:v>
      </x:c>
      <x:c r="S1328" s="13" t="str">
        <x:f>IF(R1328=0,"Em dia",IF(R1328&lt;=15,"1-15 dias",IF(R1328&lt;=30,"16-30 dias",IF(R1328&lt;=60,"31-60 dias","Acima de 60 dias"))))</x:f>
        <x:v>Em dia</x:v>
      </x:c>
    </x:row>
    <x:row r="1329">
      <x:c r="A1329" s="13" t="str">
        <x:v>REC-001328</x:v>
      </x:c>
      <x:c r="B1329" s="23" t="n">
        <x:v>45981</x:v>
      </x:c>
      <x:c r="C1329" s="23" t="n">
        <x:v>46011</x:v>
      </x:c>
      <x:c r="D1329" s="23" t="n">
        <x:v>46011</x:v>
      </x:c>
      <x:c r="E1329" s="13" t="str">
        <x:v>VAL-006</x:v>
      </x:c>
      <x:c r="F1329" s="13" t="str">
        <x:v>Instituto Saber Mais</x:v>
      </x:c>
      <x:c r="G1329" s="13" t="str">
        <x:v>Educação</x:v>
      </x:c>
      <x:c r="H1329" s="13" t="str">
        <x:v>Médio</x:v>
      </x:c>
      <x:c r="I1329" s="13" t="str">
        <x:v>Gestão</x:v>
      </x:c>
      <x:c r="J1329" s="17" t="n">
        <x:v>24593.81</x:v>
      </x:c>
      <x:c r="K1329" s="17" t="n">
        <x:v>0</x:v>
      </x:c>
      <x:c r="L1329" s="17" t="n">
        <x:v>0</x:v>
      </x:c>
      <x:c r="M1329" s="13" t="str">
        <x:v>Pago</x:v>
      </x:c>
      <x:c r="N1329" s="13" t="str">
        <x:v>Sem cobrança</x:v>
      </x:c>
      <x:c r="O1329" s="13" t="str">
        <x:v>Operação Clareza</x:v>
      </x:c>
      <x:c r="P1329" s="17" t="n">
        <x:f>IF(D1329="",0,J1329-K1329+L1329)</x:f>
        <x:v>24593.81</x:v>
      </x:c>
      <x:c r="Q1329" s="17" t="n">
        <x:f>MAX(J1329-P1329-K1329,0)</x:f>
        <x:v>0</x:v>
      </x:c>
      <x:c r="R1329" s="13" t="n">
        <x:f>IF(D1329="",MAX(TODAY()-C1329,0),MAX(D1329-C1329,0))</x:f>
        <x:v>0</x:v>
      </x:c>
      <x:c r="S1329" s="13" t="str">
        <x:f>IF(R1329=0,"Em dia",IF(R1329&lt;=15,"1-15 dias",IF(R1329&lt;=30,"16-30 dias",IF(R1329&lt;=60,"31-60 dias","Acima de 60 dias"))))</x:f>
        <x:v>Em dia</x:v>
      </x:c>
    </x:row>
    <x:row r="1330">
      <x:c r="A1330" s="13" t="str">
        <x:v>REC-001329</x:v>
      </x:c>
      <x:c r="B1330" s="23" t="n">
        <x:v>45966</x:v>
      </x:c>
      <x:c r="C1330" s="23" t="n">
        <x:v>45996</x:v>
      </x:c>
      <x:c r="D1330" s="23" t="n">
        <x:v>45995</x:v>
      </x:c>
      <x:c r="E1330" s="13" t="str">
        <x:v>VAL-023</x:v>
      </x:c>
      <x:c r="F1330" s="13" t="str">
        <x:v>ShopMix Brasil</x:v>
      </x:c>
      <x:c r="G1330" s="13" t="str">
        <x:v>E-commerce</x:v>
      </x:c>
      <x:c r="H1330" s="13" t="str">
        <x:v>Baixo</x:v>
      </x:c>
      <x:c r="I1330" s="13" t="str">
        <x:v>Performance</x:v>
      </x:c>
      <x:c r="J1330" s="17" t="n">
        <x:v>34445.92</x:v>
      </x:c>
      <x:c r="K1330" s="17" t="n">
        <x:v>0</x:v>
      </x:c>
      <x:c r="L1330" s="17" t="n">
        <x:v>0</x:v>
      </x:c>
      <x:c r="M1330" s="13" t="str">
        <x:v>Pago</x:v>
      </x:c>
      <x:c r="N1330" s="13" t="str">
        <x:v>Sem cobrança</x:v>
      </x:c>
      <x:c r="O1330" s="13" t="str">
        <x:v>Operação Clareza</x:v>
      </x:c>
      <x:c r="P1330" s="17" t="n">
        <x:f>IF(D1330="",0,J1330-K1330+L1330)</x:f>
        <x:v>34445.92</x:v>
      </x:c>
      <x:c r="Q1330" s="17" t="n">
        <x:f>MAX(J1330-P1330-K1330,0)</x:f>
        <x:v>0</x:v>
      </x:c>
      <x:c r="R1330" s="13" t="n">
        <x:f>IF(D1330="",MAX(TODAY()-C1330,0),MAX(D1330-C1330,0))</x:f>
        <x:v>0</x:v>
      </x:c>
      <x:c r="S1330" s="13" t="str">
        <x:f>IF(R1330=0,"Em dia",IF(R1330&lt;=15,"1-15 dias",IF(R1330&lt;=30,"16-30 dias",IF(R1330&lt;=60,"31-60 dias","Acima de 60 dias"))))</x:f>
        <x:v>Em dia</x:v>
      </x:c>
    </x:row>
    <x:row r="1331">
      <x:c r="A1331" s="13" t="str">
        <x:v>REC-001330</x:v>
      </x:c>
      <x:c r="B1331" s="23" t="n">
        <x:v>45962</x:v>
      </x:c>
      <x:c r="C1331" s="23" t="n">
        <x:v>45990</x:v>
      </x:c>
      <x:c r="D1331" s="23" t="n">
        <x:v>45990</x:v>
      </x:c>
      <x:c r="E1331" s="13" t="str">
        <x:v>VAL-028</x:v>
      </x:c>
      <x:c r="F1331" s="13" t="str">
        <x:v>Pixel Norte</x:v>
      </x:c>
      <x:c r="G1331" s="13" t="str">
        <x:v>Tecnologia</x:v>
      </x:c>
      <x:c r="H1331" s="13" t="str">
        <x:v>Alto</x:v>
      </x:c>
      <x:c r="I1331" s="13" t="str">
        <x:v>Enterprise</x:v>
      </x:c>
      <x:c r="J1331" s="17" t="n">
        <x:v>15559.49</x:v>
      </x:c>
      <x:c r="K1331" s="17" t="n">
        <x:v>161.63</x:v>
      </x:c>
      <x:c r="L1331" s="17" t="n">
        <x:v>0</x:v>
      </x:c>
      <x:c r="M1331" s="13" t="str">
        <x:v>Pago</x:v>
      </x:c>
      <x:c r="N1331" s="13" t="str">
        <x:v>Sem cobrança</x:v>
      </x:c>
      <x:c r="O1331" s="13" t="str">
        <x:v>Operação Clareza</x:v>
      </x:c>
      <x:c r="P1331" s="17" t="n">
        <x:f>IF(D1331="",0,J1331-K1331+L1331)</x:f>
        <x:v>15397.86</x:v>
      </x:c>
      <x:c r="Q1331" s="17" t="n">
        <x:f>MAX(J1331-P1331-K1331,0)</x:f>
        <x:v>0</x:v>
      </x:c>
      <x:c r="R1331" s="13" t="n">
        <x:f>IF(D1331="",MAX(TODAY()-C1331,0),MAX(D1331-C1331,0))</x:f>
        <x:v>0</x:v>
      </x:c>
      <x:c r="S1331" s="13" t="str">
        <x:f>IF(R1331=0,"Em dia",IF(R1331&lt;=15,"1-15 dias",IF(R1331&lt;=30,"16-30 dias",IF(R1331&lt;=60,"31-60 dias","Acima de 60 dias"))))</x:f>
        <x:v>Em dia</x:v>
      </x:c>
    </x:row>
    <x:row r="1332">
      <x:c r="A1332" s="13" t="str">
        <x:v>REC-001331</x:v>
      </x:c>
      <x:c r="B1332" s="23" t="n">
        <x:v>45979</x:v>
      </x:c>
      <x:c r="C1332" s="23" t="n">
        <x:v>46009</x:v>
      </x:c>
      <x:c r="D1332" s="23" t="n">
        <x:v>46005</x:v>
      </x:c>
      <x:c r="E1332" s="13" t="str">
        <x:v>VAL-017</x:v>
      </x:c>
      <x:c r="F1332" s="13" t="str">
        <x:v>Centro Médico Vida</x:v>
      </x:c>
      <x:c r="G1332" s="13" t="str">
        <x:v>Clínicas e Saúde</x:v>
      </x:c>
      <x:c r="H1332" s="13" t="str">
        <x:v>Baixo</x:v>
      </x:c>
      <x:c r="I1332" s="13" t="str">
        <x:v>Essencial</x:v>
      </x:c>
      <x:c r="J1332" s="17" t="n">
        <x:v>9795.14</x:v>
      </x:c>
      <x:c r="K1332" s="17" t="n">
        <x:v>0</x:v>
      </x:c>
      <x:c r="L1332" s="17" t="n">
        <x:v>0</x:v>
      </x:c>
      <x:c r="M1332" s="13" t="str">
        <x:v>Pago</x:v>
      </x:c>
      <x:c r="N1332" s="13" t="str">
        <x:v>Sem cobrança</x:v>
      </x:c>
      <x:c r="O1332" s="13" t="str">
        <x:v>Operação Clareza</x:v>
      </x:c>
      <x:c r="P1332" s="17" t="n">
        <x:f>IF(D1332="",0,J1332-K1332+L1332)</x:f>
        <x:v>9795.14</x:v>
      </x:c>
      <x:c r="Q1332" s="17" t="n">
        <x:f>MAX(J1332-P1332-K1332,0)</x:f>
        <x:v>0</x:v>
      </x:c>
      <x:c r="R1332" s="13" t="n">
        <x:f>IF(D1332="",MAX(TODAY()-C1332,0),MAX(D1332-C1332,0))</x:f>
        <x:v>0</x:v>
      </x:c>
      <x:c r="S1332" s="13" t="str">
        <x:f>IF(R1332=0,"Em dia",IF(R1332&lt;=15,"1-15 dias",IF(R1332&lt;=30,"16-30 dias",IF(R1332&lt;=60,"31-60 dias","Acima de 60 dias"))))</x:f>
        <x:v>Em dia</x:v>
      </x:c>
    </x:row>
    <x:row r="1333">
      <x:c r="A1333" s="13" t="str">
        <x:v>REC-001332</x:v>
      </x:c>
      <x:c r="B1333" s="23" t="n">
        <x:v>45973</x:v>
      </x:c>
      <x:c r="C1333" s="23" t="n">
        <x:v>45994</x:v>
      </x:c>
      <x:c r="D1333" s="23" t="n">
        <x:v>45993</x:v>
      </x:c>
      <x:c r="E1333" s="13" t="str">
        <x:v>VAL-028</x:v>
      </x:c>
      <x:c r="F1333" s="13" t="str">
        <x:v>Pixel Norte</x:v>
      </x:c>
      <x:c r="G1333" s="13" t="str">
        <x:v>Tecnologia</x:v>
      </x:c>
      <x:c r="H1333" s="13" t="str">
        <x:v>Alto</x:v>
      </x:c>
      <x:c r="I1333" s="13" t="str">
        <x:v>Enterprise</x:v>
      </x:c>
      <x:c r="J1333" s="17" t="n">
        <x:v>21315.8</x:v>
      </x:c>
      <x:c r="K1333" s="17" t="n">
        <x:v>0</x:v>
      </x:c>
      <x:c r="L1333" s="17" t="n">
        <x:v>0</x:v>
      </x:c>
      <x:c r="M1333" s="13" t="str">
        <x:v>Pago</x:v>
      </x:c>
      <x:c r="N1333" s="13" t="str">
        <x:v>Sem cobrança</x:v>
      </x:c>
      <x:c r="O1333" s="13" t="str">
        <x:v>Operação Clareza</x:v>
      </x:c>
      <x:c r="P1333" s="17" t="n">
        <x:f>IF(D1333="",0,J1333-K1333+L1333)</x:f>
        <x:v>21315.8</x:v>
      </x:c>
      <x:c r="Q1333" s="17" t="n">
        <x:f>MAX(J1333-P1333-K1333,0)</x:f>
        <x:v>0</x:v>
      </x:c>
      <x:c r="R1333" s="13" t="n">
        <x:f>IF(D1333="",MAX(TODAY()-C1333,0),MAX(D1333-C1333,0))</x:f>
        <x:v>0</x:v>
      </x:c>
      <x:c r="S1333" s="13" t="str">
        <x:f>IF(R1333=0,"Em dia",IF(R1333&lt;=15,"1-15 dias",IF(R1333&lt;=30,"16-30 dias",IF(R1333&lt;=60,"31-60 dias","Acima de 60 dias"))))</x:f>
        <x:v>Em dia</x:v>
      </x:c>
    </x:row>
    <x:row r="1334">
      <x:c r="A1334" s="13" t="str">
        <x:v>REC-001333</x:v>
      </x:c>
      <x:c r="B1334" s="23" t="n">
        <x:v>45980</x:v>
      </x:c>
      <x:c r="C1334" s="23" t="n">
        <x:v>45987</x:v>
      </x:c>
      <x:c r="D1334" s="23" t="n">
        <x:v>45985</x:v>
      </x:c>
      <x:c r="E1334" s="13" t="str">
        <x:v>VAL-025</x:v>
      </x:c>
      <x:c r="F1334" s="13" t="str">
        <x:v>Bem-Estar Terapias</x:v>
      </x:c>
      <x:c r="G1334" s="13" t="str">
        <x:v>Clínicas e Saúde</x:v>
      </x:c>
      <x:c r="H1334" s="13" t="str">
        <x:v>Baixo</x:v>
      </x:c>
      <x:c r="I1334" s="13" t="str">
        <x:v>Essencial</x:v>
      </x:c>
      <x:c r="J1334" s="17" t="n">
        <x:v>25573.51</x:v>
      </x:c>
      <x:c r="K1334" s="17" t="n">
        <x:v>0</x:v>
      </x:c>
      <x:c r="L1334" s="17" t="n">
        <x:v>0</x:v>
      </x:c>
      <x:c r="M1334" s="13" t="str">
        <x:v>Pago</x:v>
      </x:c>
      <x:c r="N1334" s="13" t="str">
        <x:v>Sem cobrança</x:v>
      </x:c>
      <x:c r="O1334" s="13" t="str">
        <x:v>Operação Clareza</x:v>
      </x:c>
      <x:c r="P1334" s="17" t="n">
        <x:f>IF(D1334="",0,J1334-K1334+L1334)</x:f>
        <x:v>25573.51</x:v>
      </x:c>
      <x:c r="Q1334" s="17" t="n">
        <x:f>MAX(J1334-P1334-K1334,0)</x:f>
        <x:v>0</x:v>
      </x:c>
      <x:c r="R1334" s="13" t="n">
        <x:f>IF(D1334="",MAX(TODAY()-C1334,0),MAX(D1334-C1334,0))</x:f>
        <x:v>0</x:v>
      </x:c>
      <x:c r="S1334" s="13" t="str">
        <x:f>IF(R1334=0,"Em dia",IF(R1334&lt;=15,"1-15 dias",IF(R1334&lt;=30,"16-30 dias",IF(R1334&lt;=60,"31-60 dias","Acima de 60 dias"))))</x:f>
        <x:v>Em dia</x:v>
      </x:c>
    </x:row>
    <x:row r="1335">
      <x:c r="A1335" s="13" t="str">
        <x:v>REC-001334</x:v>
      </x:c>
      <x:c r="B1335" s="23" t="n">
        <x:v>45971</x:v>
      </x:c>
      <x:c r="C1335" s="23" t="n">
        <x:v>45986</x:v>
      </x:c>
      <x:c r="D1335" s="23" t="n">
        <x:v>45984</x:v>
      </x:c>
      <x:c r="E1335" s="13" t="str">
        <x:v>VAL-010</x:v>
      </x:c>
      <x:c r="F1335" s="13" t="str">
        <x:v>Atlas Contabilidade</x:v>
      </x:c>
      <x:c r="G1335" s="13" t="str">
        <x:v>Serviços Profissionais</x:v>
      </x:c>
      <x:c r="H1335" s="13" t="str">
        <x:v>Baixo</x:v>
      </x:c>
      <x:c r="I1335" s="13" t="str">
        <x:v>Gestão</x:v>
      </x:c>
      <x:c r="J1335" s="17" t="n">
        <x:v>26521.03</x:v>
      </x:c>
      <x:c r="K1335" s="17" t="n">
        <x:v>0</x:v>
      </x:c>
      <x:c r="L1335" s="17" t="n">
        <x:v>0</x:v>
      </x:c>
      <x:c r="M1335" s="13" t="str">
        <x:v>Pago</x:v>
      </x:c>
      <x:c r="N1335" s="13" t="str">
        <x:v>Sem cobrança</x:v>
      </x:c>
      <x:c r="O1335" s="13" t="str">
        <x:v>Operação Clareza</x:v>
      </x:c>
      <x:c r="P1335" s="17" t="n">
        <x:f>IF(D1335="",0,J1335-K1335+L1335)</x:f>
        <x:v>26521.03</x:v>
      </x:c>
      <x:c r="Q1335" s="17" t="n">
        <x:f>MAX(J1335-P1335-K1335,0)</x:f>
        <x:v>0</x:v>
      </x:c>
      <x:c r="R1335" s="13" t="n">
        <x:f>IF(D1335="",MAX(TODAY()-C1335,0),MAX(D1335-C1335,0))</x:f>
        <x:v>0</x:v>
      </x:c>
      <x:c r="S1335" s="13" t="str">
        <x:f>IF(R1335=0,"Em dia",IF(R1335&lt;=15,"1-15 dias",IF(R1335&lt;=30,"16-30 dias",IF(R1335&lt;=60,"31-60 dias","Acima de 60 dias"))))</x:f>
        <x:v>Em dia</x:v>
      </x:c>
    </x:row>
    <x:row r="1336">
      <x:c r="A1336" s="13" t="str">
        <x:v>REC-001335</x:v>
      </x:c>
      <x:c r="B1336" s="23" t="n">
        <x:v>45977</x:v>
      </x:c>
      <x:c r="C1336" s="23" t="n">
        <x:v>46007</x:v>
      </x:c>
      <x:c r="D1336" s="23" t="n">
        <x:v>46005</x:v>
      </x:c>
      <x:c r="E1336" s="13" t="str">
        <x:v>VAL-013</x:v>
      </x:c>
      <x:c r="F1336" s="13" t="str">
        <x:v>Engenharia Vértice</x:v>
      </x:c>
      <x:c r="G1336" s="13" t="str">
        <x:v>Construção</x:v>
      </x:c>
      <x:c r="H1336" s="13" t="str">
        <x:v>Baixo</x:v>
      </x:c>
      <x:c r="I1336" s="13" t="str">
        <x:v>Essencial</x:v>
      </x:c>
      <x:c r="J1336" s="17" t="n">
        <x:v>19221.61</x:v>
      </x:c>
      <x:c r="K1336" s="17" t="n">
        <x:v>0</x:v>
      </x:c>
      <x:c r="L1336" s="17" t="n">
        <x:v>0</x:v>
      </x:c>
      <x:c r="M1336" s="13" t="str">
        <x:v>Pago</x:v>
      </x:c>
      <x:c r="N1336" s="13" t="str">
        <x:v>Sem cobrança</x:v>
      </x:c>
      <x:c r="O1336" s="13" t="str">
        <x:v>Operação Clareza</x:v>
      </x:c>
      <x:c r="P1336" s="17" t="n">
        <x:f>IF(D1336="",0,J1336-K1336+L1336)</x:f>
        <x:v>19221.61</x:v>
      </x:c>
      <x:c r="Q1336" s="17" t="n">
        <x:f>MAX(J1336-P1336-K1336,0)</x:f>
        <x:v>0</x:v>
      </x:c>
      <x:c r="R1336" s="13" t="n">
        <x:f>IF(D1336="",MAX(TODAY()-C1336,0),MAX(D1336-C1336,0))</x:f>
        <x:v>0</x:v>
      </x:c>
      <x:c r="S1336" s="13" t="str">
        <x:f>IF(R1336=0,"Em dia",IF(R1336&lt;=15,"1-15 dias",IF(R1336&lt;=30,"16-30 dias",IF(R1336&lt;=60,"31-60 dias","Acima de 60 dias"))))</x:f>
        <x:v>Em dia</x:v>
      </x:c>
    </x:row>
    <x:row r="1337">
      <x:c r="A1337" s="13" t="str">
        <x:v>REC-001336</x:v>
      </x:c>
      <x:c r="B1337" s="23" t="n">
        <x:v>45964</x:v>
      </x:c>
      <x:c r="C1337" s="23" t="n">
        <x:v>45971</x:v>
      </x:c>
      <x:c r="D1337" s="23" t="n">
        <x:v>45970</x:v>
      </x:c>
      <x:c r="E1337" s="13" t="str">
        <x:v>VAL-021</x:v>
      </x:c>
      <x:c r="F1337" s="13" t="str">
        <x:v>Base Forte Obras</x:v>
      </x:c>
      <x:c r="G1337" s="13" t="str">
        <x:v>Construção</x:v>
      </x:c>
      <x:c r="H1337" s="13" t="str">
        <x:v>Médio</x:v>
      </x:c>
      <x:c r="I1337" s="13" t="str">
        <x:v>Essencial</x:v>
      </x:c>
      <x:c r="J1337" s="17" t="n">
        <x:v>24915.06</x:v>
      </x:c>
      <x:c r="K1337" s="17" t="n">
        <x:v>0</x:v>
      </x:c>
      <x:c r="L1337" s="17" t="n">
        <x:v>0</x:v>
      </x:c>
      <x:c r="M1337" s="13" t="str">
        <x:v>Pago</x:v>
      </x:c>
      <x:c r="N1337" s="13" t="str">
        <x:v>Sem cobrança</x:v>
      </x:c>
      <x:c r="O1337" s="13" t="str">
        <x:v>Operação Clareza</x:v>
      </x:c>
      <x:c r="P1337" s="17" t="n">
        <x:f>IF(D1337="",0,J1337-K1337+L1337)</x:f>
        <x:v>24915.06</x:v>
      </x:c>
      <x:c r="Q1337" s="17" t="n">
        <x:f>MAX(J1337-P1337-K1337,0)</x:f>
        <x:v>0</x:v>
      </x:c>
      <x:c r="R1337" s="13" t="n">
        <x:f>IF(D1337="",MAX(TODAY()-C1337,0),MAX(D1337-C1337,0))</x:f>
        <x:v>0</x:v>
      </x:c>
      <x:c r="S1337" s="13" t="str">
        <x:f>IF(R1337=0,"Em dia",IF(R1337&lt;=15,"1-15 dias",IF(R1337&lt;=30,"16-30 dias",IF(R1337&lt;=60,"31-60 dias","Acima de 60 dias"))))</x:f>
        <x:v>Em dia</x:v>
      </x:c>
    </x:row>
    <x:row r="1338">
      <x:c r="A1338" s="13" t="str">
        <x:v>REC-001337</x:v>
      </x:c>
      <x:c r="B1338" s="23" t="n">
        <x:v>45979</x:v>
      </x:c>
      <x:c r="C1338" s="23" t="n">
        <x:v>46007</x:v>
      </x:c>
      <x:c r="D1338" s="23" t="n">
        <x:v>46007</x:v>
      </x:c>
      <x:c r="E1338" s="13" t="str">
        <x:v>VAL-015</x:v>
      </x:c>
      <x:c r="F1338" s="13" t="str">
        <x:v>Mercado Click</x:v>
      </x:c>
      <x:c r="G1338" s="13" t="str">
        <x:v>E-commerce</x:v>
      </x:c>
      <x:c r="H1338" s="13" t="str">
        <x:v>Baixo</x:v>
      </x:c>
      <x:c r="I1338" s="13" t="str">
        <x:v>Performance</x:v>
      </x:c>
      <x:c r="J1338" s="17" t="n">
        <x:v>18598.05</x:v>
      </x:c>
      <x:c r="K1338" s="17" t="n">
        <x:v>0</x:v>
      </x:c>
      <x:c r="L1338" s="17" t="n">
        <x:v>0</x:v>
      </x:c>
      <x:c r="M1338" s="13" t="str">
        <x:v>Pago</x:v>
      </x:c>
      <x:c r="N1338" s="13" t="str">
        <x:v>Sem cobrança</x:v>
      </x:c>
      <x:c r="O1338" s="13" t="str">
        <x:v>Operação Clareza</x:v>
      </x:c>
      <x:c r="P1338" s="17" t="n">
        <x:f>IF(D1338="",0,J1338-K1338+L1338)</x:f>
        <x:v>18598.05</x:v>
      </x:c>
      <x:c r="Q1338" s="17" t="n">
        <x:f>MAX(J1338-P1338-K1338,0)</x:f>
        <x:v>0</x:v>
      </x:c>
      <x:c r="R1338" s="13" t="n">
        <x:f>IF(D1338="",MAX(TODAY()-C1338,0),MAX(D1338-C1338,0))</x:f>
        <x:v>0</x:v>
      </x:c>
      <x:c r="S1338" s="13" t="str">
        <x:f>IF(R1338=0,"Em dia",IF(R1338&lt;=15,"1-15 dias",IF(R1338&lt;=30,"16-30 dias",IF(R1338&lt;=60,"31-60 dias","Acima de 60 dias"))))</x:f>
        <x:v>Em dia</x:v>
      </x:c>
    </x:row>
    <x:row r="1339">
      <x:c r="A1339" s="13" t="str">
        <x:v>REC-001338</x:v>
      </x:c>
      <x:c r="B1339" s="23" t="n">
        <x:v>45968</x:v>
      </x:c>
      <x:c r="C1339" s="23" t="n">
        <x:v>45975</x:v>
      </x:c>
      <x:c r="D1339" s="23" t="n">
        <x:v>45971</x:v>
      </x:c>
      <x:c r="E1339" s="13" t="str">
        <x:v>VAL-022</x:v>
      </x:c>
      <x:c r="F1339" s="13" t="str">
        <x:v>Academia Evoluir</x:v>
      </x:c>
      <x:c r="G1339" s="13" t="str">
        <x:v>Educação</x:v>
      </x:c>
      <x:c r="H1339" s="13" t="str">
        <x:v>Alto</x:v>
      </x:c>
      <x:c r="I1339" s="13" t="str">
        <x:v>Gestão</x:v>
      </x:c>
      <x:c r="J1339" s="17" t="n">
        <x:v>19928.14</x:v>
      </x:c>
      <x:c r="K1339" s="17" t="n">
        <x:v>0</x:v>
      </x:c>
      <x:c r="L1339" s="17" t="n">
        <x:v>0</x:v>
      </x:c>
      <x:c r="M1339" s="13" t="str">
        <x:v>Pago</x:v>
      </x:c>
      <x:c r="N1339" s="13" t="str">
        <x:v>Sem cobrança</x:v>
      </x:c>
      <x:c r="O1339" s="13" t="str">
        <x:v>Operação Clareza</x:v>
      </x:c>
      <x:c r="P1339" s="17" t="n">
        <x:f>IF(D1339="",0,J1339-K1339+L1339)</x:f>
        <x:v>19928.14</x:v>
      </x:c>
      <x:c r="Q1339" s="17" t="n">
        <x:f>MAX(J1339-P1339-K1339,0)</x:f>
        <x:v>0</x:v>
      </x:c>
      <x:c r="R1339" s="13" t="n">
        <x:f>IF(D1339="",MAX(TODAY()-C1339,0),MAX(D1339-C1339,0))</x:f>
        <x:v>0</x:v>
      </x:c>
      <x:c r="S1339" s="13" t="str">
        <x:f>IF(R1339=0,"Em dia",IF(R1339&lt;=15,"1-15 dias",IF(R1339&lt;=30,"16-30 dias",IF(R1339&lt;=60,"31-60 dias","Acima de 60 dias"))))</x:f>
        <x:v>Em dia</x:v>
      </x:c>
    </x:row>
    <x:row r="1340">
      <x:c r="A1340" s="13" t="str">
        <x:v>REC-001339</x:v>
      </x:c>
      <x:c r="B1340" s="23" t="n">
        <x:v>45981</x:v>
      </x:c>
      <x:c r="C1340" s="23" t="n">
        <x:v>45988</x:v>
      </x:c>
      <x:c r="D1340" s="23" t="n">
        <x:v>45988</x:v>
      </x:c>
      <x:c r="E1340" s="13" t="str">
        <x:v>VAL-024</x:v>
      </x:c>
      <x:c r="F1340" s="13" t="str">
        <x:v>NovaForma Móveis</x:v>
      </x:c>
      <x:c r="G1340" s="13" t="str">
        <x:v>Indústria Leve</x:v>
      </x:c>
      <x:c r="H1340" s="13" t="str">
        <x:v>Baixo</x:v>
      </x:c>
      <x:c r="I1340" s="13" t="str">
        <x:v>Enterprise</x:v>
      </x:c>
      <x:c r="J1340" s="17" t="n">
        <x:v>30642.79</x:v>
      </x:c>
      <x:c r="K1340" s="17" t="n">
        <x:v>0</x:v>
      </x:c>
      <x:c r="L1340" s="17" t="n">
        <x:v>0</x:v>
      </x:c>
      <x:c r="M1340" s="13" t="str">
        <x:v>Pago</x:v>
      </x:c>
      <x:c r="N1340" s="13" t="str">
        <x:v>Sem cobrança</x:v>
      </x:c>
      <x:c r="O1340" s="13" t="str">
        <x:v>Operação Clareza</x:v>
      </x:c>
      <x:c r="P1340" s="17" t="n">
        <x:f>IF(D1340="",0,J1340-K1340+L1340)</x:f>
        <x:v>30642.79</x:v>
      </x:c>
      <x:c r="Q1340" s="17" t="n">
        <x:f>MAX(J1340-P1340-K1340,0)</x:f>
        <x:v>0</x:v>
      </x:c>
      <x:c r="R1340" s="13" t="n">
        <x:f>IF(D1340="",MAX(TODAY()-C1340,0),MAX(D1340-C1340,0))</x:f>
        <x:v>0</x:v>
      </x:c>
      <x:c r="S1340" s="13" t="str">
        <x:f>IF(R1340=0,"Em dia",IF(R1340&lt;=15,"1-15 dias",IF(R1340&lt;=30,"16-30 dias",IF(R1340&lt;=60,"31-60 dias","Acima de 60 dias"))))</x:f>
        <x:v>Em dia</x:v>
      </x:c>
    </x:row>
    <x:row r="1341">
      <x:c r="A1341" s="13" t="str">
        <x:v>REC-001340</x:v>
      </x:c>
      <x:c r="B1341" s="23" t="n">
        <x:v>45974</x:v>
      </x:c>
      <x:c r="C1341" s="23" t="n">
        <x:v>46002</x:v>
      </x:c>
      <x:c r="D1341" s="23" t="n">
        <x:v>46001</x:v>
      </x:c>
      <x:c r="E1341" s="13" t="str">
        <x:v>VAL-001</x:v>
      </x:c>
      <x:c r="F1341" s="13" t="str">
        <x:v>Clínica Horizonte</x:v>
      </x:c>
      <x:c r="G1341" s="13" t="str">
        <x:v>Clínicas e Saúde</x:v>
      </x:c>
      <x:c r="H1341" s="13" t="str">
        <x:v>Baixo</x:v>
      </x:c>
      <x:c r="I1341" s="13" t="str">
        <x:v>Essencial</x:v>
      </x:c>
      <x:c r="J1341" s="17" t="n">
        <x:v>21620.15</x:v>
      </x:c>
      <x:c r="K1341" s="17" t="n">
        <x:v>270.98</x:v>
      </x:c>
      <x:c r="L1341" s="17" t="n">
        <x:v>0</x:v>
      </x:c>
      <x:c r="M1341" s="13" t="str">
        <x:v>Pago</x:v>
      </x:c>
      <x:c r="N1341" s="13" t="str">
        <x:v>Sem cobrança</x:v>
      </x:c>
      <x:c r="O1341" s="13" t="str">
        <x:v>Operação Clareza</x:v>
      </x:c>
      <x:c r="P1341" s="17" t="n">
        <x:f>IF(D1341="",0,J1341-K1341+L1341)</x:f>
        <x:v>21349.170000000002</x:v>
      </x:c>
      <x:c r="Q1341" s="17" t="n">
        <x:f>MAX(J1341-P1341-K1341,0)</x:f>
        <x:v>0</x:v>
      </x:c>
      <x:c r="R1341" s="13" t="n">
        <x:f>IF(D1341="",MAX(TODAY()-C1341,0),MAX(D1341-C1341,0))</x:f>
        <x:v>0</x:v>
      </x:c>
      <x:c r="S1341" s="13" t="str">
        <x:f>IF(R1341=0,"Em dia",IF(R1341&lt;=15,"1-15 dias",IF(R1341&lt;=30,"16-30 dias",IF(R1341&lt;=60,"31-60 dias","Acima de 60 dias"))))</x:f>
        <x:v>Em dia</x:v>
      </x:c>
    </x:row>
    <x:row r="1342">
      <x:c r="A1342" s="13" t="str">
        <x:v>REC-001341</x:v>
      </x:c>
      <x:c r="B1342" s="23" t="n">
        <x:v>45965</x:v>
      </x:c>
      <x:c r="C1342" s="23" t="n">
        <x:v>45993</x:v>
      </x:c>
      <x:c r="D1342" s="23" t="n">
        <x:v>46007</x:v>
      </x:c>
      <x:c r="E1342" s="13" t="str">
        <x:v>VAL-030</x:v>
      </x:c>
      <x:c r="F1342" s="13" t="str">
        <x:v>Mundo Kids Cursos</x:v>
      </x:c>
      <x:c r="G1342" s="13" t="str">
        <x:v>Educação</x:v>
      </x:c>
      <x:c r="H1342" s="13" t="str">
        <x:v>Alto</x:v>
      </x:c>
      <x:c r="I1342" s="13" t="str">
        <x:v>Gestão</x:v>
      </x:c>
      <x:c r="J1342" s="17" t="n">
        <x:v>24822.69</x:v>
      </x:c>
      <x:c r="K1342" s="17" t="n">
        <x:v>0</x:v>
      </x:c>
      <x:c r="L1342" s="17" t="n">
        <x:v>225.89</x:v>
      </x:c>
      <x:c r="M1342" s="13" t="str">
        <x:v>Pago com atraso</x:v>
      </x:c>
      <x:c r="N1342" s="13" t="str">
        <x:v>Telefone</x:v>
      </x:c>
      <x:c r="O1342" s="13" t="str">
        <x:v>Operação Clareza</x:v>
      </x:c>
      <x:c r="P1342" s="17" t="n">
        <x:f>IF(D1342="",0,J1342-K1342+L1342)</x:f>
        <x:v>25048.579999999998</x:v>
      </x:c>
      <x:c r="Q1342" s="17" t="n">
        <x:f>MAX(J1342-P1342-K1342,0)</x:f>
        <x:v>0</x:v>
      </x:c>
      <x:c r="R1342" s="13" t="n">
        <x:f>IF(D1342="",MAX(TODAY()-C1342,0),MAX(D1342-C1342,0))</x:f>
        <x:v>14</x:v>
      </x:c>
      <x:c r="S1342" s="13" t="str">
        <x:f>IF(R1342=0,"Em dia",IF(R1342&lt;=15,"1-15 dias",IF(R1342&lt;=30,"16-30 dias",IF(R1342&lt;=60,"31-60 dias","Acima de 60 dias"))))</x:f>
        <x:v>1-15 dias</x:v>
      </x:c>
    </x:row>
    <x:row r="1343">
      <x:c r="A1343" s="13" t="str">
        <x:v>REC-001342</x:v>
      </x:c>
      <x:c r="B1343" s="23" t="n">
        <x:v>45966</x:v>
      </x:c>
      <x:c r="C1343" s="23" t="n">
        <x:v>45996</x:v>
      </x:c>
      <x:c r="D1343" s="23" t="n">
        <x:v>45992</x:v>
      </x:c>
      <x:c r="E1343" s="13" t="str">
        <x:v>VAL-021</x:v>
      </x:c>
      <x:c r="F1343" s="13" t="str">
        <x:v>Base Forte Obras</x:v>
      </x:c>
      <x:c r="G1343" s="13" t="str">
        <x:v>Construção</x:v>
      </x:c>
      <x:c r="H1343" s="13" t="str">
        <x:v>Médio</x:v>
      </x:c>
      <x:c r="I1343" s="13" t="str">
        <x:v>Essencial</x:v>
      </x:c>
      <x:c r="J1343" s="17" t="n">
        <x:v>9918.9</x:v>
      </x:c>
      <x:c r="K1343" s="17" t="n">
        <x:v>94.71</x:v>
      </x:c>
      <x:c r="L1343" s="17" t="n">
        <x:v>0</x:v>
      </x:c>
      <x:c r="M1343" s="13" t="str">
        <x:v>Pago</x:v>
      </x:c>
      <x:c r="N1343" s="13" t="str">
        <x:v>Sem cobrança</x:v>
      </x:c>
      <x:c r="O1343" s="13" t="str">
        <x:v>Operação Clareza</x:v>
      </x:c>
      <x:c r="P1343" s="17" t="n">
        <x:f>IF(D1343="",0,J1343-K1343+L1343)</x:f>
        <x:v>9824.19</x:v>
      </x:c>
      <x:c r="Q1343" s="17" t="n">
        <x:f>MAX(J1343-P1343-K1343,0)</x:f>
        <x:v>0</x:v>
      </x:c>
      <x:c r="R1343" s="13" t="n">
        <x:f>IF(D1343="",MAX(TODAY()-C1343,0),MAX(D1343-C1343,0))</x:f>
        <x:v>0</x:v>
      </x:c>
      <x:c r="S1343" s="13" t="str">
        <x:f>IF(R1343=0,"Em dia",IF(R1343&lt;=15,"1-15 dias",IF(R1343&lt;=30,"16-30 dias",IF(R1343&lt;=60,"31-60 dias","Acima de 60 dias"))))</x:f>
        <x:v>Em dia</x:v>
      </x:c>
    </x:row>
    <x:row r="1344">
      <x:c r="A1344" s="13" t="str">
        <x:v>REC-001343</x:v>
      </x:c>
      <x:c r="B1344" s="23" t="n">
        <x:v>45967</x:v>
      </x:c>
      <x:c r="C1344" s="23" t="n">
        <x:v>45988</x:v>
      </x:c>
      <x:c r="D1344" s="23" t="n">
        <x:v>45984</x:v>
      </x:c>
      <x:c r="E1344" s="13" t="str">
        <x:v>VAL-016</x:v>
      </x:c>
      <x:c r="F1344" s="13" t="str">
        <x:v>Lumina Embalagens</x:v>
      </x:c>
      <x:c r="G1344" s="13" t="str">
        <x:v>Indústria Leve</x:v>
      </x:c>
      <x:c r="H1344" s="13" t="str">
        <x:v>Baixo</x:v>
      </x:c>
      <x:c r="I1344" s="13" t="str">
        <x:v>Enterprise</x:v>
      </x:c>
      <x:c r="J1344" s="17" t="n">
        <x:v>6178.55</x:v>
      </x:c>
      <x:c r="K1344" s="17" t="n">
        <x:v>0</x:v>
      </x:c>
      <x:c r="L1344" s="17" t="n">
        <x:v>0</x:v>
      </x:c>
      <x:c r="M1344" s="13" t="str">
        <x:v>Pago</x:v>
      </x:c>
      <x:c r="N1344" s="13" t="str">
        <x:v>Sem cobrança</x:v>
      </x:c>
      <x:c r="O1344" s="13" t="str">
        <x:v>Operação Clareza</x:v>
      </x:c>
      <x:c r="P1344" s="17" t="n">
        <x:f>IF(D1344="",0,J1344-K1344+L1344)</x:f>
        <x:v>6178.55</x:v>
      </x:c>
      <x:c r="Q1344" s="17" t="n">
        <x:f>MAX(J1344-P1344-K1344,0)</x:f>
        <x:v>0</x:v>
      </x:c>
      <x:c r="R1344" s="13" t="n">
        <x:f>IF(D1344="",MAX(TODAY()-C1344,0),MAX(D1344-C1344,0))</x:f>
        <x:v>0</x:v>
      </x:c>
      <x:c r="S1344" s="13" t="str">
        <x:f>IF(R1344=0,"Em dia",IF(R1344&lt;=15,"1-15 dias",IF(R1344&lt;=30,"16-30 dias",IF(R1344&lt;=60,"31-60 dias","Acima de 60 dias"))))</x:f>
        <x:v>Em dia</x:v>
      </x:c>
    </x:row>
    <x:row r="1345">
      <x:c r="A1345" s="13" t="str">
        <x:v>REC-001344</x:v>
      </x:c>
      <x:c r="B1345" s="23" t="n">
        <x:v>45978</x:v>
      </x:c>
      <x:c r="C1345" s="23" t="n">
        <x:v>46006</x:v>
      </x:c>
      <x:c r="D1345" s="23" t="n">
        <x:v>46035</x:v>
      </x:c>
      <x:c r="E1345" s="13" t="str">
        <x:v>VAL-005</x:v>
      </x:c>
      <x:c r="F1345" s="13" t="str">
        <x:v>Construtora Alameda</x:v>
      </x:c>
      <x:c r="G1345" s="13" t="str">
        <x:v>Construção</x:v>
      </x:c>
      <x:c r="H1345" s="13" t="str">
        <x:v>Médio</x:v>
      </x:c>
      <x:c r="I1345" s="13" t="str">
        <x:v>Essencial</x:v>
      </x:c>
      <x:c r="J1345" s="17" t="n">
        <x:v>22774.36</x:v>
      </x:c>
      <x:c r="K1345" s="17" t="n">
        <x:v>0</x:v>
      </x:c>
      <x:c r="L1345" s="17" t="n">
        <x:v>429.3</x:v>
      </x:c>
      <x:c r="M1345" s="13" t="str">
        <x:v>Pago com atraso</x:v>
      </x:c>
      <x:c r="N1345" s="13" t="str">
        <x:v>E-mail</x:v>
      </x:c>
      <x:c r="O1345" s="13" t="str">
        <x:v>Operação Clareza</x:v>
      </x:c>
      <x:c r="P1345" s="17" t="n">
        <x:f>IF(D1345="",0,J1345-K1345+L1345)</x:f>
        <x:v>23203.66</x:v>
      </x:c>
      <x:c r="Q1345" s="17" t="n">
        <x:f>MAX(J1345-P1345-K1345,0)</x:f>
        <x:v>0</x:v>
      </x:c>
      <x:c r="R1345" s="13" t="n">
        <x:f>IF(D1345="",MAX(TODAY()-C1345,0),MAX(D1345-C1345,0))</x:f>
        <x:v>29</x:v>
      </x:c>
      <x:c r="S1345" s="13" t="str">
        <x:f>IF(R1345=0,"Em dia",IF(R1345&lt;=15,"1-15 dias",IF(R1345&lt;=30,"16-30 dias",IF(R1345&lt;=60,"31-60 dias","Acima de 60 dias"))))</x:f>
        <x:v>16-30 dias</x:v>
      </x:c>
    </x:row>
    <x:row r="1346">
      <x:c r="A1346" s="13" t="str">
        <x:v>REC-001345</x:v>
      </x:c>
      <x:c r="B1346" s="23" t="n">
        <x:v>45974</x:v>
      </x:c>
      <x:c r="C1346" s="23" t="n">
        <x:v>46002</x:v>
      </x:c>
      <x:c r="D1346" s="23" t="n">
        <x:v>45998</x:v>
      </x:c>
      <x:c r="E1346" s="13" t="str">
        <x:v>VAL-005</x:v>
      </x:c>
      <x:c r="F1346" s="13" t="str">
        <x:v>Construtora Alameda</x:v>
      </x:c>
      <x:c r="G1346" s="13" t="str">
        <x:v>Construção</x:v>
      </x:c>
      <x:c r="H1346" s="13" t="str">
        <x:v>Médio</x:v>
      </x:c>
      <x:c r="I1346" s="13" t="str">
        <x:v>Essencial</x:v>
      </x:c>
      <x:c r="J1346" s="17" t="n">
        <x:v>7304.24</x:v>
      </x:c>
      <x:c r="K1346" s="17" t="n">
        <x:v>0</x:v>
      </x:c>
      <x:c r="L1346" s="17" t="n">
        <x:v>0</x:v>
      </x:c>
      <x:c r="M1346" s="13" t="str">
        <x:v>Pago</x:v>
      </x:c>
      <x:c r="N1346" s="13" t="str">
        <x:v>Sem cobrança</x:v>
      </x:c>
      <x:c r="O1346" s="13" t="str">
        <x:v>Operação Clareza</x:v>
      </x:c>
      <x:c r="P1346" s="17" t="n">
        <x:f>IF(D1346="",0,J1346-K1346+L1346)</x:f>
        <x:v>7304.24</x:v>
      </x:c>
      <x:c r="Q1346" s="17" t="n">
        <x:f>MAX(J1346-P1346-K1346,0)</x:f>
        <x:v>0</x:v>
      </x:c>
      <x:c r="R1346" s="13" t="n">
        <x:f>IF(D1346="",MAX(TODAY()-C1346,0),MAX(D1346-C1346,0))</x:f>
        <x:v>0</x:v>
      </x:c>
      <x:c r="S1346" s="13" t="str">
        <x:f>IF(R1346=0,"Em dia",IF(R1346&lt;=15,"1-15 dias",IF(R1346&lt;=30,"16-30 dias",IF(R1346&lt;=60,"31-60 dias","Acima de 60 dias"))))</x:f>
        <x:v>Em dia</x:v>
      </x:c>
    </x:row>
    <x:row r="1347">
      <x:c r="A1347" s="13" t="str">
        <x:v>REC-001346</x:v>
      </x:c>
      <x:c r="B1347" s="23" t="n">
        <x:v>45966</x:v>
      </x:c>
      <x:c r="C1347" s="23" t="n">
        <x:v>45987</x:v>
      </x:c>
      <x:c r="D1347" s="23" t="n">
        <x:v>45987</x:v>
      </x:c>
      <x:c r="E1347" s="13" t="str">
        <x:v>VAL-003</x:v>
      </x:c>
      <x:c r="F1347" s="13" t="str">
        <x:v>Casa Nova Varejo</x:v>
      </x:c>
      <x:c r="G1347" s="13" t="str">
        <x:v>Varejo</x:v>
      </x:c>
      <x:c r="H1347" s="13" t="str">
        <x:v>Baixo</x:v>
      </x:c>
      <x:c r="I1347" s="13" t="str">
        <x:v>Performance</x:v>
      </x:c>
      <x:c r="J1347" s="17" t="n">
        <x:v>20096.08</x:v>
      </x:c>
      <x:c r="K1347" s="17" t="n">
        <x:v>0</x:v>
      </x:c>
      <x:c r="L1347" s="17" t="n">
        <x:v>0</x:v>
      </x:c>
      <x:c r="M1347" s="13" t="str">
        <x:v>Pago</x:v>
      </x:c>
      <x:c r="N1347" s="13" t="str">
        <x:v>Sem cobrança</x:v>
      </x:c>
      <x:c r="O1347" s="13" t="str">
        <x:v>Operação Clareza</x:v>
      </x:c>
      <x:c r="P1347" s="17" t="n">
        <x:f>IF(D1347="",0,J1347-K1347+L1347)</x:f>
        <x:v>20096.08</x:v>
      </x:c>
      <x:c r="Q1347" s="17" t="n">
        <x:f>MAX(J1347-P1347-K1347,0)</x:f>
        <x:v>0</x:v>
      </x:c>
      <x:c r="R1347" s="13" t="n">
        <x:f>IF(D1347="",MAX(TODAY()-C1347,0),MAX(D1347-C1347,0))</x:f>
        <x:v>0</x:v>
      </x:c>
      <x:c r="S1347" s="13" t="str">
        <x:f>IF(R1347=0,"Em dia",IF(R1347&lt;=15,"1-15 dias",IF(R1347&lt;=30,"16-30 dias",IF(R1347&lt;=60,"31-60 dias","Acima de 60 dias"))))</x:f>
        <x:v>Em dia</x:v>
      </x:c>
    </x:row>
    <x:row r="1348">
      <x:c r="A1348" s="13" t="str">
        <x:v>REC-001347</x:v>
      </x:c>
      <x:c r="B1348" s="23" t="n">
        <x:v>45977</x:v>
      </x:c>
      <x:c r="C1348" s="23" t="n">
        <x:v>46007</x:v>
      </x:c>
      <x:c r="D1348" s="23" t="n">
        <x:v>46004</x:v>
      </x:c>
      <x:c r="E1348" s="13" t="str">
        <x:v>VAL-025</x:v>
      </x:c>
      <x:c r="F1348" s="13" t="str">
        <x:v>Bem-Estar Terapias</x:v>
      </x:c>
      <x:c r="G1348" s="13" t="str">
        <x:v>Clínicas e Saúde</x:v>
      </x:c>
      <x:c r="H1348" s="13" t="str">
        <x:v>Baixo</x:v>
      </x:c>
      <x:c r="I1348" s="13" t="str">
        <x:v>Essencial</x:v>
      </x:c>
      <x:c r="J1348" s="17" t="n">
        <x:v>22022.9</x:v>
      </x:c>
      <x:c r="K1348" s="17" t="n">
        <x:v>0</x:v>
      </x:c>
      <x:c r="L1348" s="17" t="n">
        <x:v>0</x:v>
      </x:c>
      <x:c r="M1348" s="13" t="str">
        <x:v>Pago</x:v>
      </x:c>
      <x:c r="N1348" s="13" t="str">
        <x:v>Sem cobrança</x:v>
      </x:c>
      <x:c r="O1348" s="13" t="str">
        <x:v>Operação Clareza</x:v>
      </x:c>
      <x:c r="P1348" s="17" t="n">
        <x:f>IF(D1348="",0,J1348-K1348+L1348)</x:f>
        <x:v>22022.9</x:v>
      </x:c>
      <x:c r="Q1348" s="17" t="n">
        <x:f>MAX(J1348-P1348-K1348,0)</x:f>
        <x:v>0</x:v>
      </x:c>
      <x:c r="R1348" s="13" t="n">
        <x:f>IF(D1348="",MAX(TODAY()-C1348,0),MAX(D1348-C1348,0))</x:f>
        <x:v>0</x:v>
      </x:c>
      <x:c r="S1348" s="13" t="str">
        <x:f>IF(R1348=0,"Em dia",IF(R1348&lt;=15,"1-15 dias",IF(R1348&lt;=30,"16-30 dias",IF(R1348&lt;=60,"31-60 dias","Acima de 60 dias"))))</x:f>
        <x:v>Em dia</x:v>
      </x:c>
    </x:row>
    <x:row r="1349">
      <x:c r="A1349" s="13" t="str">
        <x:v>REC-001348</x:v>
      </x:c>
      <x:c r="B1349" s="23" t="n">
        <x:v>45966</x:v>
      </x:c>
      <x:c r="C1349" s="23" t="n">
        <x:v>45996</x:v>
      </x:c>
      <x:c r="D1349" s="23" t="n">
        <x:v>45992</x:v>
      </x:c>
      <x:c r="E1349" s="13" t="str">
        <x:v>VAL-003</x:v>
      </x:c>
      <x:c r="F1349" s="13" t="str">
        <x:v>Casa Nova Varejo</x:v>
      </x:c>
      <x:c r="G1349" s="13" t="str">
        <x:v>Varejo</x:v>
      </x:c>
      <x:c r="H1349" s="13" t="str">
        <x:v>Baixo</x:v>
      </x:c>
      <x:c r="I1349" s="13" t="str">
        <x:v>Performance</x:v>
      </x:c>
      <x:c r="J1349" s="17" t="n">
        <x:v>23237.11</x:v>
      </x:c>
      <x:c r="K1349" s="17" t="n">
        <x:v>0</x:v>
      </x:c>
      <x:c r="L1349" s="17" t="n">
        <x:v>0</x:v>
      </x:c>
      <x:c r="M1349" s="13" t="str">
        <x:v>Pago</x:v>
      </x:c>
      <x:c r="N1349" s="13" t="str">
        <x:v>Sem cobrança</x:v>
      </x:c>
      <x:c r="O1349" s="13" t="str">
        <x:v>Operação Clareza</x:v>
      </x:c>
      <x:c r="P1349" s="17" t="n">
        <x:f>IF(D1349="",0,J1349-K1349+L1349)</x:f>
        <x:v>23237.11</x:v>
      </x:c>
      <x:c r="Q1349" s="17" t="n">
        <x:f>MAX(J1349-P1349-K1349,0)</x:f>
        <x:v>0</x:v>
      </x:c>
      <x:c r="R1349" s="13" t="n">
        <x:f>IF(D1349="",MAX(TODAY()-C1349,0),MAX(D1349-C1349,0))</x:f>
        <x:v>0</x:v>
      </x:c>
      <x:c r="S1349" s="13" t="str">
        <x:f>IF(R1349=0,"Em dia",IF(R1349&lt;=15,"1-15 dias",IF(R1349&lt;=30,"16-30 dias",IF(R1349&lt;=60,"31-60 dias","Acima de 60 dias"))))</x:f>
        <x:v>Em dia</x:v>
      </x:c>
    </x:row>
    <x:row r="1350">
      <x:c r="A1350" s="13" t="str">
        <x:v>REC-001349</x:v>
      </x:c>
      <x:c r="B1350" s="23" t="n">
        <x:v>45965</x:v>
      </x:c>
      <x:c r="C1350" s="23" t="n">
        <x:v>45972</x:v>
      </x:c>
      <x:c r="D1350" s="23" t="n">
        <x:v>45970</x:v>
      </x:c>
      <x:c r="E1350" s="13" t="str">
        <x:v>VAL-012</x:v>
      </x:c>
      <x:c r="F1350" s="13" t="str">
        <x:v>DataFlow Sistemas</x:v>
      </x:c>
      <x:c r="G1350" s="13" t="str">
        <x:v>Tecnologia</x:v>
      </x:c>
      <x:c r="H1350" s="13" t="str">
        <x:v>Médio</x:v>
      </x:c>
      <x:c r="I1350" s="13" t="str">
        <x:v>Enterprise</x:v>
      </x:c>
      <x:c r="J1350" s="17" t="n">
        <x:v>33062.08</x:v>
      </x:c>
      <x:c r="K1350" s="17" t="n">
        <x:v>0</x:v>
      </x:c>
      <x:c r="L1350" s="17" t="n">
        <x:v>0</x:v>
      </x:c>
      <x:c r="M1350" s="13" t="str">
        <x:v>Pago</x:v>
      </x:c>
      <x:c r="N1350" s="13" t="str">
        <x:v>Sem cobrança</x:v>
      </x:c>
      <x:c r="O1350" s="13" t="str">
        <x:v>Operação Clareza</x:v>
      </x:c>
      <x:c r="P1350" s="17" t="n">
        <x:f>IF(D1350="",0,J1350-K1350+L1350)</x:f>
        <x:v>33062.08</x:v>
      </x:c>
      <x:c r="Q1350" s="17" t="n">
        <x:f>MAX(J1350-P1350-K1350,0)</x:f>
        <x:v>0</x:v>
      </x:c>
      <x:c r="R1350" s="13" t="n">
        <x:f>IF(D1350="",MAX(TODAY()-C1350,0),MAX(D1350-C1350,0))</x:f>
        <x:v>0</x:v>
      </x:c>
      <x:c r="S1350" s="13" t="str">
        <x:f>IF(R1350=0,"Em dia",IF(R1350&lt;=15,"1-15 dias",IF(R1350&lt;=30,"16-30 dias",IF(R1350&lt;=60,"31-60 dias","Acima de 60 dias"))))</x:f>
        <x:v>Em dia</x:v>
      </x:c>
    </x:row>
    <x:row r="1351">
      <x:c r="A1351" s="13" t="str">
        <x:v>REC-001350</x:v>
      </x:c>
      <x:c r="B1351" s="23" t="n">
        <x:v>45969</x:v>
      </x:c>
      <x:c r="C1351" s="23" t="n">
        <x:v>45999</x:v>
      </x:c>
      <x:c r="D1351" s="23" t="n">
        <x:v>45996</x:v>
      </x:c>
      <x:c r="E1351" s="13" t="str">
        <x:v>VAL-027</x:v>
      </x:c>
      <x:c r="F1351" s="13" t="str">
        <x:v>Mais Lar Utilidades</x:v>
      </x:c>
      <x:c r="G1351" s="13" t="str">
        <x:v>Varejo</x:v>
      </x:c>
      <x:c r="H1351" s="13" t="str">
        <x:v>Baixo</x:v>
      </x:c>
      <x:c r="I1351" s="13" t="str">
        <x:v>Performance</x:v>
      </x:c>
      <x:c r="J1351" s="17" t="n">
        <x:v>24817.08</x:v>
      </x:c>
      <x:c r="K1351" s="17" t="n">
        <x:v>0</x:v>
      </x:c>
      <x:c r="L1351" s="17" t="n">
        <x:v>0</x:v>
      </x:c>
      <x:c r="M1351" s="13" t="str">
        <x:v>Pago</x:v>
      </x:c>
      <x:c r="N1351" s="13" t="str">
        <x:v>Sem cobrança</x:v>
      </x:c>
      <x:c r="O1351" s="13" t="str">
        <x:v>Operação Clareza</x:v>
      </x:c>
      <x:c r="P1351" s="17" t="n">
        <x:f>IF(D1351="",0,J1351-K1351+L1351)</x:f>
        <x:v>24817.08</x:v>
      </x:c>
      <x:c r="Q1351" s="17" t="n">
        <x:f>MAX(J1351-P1351-K1351,0)</x:f>
        <x:v>0</x:v>
      </x:c>
      <x:c r="R1351" s="13" t="n">
        <x:f>IF(D1351="",MAX(TODAY()-C1351,0),MAX(D1351-C1351,0))</x:f>
        <x:v>0</x:v>
      </x:c>
      <x:c r="S1351" s="13" t="str">
        <x:f>IF(R1351=0,"Em dia",IF(R1351&lt;=15,"1-15 dias",IF(R1351&lt;=30,"16-30 dias",IF(R1351&lt;=60,"31-60 dias","Acima de 60 dias"))))</x:f>
        <x:v>Em dia</x:v>
      </x:c>
    </x:row>
    <x:row r="1352">
      <x:c r="A1352" s="13" t="str">
        <x:v>REC-001351</x:v>
      </x:c>
      <x:c r="B1352" s="23" t="n">
        <x:v>45962</x:v>
      </x:c>
      <x:c r="C1352" s="23" t="n">
        <x:v>45990</x:v>
      </x:c>
      <x:c r="D1352" s="23" t="n">
        <x:v>45990</x:v>
      </x:c>
      <x:c r="E1352" s="13" t="str">
        <x:v>VAL-029</x:v>
      </x:c>
      <x:c r="F1352" s="13" t="str">
        <x:v>Planobra Serviços</x:v>
      </x:c>
      <x:c r="G1352" s="13" t="str">
        <x:v>Construção</x:v>
      </x:c>
      <x:c r="H1352" s="13" t="str">
        <x:v>Baixo</x:v>
      </x:c>
      <x:c r="I1352" s="13" t="str">
        <x:v>Essencial</x:v>
      </x:c>
      <x:c r="J1352" s="17" t="n">
        <x:v>10025.13</x:v>
      </x:c>
      <x:c r="K1352" s="17" t="n">
        <x:v>0</x:v>
      </x:c>
      <x:c r="L1352" s="17" t="n">
        <x:v>0</x:v>
      </x:c>
      <x:c r="M1352" s="13" t="str">
        <x:v>Pago</x:v>
      </x:c>
      <x:c r="N1352" s="13" t="str">
        <x:v>Sem cobrança</x:v>
      </x:c>
      <x:c r="O1352" s="13" t="str">
        <x:v>Operação Clareza</x:v>
      </x:c>
      <x:c r="P1352" s="17" t="n">
        <x:f>IF(D1352="",0,J1352-K1352+L1352)</x:f>
        <x:v>10025.13</x:v>
      </x:c>
      <x:c r="Q1352" s="17" t="n">
        <x:f>MAX(J1352-P1352-K1352,0)</x:f>
        <x:v>0</x:v>
      </x:c>
      <x:c r="R1352" s="13" t="n">
        <x:f>IF(D1352="",MAX(TODAY()-C1352,0),MAX(D1352-C1352,0))</x:f>
        <x:v>0</x:v>
      </x:c>
      <x:c r="S1352" s="13" t="str">
        <x:f>IF(R1352=0,"Em dia",IF(R1352&lt;=15,"1-15 dias",IF(R1352&lt;=30,"16-30 dias",IF(R1352&lt;=60,"31-60 dias","Acima de 60 dias"))))</x:f>
        <x:v>Em dia</x:v>
      </x:c>
    </x:row>
    <x:row r="1353">
      <x:c r="A1353" s="13" t="str">
        <x:v>REC-001352</x:v>
      </x:c>
      <x:c r="B1353" s="23" t="n">
        <x:v>45977</x:v>
      </x:c>
      <x:c r="C1353" s="23" t="n">
        <x:v>45992</x:v>
      </x:c>
      <x:c r="D1353" s="23" t="n">
        <x:v>45992</x:v>
      </x:c>
      <x:c r="E1353" s="13" t="str">
        <x:v>VAL-028</x:v>
      </x:c>
      <x:c r="F1353" s="13" t="str">
        <x:v>Pixel Norte</x:v>
      </x:c>
      <x:c r="G1353" s="13" t="str">
        <x:v>Tecnologia</x:v>
      </x:c>
      <x:c r="H1353" s="13" t="str">
        <x:v>Alto</x:v>
      </x:c>
      <x:c r="I1353" s="13" t="str">
        <x:v>Enterprise</x:v>
      </x:c>
      <x:c r="J1353" s="17" t="n">
        <x:v>34822.6</x:v>
      </x:c>
      <x:c r="K1353" s="17" t="n">
        <x:v>0</x:v>
      </x:c>
      <x:c r="L1353" s="17" t="n">
        <x:v>0</x:v>
      </x:c>
      <x:c r="M1353" s="13" t="str">
        <x:v>Pago</x:v>
      </x:c>
      <x:c r="N1353" s="13" t="str">
        <x:v>Sem cobrança</x:v>
      </x:c>
      <x:c r="O1353" s="13" t="str">
        <x:v>Operação Clareza</x:v>
      </x:c>
      <x:c r="P1353" s="17" t="n">
        <x:f>IF(D1353="",0,J1353-K1353+L1353)</x:f>
        <x:v>34822.6</x:v>
      </x:c>
      <x:c r="Q1353" s="17" t="n">
        <x:f>MAX(J1353-P1353-K1353,0)</x:f>
        <x:v>0</x:v>
      </x:c>
      <x:c r="R1353" s="13" t="n">
        <x:f>IF(D1353="",MAX(TODAY()-C1353,0),MAX(D1353-C1353,0))</x:f>
        <x:v>0</x:v>
      </x:c>
      <x:c r="S1353" s="13" t="str">
        <x:f>IF(R1353=0,"Em dia",IF(R1353&lt;=15,"1-15 dias",IF(R1353&lt;=30,"16-30 dias",IF(R1353&lt;=60,"31-60 dias","Acima de 60 dias"))))</x:f>
        <x:v>Em dia</x:v>
      </x:c>
    </x:row>
    <x:row r="1354">
      <x:c r="A1354" s="13" t="str">
        <x:v>REC-001353</x:v>
      </x:c>
      <x:c r="B1354" s="23" t="n">
        <x:v>45975</x:v>
      </x:c>
      <x:c r="C1354" s="23" t="n">
        <x:v>46005</x:v>
      </x:c>
      <x:c r="D1354" s="23" t="n">
        <x:v>46001</x:v>
      </x:c>
      <x:c r="E1354" s="13" t="str">
        <x:v>VAL-007</x:v>
      </x:c>
      <x:c r="F1354" s="13" t="str">
        <x:v>Loja Prisma Online</x:v>
      </x:c>
      <x:c r="G1354" s="13" t="str">
        <x:v>E-commerce</x:v>
      </x:c>
      <x:c r="H1354" s="13" t="str">
        <x:v>Médio</x:v>
      </x:c>
      <x:c r="I1354" s="13" t="str">
        <x:v>Performance</x:v>
      </x:c>
      <x:c r="J1354" s="17" t="n">
        <x:v>32579.58</x:v>
      </x:c>
      <x:c r="K1354" s="17" t="n">
        <x:v>0</x:v>
      </x:c>
      <x:c r="L1354" s="17" t="n">
        <x:v>0</x:v>
      </x:c>
      <x:c r="M1354" s="13" t="str">
        <x:v>Pago</x:v>
      </x:c>
      <x:c r="N1354" s="13" t="str">
        <x:v>Sem cobrança</x:v>
      </x:c>
      <x:c r="O1354" s="13" t="str">
        <x:v>Operação Clareza</x:v>
      </x:c>
      <x:c r="P1354" s="17" t="n">
        <x:f>IF(D1354="",0,J1354-K1354+L1354)</x:f>
        <x:v>32579.58</x:v>
      </x:c>
      <x:c r="Q1354" s="17" t="n">
        <x:f>MAX(J1354-P1354-K1354,0)</x:f>
        <x:v>0</x:v>
      </x:c>
      <x:c r="R1354" s="13" t="n">
        <x:f>IF(D1354="",MAX(TODAY()-C1354,0),MAX(D1354-C1354,0))</x:f>
        <x:v>0</x:v>
      </x:c>
      <x:c r="S1354" s="13" t="str">
        <x:f>IF(R1354=0,"Em dia",IF(R1354&lt;=15,"1-15 dias",IF(R1354&lt;=30,"16-30 dias",IF(R1354&lt;=60,"31-60 dias","Acima de 60 dias"))))</x:f>
        <x:v>Em dia</x:v>
      </x:c>
    </x:row>
    <x:row r="1355">
      <x:c r="A1355" s="13" t="str">
        <x:v>REC-001354</x:v>
      </x:c>
      <x:c r="B1355" s="23" t="n">
        <x:v>45976</x:v>
      </x:c>
      <x:c r="C1355" s="23" t="n">
        <x:v>45991</x:v>
      </x:c>
      <x:c r="D1355" s="23" t="n">
        <x:v>45988</x:v>
      </x:c>
      <x:c r="E1355" s="13" t="str">
        <x:v>VAL-013</x:v>
      </x:c>
      <x:c r="F1355" s="13" t="str">
        <x:v>Engenharia Vértice</x:v>
      </x:c>
      <x:c r="G1355" s="13" t="str">
        <x:v>Construção</x:v>
      </x:c>
      <x:c r="H1355" s="13" t="str">
        <x:v>Baixo</x:v>
      </x:c>
      <x:c r="I1355" s="13" t="str">
        <x:v>Essencial</x:v>
      </x:c>
      <x:c r="J1355" s="17" t="n">
        <x:v>23040.26</x:v>
      </x:c>
      <x:c r="K1355" s="17" t="n">
        <x:v>0</x:v>
      </x:c>
      <x:c r="L1355" s="17" t="n">
        <x:v>0</x:v>
      </x:c>
      <x:c r="M1355" s="13" t="str">
        <x:v>Pago</x:v>
      </x:c>
      <x:c r="N1355" s="13" t="str">
        <x:v>Sem cobrança</x:v>
      </x:c>
      <x:c r="O1355" s="13" t="str">
        <x:v>Operação Clareza</x:v>
      </x:c>
      <x:c r="P1355" s="17" t="n">
        <x:f>IF(D1355="",0,J1355-K1355+L1355)</x:f>
        <x:v>23040.26</x:v>
      </x:c>
      <x:c r="Q1355" s="17" t="n">
        <x:f>MAX(J1355-P1355-K1355,0)</x:f>
        <x:v>0</x:v>
      </x:c>
      <x:c r="R1355" s="13" t="n">
        <x:f>IF(D1355="",MAX(TODAY()-C1355,0),MAX(D1355-C1355,0))</x:f>
        <x:v>0</x:v>
      </x:c>
      <x:c r="S1355" s="13" t="str">
        <x:f>IF(R1355=0,"Em dia",IF(R1355&lt;=15,"1-15 dias",IF(R1355&lt;=30,"16-30 dias",IF(R1355&lt;=60,"31-60 dias","Acima de 60 dias"))))</x:f>
        <x:v>Em dia</x:v>
      </x:c>
    </x:row>
    <x:row r="1356">
      <x:c r="A1356" s="13" t="str">
        <x:v>REC-001355</x:v>
      </x:c>
      <x:c r="B1356" s="23" t="n">
        <x:v>45975</x:v>
      </x:c>
      <x:c r="C1356" s="23" t="n">
        <x:v>46005</x:v>
      </x:c>
      <x:c r="D1356" s="23" t="n">
        <x:v>46002</x:v>
      </x:c>
      <x:c r="E1356" s="13" t="str">
        <x:v>VAL-022</x:v>
      </x:c>
      <x:c r="F1356" s="13" t="str">
        <x:v>Academia Evoluir</x:v>
      </x:c>
      <x:c r="G1356" s="13" t="str">
        <x:v>Educação</x:v>
      </x:c>
      <x:c r="H1356" s="13" t="str">
        <x:v>Alto</x:v>
      </x:c>
      <x:c r="I1356" s="13" t="str">
        <x:v>Gestão</x:v>
      </x:c>
      <x:c r="J1356" s="17" t="n">
        <x:v>11584.24</x:v>
      </x:c>
      <x:c r="K1356" s="17" t="n">
        <x:v>0</x:v>
      </x:c>
      <x:c r="L1356" s="17" t="n">
        <x:v>0</x:v>
      </x:c>
      <x:c r="M1356" s="13" t="str">
        <x:v>Pago</x:v>
      </x:c>
      <x:c r="N1356" s="13" t="str">
        <x:v>Sem cobrança</x:v>
      </x:c>
      <x:c r="O1356" s="13" t="str">
        <x:v>Operação Clareza</x:v>
      </x:c>
      <x:c r="P1356" s="17" t="n">
        <x:f>IF(D1356="",0,J1356-K1356+L1356)</x:f>
        <x:v>11584.24</x:v>
      </x:c>
      <x:c r="Q1356" s="17" t="n">
        <x:f>MAX(J1356-P1356-K1356,0)</x:f>
        <x:v>0</x:v>
      </x:c>
      <x:c r="R1356" s="13" t="n">
        <x:f>IF(D1356="",MAX(TODAY()-C1356,0),MAX(D1356-C1356,0))</x:f>
        <x:v>0</x:v>
      </x:c>
      <x:c r="S1356" s="13" t="str">
        <x:f>IF(R1356=0,"Em dia",IF(R1356&lt;=15,"1-15 dias",IF(R1356&lt;=30,"16-30 dias",IF(R1356&lt;=60,"31-60 dias","Acima de 60 dias"))))</x:f>
        <x:v>Em dia</x:v>
      </x:c>
    </x:row>
    <x:row r="1357">
      <x:c r="A1357" s="13" t="str">
        <x:v>REC-001356</x:v>
      </x:c>
      <x:c r="B1357" s="23" t="n">
        <x:v>45966</x:v>
      </x:c>
      <x:c r="C1357" s="23" t="n">
        <x:v>45973</x:v>
      </x:c>
      <x:c r="D1357" s="23" t="n">
        <x:v>45973</x:v>
      </x:c>
      <x:c r="E1357" s="13" t="str">
        <x:v>VAL-025</x:v>
      </x:c>
      <x:c r="F1357" s="13" t="str">
        <x:v>Bem-Estar Terapias</x:v>
      </x:c>
      <x:c r="G1357" s="13" t="str">
        <x:v>Clínicas e Saúde</x:v>
      </x:c>
      <x:c r="H1357" s="13" t="str">
        <x:v>Baixo</x:v>
      </x:c>
      <x:c r="I1357" s="13" t="str">
        <x:v>Essencial</x:v>
      </x:c>
      <x:c r="J1357" s="17" t="n">
        <x:v>18353.95</x:v>
      </x:c>
      <x:c r="K1357" s="17" t="n">
        <x:v>0</x:v>
      </x:c>
      <x:c r="L1357" s="17" t="n">
        <x:v>0</x:v>
      </x:c>
      <x:c r="M1357" s="13" t="str">
        <x:v>Pago</x:v>
      </x:c>
      <x:c r="N1357" s="13" t="str">
        <x:v>Sem cobrança</x:v>
      </x:c>
      <x:c r="O1357" s="13" t="str">
        <x:v>Operação Clareza</x:v>
      </x:c>
      <x:c r="P1357" s="17" t="n">
        <x:f>IF(D1357="",0,J1357-K1357+L1357)</x:f>
        <x:v>18353.95</x:v>
      </x:c>
      <x:c r="Q1357" s="17" t="n">
        <x:f>MAX(J1357-P1357-K1357,0)</x:f>
        <x:v>0</x:v>
      </x:c>
      <x:c r="R1357" s="13" t="n">
        <x:f>IF(D1357="",MAX(TODAY()-C1357,0),MAX(D1357-C1357,0))</x:f>
        <x:v>0</x:v>
      </x:c>
      <x:c r="S1357" s="13" t="str">
        <x:f>IF(R1357=0,"Em dia",IF(R1357&lt;=15,"1-15 dias",IF(R1357&lt;=30,"16-30 dias",IF(R1357&lt;=60,"31-60 dias","Acima de 60 dias"))))</x:f>
        <x:v>Em dia</x:v>
      </x:c>
    </x:row>
    <x:row r="1358">
      <x:c r="A1358" s="13" t="str">
        <x:v>REC-001357</x:v>
      </x:c>
      <x:c r="B1358" s="23" t="n">
        <x:v>45962</x:v>
      </x:c>
      <x:c r="C1358" s="23" t="n">
        <x:v>45992</x:v>
      </x:c>
      <x:c r="D1358" s="23" t="n">
        <x:v>45990</x:v>
      </x:c>
      <x:c r="E1358" s="13" t="str">
        <x:v>VAL-005</x:v>
      </x:c>
      <x:c r="F1358" s="13" t="str">
        <x:v>Construtora Alameda</x:v>
      </x:c>
      <x:c r="G1358" s="13" t="str">
        <x:v>Construção</x:v>
      </x:c>
      <x:c r="H1358" s="13" t="str">
        <x:v>Médio</x:v>
      </x:c>
      <x:c r="I1358" s="13" t="str">
        <x:v>Essencial</x:v>
      </x:c>
      <x:c r="J1358" s="17" t="n">
        <x:v>10054.58</x:v>
      </x:c>
      <x:c r="K1358" s="17" t="n">
        <x:v>0</x:v>
      </x:c>
      <x:c r="L1358" s="17" t="n">
        <x:v>0</x:v>
      </x:c>
      <x:c r="M1358" s="13" t="str">
        <x:v>Pago</x:v>
      </x:c>
      <x:c r="N1358" s="13" t="str">
        <x:v>Sem cobrança</x:v>
      </x:c>
      <x:c r="O1358" s="13" t="str">
        <x:v>Operação Clareza</x:v>
      </x:c>
      <x:c r="P1358" s="17" t="n">
        <x:f>IF(D1358="",0,J1358-K1358+L1358)</x:f>
        <x:v>10054.58</x:v>
      </x:c>
      <x:c r="Q1358" s="17" t="n">
        <x:f>MAX(J1358-P1358-K1358,0)</x:f>
        <x:v>0</x:v>
      </x:c>
      <x:c r="R1358" s="13" t="n">
        <x:f>IF(D1358="",MAX(TODAY()-C1358,0),MAX(D1358-C1358,0))</x:f>
        <x:v>0</x:v>
      </x:c>
      <x:c r="S1358" s="13" t="str">
        <x:f>IF(R1358=0,"Em dia",IF(R1358&lt;=15,"1-15 dias",IF(R1358&lt;=30,"16-30 dias",IF(R1358&lt;=60,"31-60 dias","Acima de 60 dias"))))</x:f>
        <x:v>Em dia</x:v>
      </x:c>
    </x:row>
    <x:row r="1359">
      <x:c r="A1359" s="13" t="str">
        <x:v>REC-001358</x:v>
      </x:c>
      <x:c r="B1359" s="23" t="n">
        <x:v>45973</x:v>
      </x:c>
      <x:c r="C1359" s="23" t="n">
        <x:v>45994</x:v>
      </x:c>
      <x:c r="D1359" s="23" t="n">
        <x:v>45992</x:v>
      </x:c>
      <x:c r="E1359" s="13" t="str">
        <x:v>VAL-009</x:v>
      </x:c>
      <x:c r="F1359" s="13" t="str">
        <x:v>Odonto Prime</x:v>
      </x:c>
      <x:c r="G1359" s="13" t="str">
        <x:v>Clínicas e Saúde</x:v>
      </x:c>
      <x:c r="H1359" s="13" t="str">
        <x:v>Médio</x:v>
      </x:c>
      <x:c r="I1359" s="13" t="str">
        <x:v>Essencial</x:v>
      </x:c>
      <x:c r="J1359" s="17" t="n">
        <x:v>4108.61</x:v>
      </x:c>
      <x:c r="K1359" s="17" t="n">
        <x:v>0</x:v>
      </x:c>
      <x:c r="L1359" s="17" t="n">
        <x:v>0</x:v>
      </x:c>
      <x:c r="M1359" s="13" t="str">
        <x:v>Pago</x:v>
      </x:c>
      <x:c r="N1359" s="13" t="str">
        <x:v>Sem cobrança</x:v>
      </x:c>
      <x:c r="O1359" s="13" t="str">
        <x:v>Operação Clareza</x:v>
      </x:c>
      <x:c r="P1359" s="17" t="n">
        <x:f>IF(D1359="",0,J1359-K1359+L1359)</x:f>
        <x:v>4108.61</x:v>
      </x:c>
      <x:c r="Q1359" s="17" t="n">
        <x:f>MAX(J1359-P1359-K1359,0)</x:f>
        <x:v>0</x:v>
      </x:c>
      <x:c r="R1359" s="13" t="n">
        <x:f>IF(D1359="",MAX(TODAY()-C1359,0),MAX(D1359-C1359,0))</x:f>
        <x:v>0</x:v>
      </x:c>
      <x:c r="S1359" s="13" t="str">
        <x:f>IF(R1359=0,"Em dia",IF(R1359&lt;=15,"1-15 dias",IF(R1359&lt;=30,"16-30 dias",IF(R1359&lt;=60,"31-60 dias","Acima de 60 dias"))))</x:f>
        <x:v>Em dia</x:v>
      </x:c>
    </x:row>
    <x:row r="1360">
      <x:c r="A1360" s="13" t="str">
        <x:v>REC-001359</x:v>
      </x:c>
      <x:c r="B1360" s="23" t="n">
        <x:v>45973</x:v>
      </x:c>
      <x:c r="C1360" s="23" t="n">
        <x:v>45994</x:v>
      </x:c>
      <x:c r="D1360" s="23" t="n">
        <x:v>45991</x:v>
      </x:c>
      <x:c r="E1360" s="13" t="str">
        <x:v>VAL-001</x:v>
      </x:c>
      <x:c r="F1360" s="13" t="str">
        <x:v>Clínica Horizonte</x:v>
      </x:c>
      <x:c r="G1360" s="13" t="str">
        <x:v>Clínicas e Saúde</x:v>
      </x:c>
      <x:c r="H1360" s="13" t="str">
        <x:v>Baixo</x:v>
      </x:c>
      <x:c r="I1360" s="13" t="str">
        <x:v>Essencial</x:v>
      </x:c>
      <x:c r="J1360" s="17" t="n">
        <x:v>23430.86</x:v>
      </x:c>
      <x:c r="K1360" s="17" t="n">
        <x:v>0</x:v>
      </x:c>
      <x:c r="L1360" s="17" t="n">
        <x:v>0</x:v>
      </x:c>
      <x:c r="M1360" s="13" t="str">
        <x:v>Pago</x:v>
      </x:c>
      <x:c r="N1360" s="13" t="str">
        <x:v>Sem cobrança</x:v>
      </x:c>
      <x:c r="O1360" s="13" t="str">
        <x:v>Operação Clareza</x:v>
      </x:c>
      <x:c r="P1360" s="17" t="n">
        <x:f>IF(D1360="",0,J1360-K1360+L1360)</x:f>
        <x:v>23430.86</x:v>
      </x:c>
      <x:c r="Q1360" s="17" t="n">
        <x:f>MAX(J1360-P1360-K1360,0)</x:f>
        <x:v>0</x:v>
      </x:c>
      <x:c r="R1360" s="13" t="n">
        <x:f>IF(D1360="",MAX(TODAY()-C1360,0),MAX(D1360-C1360,0))</x:f>
        <x:v>0</x:v>
      </x:c>
      <x:c r="S1360" s="13" t="str">
        <x:f>IF(R1360=0,"Em dia",IF(R1360&lt;=15,"1-15 dias",IF(R1360&lt;=30,"16-30 dias",IF(R1360&lt;=60,"31-60 dias","Acima de 60 dias"))))</x:f>
        <x:v>Em dia</x:v>
      </x:c>
    </x:row>
    <x:row r="1361">
      <x:c r="A1361" s="13" t="str">
        <x:v>REC-001360</x:v>
      </x:c>
      <x:c r="B1361" s="23" t="n">
        <x:v>45981</x:v>
      </x:c>
      <x:c r="C1361" s="23" t="n">
        <x:v>46002</x:v>
      </x:c>
      <x:c r="D1361" s="23" t="n">
        <x:v>45999</x:v>
      </x:c>
      <x:c r="E1361" s="13" t="str">
        <x:v>VAL-016</x:v>
      </x:c>
      <x:c r="F1361" s="13" t="str">
        <x:v>Lumina Embalagens</x:v>
      </x:c>
      <x:c r="G1361" s="13" t="str">
        <x:v>Indústria Leve</x:v>
      </x:c>
      <x:c r="H1361" s="13" t="str">
        <x:v>Baixo</x:v>
      </x:c>
      <x:c r="I1361" s="13" t="str">
        <x:v>Enterprise</x:v>
      </x:c>
      <x:c r="J1361" s="17" t="n">
        <x:v>6804.21</x:v>
      </x:c>
      <x:c r="K1361" s="17" t="n">
        <x:v>0</x:v>
      </x:c>
      <x:c r="L1361" s="17" t="n">
        <x:v>0</x:v>
      </x:c>
      <x:c r="M1361" s="13" t="str">
        <x:v>Pago</x:v>
      </x:c>
      <x:c r="N1361" s="13" t="str">
        <x:v>Sem cobrança</x:v>
      </x:c>
      <x:c r="O1361" s="13" t="str">
        <x:v>Operação Clareza</x:v>
      </x:c>
      <x:c r="P1361" s="17" t="n">
        <x:f>IF(D1361="",0,J1361-K1361+L1361)</x:f>
        <x:v>6804.21</x:v>
      </x:c>
      <x:c r="Q1361" s="17" t="n">
        <x:f>MAX(J1361-P1361-K1361,0)</x:f>
        <x:v>0</x:v>
      </x:c>
      <x:c r="R1361" s="13" t="n">
        <x:f>IF(D1361="",MAX(TODAY()-C1361,0),MAX(D1361-C1361,0))</x:f>
        <x:v>0</x:v>
      </x:c>
      <x:c r="S1361" s="13" t="str">
        <x:f>IF(R1361=0,"Em dia",IF(R1361&lt;=15,"1-15 dias",IF(R1361&lt;=30,"16-30 dias",IF(R1361&lt;=60,"31-60 dias","Acima de 60 dias"))))</x:f>
        <x:v>Em dia</x:v>
      </x:c>
    </x:row>
    <x:row r="1362">
      <x:c r="A1362" s="13" t="str">
        <x:v>REC-001361</x:v>
      </x:c>
      <x:c r="B1362" s="23" t="n">
        <x:v>45972</x:v>
      </x:c>
      <x:c r="C1362" s="23" t="n">
        <x:v>46002</x:v>
      </x:c>
      <x:c r="D1362" s="23" t="n">
        <x:v>45999</x:v>
      </x:c>
      <x:c r="E1362" s="13" t="str">
        <x:v>VAL-014</x:v>
      </x:c>
      <x:c r="F1362" s="13" t="str">
        <x:v>Colégio Caminhos</x:v>
      </x:c>
      <x:c r="G1362" s="13" t="str">
        <x:v>Educação</x:v>
      </x:c>
      <x:c r="H1362" s="13" t="str">
        <x:v>Médio</x:v>
      </x:c>
      <x:c r="I1362" s="13" t="str">
        <x:v>Gestão</x:v>
      </x:c>
      <x:c r="J1362" s="17" t="n">
        <x:v>18328.91</x:v>
      </x:c>
      <x:c r="K1362" s="17" t="n">
        <x:v>0</x:v>
      </x:c>
      <x:c r="L1362" s="17" t="n">
        <x:v>0</x:v>
      </x:c>
      <x:c r="M1362" s="13" t="str">
        <x:v>Pago</x:v>
      </x:c>
      <x:c r="N1362" s="13" t="str">
        <x:v>Sem cobrança</x:v>
      </x:c>
      <x:c r="O1362" s="13" t="str">
        <x:v>Operação Clareza</x:v>
      </x:c>
      <x:c r="P1362" s="17" t="n">
        <x:f>IF(D1362="",0,J1362-K1362+L1362)</x:f>
        <x:v>18328.91</x:v>
      </x:c>
      <x:c r="Q1362" s="17" t="n">
        <x:f>MAX(J1362-P1362-K1362,0)</x:f>
        <x:v>0</x:v>
      </x:c>
      <x:c r="R1362" s="13" t="n">
        <x:f>IF(D1362="",MAX(TODAY()-C1362,0),MAX(D1362-C1362,0))</x:f>
        <x:v>0</x:v>
      </x:c>
      <x:c r="S1362" s="13" t="str">
        <x:f>IF(R1362=0,"Em dia",IF(R1362&lt;=15,"1-15 dias",IF(R1362&lt;=30,"16-30 dias",IF(R1362&lt;=60,"31-60 dias","Acima de 60 dias"))))</x:f>
        <x:v>Em dia</x:v>
      </x:c>
    </x:row>
    <x:row r="1363">
      <x:c r="A1363" s="13" t="str">
        <x:v>REC-001362</x:v>
      </x:c>
      <x:c r="B1363" s="23" t="n">
        <x:v>45963</x:v>
      </x:c>
      <x:c r="C1363" s="23" t="n">
        <x:v>45993</x:v>
      </x:c>
      <x:c r="D1363" s="23" t="n">
        <x:v>45991</x:v>
      </x:c>
      <x:c r="E1363" s="13" t="str">
        <x:v>VAL-009</x:v>
      </x:c>
      <x:c r="F1363" s="13" t="str">
        <x:v>Odonto Prime</x:v>
      </x:c>
      <x:c r="G1363" s="13" t="str">
        <x:v>Clínicas e Saúde</x:v>
      </x:c>
      <x:c r="H1363" s="13" t="str">
        <x:v>Médio</x:v>
      </x:c>
      <x:c r="I1363" s="13" t="str">
        <x:v>Essencial</x:v>
      </x:c>
      <x:c r="J1363" s="17" t="n">
        <x:v>21389.78</x:v>
      </x:c>
      <x:c r="K1363" s="17" t="n">
        <x:v>0</x:v>
      </x:c>
      <x:c r="L1363" s="17" t="n">
        <x:v>0</x:v>
      </x:c>
      <x:c r="M1363" s="13" t="str">
        <x:v>Pago</x:v>
      </x:c>
      <x:c r="N1363" s="13" t="str">
        <x:v>Sem cobrança</x:v>
      </x:c>
      <x:c r="O1363" s="13" t="str">
        <x:v>Operação Clareza</x:v>
      </x:c>
      <x:c r="P1363" s="17" t="n">
        <x:f>IF(D1363="",0,J1363-K1363+L1363)</x:f>
        <x:v>21389.78</x:v>
      </x:c>
      <x:c r="Q1363" s="17" t="n">
        <x:f>MAX(J1363-P1363-K1363,0)</x:f>
        <x:v>0</x:v>
      </x:c>
      <x:c r="R1363" s="13" t="n">
        <x:f>IF(D1363="",MAX(TODAY()-C1363,0),MAX(D1363-C1363,0))</x:f>
        <x:v>0</x:v>
      </x:c>
      <x:c r="S1363" s="13" t="str">
        <x:f>IF(R1363=0,"Em dia",IF(R1363&lt;=15,"1-15 dias",IF(R1363&lt;=30,"16-30 dias",IF(R1363&lt;=60,"31-60 dias","Acima de 60 dias"))))</x:f>
        <x:v>Em dia</x:v>
      </x:c>
    </x:row>
    <x:row r="1364">
      <x:c r="A1364" s="13" t="str">
        <x:v>REC-001363</x:v>
      </x:c>
      <x:c r="B1364" s="23" t="n">
        <x:v>45981</x:v>
      </x:c>
      <x:c r="C1364" s="23" t="n">
        <x:v>46011</x:v>
      </x:c>
      <x:c r="D1364" s="23" t="n">
        <x:v>46007</x:v>
      </x:c>
      <x:c r="E1364" s="13" t="str">
        <x:v>VAL-030</x:v>
      </x:c>
      <x:c r="F1364" s="13" t="str">
        <x:v>Mundo Kids Cursos</x:v>
      </x:c>
      <x:c r="G1364" s="13" t="str">
        <x:v>Educação</x:v>
      </x:c>
      <x:c r="H1364" s="13" t="str">
        <x:v>Alto</x:v>
      </x:c>
      <x:c r="I1364" s="13" t="str">
        <x:v>Gestão</x:v>
      </x:c>
      <x:c r="J1364" s="17" t="n">
        <x:v>27830.3</x:v>
      </x:c>
      <x:c r="K1364" s="17" t="n">
        <x:v>360.63</x:v>
      </x:c>
      <x:c r="L1364" s="17" t="n">
        <x:v>0</x:v>
      </x:c>
      <x:c r="M1364" s="13" t="str">
        <x:v>Pago</x:v>
      </x:c>
      <x:c r="N1364" s="13" t="str">
        <x:v>Sem cobrança</x:v>
      </x:c>
      <x:c r="O1364" s="13" t="str">
        <x:v>Operação Clareza</x:v>
      </x:c>
      <x:c r="P1364" s="17" t="n">
        <x:f>IF(D1364="",0,J1364-K1364+L1364)</x:f>
        <x:v>27469.67</x:v>
      </x:c>
      <x:c r="Q1364" s="17" t="n">
        <x:f>MAX(J1364-P1364-K1364,0)</x:f>
        <x:v>1.0231815394945443e-12</x:v>
      </x:c>
      <x:c r="R1364" s="13" t="n">
        <x:f>IF(D1364="",MAX(TODAY()-C1364,0),MAX(D1364-C1364,0))</x:f>
        <x:v>0</x:v>
      </x:c>
      <x:c r="S1364" s="13" t="str">
        <x:f>IF(R1364=0,"Em dia",IF(R1364&lt;=15,"1-15 dias",IF(R1364&lt;=30,"16-30 dias",IF(R1364&lt;=60,"31-60 dias","Acima de 60 dias"))))</x:f>
        <x:v>Em dia</x:v>
      </x:c>
    </x:row>
    <x:row r="1365">
      <x:c r="A1365" s="13" t="str">
        <x:v>REC-001364</x:v>
      </x:c>
      <x:c r="B1365" s="23" t="n">
        <x:v>45971</x:v>
      </x:c>
      <x:c r="C1365" s="23" t="n">
        <x:v>45986</x:v>
      </x:c>
      <x:c r="D1365" s="23" t="n">
        <x:v>45983</x:v>
      </x:c>
      <x:c r="E1365" s="13" t="str">
        <x:v>VAL-009</x:v>
      </x:c>
      <x:c r="F1365" s="13" t="str">
        <x:v>Odonto Prime</x:v>
      </x:c>
      <x:c r="G1365" s="13" t="str">
        <x:v>Clínicas e Saúde</x:v>
      </x:c>
      <x:c r="H1365" s="13" t="str">
        <x:v>Médio</x:v>
      </x:c>
      <x:c r="I1365" s="13" t="str">
        <x:v>Essencial</x:v>
      </x:c>
      <x:c r="J1365" s="17" t="n">
        <x:v>3914.4</x:v>
      </x:c>
      <x:c r="K1365" s="17" t="n">
        <x:v>0</x:v>
      </x:c>
      <x:c r="L1365" s="17" t="n">
        <x:v>0</x:v>
      </x:c>
      <x:c r="M1365" s="13" t="str">
        <x:v>Pago</x:v>
      </x:c>
      <x:c r="N1365" s="13" t="str">
        <x:v>Sem cobrança</x:v>
      </x:c>
      <x:c r="O1365" s="13" t="str">
        <x:v>Operação Clareza</x:v>
      </x:c>
      <x:c r="P1365" s="17" t="n">
        <x:f>IF(D1365="",0,J1365-K1365+L1365)</x:f>
        <x:v>3914.4</x:v>
      </x:c>
      <x:c r="Q1365" s="17" t="n">
        <x:f>MAX(J1365-P1365-K1365,0)</x:f>
        <x:v>0</x:v>
      </x:c>
      <x:c r="R1365" s="13" t="n">
        <x:f>IF(D1365="",MAX(TODAY()-C1365,0),MAX(D1365-C1365,0))</x:f>
        <x:v>0</x:v>
      </x:c>
      <x:c r="S1365" s="13" t="str">
        <x:f>IF(R1365=0,"Em dia",IF(R1365&lt;=15,"1-15 dias",IF(R1365&lt;=30,"16-30 dias",IF(R1365&lt;=60,"31-60 dias","Acima de 60 dias"))))</x:f>
        <x:v>Em dia</x:v>
      </x:c>
    </x:row>
    <x:row r="1366">
      <x:c r="A1366" s="13" t="str">
        <x:v>REC-001365</x:v>
      </x:c>
      <x:c r="B1366" s="23" t="n">
        <x:v>45975</x:v>
      </x:c>
      <x:c r="C1366" s="23" t="n">
        <x:v>45996</x:v>
      </x:c>
      <x:c r="D1366" s="23" t="n">
        <x:v>45995</x:v>
      </x:c>
      <x:c r="E1366" s="13" t="str">
        <x:v>VAL-017</x:v>
      </x:c>
      <x:c r="F1366" s="13" t="str">
        <x:v>Centro Médico Vida</x:v>
      </x:c>
      <x:c r="G1366" s="13" t="str">
        <x:v>Clínicas e Saúde</x:v>
      </x:c>
      <x:c r="H1366" s="13" t="str">
        <x:v>Baixo</x:v>
      </x:c>
      <x:c r="I1366" s="13" t="str">
        <x:v>Essencial</x:v>
      </x:c>
      <x:c r="J1366" s="17" t="n">
        <x:v>2228.64</x:v>
      </x:c>
      <x:c r="K1366" s="17" t="n">
        <x:v>0</x:v>
      </x:c>
      <x:c r="L1366" s="17" t="n">
        <x:v>0</x:v>
      </x:c>
      <x:c r="M1366" s="13" t="str">
        <x:v>Pago</x:v>
      </x:c>
      <x:c r="N1366" s="13" t="str">
        <x:v>Sem cobrança</x:v>
      </x:c>
      <x:c r="O1366" s="13" t="str">
        <x:v>Operação Clareza</x:v>
      </x:c>
      <x:c r="P1366" s="17" t="n">
        <x:f>IF(D1366="",0,J1366-K1366+L1366)</x:f>
        <x:v>2228.64</x:v>
      </x:c>
      <x:c r="Q1366" s="17" t="n">
        <x:f>MAX(J1366-P1366-K1366,0)</x:f>
        <x:v>0</x:v>
      </x:c>
      <x:c r="R1366" s="13" t="n">
        <x:f>IF(D1366="",MAX(TODAY()-C1366,0),MAX(D1366-C1366,0))</x:f>
        <x:v>0</x:v>
      </x:c>
      <x:c r="S1366" s="13" t="str">
        <x:f>IF(R1366=0,"Em dia",IF(R1366&lt;=15,"1-15 dias",IF(R1366&lt;=30,"16-30 dias",IF(R1366&lt;=60,"31-60 dias","Acima de 60 dias"))))</x:f>
        <x:v>Em dia</x:v>
      </x:c>
    </x:row>
    <x:row r="1367">
      <x:c r="A1367" s="13" t="str">
        <x:v>REC-001366</x:v>
      </x:c>
      <x:c r="B1367" s="23" t="n">
        <x:v>45962</x:v>
      </x:c>
      <x:c r="C1367" s="23" t="n">
        <x:v>45990</x:v>
      </x:c>
      <x:c r="D1367" s="23" t="n">
        <x:v>45989</x:v>
      </x:c>
      <x:c r="E1367" s="13" t="str">
        <x:v>VAL-023</x:v>
      </x:c>
      <x:c r="F1367" s="13" t="str">
        <x:v>ShopMix Brasil</x:v>
      </x:c>
      <x:c r="G1367" s="13" t="str">
        <x:v>E-commerce</x:v>
      </x:c>
      <x:c r="H1367" s="13" t="str">
        <x:v>Baixo</x:v>
      </x:c>
      <x:c r="I1367" s="13" t="str">
        <x:v>Performance</x:v>
      </x:c>
      <x:c r="J1367" s="17" t="n">
        <x:v>20863.13</x:v>
      </x:c>
      <x:c r="K1367" s="17" t="n">
        <x:v>0</x:v>
      </x:c>
      <x:c r="L1367" s="17" t="n">
        <x:v>0</x:v>
      </x:c>
      <x:c r="M1367" s="13" t="str">
        <x:v>Pago</x:v>
      </x:c>
      <x:c r="N1367" s="13" t="str">
        <x:v>Sem cobrança</x:v>
      </x:c>
      <x:c r="O1367" s="13" t="str">
        <x:v>Operação Clareza</x:v>
      </x:c>
      <x:c r="P1367" s="17" t="n">
        <x:f>IF(D1367="",0,J1367-K1367+L1367)</x:f>
        <x:v>20863.13</x:v>
      </x:c>
      <x:c r="Q1367" s="17" t="n">
        <x:f>MAX(J1367-P1367-K1367,0)</x:f>
        <x:v>0</x:v>
      </x:c>
      <x:c r="R1367" s="13" t="n">
        <x:f>IF(D1367="",MAX(TODAY()-C1367,0),MAX(D1367-C1367,0))</x:f>
        <x:v>0</x:v>
      </x:c>
      <x:c r="S1367" s="13" t="str">
        <x:f>IF(R1367=0,"Em dia",IF(R1367&lt;=15,"1-15 dias",IF(R1367&lt;=30,"16-30 dias",IF(R1367&lt;=60,"31-60 dias","Acima de 60 dias"))))</x:f>
        <x:v>Em dia</x:v>
      </x:c>
    </x:row>
    <x:row r="1368">
      <x:c r="A1368" s="13" t="str">
        <x:v>REC-001367</x:v>
      </x:c>
      <x:c r="B1368" s="23" t="n">
        <x:v>45964</x:v>
      </x:c>
      <x:c r="C1368" s="23" t="n">
        <x:v>45979</x:v>
      </x:c>
      <x:c r="D1368" s="23" t="n">
        <x:v>45977</x:v>
      </x:c>
      <x:c r="E1368" s="13" t="str">
        <x:v>VAL-013</x:v>
      </x:c>
      <x:c r="F1368" s="13" t="str">
        <x:v>Engenharia Vértice</x:v>
      </x:c>
      <x:c r="G1368" s="13" t="str">
        <x:v>Construção</x:v>
      </x:c>
      <x:c r="H1368" s="13" t="str">
        <x:v>Baixo</x:v>
      </x:c>
      <x:c r="I1368" s="13" t="str">
        <x:v>Essencial</x:v>
      </x:c>
      <x:c r="J1368" s="17" t="n">
        <x:v>3388.13</x:v>
      </x:c>
      <x:c r="K1368" s="17" t="n">
        <x:v>0</x:v>
      </x:c>
      <x:c r="L1368" s="17" t="n">
        <x:v>0</x:v>
      </x:c>
      <x:c r="M1368" s="13" t="str">
        <x:v>Pago</x:v>
      </x:c>
      <x:c r="N1368" s="13" t="str">
        <x:v>Sem cobrança</x:v>
      </x:c>
      <x:c r="O1368" s="13" t="str">
        <x:v>Operação Clareza</x:v>
      </x:c>
      <x:c r="P1368" s="17" t="n">
        <x:f>IF(D1368="",0,J1368-K1368+L1368)</x:f>
        <x:v>3388.13</x:v>
      </x:c>
      <x:c r="Q1368" s="17" t="n">
        <x:f>MAX(J1368-P1368-K1368,0)</x:f>
        <x:v>0</x:v>
      </x:c>
      <x:c r="R1368" s="13" t="n">
        <x:f>IF(D1368="",MAX(TODAY()-C1368,0),MAX(D1368-C1368,0))</x:f>
        <x:v>0</x:v>
      </x:c>
      <x:c r="S1368" s="13" t="str">
        <x:f>IF(R1368=0,"Em dia",IF(R1368&lt;=15,"1-15 dias",IF(R1368&lt;=30,"16-30 dias",IF(R1368&lt;=60,"31-60 dias","Acima de 60 dias"))))</x:f>
        <x:v>Em dia</x:v>
      </x:c>
    </x:row>
    <x:row r="1369">
      <x:c r="A1369" s="13" t="str">
        <x:v>REC-001368</x:v>
      </x:c>
      <x:c r="B1369" s="23" t="n">
        <x:v>45966</x:v>
      </x:c>
      <x:c r="C1369" s="23" t="n">
        <x:v>45994</x:v>
      </x:c>
      <x:c r="D1369" s="23" t="n">
        <x:v>45993</x:v>
      </x:c>
      <x:c r="E1369" s="13" t="str">
        <x:v>VAL-011</x:v>
      </x:c>
      <x:c r="F1369" s="13" t="str">
        <x:v>Rede Essencial</x:v>
      </x:c>
      <x:c r="G1369" s="13" t="str">
        <x:v>Varejo</x:v>
      </x:c>
      <x:c r="H1369" s="13" t="str">
        <x:v>Médio</x:v>
      </x:c>
      <x:c r="I1369" s="13" t="str">
        <x:v>Performance</x:v>
      </x:c>
      <x:c r="J1369" s="17" t="n">
        <x:v>14610.84</x:v>
      </x:c>
      <x:c r="K1369" s="17" t="n">
        <x:v>0</x:v>
      </x:c>
      <x:c r="L1369" s="17" t="n">
        <x:v>0</x:v>
      </x:c>
      <x:c r="M1369" s="13" t="str">
        <x:v>Pago</x:v>
      </x:c>
      <x:c r="N1369" s="13" t="str">
        <x:v>Sem cobrança</x:v>
      </x:c>
      <x:c r="O1369" s="13" t="str">
        <x:v>Operação Clareza</x:v>
      </x:c>
      <x:c r="P1369" s="17" t="n">
        <x:f>IF(D1369="",0,J1369-K1369+L1369)</x:f>
        <x:v>14610.84</x:v>
      </x:c>
      <x:c r="Q1369" s="17" t="n">
        <x:f>MAX(J1369-P1369-K1369,0)</x:f>
        <x:v>0</x:v>
      </x:c>
      <x:c r="R1369" s="13" t="n">
        <x:f>IF(D1369="",MAX(TODAY()-C1369,0),MAX(D1369-C1369,0))</x:f>
        <x:v>0</x:v>
      </x:c>
      <x:c r="S1369" s="13" t="str">
        <x:f>IF(R1369=0,"Em dia",IF(R1369&lt;=15,"1-15 dias",IF(R1369&lt;=30,"16-30 dias",IF(R1369&lt;=60,"31-60 dias","Acima de 60 dias"))))</x:f>
        <x:v>Em dia</x:v>
      </x:c>
    </x:row>
    <x:row r="1370">
      <x:c r="A1370" s="13" t="str">
        <x:v>REC-001369</x:v>
      </x:c>
      <x:c r="B1370" s="23" t="n">
        <x:v>45975</x:v>
      </x:c>
      <x:c r="C1370" s="23" t="n">
        <x:v>46005</x:v>
      </x:c>
      <x:c r="D1370" s="23" t="n">
        <x:v>46004</x:v>
      </x:c>
      <x:c r="E1370" s="13" t="str">
        <x:v>VAL-022</x:v>
      </x:c>
      <x:c r="F1370" s="13" t="str">
        <x:v>Academia Evoluir</x:v>
      </x:c>
      <x:c r="G1370" s="13" t="str">
        <x:v>Educação</x:v>
      </x:c>
      <x:c r="H1370" s="13" t="str">
        <x:v>Alto</x:v>
      </x:c>
      <x:c r="I1370" s="13" t="str">
        <x:v>Gestão</x:v>
      </x:c>
      <x:c r="J1370" s="17" t="n">
        <x:v>6999.71</x:v>
      </x:c>
      <x:c r="K1370" s="17" t="n">
        <x:v>0</x:v>
      </x:c>
      <x:c r="L1370" s="17" t="n">
        <x:v>0</x:v>
      </x:c>
      <x:c r="M1370" s="13" t="str">
        <x:v>Pago</x:v>
      </x:c>
      <x:c r="N1370" s="13" t="str">
        <x:v>Sem cobrança</x:v>
      </x:c>
      <x:c r="O1370" s="13" t="str">
        <x:v>Operação Clareza</x:v>
      </x:c>
      <x:c r="P1370" s="17" t="n">
        <x:f>IF(D1370="",0,J1370-K1370+L1370)</x:f>
        <x:v>6999.71</x:v>
      </x:c>
      <x:c r="Q1370" s="17" t="n">
        <x:f>MAX(J1370-P1370-K1370,0)</x:f>
        <x:v>0</x:v>
      </x:c>
      <x:c r="R1370" s="13" t="n">
        <x:f>IF(D1370="",MAX(TODAY()-C1370,0),MAX(D1370-C1370,0))</x:f>
        <x:v>0</x:v>
      </x:c>
      <x:c r="S1370" s="13" t="str">
        <x:f>IF(R1370=0,"Em dia",IF(R1370&lt;=15,"1-15 dias",IF(R1370&lt;=30,"16-30 dias",IF(R1370&lt;=60,"31-60 dias","Acima de 60 dias"))))</x:f>
        <x:v>Em dia</x:v>
      </x:c>
    </x:row>
    <x:row r="1371">
      <x:c r="A1371" s="13" t="str">
        <x:v>REC-001370</x:v>
      </x:c>
      <x:c r="B1371" s="23" t="n">
        <x:v>45969</x:v>
      </x:c>
      <x:c r="C1371" s="23" t="n">
        <x:v>45999</x:v>
      </x:c>
      <x:c r="D1371" s="23" t="n">
        <x:v>45995</x:v>
      </x:c>
      <x:c r="E1371" s="13" t="str">
        <x:v>VAL-016</x:v>
      </x:c>
      <x:c r="F1371" s="13" t="str">
        <x:v>Lumina Embalagens</x:v>
      </x:c>
      <x:c r="G1371" s="13" t="str">
        <x:v>Indústria Leve</x:v>
      </x:c>
      <x:c r="H1371" s="13" t="str">
        <x:v>Baixo</x:v>
      </x:c>
      <x:c r="I1371" s="13" t="str">
        <x:v>Enterprise</x:v>
      </x:c>
      <x:c r="J1371" s="17" t="n">
        <x:v>32401.41</x:v>
      </x:c>
      <x:c r="K1371" s="17" t="n">
        <x:v>0</x:v>
      </x:c>
      <x:c r="L1371" s="17" t="n">
        <x:v>0</x:v>
      </x:c>
      <x:c r="M1371" s="13" t="str">
        <x:v>Pago</x:v>
      </x:c>
      <x:c r="N1371" s="13" t="str">
        <x:v>Sem cobrança</x:v>
      </x:c>
      <x:c r="O1371" s="13" t="str">
        <x:v>Operação Clareza</x:v>
      </x:c>
      <x:c r="P1371" s="17" t="n">
        <x:f>IF(D1371="",0,J1371-K1371+L1371)</x:f>
        <x:v>32401.41</x:v>
      </x:c>
      <x:c r="Q1371" s="17" t="n">
        <x:f>MAX(J1371-P1371-K1371,0)</x:f>
        <x:v>0</x:v>
      </x:c>
      <x:c r="R1371" s="13" t="n">
        <x:f>IF(D1371="",MAX(TODAY()-C1371,0),MAX(D1371-C1371,0))</x:f>
        <x:v>0</x:v>
      </x:c>
      <x:c r="S1371" s="13" t="str">
        <x:f>IF(R1371=0,"Em dia",IF(R1371&lt;=15,"1-15 dias",IF(R1371&lt;=30,"16-30 dias",IF(R1371&lt;=60,"31-60 dias","Acima de 60 dias"))))</x:f>
        <x:v>Em dia</x:v>
      </x:c>
    </x:row>
    <x:row r="1372">
      <x:c r="A1372" s="13" t="str">
        <x:v>REC-001371</x:v>
      </x:c>
      <x:c r="B1372" s="23" t="n">
        <x:v>45968</x:v>
      </x:c>
      <x:c r="C1372" s="23" t="n">
        <x:v>45996</x:v>
      </x:c>
      <x:c r="D1372" s="23" t="n">
        <x:v>46004</x:v>
      </x:c>
      <x:c r="E1372" s="13" t="str">
        <x:v>VAL-024</x:v>
      </x:c>
      <x:c r="F1372" s="13" t="str">
        <x:v>NovaForma Móveis</x:v>
      </x:c>
      <x:c r="G1372" s="13" t="str">
        <x:v>Indústria Leve</x:v>
      </x:c>
      <x:c r="H1372" s="13" t="str">
        <x:v>Baixo</x:v>
      </x:c>
      <x:c r="I1372" s="13" t="str">
        <x:v>Enterprise</x:v>
      </x:c>
      <x:c r="J1372" s="17" t="n">
        <x:v>13888.6</x:v>
      </x:c>
      <x:c r="K1372" s="17" t="n">
        <x:v>0</x:v>
      </x:c>
      <x:c r="L1372" s="17" t="n">
        <x:v>72.22</x:v>
      </x:c>
      <x:c r="M1372" s="13" t="str">
        <x:v>Pago com atraso</x:v>
      </x:c>
      <x:c r="N1372" s="13" t="str">
        <x:v>Régua automática</x:v>
      </x:c>
      <x:c r="O1372" s="13" t="str">
        <x:v>Operação Clareza</x:v>
      </x:c>
      <x:c r="P1372" s="17" t="n">
        <x:f>IF(D1372="",0,J1372-K1372+L1372)</x:f>
        <x:v>13960.82</x:v>
      </x:c>
      <x:c r="Q1372" s="17" t="n">
        <x:f>MAX(J1372-P1372-K1372,0)</x:f>
        <x:v>0</x:v>
      </x:c>
      <x:c r="R1372" s="13" t="n">
        <x:f>IF(D1372="",MAX(TODAY()-C1372,0),MAX(D1372-C1372,0))</x:f>
        <x:v>8</x:v>
      </x:c>
      <x:c r="S1372" s="13" t="str">
        <x:f>IF(R1372=0,"Em dia",IF(R1372&lt;=15,"1-15 dias",IF(R1372&lt;=30,"16-30 dias",IF(R1372&lt;=60,"31-60 dias","Acima de 60 dias"))))</x:f>
        <x:v>1-15 dias</x:v>
      </x:c>
    </x:row>
    <x:row r="1373">
      <x:c r="A1373" s="13" t="str">
        <x:v>REC-001372</x:v>
      </x:c>
      <x:c r="B1373" s="23" t="n">
        <x:v>45967</x:v>
      </x:c>
      <x:c r="C1373" s="23" t="n">
        <x:v>45997</x:v>
      </x:c>
      <x:c r="D1373" s="23" t="n">
        <x:v>45994</x:v>
      </x:c>
      <x:c r="E1373" s="13" t="str">
        <x:v>VAL-017</x:v>
      </x:c>
      <x:c r="F1373" s="13" t="str">
        <x:v>Centro Médico Vida</x:v>
      </x:c>
      <x:c r="G1373" s="13" t="str">
        <x:v>Clínicas e Saúde</x:v>
      </x:c>
      <x:c r="H1373" s="13" t="str">
        <x:v>Baixo</x:v>
      </x:c>
      <x:c r="I1373" s="13" t="str">
        <x:v>Essencial</x:v>
      </x:c>
      <x:c r="J1373" s="17" t="n">
        <x:v>6869.81</x:v>
      </x:c>
      <x:c r="K1373" s="17" t="n">
        <x:v>0</x:v>
      </x:c>
      <x:c r="L1373" s="17" t="n">
        <x:v>0</x:v>
      </x:c>
      <x:c r="M1373" s="13" t="str">
        <x:v>Pago</x:v>
      </x:c>
      <x:c r="N1373" s="13" t="str">
        <x:v>Sem cobrança</x:v>
      </x:c>
      <x:c r="O1373" s="13" t="str">
        <x:v>Operação Clareza</x:v>
      </x:c>
      <x:c r="P1373" s="17" t="n">
        <x:f>IF(D1373="",0,J1373-K1373+L1373)</x:f>
        <x:v>6869.81</x:v>
      </x:c>
      <x:c r="Q1373" s="17" t="n">
        <x:f>MAX(J1373-P1373-K1373,0)</x:f>
        <x:v>0</x:v>
      </x:c>
      <x:c r="R1373" s="13" t="n">
        <x:f>IF(D1373="",MAX(TODAY()-C1373,0),MAX(D1373-C1373,0))</x:f>
        <x:v>0</x:v>
      </x:c>
      <x:c r="S1373" s="13" t="str">
        <x:f>IF(R1373=0,"Em dia",IF(R1373&lt;=15,"1-15 dias",IF(R1373&lt;=30,"16-30 dias",IF(R1373&lt;=60,"31-60 dias","Acima de 60 dias"))))</x:f>
        <x:v>Em dia</x:v>
      </x:c>
    </x:row>
    <x:row r="1374">
      <x:c r="A1374" s="13" t="str">
        <x:v>REC-001373</x:v>
      </x:c>
      <x:c r="B1374" s="23" t="n">
        <x:v>45980</x:v>
      </x:c>
      <x:c r="C1374" s="23" t="n">
        <x:v>45987</x:v>
      </x:c>
      <x:c r="D1374" s="23" t="n">
        <x:v>45984</x:v>
      </x:c>
      <x:c r="E1374" s="13" t="str">
        <x:v>VAL-012</x:v>
      </x:c>
      <x:c r="F1374" s="13" t="str">
        <x:v>DataFlow Sistemas</x:v>
      </x:c>
      <x:c r="G1374" s="13" t="str">
        <x:v>Tecnologia</x:v>
      </x:c>
      <x:c r="H1374" s="13" t="str">
        <x:v>Médio</x:v>
      </x:c>
      <x:c r="I1374" s="13" t="str">
        <x:v>Enterprise</x:v>
      </x:c>
      <x:c r="J1374" s="17" t="n">
        <x:v>11292.42</x:v>
      </x:c>
      <x:c r="K1374" s="17" t="n">
        <x:v>0</x:v>
      </x:c>
      <x:c r="L1374" s="17" t="n">
        <x:v>0</x:v>
      </x:c>
      <x:c r="M1374" s="13" t="str">
        <x:v>Pago</x:v>
      </x:c>
      <x:c r="N1374" s="13" t="str">
        <x:v>Sem cobrança</x:v>
      </x:c>
      <x:c r="O1374" s="13" t="str">
        <x:v>Operação Clareza</x:v>
      </x:c>
      <x:c r="P1374" s="17" t="n">
        <x:f>IF(D1374="",0,J1374-K1374+L1374)</x:f>
        <x:v>11292.42</x:v>
      </x:c>
      <x:c r="Q1374" s="17" t="n">
        <x:f>MAX(J1374-P1374-K1374,0)</x:f>
        <x:v>0</x:v>
      </x:c>
      <x:c r="R1374" s="13" t="n">
        <x:f>IF(D1374="",MAX(TODAY()-C1374,0),MAX(D1374-C1374,0))</x:f>
        <x:v>0</x:v>
      </x:c>
      <x:c r="S1374" s="13" t="str">
        <x:f>IF(R1374=0,"Em dia",IF(R1374&lt;=15,"1-15 dias",IF(R1374&lt;=30,"16-30 dias",IF(R1374&lt;=60,"31-60 dias","Acima de 60 dias"))))</x:f>
        <x:v>Em dia</x:v>
      </x:c>
    </x:row>
    <x:row r="1375">
      <x:c r="A1375" s="13" t="str">
        <x:v>REC-001374</x:v>
      </x:c>
      <x:c r="B1375" s="23" t="n">
        <x:v>45975</x:v>
      </x:c>
      <x:c r="C1375" s="23" t="n">
        <x:v>45996</x:v>
      </x:c>
      <x:c r="D1375" s="23" t="n">
        <x:v>45995</x:v>
      </x:c>
      <x:c r="E1375" s="13" t="str">
        <x:v>VAL-010</x:v>
      </x:c>
      <x:c r="F1375" s="13" t="str">
        <x:v>Atlas Contabilidade</x:v>
      </x:c>
      <x:c r="G1375" s="13" t="str">
        <x:v>Serviços Profissionais</x:v>
      </x:c>
      <x:c r="H1375" s="13" t="str">
        <x:v>Baixo</x:v>
      </x:c>
      <x:c r="I1375" s="13" t="str">
        <x:v>Gestão</x:v>
      </x:c>
      <x:c r="J1375" s="17" t="n">
        <x:v>18870.14</x:v>
      </x:c>
      <x:c r="K1375" s="17" t="n">
        <x:v>0</x:v>
      </x:c>
      <x:c r="L1375" s="17" t="n">
        <x:v>0</x:v>
      </x:c>
      <x:c r="M1375" s="13" t="str">
        <x:v>Pago</x:v>
      </x:c>
      <x:c r="N1375" s="13" t="str">
        <x:v>Sem cobrança</x:v>
      </x:c>
      <x:c r="O1375" s="13" t="str">
        <x:v>Operação Clareza</x:v>
      </x:c>
      <x:c r="P1375" s="17" t="n">
        <x:f>IF(D1375="",0,J1375-K1375+L1375)</x:f>
        <x:v>18870.14</x:v>
      </x:c>
      <x:c r="Q1375" s="17" t="n">
        <x:f>MAX(J1375-P1375-K1375,0)</x:f>
        <x:v>0</x:v>
      </x:c>
      <x:c r="R1375" s="13" t="n">
        <x:f>IF(D1375="",MAX(TODAY()-C1375,0),MAX(D1375-C1375,0))</x:f>
        <x:v>0</x:v>
      </x:c>
      <x:c r="S1375" s="13" t="str">
        <x:f>IF(R1375=0,"Em dia",IF(R1375&lt;=15,"1-15 dias",IF(R1375&lt;=30,"16-30 dias",IF(R1375&lt;=60,"31-60 dias","Acima de 60 dias"))))</x:f>
        <x:v>Em dia</x:v>
      </x:c>
    </x:row>
    <x:row r="1376">
      <x:c r="A1376" s="13" t="str">
        <x:v>REC-001375</x:v>
      </x:c>
      <x:c r="B1376" s="23" t="n">
        <x:v>45981</x:v>
      </x:c>
      <x:c r="C1376" s="23" t="n">
        <x:v>46009</x:v>
      </x:c>
      <x:c r="D1376" s="23" t="n">
        <x:v>46007</x:v>
      </x:c>
      <x:c r="E1376" s="13" t="str">
        <x:v>VAL-005</x:v>
      </x:c>
      <x:c r="F1376" s="13" t="str">
        <x:v>Construtora Alameda</x:v>
      </x:c>
      <x:c r="G1376" s="13" t="str">
        <x:v>Construção</x:v>
      </x:c>
      <x:c r="H1376" s="13" t="str">
        <x:v>Médio</x:v>
      </x:c>
      <x:c r="I1376" s="13" t="str">
        <x:v>Essencial</x:v>
      </x:c>
      <x:c r="J1376" s="17" t="n">
        <x:v>22846.57</x:v>
      </x:c>
      <x:c r="K1376" s="17" t="n">
        <x:v>0</x:v>
      </x:c>
      <x:c r="L1376" s="17" t="n">
        <x:v>0</x:v>
      </x:c>
      <x:c r="M1376" s="13" t="str">
        <x:v>Pago</x:v>
      </x:c>
      <x:c r="N1376" s="13" t="str">
        <x:v>Sem cobrança</x:v>
      </x:c>
      <x:c r="O1376" s="13" t="str">
        <x:v>Operação Clareza</x:v>
      </x:c>
      <x:c r="P1376" s="17" t="n">
        <x:f>IF(D1376="",0,J1376-K1376+L1376)</x:f>
        <x:v>22846.57</x:v>
      </x:c>
      <x:c r="Q1376" s="17" t="n">
        <x:f>MAX(J1376-P1376-K1376,0)</x:f>
        <x:v>0</x:v>
      </x:c>
      <x:c r="R1376" s="13" t="n">
        <x:f>IF(D1376="",MAX(TODAY()-C1376,0),MAX(D1376-C1376,0))</x:f>
        <x:v>0</x:v>
      </x:c>
      <x:c r="S1376" s="13" t="str">
        <x:f>IF(R1376=0,"Em dia",IF(R1376&lt;=15,"1-15 dias",IF(R1376&lt;=30,"16-30 dias",IF(R1376&lt;=60,"31-60 dias","Acima de 60 dias"))))</x:f>
        <x:v>Em dia</x:v>
      </x:c>
    </x:row>
    <x:row r="1377">
      <x:c r="A1377" s="13" t="str">
        <x:v>REC-001376</x:v>
      </x:c>
      <x:c r="B1377" s="23" t="n">
        <x:v>45963</x:v>
      </x:c>
      <x:c r="C1377" s="23" t="n">
        <x:v>45984</x:v>
      </x:c>
      <x:c r="D1377" s="23" t="n">
        <x:v>45983</x:v>
      </x:c>
      <x:c r="E1377" s="13" t="str">
        <x:v>VAL-023</x:v>
      </x:c>
      <x:c r="F1377" s="13" t="str">
        <x:v>ShopMix Brasil</x:v>
      </x:c>
      <x:c r="G1377" s="13" t="str">
        <x:v>E-commerce</x:v>
      </x:c>
      <x:c r="H1377" s="13" t="str">
        <x:v>Baixo</x:v>
      </x:c>
      <x:c r="I1377" s="13" t="str">
        <x:v>Performance</x:v>
      </x:c>
      <x:c r="J1377" s="17" t="n">
        <x:v>20410.45</x:v>
      </x:c>
      <x:c r="K1377" s="17" t="n">
        <x:v>0</x:v>
      </x:c>
      <x:c r="L1377" s="17" t="n">
        <x:v>0</x:v>
      </x:c>
      <x:c r="M1377" s="13" t="str">
        <x:v>Pago</x:v>
      </x:c>
      <x:c r="N1377" s="13" t="str">
        <x:v>Sem cobrança</x:v>
      </x:c>
      <x:c r="O1377" s="13" t="str">
        <x:v>Operação Clareza</x:v>
      </x:c>
      <x:c r="P1377" s="17" t="n">
        <x:f>IF(D1377="",0,J1377-K1377+L1377)</x:f>
        <x:v>20410.45</x:v>
      </x:c>
      <x:c r="Q1377" s="17" t="n">
        <x:f>MAX(J1377-P1377-K1377,0)</x:f>
        <x:v>0</x:v>
      </x:c>
      <x:c r="R1377" s="13" t="n">
        <x:f>IF(D1377="",MAX(TODAY()-C1377,0),MAX(D1377-C1377,0))</x:f>
        <x:v>0</x:v>
      </x:c>
      <x:c r="S1377" s="13" t="str">
        <x:f>IF(R1377=0,"Em dia",IF(R1377&lt;=15,"1-15 dias",IF(R1377&lt;=30,"16-30 dias",IF(R1377&lt;=60,"31-60 dias","Acima de 60 dias"))))</x:f>
        <x:v>Em dia</x:v>
      </x:c>
    </x:row>
    <x:row r="1378">
      <x:c r="A1378" s="13" t="str">
        <x:v>REC-001377</x:v>
      </x:c>
      <x:c r="B1378" s="23" t="n">
        <x:v>45971</x:v>
      </x:c>
      <x:c r="C1378" s="23" t="n">
        <x:v>46001</x:v>
      </x:c>
      <x:c r="D1378" s="23" t="n">
        <x:v>46007</x:v>
      </x:c>
      <x:c r="E1378" s="13" t="str">
        <x:v>VAL-006</x:v>
      </x:c>
      <x:c r="F1378" s="13" t="str">
        <x:v>Instituto Saber Mais</x:v>
      </x:c>
      <x:c r="G1378" s="13" t="str">
        <x:v>Educação</x:v>
      </x:c>
      <x:c r="H1378" s="13" t="str">
        <x:v>Médio</x:v>
      </x:c>
      <x:c r="I1378" s="13" t="str">
        <x:v>Gestão</x:v>
      </x:c>
      <x:c r="J1378" s="17" t="n">
        <x:v>2568.38</x:v>
      </x:c>
      <x:c r="K1378" s="17" t="n">
        <x:v>0</x:v>
      </x:c>
      <x:c r="L1378" s="17" t="n">
        <x:v>10.02</x:v>
      </x:c>
      <x:c r="M1378" s="13" t="str">
        <x:v>Pago com atraso</x:v>
      </x:c>
      <x:c r="N1378" s="13" t="str">
        <x:v>E-mail</x:v>
      </x:c>
      <x:c r="O1378" s="13" t="str">
        <x:v>Operação Clareza</x:v>
      </x:c>
      <x:c r="P1378" s="17" t="n">
        <x:f>IF(D1378="",0,J1378-K1378+L1378)</x:f>
        <x:v>2578.4</x:v>
      </x:c>
      <x:c r="Q1378" s="17" t="n">
        <x:f>MAX(J1378-P1378-K1378,0)</x:f>
        <x:v>0</x:v>
      </x:c>
      <x:c r="R1378" s="13" t="n">
        <x:f>IF(D1378="",MAX(TODAY()-C1378,0),MAX(D1378-C1378,0))</x:f>
        <x:v>6</x:v>
      </x:c>
      <x:c r="S1378" s="13" t="str">
        <x:f>IF(R1378=0,"Em dia",IF(R1378&lt;=15,"1-15 dias",IF(R1378&lt;=30,"16-30 dias",IF(R1378&lt;=60,"31-60 dias","Acima de 60 dias"))))</x:f>
        <x:v>1-15 dias</x:v>
      </x:c>
    </x:row>
    <x:row r="1379">
      <x:c r="A1379" s="13" t="str">
        <x:v>REC-001378</x:v>
      </x:c>
      <x:c r="B1379" s="23" t="n">
        <x:v>45976</x:v>
      </x:c>
      <x:c r="C1379" s="23" t="n">
        <x:v>45997</x:v>
      </x:c>
      <x:c r="D1379" s="23" t="n">
        <x:v>45997</x:v>
      </x:c>
      <x:c r="E1379" s="13" t="str">
        <x:v>VAL-023</x:v>
      </x:c>
      <x:c r="F1379" s="13" t="str">
        <x:v>ShopMix Brasil</x:v>
      </x:c>
      <x:c r="G1379" s="13" t="str">
        <x:v>E-commerce</x:v>
      </x:c>
      <x:c r="H1379" s="13" t="str">
        <x:v>Baixo</x:v>
      </x:c>
      <x:c r="I1379" s="13" t="str">
        <x:v>Performance</x:v>
      </x:c>
      <x:c r="J1379" s="17" t="n">
        <x:v>24994.39</x:v>
      </x:c>
      <x:c r="K1379" s="17" t="n">
        <x:v>0</x:v>
      </x:c>
      <x:c r="L1379" s="17" t="n">
        <x:v>0</x:v>
      </x:c>
      <x:c r="M1379" s="13" t="str">
        <x:v>Pago</x:v>
      </x:c>
      <x:c r="N1379" s="13" t="str">
        <x:v>Sem cobrança</x:v>
      </x:c>
      <x:c r="O1379" s="13" t="str">
        <x:v>Operação Clareza</x:v>
      </x:c>
      <x:c r="P1379" s="17" t="n">
        <x:f>IF(D1379="",0,J1379-K1379+L1379)</x:f>
        <x:v>24994.39</x:v>
      </x:c>
      <x:c r="Q1379" s="17" t="n">
        <x:f>MAX(J1379-P1379-K1379,0)</x:f>
        <x:v>0</x:v>
      </x:c>
      <x:c r="R1379" s="13" t="n">
        <x:f>IF(D1379="",MAX(TODAY()-C1379,0),MAX(D1379-C1379,0))</x:f>
        <x:v>0</x:v>
      </x:c>
      <x:c r="S1379" s="13" t="str">
        <x:f>IF(R1379=0,"Em dia",IF(R1379&lt;=15,"1-15 dias",IF(R1379&lt;=30,"16-30 dias",IF(R1379&lt;=60,"31-60 dias","Acima de 60 dias"))))</x:f>
        <x:v>Em dia</x:v>
      </x:c>
    </x:row>
    <x:row r="1380">
      <x:c r="A1380" s="13" t="str">
        <x:v>REC-001379</x:v>
      </x:c>
      <x:c r="B1380" s="23" t="n">
        <x:v>45972</x:v>
      </x:c>
      <x:c r="C1380" s="23" t="n">
        <x:v>45979</x:v>
      </x:c>
      <x:c r="D1380" s="23" t="n">
        <x:v>45976</x:v>
      </x:c>
      <x:c r="E1380" s="13" t="str">
        <x:v>VAL-009</x:v>
      </x:c>
      <x:c r="F1380" s="13" t="str">
        <x:v>Odonto Prime</x:v>
      </x:c>
      <x:c r="G1380" s="13" t="str">
        <x:v>Clínicas e Saúde</x:v>
      </x:c>
      <x:c r="H1380" s="13" t="str">
        <x:v>Médio</x:v>
      </x:c>
      <x:c r="I1380" s="13" t="str">
        <x:v>Essencial</x:v>
      </x:c>
      <x:c r="J1380" s="17" t="n">
        <x:v>7174.62</x:v>
      </x:c>
      <x:c r="K1380" s="17" t="n">
        <x:v>0</x:v>
      </x:c>
      <x:c r="L1380" s="17" t="n">
        <x:v>0</x:v>
      </x:c>
      <x:c r="M1380" s="13" t="str">
        <x:v>Pago</x:v>
      </x:c>
      <x:c r="N1380" s="13" t="str">
        <x:v>Sem cobrança</x:v>
      </x:c>
      <x:c r="O1380" s="13" t="str">
        <x:v>Operação Clareza</x:v>
      </x:c>
      <x:c r="P1380" s="17" t="n">
        <x:f>IF(D1380="",0,J1380-K1380+L1380)</x:f>
        <x:v>7174.62</x:v>
      </x:c>
      <x:c r="Q1380" s="17" t="n">
        <x:f>MAX(J1380-P1380-K1380,0)</x:f>
        <x:v>0</x:v>
      </x:c>
      <x:c r="R1380" s="13" t="n">
        <x:f>IF(D1380="",MAX(TODAY()-C1380,0),MAX(D1380-C1380,0))</x:f>
        <x:v>0</x:v>
      </x:c>
      <x:c r="S1380" s="13" t="str">
        <x:f>IF(R1380=0,"Em dia",IF(R1380&lt;=15,"1-15 dias",IF(R1380&lt;=30,"16-30 dias",IF(R1380&lt;=60,"31-60 dias","Acima de 60 dias"))))</x:f>
        <x:v>Em dia</x:v>
      </x:c>
    </x:row>
    <x:row r="1381">
      <x:c r="A1381" s="13" t="str">
        <x:v>REC-001380</x:v>
      </x:c>
      <x:c r="B1381" s="23" t="n">
        <x:v>45965</x:v>
      </x:c>
      <x:c r="C1381" s="23" t="n">
        <x:v>45980</x:v>
      </x:c>
      <x:c r="D1381" s="23" t="n">
        <x:v>45979</x:v>
      </x:c>
      <x:c r="E1381" s="13" t="str">
        <x:v>VAL-023</x:v>
      </x:c>
      <x:c r="F1381" s="13" t="str">
        <x:v>ShopMix Brasil</x:v>
      </x:c>
      <x:c r="G1381" s="13" t="str">
        <x:v>E-commerce</x:v>
      </x:c>
      <x:c r="H1381" s="13" t="str">
        <x:v>Baixo</x:v>
      </x:c>
      <x:c r="I1381" s="13" t="str">
        <x:v>Performance</x:v>
      </x:c>
      <x:c r="J1381" s="17" t="n">
        <x:v>16007.7</x:v>
      </x:c>
      <x:c r="K1381" s="17" t="n">
        <x:v>0</x:v>
      </x:c>
      <x:c r="L1381" s="17" t="n">
        <x:v>0</x:v>
      </x:c>
      <x:c r="M1381" s="13" t="str">
        <x:v>Pago</x:v>
      </x:c>
      <x:c r="N1381" s="13" t="str">
        <x:v>Sem cobrança</x:v>
      </x:c>
      <x:c r="O1381" s="13" t="str">
        <x:v>Operação Clareza</x:v>
      </x:c>
      <x:c r="P1381" s="17" t="n">
        <x:f>IF(D1381="",0,J1381-K1381+L1381)</x:f>
        <x:v>16007.7</x:v>
      </x:c>
      <x:c r="Q1381" s="17" t="n">
        <x:f>MAX(J1381-P1381-K1381,0)</x:f>
        <x:v>0</x:v>
      </x:c>
      <x:c r="R1381" s="13" t="n">
        <x:f>IF(D1381="",MAX(TODAY()-C1381,0),MAX(D1381-C1381,0))</x:f>
        <x:v>0</x:v>
      </x:c>
      <x:c r="S1381" s="13" t="str">
        <x:f>IF(R1381=0,"Em dia",IF(R1381&lt;=15,"1-15 dias",IF(R1381&lt;=30,"16-30 dias",IF(R1381&lt;=60,"31-60 dias","Acima de 60 dias"))))</x:f>
        <x:v>Em dia</x:v>
      </x:c>
    </x:row>
    <x:row r="1382">
      <x:c r="A1382" s="13" t="str">
        <x:v>REC-001381</x:v>
      </x:c>
      <x:c r="B1382" s="23" t="n">
        <x:v>45996</x:v>
      </x:c>
      <x:c r="C1382" s="23" t="n">
        <x:v>46024</x:v>
      </x:c>
      <x:c r="D1382" s="23" t="n">
        <x:v>46020</x:v>
      </x:c>
      <x:c r="E1382" s="13" t="str">
        <x:v>VAL-002</x:v>
      </x:c>
      <x:c r="F1382" s="13" t="str">
        <x:v>Mendes &amp; Prado Consultoria</x:v>
      </x:c>
      <x:c r="G1382" s="13" t="str">
        <x:v>Serviços Profissionais</x:v>
      </x:c>
      <x:c r="H1382" s="13" t="str">
        <x:v>Baixo</x:v>
      </x:c>
      <x:c r="I1382" s="13" t="str">
        <x:v>Gestão</x:v>
      </x:c>
      <x:c r="J1382" s="17" t="n">
        <x:v>22167.92</x:v>
      </x:c>
      <x:c r="K1382" s="17" t="n">
        <x:v>0</x:v>
      </x:c>
      <x:c r="L1382" s="17" t="n">
        <x:v>0</x:v>
      </x:c>
      <x:c r="M1382" s="13" t="str">
        <x:v>Pago</x:v>
      </x:c>
      <x:c r="N1382" s="13" t="str">
        <x:v>Sem cobrança</x:v>
      </x:c>
      <x:c r="O1382" s="13" t="str">
        <x:v>Operação Clareza</x:v>
      </x:c>
      <x:c r="P1382" s="17" t="n">
        <x:f>IF(D1382="",0,J1382-K1382+L1382)</x:f>
        <x:v>22167.92</x:v>
      </x:c>
      <x:c r="Q1382" s="17" t="n">
        <x:f>MAX(J1382-P1382-K1382,0)</x:f>
        <x:v>0</x:v>
      </x:c>
      <x:c r="R1382" s="13" t="n">
        <x:f>IF(D1382="",MAX(TODAY()-C1382,0),MAX(D1382-C1382,0))</x:f>
        <x:v>0</x:v>
      </x:c>
      <x:c r="S1382" s="13" t="str">
        <x:f>IF(R1382=0,"Em dia",IF(R1382&lt;=15,"1-15 dias",IF(R1382&lt;=30,"16-30 dias",IF(R1382&lt;=60,"31-60 dias","Acima de 60 dias"))))</x:f>
        <x:v>Em dia</x:v>
      </x:c>
    </x:row>
    <x:row r="1383">
      <x:c r="A1383" s="13" t="str">
        <x:v>REC-001382</x:v>
      </x:c>
      <x:c r="B1383" s="23" t="n">
        <x:v>45996</x:v>
      </x:c>
      <x:c r="C1383" s="23" t="n">
        <x:v>46003</x:v>
      </x:c>
      <x:c r="D1383" s="23" t="n">
        <x:v>46003</x:v>
      </x:c>
      <x:c r="E1383" s="13" t="str">
        <x:v>VAL-025</x:v>
      </x:c>
      <x:c r="F1383" s="13" t="str">
        <x:v>Bem-Estar Terapias</x:v>
      </x:c>
      <x:c r="G1383" s="13" t="str">
        <x:v>Clínicas e Saúde</x:v>
      </x:c>
      <x:c r="H1383" s="13" t="str">
        <x:v>Baixo</x:v>
      </x:c>
      <x:c r="I1383" s="13" t="str">
        <x:v>Essencial</x:v>
      </x:c>
      <x:c r="J1383" s="17" t="n">
        <x:v>17107.36</x:v>
      </x:c>
      <x:c r="K1383" s="17" t="n">
        <x:v>0</x:v>
      </x:c>
      <x:c r="L1383" s="17" t="n">
        <x:v>0</x:v>
      </x:c>
      <x:c r="M1383" s="13" t="str">
        <x:v>Pago</x:v>
      </x:c>
      <x:c r="N1383" s="13" t="str">
        <x:v>Sem cobrança</x:v>
      </x:c>
      <x:c r="O1383" s="13" t="str">
        <x:v>Operação Clareza</x:v>
      </x:c>
      <x:c r="P1383" s="17" t="n">
        <x:f>IF(D1383="",0,J1383-K1383+L1383)</x:f>
        <x:v>17107.36</x:v>
      </x:c>
      <x:c r="Q1383" s="17" t="n">
        <x:f>MAX(J1383-P1383-K1383,0)</x:f>
        <x:v>0</x:v>
      </x:c>
      <x:c r="R1383" s="13" t="n">
        <x:f>IF(D1383="",MAX(TODAY()-C1383,0),MAX(D1383-C1383,0))</x:f>
        <x:v>0</x:v>
      </x:c>
      <x:c r="S1383" s="13" t="str">
        <x:f>IF(R1383=0,"Em dia",IF(R1383&lt;=15,"1-15 dias",IF(R1383&lt;=30,"16-30 dias",IF(R1383&lt;=60,"31-60 dias","Acima de 60 dias"))))</x:f>
        <x:v>Em dia</x:v>
      </x:c>
    </x:row>
    <x:row r="1384">
      <x:c r="A1384" s="13" t="str">
        <x:v>REC-001383</x:v>
      </x:c>
      <x:c r="B1384" s="23" t="n">
        <x:v>45995</x:v>
      </x:c>
      <x:c r="C1384" s="23" t="n">
        <x:v>46016</x:v>
      </x:c>
      <x:c r="D1384" s="23" t="n">
        <x:v>46012</x:v>
      </x:c>
      <x:c r="E1384" s="13" t="str">
        <x:v>VAL-006</x:v>
      </x:c>
      <x:c r="F1384" s="13" t="str">
        <x:v>Instituto Saber Mais</x:v>
      </x:c>
      <x:c r="G1384" s="13" t="str">
        <x:v>Educação</x:v>
      </x:c>
      <x:c r="H1384" s="13" t="str">
        <x:v>Médio</x:v>
      </x:c>
      <x:c r="I1384" s="13" t="str">
        <x:v>Gestão</x:v>
      </x:c>
      <x:c r="J1384" s="17" t="n">
        <x:v>22925.43</x:v>
      </x:c>
      <x:c r="K1384" s="17" t="n">
        <x:v>127.55</x:v>
      </x:c>
      <x:c r="L1384" s="17" t="n">
        <x:v>0</x:v>
      </x:c>
      <x:c r="M1384" s="13" t="str">
        <x:v>Pago</x:v>
      </x:c>
      <x:c r="N1384" s="13" t="str">
        <x:v>Sem cobrança</x:v>
      </x:c>
      <x:c r="O1384" s="13" t="str">
        <x:v>Operação Clareza</x:v>
      </x:c>
      <x:c r="P1384" s="17" t="n">
        <x:f>IF(D1384="",0,J1384-K1384+L1384)</x:f>
        <x:v>22797.88</x:v>
      </x:c>
      <x:c r="Q1384" s="17" t="n">
        <x:f>MAX(J1384-P1384-K1384,0)</x:f>
        <x:v>0</x:v>
      </x:c>
      <x:c r="R1384" s="13" t="n">
        <x:f>IF(D1384="",MAX(TODAY()-C1384,0),MAX(D1384-C1384,0))</x:f>
        <x:v>0</x:v>
      </x:c>
      <x:c r="S1384" s="13" t="str">
        <x:f>IF(R1384=0,"Em dia",IF(R1384&lt;=15,"1-15 dias",IF(R1384&lt;=30,"16-30 dias",IF(R1384&lt;=60,"31-60 dias","Acima de 60 dias"))))</x:f>
        <x:v>Em dia</x:v>
      </x:c>
    </x:row>
    <x:row r="1385">
      <x:c r="A1385" s="13" t="str">
        <x:v>REC-001384</x:v>
      </x:c>
      <x:c r="B1385" s="23" t="n">
        <x:v>45998</x:v>
      </x:c>
      <x:c r="C1385" s="23" t="n">
        <x:v>46005</x:v>
      </x:c>
      <x:c r="D1385" s="23" t="n">
        <x:v>46005</x:v>
      </x:c>
      <x:c r="E1385" s="13" t="str">
        <x:v>VAL-014</x:v>
      </x:c>
      <x:c r="F1385" s="13" t="str">
        <x:v>Colégio Caminhos</x:v>
      </x:c>
      <x:c r="G1385" s="13" t="str">
        <x:v>Educação</x:v>
      </x:c>
      <x:c r="H1385" s="13" t="str">
        <x:v>Médio</x:v>
      </x:c>
      <x:c r="I1385" s="13" t="str">
        <x:v>Gestão</x:v>
      </x:c>
      <x:c r="J1385" s="17" t="n">
        <x:v>24103.77</x:v>
      </x:c>
      <x:c r="K1385" s="17" t="n">
        <x:v>0</x:v>
      </x:c>
      <x:c r="L1385" s="17" t="n">
        <x:v>0</x:v>
      </x:c>
      <x:c r="M1385" s="13" t="str">
        <x:v>Pago</x:v>
      </x:c>
      <x:c r="N1385" s="13" t="str">
        <x:v>Sem cobrança</x:v>
      </x:c>
      <x:c r="O1385" s="13" t="str">
        <x:v>Operação Clareza</x:v>
      </x:c>
      <x:c r="P1385" s="17" t="n">
        <x:f>IF(D1385="",0,J1385-K1385+L1385)</x:f>
        <x:v>24103.77</x:v>
      </x:c>
      <x:c r="Q1385" s="17" t="n">
        <x:f>MAX(J1385-P1385-K1385,0)</x:f>
        <x:v>0</x:v>
      </x:c>
      <x:c r="R1385" s="13" t="n">
        <x:f>IF(D1385="",MAX(TODAY()-C1385,0),MAX(D1385-C1385,0))</x:f>
        <x:v>0</x:v>
      </x:c>
      <x:c r="S1385" s="13" t="str">
        <x:f>IF(R1385=0,"Em dia",IF(R1385&lt;=15,"1-15 dias",IF(R1385&lt;=30,"16-30 dias",IF(R1385&lt;=60,"31-60 dias","Acima de 60 dias"))))</x:f>
        <x:v>Em dia</x:v>
      </x:c>
    </x:row>
    <x:row r="1386">
      <x:c r="A1386" s="13" t="str">
        <x:v>REC-001385</x:v>
      </x:c>
      <x:c r="B1386" s="23" t="n">
        <x:v>46011</x:v>
      </x:c>
      <x:c r="C1386" s="23" t="n">
        <x:v>46018</x:v>
      </x:c>
      <x:c r="D1386" s="23" t="n">
        <x:v>46039</x:v>
      </x:c>
      <x:c r="E1386" s="13" t="str">
        <x:v>VAL-023</x:v>
      </x:c>
      <x:c r="F1386" s="13" t="str">
        <x:v>ShopMix Brasil</x:v>
      </x:c>
      <x:c r="G1386" s="13" t="str">
        <x:v>E-commerce</x:v>
      </x:c>
      <x:c r="H1386" s="13" t="str">
        <x:v>Baixo</x:v>
      </x:c>
      <x:c r="I1386" s="13" t="str">
        <x:v>Performance</x:v>
      </x:c>
      <x:c r="J1386" s="17" t="n">
        <x:v>2404.61</x:v>
      </x:c>
      <x:c r="K1386" s="17" t="n">
        <x:v>0</x:v>
      </x:c>
      <x:c r="L1386" s="17" t="n">
        <x:v>32.82</x:v>
      </x:c>
      <x:c r="M1386" s="13" t="str">
        <x:v>Pago com atraso</x:v>
      </x:c>
      <x:c r="N1386" s="13" t="str">
        <x:v>E-mail</x:v>
      </x:c>
      <x:c r="O1386" s="13" t="str">
        <x:v>Operação Clareza</x:v>
      </x:c>
      <x:c r="P1386" s="17" t="n">
        <x:f>IF(D1386="",0,J1386-K1386+L1386)</x:f>
        <x:v>2437.4300000000003</x:v>
      </x:c>
      <x:c r="Q1386" s="17" t="n">
        <x:f>MAX(J1386-P1386-K1386,0)</x:f>
        <x:v>0</x:v>
      </x:c>
      <x:c r="R1386" s="13" t="n">
        <x:f>IF(D1386="",MAX(TODAY()-C1386,0),MAX(D1386-C1386,0))</x:f>
        <x:v>21</x:v>
      </x:c>
      <x:c r="S1386" s="13" t="str">
        <x:f>IF(R1386=0,"Em dia",IF(R1386&lt;=15,"1-15 dias",IF(R1386&lt;=30,"16-30 dias",IF(R1386&lt;=60,"31-60 dias","Acima de 60 dias"))))</x:f>
        <x:v>16-30 dias</x:v>
      </x:c>
    </x:row>
    <x:row r="1387">
      <x:c r="A1387" s="13" t="str">
        <x:v>REC-001386</x:v>
      </x:c>
      <x:c r="B1387" s="23" t="n">
        <x:v>45997</x:v>
      </x:c>
      <x:c r="C1387" s="23" t="n">
        <x:v>46027</x:v>
      </x:c>
      <x:c r="D1387" s="23" t="n">
        <x:v>46025</x:v>
      </x:c>
      <x:c r="E1387" s="13" t="str">
        <x:v>VAL-009</x:v>
      </x:c>
      <x:c r="F1387" s="13" t="str">
        <x:v>Odonto Prime</x:v>
      </x:c>
      <x:c r="G1387" s="13" t="str">
        <x:v>Clínicas e Saúde</x:v>
      </x:c>
      <x:c r="H1387" s="13" t="str">
        <x:v>Médio</x:v>
      </x:c>
      <x:c r="I1387" s="13" t="str">
        <x:v>Essencial</x:v>
      </x:c>
      <x:c r="J1387" s="17" t="n">
        <x:v>26863.57</x:v>
      </x:c>
      <x:c r="K1387" s="17" t="n">
        <x:v>414.83</x:v>
      </x:c>
      <x:c r="L1387" s="17" t="n">
        <x:v>0</x:v>
      </x:c>
      <x:c r="M1387" s="13" t="str">
        <x:v>Pago</x:v>
      </x:c>
      <x:c r="N1387" s="13" t="str">
        <x:v>Sem cobrança</x:v>
      </x:c>
      <x:c r="O1387" s="13" t="str">
        <x:v>Operação Clareza</x:v>
      </x:c>
      <x:c r="P1387" s="17" t="n">
        <x:f>IF(D1387="",0,J1387-K1387+L1387)</x:f>
        <x:v>26448.739999999998</x:v>
      </x:c>
      <x:c r="Q1387" s="17" t="n">
        <x:f>MAX(J1387-P1387-K1387,0)</x:f>
        <x:v>1.7621459846850485e-12</x:v>
      </x:c>
      <x:c r="R1387" s="13" t="n">
        <x:f>IF(D1387="",MAX(TODAY()-C1387,0),MAX(D1387-C1387,0))</x:f>
        <x:v>0</x:v>
      </x:c>
      <x:c r="S1387" s="13" t="str">
        <x:f>IF(R1387=0,"Em dia",IF(R1387&lt;=15,"1-15 dias",IF(R1387&lt;=30,"16-30 dias",IF(R1387&lt;=60,"31-60 dias","Acima de 60 dias"))))</x:f>
        <x:v>Em dia</x:v>
      </x:c>
    </x:row>
    <x:row r="1388">
      <x:c r="A1388" s="13" t="str">
        <x:v>REC-001387</x:v>
      </x:c>
      <x:c r="B1388" s="23" t="n">
        <x:v>46001</x:v>
      </x:c>
      <x:c r="C1388" s="23" t="n">
        <x:v>46031</x:v>
      </x:c>
      <x:c r="D1388" s="23" t="n">
        <x:v>46031</x:v>
      </x:c>
      <x:c r="E1388" s="13" t="str">
        <x:v>VAL-017</x:v>
      </x:c>
      <x:c r="F1388" s="13" t="str">
        <x:v>Centro Médico Vida</x:v>
      </x:c>
      <x:c r="G1388" s="13" t="str">
        <x:v>Clínicas e Saúde</x:v>
      </x:c>
      <x:c r="H1388" s="13" t="str">
        <x:v>Baixo</x:v>
      </x:c>
      <x:c r="I1388" s="13" t="str">
        <x:v>Essencial</x:v>
      </x:c>
      <x:c r="J1388" s="17" t="n">
        <x:v>8454.64</x:v>
      </x:c>
      <x:c r="K1388" s="17" t="n">
        <x:v>0</x:v>
      </x:c>
      <x:c r="L1388" s="17" t="n">
        <x:v>0</x:v>
      </x:c>
      <x:c r="M1388" s="13" t="str">
        <x:v>Pago</x:v>
      </x:c>
      <x:c r="N1388" s="13" t="str">
        <x:v>Sem cobrança</x:v>
      </x:c>
      <x:c r="O1388" s="13" t="str">
        <x:v>Operação Clareza</x:v>
      </x:c>
      <x:c r="P1388" s="17" t="n">
        <x:f>IF(D1388="",0,J1388-K1388+L1388)</x:f>
        <x:v>8454.64</x:v>
      </x:c>
      <x:c r="Q1388" s="17" t="n">
        <x:f>MAX(J1388-P1388-K1388,0)</x:f>
        <x:v>0</x:v>
      </x:c>
      <x:c r="R1388" s="13" t="n">
        <x:f>IF(D1388="",MAX(TODAY()-C1388,0),MAX(D1388-C1388,0))</x:f>
        <x:v>0</x:v>
      </x:c>
      <x:c r="S1388" s="13" t="str">
        <x:f>IF(R1388=0,"Em dia",IF(R1388&lt;=15,"1-15 dias",IF(R1388&lt;=30,"16-30 dias",IF(R1388&lt;=60,"31-60 dias","Acima de 60 dias"))))</x:f>
        <x:v>Em dia</x:v>
      </x:c>
    </x:row>
    <x:row r="1389">
      <x:c r="A1389" s="13" t="str">
        <x:v>REC-001388</x:v>
      </x:c>
      <x:c r="B1389" s="23" t="n">
        <x:v>45995</x:v>
      </x:c>
      <x:c r="C1389" s="23" t="n">
        <x:v>46025</x:v>
      </x:c>
      <x:c r="D1389" s="23" t="n">
        <x:v>46022</x:v>
      </x:c>
      <x:c r="E1389" s="13" t="str">
        <x:v>VAL-013</x:v>
      </x:c>
      <x:c r="F1389" s="13" t="str">
        <x:v>Engenharia Vértice</x:v>
      </x:c>
      <x:c r="G1389" s="13" t="str">
        <x:v>Construção</x:v>
      </x:c>
      <x:c r="H1389" s="13" t="str">
        <x:v>Baixo</x:v>
      </x:c>
      <x:c r="I1389" s="13" t="str">
        <x:v>Essencial</x:v>
      </x:c>
      <x:c r="J1389" s="17" t="n">
        <x:v>24669.93</x:v>
      </x:c>
      <x:c r="K1389" s="17" t="n">
        <x:v>360.16</x:v>
      </x:c>
      <x:c r="L1389" s="17" t="n">
        <x:v>0</x:v>
      </x:c>
      <x:c r="M1389" s="13" t="str">
        <x:v>Pago</x:v>
      </x:c>
      <x:c r="N1389" s="13" t="str">
        <x:v>Sem cobrança</x:v>
      </x:c>
      <x:c r="O1389" s="13" t="str">
        <x:v>Operação Clareza</x:v>
      </x:c>
      <x:c r="P1389" s="17" t="n">
        <x:f>IF(D1389="",0,J1389-K1389+L1389)</x:f>
        <x:v>24309.77</x:v>
      </x:c>
      <x:c r="Q1389" s="17" t="n">
        <x:f>MAX(J1389-P1389-K1389,0)</x:f>
        <x:v>0</x:v>
      </x:c>
      <x:c r="R1389" s="13" t="n">
        <x:f>IF(D1389="",MAX(TODAY()-C1389,0),MAX(D1389-C1389,0))</x:f>
        <x:v>0</x:v>
      </x:c>
      <x:c r="S1389" s="13" t="str">
        <x:f>IF(R1389=0,"Em dia",IF(R1389&lt;=15,"1-15 dias",IF(R1389&lt;=30,"16-30 dias",IF(R1389&lt;=60,"31-60 dias","Acima de 60 dias"))))</x:f>
        <x:v>Em dia</x:v>
      </x:c>
    </x:row>
    <x:row r="1390">
      <x:c r="A1390" s="13" t="str">
        <x:v>REC-001389</x:v>
      </x:c>
      <x:c r="B1390" s="23" t="n">
        <x:v>46000</x:v>
      </x:c>
      <x:c r="C1390" s="23" t="n">
        <x:v>46007</x:v>
      </x:c>
      <x:c r="D1390" s="23" t="n">
        <x:v>46005</x:v>
      </x:c>
      <x:c r="E1390" s="13" t="str">
        <x:v>VAL-007</x:v>
      </x:c>
      <x:c r="F1390" s="13" t="str">
        <x:v>Loja Prisma Online</x:v>
      </x:c>
      <x:c r="G1390" s="13" t="str">
        <x:v>E-commerce</x:v>
      </x:c>
      <x:c r="H1390" s="13" t="str">
        <x:v>Médio</x:v>
      </x:c>
      <x:c r="I1390" s="13" t="str">
        <x:v>Performance</x:v>
      </x:c>
      <x:c r="J1390" s="17" t="n">
        <x:v>6139.52</x:v>
      </x:c>
      <x:c r="K1390" s="17" t="n">
        <x:v>101.89</x:v>
      </x:c>
      <x:c r="L1390" s="17" t="n">
        <x:v>0</x:v>
      </x:c>
      <x:c r="M1390" s="13" t="str">
        <x:v>Pago</x:v>
      </x:c>
      <x:c r="N1390" s="13" t="str">
        <x:v>Sem cobrança</x:v>
      </x:c>
      <x:c r="O1390" s="13" t="str">
        <x:v>Operação Clareza</x:v>
      </x:c>
      <x:c r="P1390" s="17" t="n">
        <x:f>IF(D1390="",0,J1390-K1390+L1390)</x:f>
        <x:v>6037.63</x:v>
      </x:c>
      <x:c r="Q1390" s="17" t="n">
        <x:f>MAX(J1390-P1390-K1390,0)</x:f>
        <x:v>3.268496584496461e-13</x:v>
      </x:c>
      <x:c r="R1390" s="13" t="n">
        <x:f>IF(D1390="",MAX(TODAY()-C1390,0),MAX(D1390-C1390,0))</x:f>
        <x:v>0</x:v>
      </x:c>
      <x:c r="S1390" s="13" t="str">
        <x:f>IF(R1390=0,"Em dia",IF(R1390&lt;=15,"1-15 dias",IF(R1390&lt;=30,"16-30 dias",IF(R1390&lt;=60,"31-60 dias","Acima de 60 dias"))))</x:f>
        <x:v>Em dia</x:v>
      </x:c>
    </x:row>
    <x:row r="1391">
      <x:c r="A1391" s="13" t="str">
        <x:v>REC-001390</x:v>
      </x:c>
      <x:c r="B1391" s="23" t="n">
        <x:v>45996</x:v>
      </x:c>
      <x:c r="C1391" s="23" t="n">
        <x:v>46003</x:v>
      </x:c>
      <x:c r="D1391" s="23" t="n">
        <x:v>45999</x:v>
      </x:c>
      <x:c r="E1391" s="13" t="str">
        <x:v>VAL-004</x:v>
      </x:c>
      <x:c r="F1391" s="13" t="str">
        <x:v>NuvemBase Tecnologia</x:v>
      </x:c>
      <x:c r="G1391" s="13" t="str">
        <x:v>Tecnologia</x:v>
      </x:c>
      <x:c r="H1391" s="13" t="str">
        <x:v>Baixo</x:v>
      </x:c>
      <x:c r="I1391" s="13" t="str">
        <x:v>Enterprise</x:v>
      </x:c>
      <x:c r="J1391" s="17" t="n">
        <x:v>3859.6</x:v>
      </x:c>
      <x:c r="K1391" s="17" t="n">
        <x:v>54.85</x:v>
      </x:c>
      <x:c r="L1391" s="17" t="n">
        <x:v>0</x:v>
      </x:c>
      <x:c r="M1391" s="13" t="str">
        <x:v>Pago</x:v>
      </x:c>
      <x:c r="N1391" s="13" t="str">
        <x:v>Sem cobrança</x:v>
      </x:c>
      <x:c r="O1391" s="13" t="str">
        <x:v>Operação Clareza</x:v>
      </x:c>
      <x:c r="P1391" s="17" t="n">
        <x:f>IF(D1391="",0,J1391-K1391+L1391)</x:f>
        <x:v>3804.75</x:v>
      </x:c>
      <x:c r="Q1391" s="17" t="n">
        <x:f>MAX(J1391-P1391-K1391,0)</x:f>
        <x:v>0</x:v>
      </x:c>
      <x:c r="R1391" s="13" t="n">
        <x:f>IF(D1391="",MAX(TODAY()-C1391,0),MAX(D1391-C1391,0))</x:f>
        <x:v>0</x:v>
      </x:c>
      <x:c r="S1391" s="13" t="str">
        <x:f>IF(R1391=0,"Em dia",IF(R1391&lt;=15,"1-15 dias",IF(R1391&lt;=30,"16-30 dias",IF(R1391&lt;=60,"31-60 dias","Acima de 60 dias"))))</x:f>
        <x:v>Em dia</x:v>
      </x:c>
    </x:row>
    <x:row r="1392">
      <x:c r="A1392" s="13" t="str">
        <x:v>REC-001391</x:v>
      </x:c>
      <x:c r="B1392" s="23" t="n">
        <x:v>46004</x:v>
      </x:c>
      <x:c r="C1392" s="23" t="n">
        <x:v>46019</x:v>
      </x:c>
      <x:c r="D1392" s="23" t="n">
        <x:v>46016</x:v>
      </x:c>
      <x:c r="E1392" s="13" t="str">
        <x:v>VAL-015</x:v>
      </x:c>
      <x:c r="F1392" s="13" t="str">
        <x:v>Mercado Click</x:v>
      </x:c>
      <x:c r="G1392" s="13" t="str">
        <x:v>E-commerce</x:v>
      </x:c>
      <x:c r="H1392" s="13" t="str">
        <x:v>Baixo</x:v>
      </x:c>
      <x:c r="I1392" s="13" t="str">
        <x:v>Performance</x:v>
      </x:c>
      <x:c r="J1392" s="17" t="n">
        <x:v>28854.86</x:v>
      </x:c>
      <x:c r="K1392" s="17" t="n">
        <x:v>0</x:v>
      </x:c>
      <x:c r="L1392" s="17" t="n">
        <x:v>0</x:v>
      </x:c>
      <x:c r="M1392" s="13" t="str">
        <x:v>Pago</x:v>
      </x:c>
      <x:c r="N1392" s="13" t="str">
        <x:v>Sem cobrança</x:v>
      </x:c>
      <x:c r="O1392" s="13" t="str">
        <x:v>Operação Clareza</x:v>
      </x:c>
      <x:c r="P1392" s="17" t="n">
        <x:f>IF(D1392="",0,J1392-K1392+L1392)</x:f>
        <x:v>28854.86</x:v>
      </x:c>
      <x:c r="Q1392" s="17" t="n">
        <x:f>MAX(J1392-P1392-K1392,0)</x:f>
        <x:v>0</x:v>
      </x:c>
      <x:c r="R1392" s="13" t="n">
        <x:f>IF(D1392="",MAX(TODAY()-C1392,0),MAX(D1392-C1392,0))</x:f>
        <x:v>0</x:v>
      </x:c>
      <x:c r="S1392" s="13" t="str">
        <x:f>IF(R1392=0,"Em dia",IF(R1392&lt;=15,"1-15 dias",IF(R1392&lt;=30,"16-30 dias",IF(R1392&lt;=60,"31-60 dias","Acima de 60 dias"))))</x:f>
        <x:v>Em dia</x:v>
      </x:c>
    </x:row>
    <x:row r="1393">
      <x:c r="A1393" s="13" t="str">
        <x:v>REC-001392</x:v>
      </x:c>
      <x:c r="B1393" s="23" t="n">
        <x:v>46006</x:v>
      </x:c>
      <x:c r="C1393" s="23" t="n">
        <x:v>46021</x:v>
      </x:c>
      <x:c r="D1393" s="23" t="n">
        <x:v>46017</x:v>
      </x:c>
      <x:c r="E1393" s="13" t="str">
        <x:v>VAL-015</x:v>
      </x:c>
      <x:c r="F1393" s="13" t="str">
        <x:v>Mercado Click</x:v>
      </x:c>
      <x:c r="G1393" s="13" t="str">
        <x:v>E-commerce</x:v>
      </x:c>
      <x:c r="H1393" s="13" t="str">
        <x:v>Baixo</x:v>
      </x:c>
      <x:c r="I1393" s="13" t="str">
        <x:v>Performance</x:v>
      </x:c>
      <x:c r="J1393" s="17" t="n">
        <x:v>1737.44</x:v>
      </x:c>
      <x:c r="K1393" s="17" t="n">
        <x:v>0</x:v>
      </x:c>
      <x:c r="L1393" s="17" t="n">
        <x:v>0</x:v>
      </x:c>
      <x:c r="M1393" s="13" t="str">
        <x:v>Pago</x:v>
      </x:c>
      <x:c r="N1393" s="13" t="str">
        <x:v>Sem cobrança</x:v>
      </x:c>
      <x:c r="O1393" s="13" t="str">
        <x:v>Operação Clareza</x:v>
      </x:c>
      <x:c r="P1393" s="17" t="n">
        <x:f>IF(D1393="",0,J1393-K1393+L1393)</x:f>
        <x:v>1737.44</x:v>
      </x:c>
      <x:c r="Q1393" s="17" t="n">
        <x:f>MAX(J1393-P1393-K1393,0)</x:f>
        <x:v>0</x:v>
      </x:c>
      <x:c r="R1393" s="13" t="n">
        <x:f>IF(D1393="",MAX(TODAY()-C1393,0),MAX(D1393-C1393,0))</x:f>
        <x:v>0</x:v>
      </x:c>
      <x:c r="S1393" s="13" t="str">
        <x:f>IF(R1393=0,"Em dia",IF(R1393&lt;=15,"1-15 dias",IF(R1393&lt;=30,"16-30 dias",IF(R1393&lt;=60,"31-60 dias","Acima de 60 dias"))))</x:f>
        <x:v>Em dia</x:v>
      </x:c>
    </x:row>
    <x:row r="1394">
      <x:c r="A1394" s="13" t="str">
        <x:v>REC-001393</x:v>
      </x:c>
      <x:c r="B1394" s="23" t="n">
        <x:v>46010</x:v>
      </x:c>
      <x:c r="C1394" s="23" t="n">
        <x:v>46038</x:v>
      </x:c>
      <x:c r="D1394" s="23" t="n">
        <x:v>46038</x:v>
      </x:c>
      <x:c r="E1394" s="13" t="str">
        <x:v>VAL-011</x:v>
      </x:c>
      <x:c r="F1394" s="13" t="str">
        <x:v>Rede Essencial</x:v>
      </x:c>
      <x:c r="G1394" s="13" t="str">
        <x:v>Varejo</x:v>
      </x:c>
      <x:c r="H1394" s="13" t="str">
        <x:v>Médio</x:v>
      </x:c>
      <x:c r="I1394" s="13" t="str">
        <x:v>Performance</x:v>
      </x:c>
      <x:c r="J1394" s="17" t="n">
        <x:v>14208.8</x:v>
      </x:c>
      <x:c r="K1394" s="17" t="n">
        <x:v>166.37</x:v>
      </x:c>
      <x:c r="L1394" s="17" t="n">
        <x:v>0</x:v>
      </x:c>
      <x:c r="M1394" s="13" t="str">
        <x:v>Pago</x:v>
      </x:c>
      <x:c r="N1394" s="13" t="str">
        <x:v>Sem cobrança</x:v>
      </x:c>
      <x:c r="O1394" s="13" t="str">
        <x:v>Operação Clareza</x:v>
      </x:c>
      <x:c r="P1394" s="17" t="n">
        <x:f>IF(D1394="",0,J1394-K1394+L1394)</x:f>
        <x:v>14042.429999999998</x:v>
      </x:c>
      <x:c r="Q1394" s="17" t="n">
        <x:f>MAX(J1394-P1394-K1394,0)</x:f>
        <x:v>7.958078640513122e-13</x:v>
      </x:c>
      <x:c r="R1394" s="13" t="n">
        <x:f>IF(D1394="",MAX(TODAY()-C1394,0),MAX(D1394-C1394,0))</x:f>
        <x:v>0</x:v>
      </x:c>
      <x:c r="S1394" s="13" t="str">
        <x:f>IF(R1394=0,"Em dia",IF(R1394&lt;=15,"1-15 dias",IF(R1394&lt;=30,"16-30 dias",IF(R1394&lt;=60,"31-60 dias","Acima de 60 dias"))))</x:f>
        <x:v>Em dia</x:v>
      </x:c>
    </x:row>
    <x:row r="1395">
      <x:c r="A1395" s="13" t="str">
        <x:v>REC-001394</x:v>
      </x:c>
      <x:c r="B1395" s="23" t="n">
        <x:v>46001</x:v>
      </x:c>
      <x:c r="C1395" s="23" t="n">
        <x:v>46016</x:v>
      </x:c>
      <x:c r="D1395" s="23" t="n">
        <x:v>46016</x:v>
      </x:c>
      <x:c r="E1395" s="13" t="str">
        <x:v>VAL-030</x:v>
      </x:c>
      <x:c r="F1395" s="13" t="str">
        <x:v>Mundo Kids Cursos</x:v>
      </x:c>
      <x:c r="G1395" s="13" t="str">
        <x:v>Educação</x:v>
      </x:c>
      <x:c r="H1395" s="13" t="str">
        <x:v>Alto</x:v>
      </x:c>
      <x:c r="I1395" s="13" t="str">
        <x:v>Gestão</x:v>
      </x:c>
      <x:c r="J1395" s="17" t="n">
        <x:v>17080.07</x:v>
      </x:c>
      <x:c r="K1395" s="17" t="n">
        <x:v>0</x:v>
      </x:c>
      <x:c r="L1395" s="17" t="n">
        <x:v>0</x:v>
      </x:c>
      <x:c r="M1395" s="13" t="str">
        <x:v>Pago</x:v>
      </x:c>
      <x:c r="N1395" s="13" t="str">
        <x:v>Sem cobrança</x:v>
      </x:c>
      <x:c r="O1395" s="13" t="str">
        <x:v>Operação Clareza</x:v>
      </x:c>
      <x:c r="P1395" s="17" t="n">
        <x:f>IF(D1395="",0,J1395-K1395+L1395)</x:f>
        <x:v>17080.07</x:v>
      </x:c>
      <x:c r="Q1395" s="17" t="n">
        <x:f>MAX(J1395-P1395-K1395,0)</x:f>
        <x:v>0</x:v>
      </x:c>
      <x:c r="R1395" s="13" t="n">
        <x:f>IF(D1395="",MAX(TODAY()-C1395,0),MAX(D1395-C1395,0))</x:f>
        <x:v>0</x:v>
      </x:c>
      <x:c r="S1395" s="13" t="str">
        <x:f>IF(R1395=0,"Em dia",IF(R1395&lt;=15,"1-15 dias",IF(R1395&lt;=30,"16-30 dias",IF(R1395&lt;=60,"31-60 dias","Acima de 60 dias"))))</x:f>
        <x:v>Em dia</x:v>
      </x:c>
    </x:row>
    <x:row r="1396">
      <x:c r="A1396" s="13" t="str">
        <x:v>REC-001395</x:v>
      </x:c>
      <x:c r="B1396" s="23" t="n">
        <x:v>46005</x:v>
      </x:c>
      <x:c r="C1396" s="23" t="n">
        <x:v>46033</x:v>
      </x:c>
      <x:c r="D1396" s="23" t="n">
        <x:v>46031</x:v>
      </x:c>
      <x:c r="E1396" s="13" t="str">
        <x:v>VAL-013</x:v>
      </x:c>
      <x:c r="F1396" s="13" t="str">
        <x:v>Engenharia Vértice</x:v>
      </x:c>
      <x:c r="G1396" s="13" t="str">
        <x:v>Construção</x:v>
      </x:c>
      <x:c r="H1396" s="13" t="str">
        <x:v>Baixo</x:v>
      </x:c>
      <x:c r="I1396" s="13" t="str">
        <x:v>Essencial</x:v>
      </x:c>
      <x:c r="J1396" s="17" t="n">
        <x:v>14513.55</x:v>
      </x:c>
      <x:c r="K1396" s="17" t="n">
        <x:v>0</x:v>
      </x:c>
      <x:c r="L1396" s="17" t="n">
        <x:v>0</x:v>
      </x:c>
      <x:c r="M1396" s="13" t="str">
        <x:v>Pago</x:v>
      </x:c>
      <x:c r="N1396" s="13" t="str">
        <x:v>Sem cobrança</x:v>
      </x:c>
      <x:c r="O1396" s="13" t="str">
        <x:v>Operação Clareza</x:v>
      </x:c>
      <x:c r="P1396" s="17" t="n">
        <x:f>IF(D1396="",0,J1396-K1396+L1396)</x:f>
        <x:v>14513.55</x:v>
      </x:c>
      <x:c r="Q1396" s="17" t="n">
        <x:f>MAX(J1396-P1396-K1396,0)</x:f>
        <x:v>0</x:v>
      </x:c>
      <x:c r="R1396" s="13" t="n">
        <x:f>IF(D1396="",MAX(TODAY()-C1396,0),MAX(D1396-C1396,0))</x:f>
        <x:v>0</x:v>
      </x:c>
      <x:c r="S1396" s="13" t="str">
        <x:f>IF(R1396=0,"Em dia",IF(R1396&lt;=15,"1-15 dias",IF(R1396&lt;=30,"16-30 dias",IF(R1396&lt;=60,"31-60 dias","Acima de 60 dias"))))</x:f>
        <x:v>Em dia</x:v>
      </x:c>
    </x:row>
    <x:row r="1397">
      <x:c r="A1397" s="13" t="str">
        <x:v>REC-001396</x:v>
      </x:c>
      <x:c r="B1397" s="23" t="n">
        <x:v>45996</x:v>
      </x:c>
      <x:c r="C1397" s="23" t="n">
        <x:v>46026</x:v>
      </x:c>
      <x:c r="D1397" s="23" t="n">
        <x:v>46023</x:v>
      </x:c>
      <x:c r="E1397" s="13" t="str">
        <x:v>VAL-021</x:v>
      </x:c>
      <x:c r="F1397" s="13" t="str">
        <x:v>Base Forte Obras</x:v>
      </x:c>
      <x:c r="G1397" s="13" t="str">
        <x:v>Construção</x:v>
      </x:c>
      <x:c r="H1397" s="13" t="str">
        <x:v>Médio</x:v>
      </x:c>
      <x:c r="I1397" s="13" t="str">
        <x:v>Essencial</x:v>
      </x:c>
      <x:c r="J1397" s="17" t="n">
        <x:v>5634.42</x:v>
      </x:c>
      <x:c r="K1397" s="17" t="n">
        <x:v>0</x:v>
      </x:c>
      <x:c r="L1397" s="17" t="n">
        <x:v>0</x:v>
      </x:c>
      <x:c r="M1397" s="13" t="str">
        <x:v>Pago</x:v>
      </x:c>
      <x:c r="N1397" s="13" t="str">
        <x:v>Sem cobrança</x:v>
      </x:c>
      <x:c r="O1397" s="13" t="str">
        <x:v>Operação Clareza</x:v>
      </x:c>
      <x:c r="P1397" s="17" t="n">
        <x:f>IF(D1397="",0,J1397-K1397+L1397)</x:f>
        <x:v>5634.42</x:v>
      </x:c>
      <x:c r="Q1397" s="17" t="n">
        <x:f>MAX(J1397-P1397-K1397,0)</x:f>
        <x:v>0</x:v>
      </x:c>
      <x:c r="R1397" s="13" t="n">
        <x:f>IF(D1397="",MAX(TODAY()-C1397,0),MAX(D1397-C1397,0))</x:f>
        <x:v>0</x:v>
      </x:c>
      <x:c r="S1397" s="13" t="str">
        <x:f>IF(R1397=0,"Em dia",IF(R1397&lt;=15,"1-15 dias",IF(R1397&lt;=30,"16-30 dias",IF(R1397&lt;=60,"31-60 dias","Acima de 60 dias"))))</x:f>
        <x:v>Em dia</x:v>
      </x:c>
    </x:row>
    <x:row r="1398">
      <x:c r="A1398" s="13" t="str">
        <x:v>REC-001397</x:v>
      </x:c>
      <x:c r="B1398" s="23" t="n">
        <x:v>46004</x:v>
      </x:c>
      <x:c r="C1398" s="23" t="n">
        <x:v>46034</x:v>
      </x:c>
      <x:c r="D1398" s="23" t="n">
        <x:v>46033</x:v>
      </x:c>
      <x:c r="E1398" s="13" t="str">
        <x:v>VAL-013</x:v>
      </x:c>
      <x:c r="F1398" s="13" t="str">
        <x:v>Engenharia Vértice</x:v>
      </x:c>
      <x:c r="G1398" s="13" t="str">
        <x:v>Construção</x:v>
      </x:c>
      <x:c r="H1398" s="13" t="str">
        <x:v>Baixo</x:v>
      </x:c>
      <x:c r="I1398" s="13" t="str">
        <x:v>Essencial</x:v>
      </x:c>
      <x:c r="J1398" s="17" t="n">
        <x:v>12232.7</x:v>
      </x:c>
      <x:c r="K1398" s="17" t="n">
        <x:v>0</x:v>
      </x:c>
      <x:c r="L1398" s="17" t="n">
        <x:v>0</x:v>
      </x:c>
      <x:c r="M1398" s="13" t="str">
        <x:v>Pago</x:v>
      </x:c>
      <x:c r="N1398" s="13" t="str">
        <x:v>Sem cobrança</x:v>
      </x:c>
      <x:c r="O1398" s="13" t="str">
        <x:v>Operação Clareza</x:v>
      </x:c>
      <x:c r="P1398" s="17" t="n">
        <x:f>IF(D1398="",0,J1398-K1398+L1398)</x:f>
        <x:v>12232.7</x:v>
      </x:c>
      <x:c r="Q1398" s="17" t="n">
        <x:f>MAX(J1398-P1398-K1398,0)</x:f>
        <x:v>0</x:v>
      </x:c>
      <x:c r="R1398" s="13" t="n">
        <x:f>IF(D1398="",MAX(TODAY()-C1398,0),MAX(D1398-C1398,0))</x:f>
        <x:v>0</x:v>
      </x:c>
      <x:c r="S1398" s="13" t="str">
        <x:f>IF(R1398=0,"Em dia",IF(R1398&lt;=15,"1-15 dias",IF(R1398&lt;=30,"16-30 dias",IF(R1398&lt;=60,"31-60 dias","Acima de 60 dias"))))</x:f>
        <x:v>Em dia</x:v>
      </x:c>
    </x:row>
    <x:row r="1399">
      <x:c r="A1399" s="13" t="str">
        <x:v>REC-001398</x:v>
      </x:c>
      <x:c r="B1399" s="23" t="n">
        <x:v>45996</x:v>
      </x:c>
      <x:c r="C1399" s="23" t="n">
        <x:v>46026</x:v>
      </x:c>
      <x:c r="D1399" s="23" t="n">
        <x:v>46025</x:v>
      </x:c>
      <x:c r="E1399" s="13" t="str">
        <x:v>VAL-002</x:v>
      </x:c>
      <x:c r="F1399" s="13" t="str">
        <x:v>Mendes &amp; Prado Consultoria</x:v>
      </x:c>
      <x:c r="G1399" s="13" t="str">
        <x:v>Serviços Profissionais</x:v>
      </x:c>
      <x:c r="H1399" s="13" t="str">
        <x:v>Baixo</x:v>
      </x:c>
      <x:c r="I1399" s="13" t="str">
        <x:v>Gestão</x:v>
      </x:c>
      <x:c r="J1399" s="17" t="n">
        <x:v>9280.9</x:v>
      </x:c>
      <x:c r="K1399" s="17" t="n">
        <x:v>0</x:v>
      </x:c>
      <x:c r="L1399" s="17" t="n">
        <x:v>0</x:v>
      </x:c>
      <x:c r="M1399" s="13" t="str">
        <x:v>Pago</x:v>
      </x:c>
      <x:c r="N1399" s="13" t="str">
        <x:v>Sem cobrança</x:v>
      </x:c>
      <x:c r="O1399" s="13" t="str">
        <x:v>Operação Clareza</x:v>
      </x:c>
      <x:c r="P1399" s="17" t="n">
        <x:f>IF(D1399="",0,J1399-K1399+L1399)</x:f>
        <x:v>9280.9</x:v>
      </x:c>
      <x:c r="Q1399" s="17" t="n">
        <x:f>MAX(J1399-P1399-K1399,0)</x:f>
        <x:v>0</x:v>
      </x:c>
      <x:c r="R1399" s="13" t="n">
        <x:f>IF(D1399="",MAX(TODAY()-C1399,0),MAX(D1399-C1399,0))</x:f>
        <x:v>0</x:v>
      </x:c>
      <x:c r="S1399" s="13" t="str">
        <x:f>IF(R1399=0,"Em dia",IF(R1399&lt;=15,"1-15 dias",IF(R1399&lt;=30,"16-30 dias",IF(R1399&lt;=60,"31-60 dias","Acima de 60 dias"))))</x:f>
        <x:v>Em dia</x:v>
      </x:c>
    </x:row>
    <x:row r="1400">
      <x:c r="A1400" s="13" t="str">
        <x:v>REC-001399</x:v>
      </x:c>
      <x:c r="B1400" s="23" t="n">
        <x:v>46004</x:v>
      </x:c>
      <x:c r="C1400" s="23" t="n">
        <x:v>46011</x:v>
      </x:c>
      <x:c r="D1400" s="23" t="n">
        <x:v>46009</x:v>
      </x:c>
      <x:c r="E1400" s="13" t="str">
        <x:v>VAL-010</x:v>
      </x:c>
      <x:c r="F1400" s="13" t="str">
        <x:v>Atlas Contabilidade</x:v>
      </x:c>
      <x:c r="G1400" s="13" t="str">
        <x:v>Serviços Profissionais</x:v>
      </x:c>
      <x:c r="H1400" s="13" t="str">
        <x:v>Baixo</x:v>
      </x:c>
      <x:c r="I1400" s="13" t="str">
        <x:v>Gestão</x:v>
      </x:c>
      <x:c r="J1400" s="17" t="n">
        <x:v>14440.46</x:v>
      </x:c>
      <x:c r="K1400" s="17" t="n">
        <x:v>0</x:v>
      </x:c>
      <x:c r="L1400" s="17" t="n">
        <x:v>0</x:v>
      </x:c>
      <x:c r="M1400" s="13" t="str">
        <x:v>Pago</x:v>
      </x:c>
      <x:c r="N1400" s="13" t="str">
        <x:v>Sem cobrança</x:v>
      </x:c>
      <x:c r="O1400" s="13" t="str">
        <x:v>Operação Clareza</x:v>
      </x:c>
      <x:c r="P1400" s="17" t="n">
        <x:f>IF(D1400="",0,J1400-K1400+L1400)</x:f>
        <x:v>14440.46</x:v>
      </x:c>
      <x:c r="Q1400" s="17" t="n">
        <x:f>MAX(J1400-P1400-K1400,0)</x:f>
        <x:v>0</x:v>
      </x:c>
      <x:c r="R1400" s="13" t="n">
        <x:f>IF(D1400="",MAX(TODAY()-C1400,0),MAX(D1400-C1400,0))</x:f>
        <x:v>0</x:v>
      </x:c>
      <x:c r="S1400" s="13" t="str">
        <x:f>IF(R1400=0,"Em dia",IF(R1400&lt;=15,"1-15 dias",IF(R1400&lt;=30,"16-30 dias",IF(R1400&lt;=60,"31-60 dias","Acima de 60 dias"))))</x:f>
        <x:v>Em dia</x:v>
      </x:c>
    </x:row>
    <x:row r="1401">
      <x:c r="A1401" s="13" t="str">
        <x:v>REC-001400</x:v>
      </x:c>
      <x:c r="B1401" s="23" t="n">
        <x:v>46006</x:v>
      </x:c>
      <x:c r="C1401" s="23" t="n">
        <x:v>46021</x:v>
      </x:c>
      <x:c r="D1401" s="23" t="n">
        <x:v>46019</x:v>
      </x:c>
      <x:c r="E1401" s="13" t="str">
        <x:v>VAL-002</x:v>
      </x:c>
      <x:c r="F1401" s="13" t="str">
        <x:v>Mendes &amp; Prado Consultoria</x:v>
      </x:c>
      <x:c r="G1401" s="13" t="str">
        <x:v>Serviços Profissionais</x:v>
      </x:c>
      <x:c r="H1401" s="13" t="str">
        <x:v>Baixo</x:v>
      </x:c>
      <x:c r="I1401" s="13" t="str">
        <x:v>Gestão</x:v>
      </x:c>
      <x:c r="J1401" s="17" t="n">
        <x:v>26199.19</x:v>
      </x:c>
      <x:c r="K1401" s="17" t="n">
        <x:v>0</x:v>
      </x:c>
      <x:c r="L1401" s="17" t="n">
        <x:v>0</x:v>
      </x:c>
      <x:c r="M1401" s="13" t="str">
        <x:v>Pago</x:v>
      </x:c>
      <x:c r="N1401" s="13" t="str">
        <x:v>Sem cobrança</x:v>
      </x:c>
      <x:c r="O1401" s="13" t="str">
        <x:v>Operação Clareza</x:v>
      </x:c>
      <x:c r="P1401" s="17" t="n">
        <x:f>IF(D1401="",0,J1401-K1401+L1401)</x:f>
        <x:v>26199.19</x:v>
      </x:c>
      <x:c r="Q1401" s="17" t="n">
        <x:f>MAX(J1401-P1401-K1401,0)</x:f>
        <x:v>0</x:v>
      </x:c>
      <x:c r="R1401" s="13" t="n">
        <x:f>IF(D1401="",MAX(TODAY()-C1401,0),MAX(D1401-C1401,0))</x:f>
        <x:v>0</x:v>
      </x:c>
      <x:c r="S1401" s="13" t="str">
        <x:f>IF(R1401=0,"Em dia",IF(R1401&lt;=15,"1-15 dias",IF(R1401&lt;=30,"16-30 dias",IF(R1401&lt;=60,"31-60 dias","Acima de 60 dias"))))</x:f>
        <x:v>Em dia</x:v>
      </x:c>
    </x:row>
    <x:row r="1402">
      <x:c r="A1402" s="13" t="str">
        <x:v>REC-001401</x:v>
      </x:c>
      <x:c r="B1402" s="23" t="n">
        <x:v>46003</x:v>
      </x:c>
      <x:c r="C1402" s="23" t="n">
        <x:v>46033</x:v>
      </x:c>
      <x:c r="D1402" s="23" t="n">
        <x:v>46033</x:v>
      </x:c>
      <x:c r="E1402" s="13" t="str">
        <x:v>VAL-005</x:v>
      </x:c>
      <x:c r="F1402" s="13" t="str">
        <x:v>Construtora Alameda</x:v>
      </x:c>
      <x:c r="G1402" s="13" t="str">
        <x:v>Construção</x:v>
      </x:c>
      <x:c r="H1402" s="13" t="str">
        <x:v>Médio</x:v>
      </x:c>
      <x:c r="I1402" s="13" t="str">
        <x:v>Essencial</x:v>
      </x:c>
      <x:c r="J1402" s="17" t="n">
        <x:v>23019.91</x:v>
      </x:c>
      <x:c r="K1402" s="17" t="n">
        <x:v>0</x:v>
      </x:c>
      <x:c r="L1402" s="17" t="n">
        <x:v>0</x:v>
      </x:c>
      <x:c r="M1402" s="13" t="str">
        <x:v>Pago</x:v>
      </x:c>
      <x:c r="N1402" s="13" t="str">
        <x:v>Sem cobrança</x:v>
      </x:c>
      <x:c r="O1402" s="13" t="str">
        <x:v>Operação Clareza</x:v>
      </x:c>
      <x:c r="P1402" s="17" t="n">
        <x:f>IF(D1402="",0,J1402-K1402+L1402)</x:f>
        <x:v>23019.91</x:v>
      </x:c>
      <x:c r="Q1402" s="17" t="n">
        <x:f>MAX(J1402-P1402-K1402,0)</x:f>
        <x:v>0</x:v>
      </x:c>
      <x:c r="R1402" s="13" t="n">
        <x:f>IF(D1402="",MAX(TODAY()-C1402,0),MAX(D1402-C1402,0))</x:f>
        <x:v>0</x:v>
      </x:c>
      <x:c r="S1402" s="13" t="str">
        <x:f>IF(R1402=0,"Em dia",IF(R1402&lt;=15,"1-15 dias",IF(R1402&lt;=30,"16-30 dias",IF(R1402&lt;=60,"31-60 dias","Acima de 60 dias"))))</x:f>
        <x:v>Em dia</x:v>
      </x:c>
    </x:row>
    <x:row r="1403">
      <x:c r="A1403" s="13" t="str">
        <x:v>REC-001402</x:v>
      </x:c>
      <x:c r="B1403" s="23" t="n">
        <x:v>45999</x:v>
      </x:c>
      <x:c r="C1403" s="23" t="n">
        <x:v>46020</x:v>
      </x:c>
      <x:c r="D1403" s="23" t="n">
        <x:v>46019</x:v>
      </x:c>
      <x:c r="E1403" s="13" t="str">
        <x:v>VAL-023</x:v>
      </x:c>
      <x:c r="F1403" s="13" t="str">
        <x:v>ShopMix Brasil</x:v>
      </x:c>
      <x:c r="G1403" s="13" t="str">
        <x:v>E-commerce</x:v>
      </x:c>
      <x:c r="H1403" s="13" t="str">
        <x:v>Baixo</x:v>
      </x:c>
      <x:c r="I1403" s="13" t="str">
        <x:v>Performance</x:v>
      </x:c>
      <x:c r="J1403" s="17" t="n">
        <x:v>9969.46</x:v>
      </x:c>
      <x:c r="K1403" s="17" t="n">
        <x:v>85.23</x:v>
      </x:c>
      <x:c r="L1403" s="17" t="n">
        <x:v>0</x:v>
      </x:c>
      <x:c r="M1403" s="13" t="str">
        <x:v>Pago</x:v>
      </x:c>
      <x:c r="N1403" s="13" t="str">
        <x:v>Sem cobrança</x:v>
      </x:c>
      <x:c r="O1403" s="13" t="str">
        <x:v>Operação Clareza</x:v>
      </x:c>
      <x:c r="P1403" s="17" t="n">
        <x:f>IF(D1403="",0,J1403-K1403+L1403)</x:f>
        <x:v>9884.23</x:v>
      </x:c>
      <x:c r="Q1403" s="17" t="n">
        <x:f>MAX(J1403-P1403-K1403,0)</x:f>
        <x:v>0</x:v>
      </x:c>
      <x:c r="R1403" s="13" t="n">
        <x:f>IF(D1403="",MAX(TODAY()-C1403,0),MAX(D1403-C1403,0))</x:f>
        <x:v>0</x:v>
      </x:c>
      <x:c r="S1403" s="13" t="str">
        <x:f>IF(R1403=0,"Em dia",IF(R1403&lt;=15,"1-15 dias",IF(R1403&lt;=30,"16-30 dias",IF(R1403&lt;=60,"31-60 dias","Acima de 60 dias"))))</x:f>
        <x:v>Em dia</x:v>
      </x:c>
    </x:row>
    <x:row r="1404">
      <x:c r="A1404" s="13" t="str">
        <x:v>REC-001403</x:v>
      </x:c>
      <x:c r="B1404" s="23" t="n">
        <x:v>45994</x:v>
      </x:c>
      <x:c r="C1404" s="23" t="n">
        <x:v>46022</x:v>
      </x:c>
      <x:c r="D1404" s="23" t="n">
        <x:v>46019</x:v>
      </x:c>
      <x:c r="E1404" s="13" t="str">
        <x:v>VAL-028</x:v>
      </x:c>
      <x:c r="F1404" s="13" t="str">
        <x:v>Pixel Norte</x:v>
      </x:c>
      <x:c r="G1404" s="13" t="str">
        <x:v>Tecnologia</x:v>
      </x:c>
      <x:c r="H1404" s="13" t="str">
        <x:v>Alto</x:v>
      </x:c>
      <x:c r="I1404" s="13" t="str">
        <x:v>Enterprise</x:v>
      </x:c>
      <x:c r="J1404" s="17" t="n">
        <x:v>11458.63</x:v>
      </x:c>
      <x:c r="K1404" s="17" t="n">
        <x:v>0</x:v>
      </x:c>
      <x:c r="L1404" s="17" t="n">
        <x:v>0</x:v>
      </x:c>
      <x:c r="M1404" s="13" t="str">
        <x:v>Pago</x:v>
      </x:c>
      <x:c r="N1404" s="13" t="str">
        <x:v>Sem cobrança</x:v>
      </x:c>
      <x:c r="O1404" s="13" t="str">
        <x:v>Operação Clareza</x:v>
      </x:c>
      <x:c r="P1404" s="17" t="n">
        <x:f>IF(D1404="",0,J1404-K1404+L1404)</x:f>
        <x:v>11458.63</x:v>
      </x:c>
      <x:c r="Q1404" s="17" t="n">
        <x:f>MAX(J1404-P1404-K1404,0)</x:f>
        <x:v>0</x:v>
      </x:c>
      <x:c r="R1404" s="13" t="n">
        <x:f>IF(D1404="",MAX(TODAY()-C1404,0),MAX(D1404-C1404,0))</x:f>
        <x:v>0</x:v>
      </x:c>
      <x:c r="S1404" s="13" t="str">
        <x:f>IF(R1404=0,"Em dia",IF(R1404&lt;=15,"1-15 dias",IF(R1404&lt;=30,"16-30 dias",IF(R1404&lt;=60,"31-60 dias","Acima de 60 dias"))))</x:f>
        <x:v>Em dia</x:v>
      </x:c>
    </x:row>
    <x:row r="1405">
      <x:c r="A1405" s="13" t="str">
        <x:v>REC-001404</x:v>
      </x:c>
      <x:c r="B1405" s="23" t="n">
        <x:v>46007</x:v>
      </x:c>
      <x:c r="C1405" s="23" t="n">
        <x:v>46035</x:v>
      </x:c>
      <x:c r="D1405" s="23" t="n">
        <x:v>46035</x:v>
      </x:c>
      <x:c r="E1405" s="13" t="str">
        <x:v>VAL-006</x:v>
      </x:c>
      <x:c r="F1405" s="13" t="str">
        <x:v>Instituto Saber Mais</x:v>
      </x:c>
      <x:c r="G1405" s="13" t="str">
        <x:v>Educação</x:v>
      </x:c>
      <x:c r="H1405" s="13" t="str">
        <x:v>Médio</x:v>
      </x:c>
      <x:c r="I1405" s="13" t="str">
        <x:v>Gestão</x:v>
      </x:c>
      <x:c r="J1405" s="17" t="n">
        <x:v>19800.95</x:v>
      </x:c>
      <x:c r="K1405" s="17" t="n">
        <x:v>0</x:v>
      </x:c>
      <x:c r="L1405" s="17" t="n">
        <x:v>0</x:v>
      </x:c>
      <x:c r="M1405" s="13" t="str">
        <x:v>Pago</x:v>
      </x:c>
      <x:c r="N1405" s="13" t="str">
        <x:v>Sem cobrança</x:v>
      </x:c>
      <x:c r="O1405" s="13" t="str">
        <x:v>Operação Clareza</x:v>
      </x:c>
      <x:c r="P1405" s="17" t="n">
        <x:f>IF(D1405="",0,J1405-K1405+L1405)</x:f>
        <x:v>19800.95</x:v>
      </x:c>
      <x:c r="Q1405" s="17" t="n">
        <x:f>MAX(J1405-P1405-K1405,0)</x:f>
        <x:v>0</x:v>
      </x:c>
      <x:c r="R1405" s="13" t="n">
        <x:f>IF(D1405="",MAX(TODAY()-C1405,0),MAX(D1405-C1405,0))</x:f>
        <x:v>0</x:v>
      </x:c>
      <x:c r="S1405" s="13" t="str">
        <x:f>IF(R1405=0,"Em dia",IF(R1405&lt;=15,"1-15 dias",IF(R1405&lt;=30,"16-30 dias",IF(R1405&lt;=60,"31-60 dias","Acima de 60 dias"))))</x:f>
        <x:v>Em dia</x:v>
      </x:c>
    </x:row>
    <x:row r="1406">
      <x:c r="A1406" s="13" t="str">
        <x:v>REC-001405</x:v>
      </x:c>
      <x:c r="B1406" s="23" t="n">
        <x:v>46002</x:v>
      </x:c>
      <x:c r="C1406" s="23" t="n">
        <x:v>46032</x:v>
      </x:c>
      <x:c r="D1406" s="23" t="n">
        <x:v>46028</x:v>
      </x:c>
      <x:c r="E1406" s="13" t="str">
        <x:v>VAL-017</x:v>
      </x:c>
      <x:c r="F1406" s="13" t="str">
        <x:v>Centro Médico Vida</x:v>
      </x:c>
      <x:c r="G1406" s="13" t="str">
        <x:v>Clínicas e Saúde</x:v>
      </x:c>
      <x:c r="H1406" s="13" t="str">
        <x:v>Baixo</x:v>
      </x:c>
      <x:c r="I1406" s="13" t="str">
        <x:v>Essencial</x:v>
      </x:c>
      <x:c r="J1406" s="17" t="n">
        <x:v>26366.27</x:v>
      </x:c>
      <x:c r="K1406" s="17" t="n">
        <x:v>0</x:v>
      </x:c>
      <x:c r="L1406" s="17" t="n">
        <x:v>0</x:v>
      </x:c>
      <x:c r="M1406" s="13" t="str">
        <x:v>Pago</x:v>
      </x:c>
      <x:c r="N1406" s="13" t="str">
        <x:v>Sem cobrança</x:v>
      </x:c>
      <x:c r="O1406" s="13" t="str">
        <x:v>Operação Clareza</x:v>
      </x:c>
      <x:c r="P1406" s="17" t="n">
        <x:f>IF(D1406="",0,J1406-K1406+L1406)</x:f>
        <x:v>26366.27</x:v>
      </x:c>
      <x:c r="Q1406" s="17" t="n">
        <x:f>MAX(J1406-P1406-K1406,0)</x:f>
        <x:v>0</x:v>
      </x:c>
      <x:c r="R1406" s="13" t="n">
        <x:f>IF(D1406="",MAX(TODAY()-C1406,0),MAX(D1406-C1406,0))</x:f>
        <x:v>0</x:v>
      </x:c>
      <x:c r="S1406" s="13" t="str">
        <x:f>IF(R1406=0,"Em dia",IF(R1406&lt;=15,"1-15 dias",IF(R1406&lt;=30,"16-30 dias",IF(R1406&lt;=60,"31-60 dias","Acima de 60 dias"))))</x:f>
        <x:v>Em dia</x:v>
      </x:c>
    </x:row>
    <x:row r="1407">
      <x:c r="A1407" s="13" t="str">
        <x:v>REC-001406</x:v>
      </x:c>
      <x:c r="B1407" s="23" t="n">
        <x:v>46009</x:v>
      </x:c>
      <x:c r="C1407" s="23" t="n">
        <x:v>46030</x:v>
      </x:c>
      <x:c r="D1407" s="23" t="n">
        <x:v>46030</x:v>
      </x:c>
      <x:c r="E1407" s="13" t="str">
        <x:v>VAL-028</x:v>
      </x:c>
      <x:c r="F1407" s="13" t="str">
        <x:v>Pixel Norte</x:v>
      </x:c>
      <x:c r="G1407" s="13" t="str">
        <x:v>Tecnologia</x:v>
      </x:c>
      <x:c r="H1407" s="13" t="str">
        <x:v>Alto</x:v>
      </x:c>
      <x:c r="I1407" s="13" t="str">
        <x:v>Enterprise</x:v>
      </x:c>
      <x:c r="J1407" s="17" t="n">
        <x:v>21157.39</x:v>
      </x:c>
      <x:c r="K1407" s="17" t="n">
        <x:v>0</x:v>
      </x:c>
      <x:c r="L1407" s="17" t="n">
        <x:v>0</x:v>
      </x:c>
      <x:c r="M1407" s="13" t="str">
        <x:v>Pago</x:v>
      </x:c>
      <x:c r="N1407" s="13" t="str">
        <x:v>Sem cobrança</x:v>
      </x:c>
      <x:c r="O1407" s="13" t="str">
        <x:v>Operação Clareza</x:v>
      </x:c>
      <x:c r="P1407" s="17" t="n">
        <x:f>IF(D1407="",0,J1407-K1407+L1407)</x:f>
        <x:v>21157.39</x:v>
      </x:c>
      <x:c r="Q1407" s="17" t="n">
        <x:f>MAX(J1407-P1407-K1407,0)</x:f>
        <x:v>0</x:v>
      </x:c>
      <x:c r="R1407" s="13" t="n">
        <x:f>IF(D1407="",MAX(TODAY()-C1407,0),MAX(D1407-C1407,0))</x:f>
        <x:v>0</x:v>
      </x:c>
      <x:c r="S1407" s="13" t="str">
        <x:f>IF(R1407=0,"Em dia",IF(R1407&lt;=15,"1-15 dias",IF(R1407&lt;=30,"16-30 dias",IF(R1407&lt;=60,"31-60 dias","Acima de 60 dias"))))</x:f>
        <x:v>Em dia</x:v>
      </x:c>
    </x:row>
    <x:row r="1408">
      <x:c r="A1408" s="13" t="str">
        <x:v>REC-001407</x:v>
      </x:c>
      <x:c r="B1408" s="23" t="n">
        <x:v>46010</x:v>
      </x:c>
      <x:c r="C1408" s="23" t="n">
        <x:v>46040</x:v>
      </x:c>
      <x:c r="D1408" s="23" t="n">
        <x:v>46037</x:v>
      </x:c>
      <x:c r="E1408" s="13" t="str">
        <x:v>VAL-028</x:v>
      </x:c>
      <x:c r="F1408" s="13" t="str">
        <x:v>Pixel Norte</x:v>
      </x:c>
      <x:c r="G1408" s="13" t="str">
        <x:v>Tecnologia</x:v>
      </x:c>
      <x:c r="H1408" s="13" t="str">
        <x:v>Alto</x:v>
      </x:c>
      <x:c r="I1408" s="13" t="str">
        <x:v>Enterprise</x:v>
      </x:c>
      <x:c r="J1408" s="17" t="n">
        <x:v>16445.82</x:v>
      </x:c>
      <x:c r="K1408" s="17" t="n">
        <x:v>0</x:v>
      </x:c>
      <x:c r="L1408" s="17" t="n">
        <x:v>0</x:v>
      </x:c>
      <x:c r="M1408" s="13" t="str">
        <x:v>Pago</x:v>
      </x:c>
      <x:c r="N1408" s="13" t="str">
        <x:v>Sem cobrança</x:v>
      </x:c>
      <x:c r="O1408" s="13" t="str">
        <x:v>Operação Clareza</x:v>
      </x:c>
      <x:c r="P1408" s="17" t="n">
        <x:f>IF(D1408="",0,J1408-K1408+L1408)</x:f>
        <x:v>16445.82</x:v>
      </x:c>
      <x:c r="Q1408" s="17" t="n">
        <x:f>MAX(J1408-P1408-K1408,0)</x:f>
        <x:v>0</x:v>
      </x:c>
      <x:c r="R1408" s="13" t="n">
        <x:f>IF(D1408="",MAX(TODAY()-C1408,0),MAX(D1408-C1408,0))</x:f>
        <x:v>0</x:v>
      </x:c>
      <x:c r="S1408" s="13" t="str">
        <x:f>IF(R1408=0,"Em dia",IF(R1408&lt;=15,"1-15 dias",IF(R1408&lt;=30,"16-30 dias",IF(R1408&lt;=60,"31-60 dias","Acima de 60 dias"))))</x:f>
        <x:v>Em dia</x:v>
      </x:c>
    </x:row>
    <x:row r="1409">
      <x:c r="A1409" s="13" t="str">
        <x:v>REC-001408</x:v>
      </x:c>
      <x:c r="B1409" s="23" t="n">
        <x:v>46008</x:v>
      </x:c>
      <x:c r="C1409" s="23" t="n">
        <x:v>46023</x:v>
      </x:c>
      <x:c r="D1409" s="23" t="n">
        <x:v>46019</x:v>
      </x:c>
      <x:c r="E1409" s="13" t="str">
        <x:v>VAL-021</x:v>
      </x:c>
      <x:c r="F1409" s="13" t="str">
        <x:v>Base Forte Obras</x:v>
      </x:c>
      <x:c r="G1409" s="13" t="str">
        <x:v>Construção</x:v>
      </x:c>
      <x:c r="H1409" s="13" t="str">
        <x:v>Médio</x:v>
      </x:c>
      <x:c r="I1409" s="13" t="str">
        <x:v>Essencial</x:v>
      </x:c>
      <x:c r="J1409" s="17" t="n">
        <x:v>21273.06</x:v>
      </x:c>
      <x:c r="K1409" s="17" t="n">
        <x:v>0</x:v>
      </x:c>
      <x:c r="L1409" s="17" t="n">
        <x:v>0</x:v>
      </x:c>
      <x:c r="M1409" s="13" t="str">
        <x:v>Pago</x:v>
      </x:c>
      <x:c r="N1409" s="13" t="str">
        <x:v>Sem cobrança</x:v>
      </x:c>
      <x:c r="O1409" s="13" t="str">
        <x:v>Operação Clareza</x:v>
      </x:c>
      <x:c r="P1409" s="17" t="n">
        <x:f>IF(D1409="",0,J1409-K1409+L1409)</x:f>
        <x:v>21273.06</x:v>
      </x:c>
      <x:c r="Q1409" s="17" t="n">
        <x:f>MAX(J1409-P1409-K1409,0)</x:f>
        <x:v>0</x:v>
      </x:c>
      <x:c r="R1409" s="13" t="n">
        <x:f>IF(D1409="",MAX(TODAY()-C1409,0),MAX(D1409-C1409,0))</x:f>
        <x:v>0</x:v>
      </x:c>
      <x:c r="S1409" s="13" t="str">
        <x:f>IF(R1409=0,"Em dia",IF(R1409&lt;=15,"1-15 dias",IF(R1409&lt;=30,"16-30 dias",IF(R1409&lt;=60,"31-60 dias","Acima de 60 dias"))))</x:f>
        <x:v>Em dia</x:v>
      </x:c>
    </x:row>
    <x:row r="1410">
      <x:c r="A1410" s="13" t="str">
        <x:v>REC-001409</x:v>
      </x:c>
      <x:c r="B1410" s="23" t="n">
        <x:v>45994</x:v>
      </x:c>
      <x:c r="C1410" s="23" t="n">
        <x:v>46022</x:v>
      </x:c>
      <x:c r="D1410" s="23" t="n">
        <x:v>46020</x:v>
      </x:c>
      <x:c r="E1410" s="13" t="str">
        <x:v>VAL-030</x:v>
      </x:c>
      <x:c r="F1410" s="13" t="str">
        <x:v>Mundo Kids Cursos</x:v>
      </x:c>
      <x:c r="G1410" s="13" t="str">
        <x:v>Educação</x:v>
      </x:c>
      <x:c r="H1410" s="13" t="str">
        <x:v>Alto</x:v>
      </x:c>
      <x:c r="I1410" s="13" t="str">
        <x:v>Gestão</x:v>
      </x:c>
      <x:c r="J1410" s="17" t="n">
        <x:v>4198.11</x:v>
      </x:c>
      <x:c r="K1410" s="17" t="n">
        <x:v>0</x:v>
      </x:c>
      <x:c r="L1410" s="17" t="n">
        <x:v>0</x:v>
      </x:c>
      <x:c r="M1410" s="13" t="str">
        <x:v>Pago</x:v>
      </x:c>
      <x:c r="N1410" s="13" t="str">
        <x:v>Sem cobrança</x:v>
      </x:c>
      <x:c r="O1410" s="13" t="str">
        <x:v>Operação Clareza</x:v>
      </x:c>
      <x:c r="P1410" s="17" t="n">
        <x:f>IF(D1410="",0,J1410-K1410+L1410)</x:f>
        <x:v>4198.11</x:v>
      </x:c>
      <x:c r="Q1410" s="17" t="n">
        <x:f>MAX(J1410-P1410-K1410,0)</x:f>
        <x:v>0</x:v>
      </x:c>
      <x:c r="R1410" s="13" t="n">
        <x:f>IF(D1410="",MAX(TODAY()-C1410,0),MAX(D1410-C1410,0))</x:f>
        <x:v>0</x:v>
      </x:c>
      <x:c r="S1410" s="13" t="str">
        <x:f>IF(R1410=0,"Em dia",IF(R1410&lt;=15,"1-15 dias",IF(R1410&lt;=30,"16-30 dias",IF(R1410&lt;=60,"31-60 dias","Acima de 60 dias"))))</x:f>
        <x:v>Em dia</x:v>
      </x:c>
    </x:row>
    <x:row r="1411">
      <x:c r="A1411" s="13" t="str">
        <x:v>REC-001410</x:v>
      </x:c>
      <x:c r="B1411" s="23" t="n">
        <x:v>45993</x:v>
      </x:c>
      <x:c r="C1411" s="23" t="n">
        <x:v>46021</x:v>
      </x:c>
      <x:c r="D1411" s="23" t="n">
        <x:v>46021</x:v>
      </x:c>
      <x:c r="E1411" s="13" t="str">
        <x:v>VAL-006</x:v>
      </x:c>
      <x:c r="F1411" s="13" t="str">
        <x:v>Instituto Saber Mais</x:v>
      </x:c>
      <x:c r="G1411" s="13" t="str">
        <x:v>Educação</x:v>
      </x:c>
      <x:c r="H1411" s="13" t="str">
        <x:v>Médio</x:v>
      </x:c>
      <x:c r="I1411" s="13" t="str">
        <x:v>Gestão</x:v>
      </x:c>
      <x:c r="J1411" s="17" t="n">
        <x:v>22817.07</x:v>
      </x:c>
      <x:c r="K1411" s="17" t="n">
        <x:v>0</x:v>
      </x:c>
      <x:c r="L1411" s="17" t="n">
        <x:v>0</x:v>
      </x:c>
      <x:c r="M1411" s="13" t="str">
        <x:v>Pago</x:v>
      </x:c>
      <x:c r="N1411" s="13" t="str">
        <x:v>Sem cobrança</x:v>
      </x:c>
      <x:c r="O1411" s="13" t="str">
        <x:v>Operação Clareza</x:v>
      </x:c>
      <x:c r="P1411" s="17" t="n">
        <x:f>IF(D1411="",0,J1411-K1411+L1411)</x:f>
        <x:v>22817.07</x:v>
      </x:c>
      <x:c r="Q1411" s="17" t="n">
        <x:f>MAX(J1411-P1411-K1411,0)</x:f>
        <x:v>0</x:v>
      </x:c>
      <x:c r="R1411" s="13" t="n">
        <x:f>IF(D1411="",MAX(TODAY()-C1411,0),MAX(D1411-C1411,0))</x:f>
        <x:v>0</x:v>
      </x:c>
      <x:c r="S1411" s="13" t="str">
        <x:f>IF(R1411=0,"Em dia",IF(R1411&lt;=15,"1-15 dias",IF(R1411&lt;=30,"16-30 dias",IF(R1411&lt;=60,"31-60 dias","Acima de 60 dias"))))</x:f>
        <x:v>Em dia</x:v>
      </x:c>
    </x:row>
    <x:row r="1412">
      <x:c r="A1412" s="13" t="str">
        <x:v>REC-001411</x:v>
      </x:c>
      <x:c r="B1412" s="23" t="n">
        <x:v>46009</x:v>
      </x:c>
      <x:c r="C1412" s="23" t="n">
        <x:v>46039</x:v>
      </x:c>
      <x:c r="D1412" s="23" t="n">
        <x:v>46038</x:v>
      </x:c>
      <x:c r="E1412" s="13" t="str">
        <x:v>VAL-010</x:v>
      </x:c>
      <x:c r="F1412" s="13" t="str">
        <x:v>Atlas Contabilidade</x:v>
      </x:c>
      <x:c r="G1412" s="13" t="str">
        <x:v>Serviços Profissionais</x:v>
      </x:c>
      <x:c r="H1412" s="13" t="str">
        <x:v>Baixo</x:v>
      </x:c>
      <x:c r="I1412" s="13" t="str">
        <x:v>Gestão</x:v>
      </x:c>
      <x:c r="J1412" s="17" t="n">
        <x:v>2044.59</x:v>
      </x:c>
      <x:c r="K1412" s="17" t="n">
        <x:v>0</x:v>
      </x:c>
      <x:c r="L1412" s="17" t="n">
        <x:v>0</x:v>
      </x:c>
      <x:c r="M1412" s="13" t="str">
        <x:v>Pago</x:v>
      </x:c>
      <x:c r="N1412" s="13" t="str">
        <x:v>Sem cobrança</x:v>
      </x:c>
      <x:c r="O1412" s="13" t="str">
        <x:v>Operação Clareza</x:v>
      </x:c>
      <x:c r="P1412" s="17" t="n">
        <x:f>IF(D1412="",0,J1412-K1412+L1412)</x:f>
        <x:v>2044.59</x:v>
      </x:c>
      <x:c r="Q1412" s="17" t="n">
        <x:f>MAX(J1412-P1412-K1412,0)</x:f>
        <x:v>0</x:v>
      </x:c>
      <x:c r="R1412" s="13" t="n">
        <x:f>IF(D1412="",MAX(TODAY()-C1412,0),MAX(D1412-C1412,0))</x:f>
        <x:v>0</x:v>
      </x:c>
      <x:c r="S1412" s="13" t="str">
        <x:f>IF(R1412=0,"Em dia",IF(R1412&lt;=15,"1-15 dias",IF(R1412&lt;=30,"16-30 dias",IF(R1412&lt;=60,"31-60 dias","Acima de 60 dias"))))</x:f>
        <x:v>Em dia</x:v>
      </x:c>
    </x:row>
    <x:row r="1413">
      <x:c r="A1413" s="13" t="str">
        <x:v>REC-001412</x:v>
      </x:c>
      <x:c r="B1413" s="23" t="n">
        <x:v>46002</x:v>
      </x:c>
      <x:c r="C1413" s="23" t="n">
        <x:v>46017</x:v>
      </x:c>
      <x:c r="D1413" s="23" t="n">
        <x:v>46016</x:v>
      </x:c>
      <x:c r="E1413" s="13" t="str">
        <x:v>VAL-002</x:v>
      </x:c>
      <x:c r="F1413" s="13" t="str">
        <x:v>Mendes &amp; Prado Consultoria</x:v>
      </x:c>
      <x:c r="G1413" s="13" t="str">
        <x:v>Serviços Profissionais</x:v>
      </x:c>
      <x:c r="H1413" s="13" t="str">
        <x:v>Baixo</x:v>
      </x:c>
      <x:c r="I1413" s="13" t="str">
        <x:v>Gestão</x:v>
      </x:c>
      <x:c r="J1413" s="17" t="n">
        <x:v>14627.24</x:v>
      </x:c>
      <x:c r="K1413" s="17" t="n">
        <x:v>0</x:v>
      </x:c>
      <x:c r="L1413" s="17" t="n">
        <x:v>0</x:v>
      </x:c>
      <x:c r="M1413" s="13" t="str">
        <x:v>Pago</x:v>
      </x:c>
      <x:c r="N1413" s="13" t="str">
        <x:v>Sem cobrança</x:v>
      </x:c>
      <x:c r="O1413" s="13" t="str">
        <x:v>Operação Clareza</x:v>
      </x:c>
      <x:c r="P1413" s="17" t="n">
        <x:f>IF(D1413="",0,J1413-K1413+L1413)</x:f>
        <x:v>14627.24</x:v>
      </x:c>
      <x:c r="Q1413" s="17" t="n">
        <x:f>MAX(J1413-P1413-K1413,0)</x:f>
        <x:v>0</x:v>
      </x:c>
      <x:c r="R1413" s="13" t="n">
        <x:f>IF(D1413="",MAX(TODAY()-C1413,0),MAX(D1413-C1413,0))</x:f>
        <x:v>0</x:v>
      </x:c>
      <x:c r="S1413" s="13" t="str">
        <x:f>IF(R1413=0,"Em dia",IF(R1413&lt;=15,"1-15 dias",IF(R1413&lt;=30,"16-30 dias",IF(R1413&lt;=60,"31-60 dias","Acima de 60 dias"))))</x:f>
        <x:v>Em dia</x:v>
      </x:c>
    </x:row>
    <x:row r="1414">
      <x:c r="A1414" s="13" t="str">
        <x:v>REC-001413</x:v>
      </x:c>
      <x:c r="B1414" s="23" t="n">
        <x:v>46002</x:v>
      </x:c>
      <x:c r="C1414" s="23" t="n">
        <x:v>46032</x:v>
      </x:c>
      <x:c r="D1414" s="23" t="n">
        <x:v>46029</x:v>
      </x:c>
      <x:c r="E1414" s="13" t="str">
        <x:v>VAL-005</x:v>
      </x:c>
      <x:c r="F1414" s="13" t="str">
        <x:v>Construtora Alameda</x:v>
      </x:c>
      <x:c r="G1414" s="13" t="str">
        <x:v>Construção</x:v>
      </x:c>
      <x:c r="H1414" s="13" t="str">
        <x:v>Médio</x:v>
      </x:c>
      <x:c r="I1414" s="13" t="str">
        <x:v>Essencial</x:v>
      </x:c>
      <x:c r="J1414" s="17" t="n">
        <x:v>3812.29</x:v>
      </x:c>
      <x:c r="K1414" s="17" t="n">
        <x:v>0</x:v>
      </x:c>
      <x:c r="L1414" s="17" t="n">
        <x:v>0</x:v>
      </x:c>
      <x:c r="M1414" s="13" t="str">
        <x:v>Pago</x:v>
      </x:c>
      <x:c r="N1414" s="13" t="str">
        <x:v>Sem cobrança</x:v>
      </x:c>
      <x:c r="O1414" s="13" t="str">
        <x:v>Operação Clareza</x:v>
      </x:c>
      <x:c r="P1414" s="17" t="n">
        <x:f>IF(D1414="",0,J1414-K1414+L1414)</x:f>
        <x:v>3812.29</x:v>
      </x:c>
      <x:c r="Q1414" s="17" t="n">
        <x:f>MAX(J1414-P1414-K1414,0)</x:f>
        <x:v>0</x:v>
      </x:c>
      <x:c r="R1414" s="13" t="n">
        <x:f>IF(D1414="",MAX(TODAY()-C1414,0),MAX(D1414-C1414,0))</x:f>
        <x:v>0</x:v>
      </x:c>
      <x:c r="S1414" s="13" t="str">
        <x:f>IF(R1414=0,"Em dia",IF(R1414&lt;=15,"1-15 dias",IF(R1414&lt;=30,"16-30 dias",IF(R1414&lt;=60,"31-60 dias","Acima de 60 dias"))))</x:f>
        <x:v>Em dia</x:v>
      </x:c>
    </x:row>
    <x:row r="1415">
      <x:c r="A1415" s="13" t="str">
        <x:v>REC-001414</x:v>
      </x:c>
      <x:c r="B1415" s="23" t="n">
        <x:v>45993</x:v>
      </x:c>
      <x:c r="C1415" s="23" t="n">
        <x:v>46021</x:v>
      </x:c>
      <x:c r="D1415" s="23" t="n">
        <x:v>46021</x:v>
      </x:c>
      <x:c r="E1415" s="13" t="str">
        <x:v>VAL-022</x:v>
      </x:c>
      <x:c r="F1415" s="13" t="str">
        <x:v>Academia Evoluir</x:v>
      </x:c>
      <x:c r="G1415" s="13" t="str">
        <x:v>Educação</x:v>
      </x:c>
      <x:c r="H1415" s="13" t="str">
        <x:v>Alto</x:v>
      </x:c>
      <x:c r="I1415" s="13" t="str">
        <x:v>Gestão</x:v>
      </x:c>
      <x:c r="J1415" s="17" t="n">
        <x:v>19630.64</x:v>
      </x:c>
      <x:c r="K1415" s="17" t="n">
        <x:v>0</x:v>
      </x:c>
      <x:c r="L1415" s="17" t="n">
        <x:v>0</x:v>
      </x:c>
      <x:c r="M1415" s="13" t="str">
        <x:v>Pago</x:v>
      </x:c>
      <x:c r="N1415" s="13" t="str">
        <x:v>Sem cobrança</x:v>
      </x:c>
      <x:c r="O1415" s="13" t="str">
        <x:v>Operação Clareza</x:v>
      </x:c>
      <x:c r="P1415" s="17" t="n">
        <x:f>IF(D1415="",0,J1415-K1415+L1415)</x:f>
        <x:v>19630.64</x:v>
      </x:c>
      <x:c r="Q1415" s="17" t="n">
        <x:f>MAX(J1415-P1415-K1415,0)</x:f>
        <x:v>0</x:v>
      </x:c>
      <x:c r="R1415" s="13" t="n">
        <x:f>IF(D1415="",MAX(TODAY()-C1415,0),MAX(D1415-C1415,0))</x:f>
        <x:v>0</x:v>
      </x:c>
      <x:c r="S1415" s="13" t="str">
        <x:f>IF(R1415=0,"Em dia",IF(R1415&lt;=15,"1-15 dias",IF(R1415&lt;=30,"16-30 dias",IF(R1415&lt;=60,"31-60 dias","Acima de 60 dias"))))</x:f>
        <x:v>Em dia</x:v>
      </x:c>
    </x:row>
    <x:row r="1416">
      <x:c r="A1416" s="13" t="str">
        <x:v>REC-001415</x:v>
      </x:c>
      <x:c r="B1416" s="23" t="n">
        <x:v>46010</x:v>
      </x:c>
      <x:c r="C1416" s="23" t="n">
        <x:v>46038</x:v>
      </x:c>
      <x:c r="D1416" s="23" t="n">
        <x:v>46034</x:v>
      </x:c>
      <x:c r="E1416" s="13" t="str">
        <x:v>VAL-003</x:v>
      </x:c>
      <x:c r="F1416" s="13" t="str">
        <x:v>Casa Nova Varejo</x:v>
      </x:c>
      <x:c r="G1416" s="13" t="str">
        <x:v>Varejo</x:v>
      </x:c>
      <x:c r="H1416" s="13" t="str">
        <x:v>Baixo</x:v>
      </x:c>
      <x:c r="I1416" s="13" t="str">
        <x:v>Performance</x:v>
      </x:c>
      <x:c r="J1416" s="17" t="n">
        <x:v>22588.56</x:v>
      </x:c>
      <x:c r="K1416" s="17" t="n">
        <x:v>0</x:v>
      </x:c>
      <x:c r="L1416" s="17" t="n">
        <x:v>0</x:v>
      </x:c>
      <x:c r="M1416" s="13" t="str">
        <x:v>Pago</x:v>
      </x:c>
      <x:c r="N1416" s="13" t="str">
        <x:v>Sem cobrança</x:v>
      </x:c>
      <x:c r="O1416" s="13" t="str">
        <x:v>Operação Clareza</x:v>
      </x:c>
      <x:c r="P1416" s="17" t="n">
        <x:f>IF(D1416="",0,J1416-K1416+L1416)</x:f>
        <x:v>22588.56</x:v>
      </x:c>
      <x:c r="Q1416" s="17" t="n">
        <x:f>MAX(J1416-P1416-K1416,0)</x:f>
        <x:v>0</x:v>
      </x:c>
      <x:c r="R1416" s="13" t="n">
        <x:f>IF(D1416="",MAX(TODAY()-C1416,0),MAX(D1416-C1416,0))</x:f>
        <x:v>0</x:v>
      </x:c>
      <x:c r="S1416" s="13" t="str">
        <x:f>IF(R1416=0,"Em dia",IF(R1416&lt;=15,"1-15 dias",IF(R1416&lt;=30,"16-30 dias",IF(R1416&lt;=60,"31-60 dias","Acima de 60 dias"))))</x:f>
        <x:v>Em dia</x:v>
      </x:c>
    </x:row>
    <x:row r="1417">
      <x:c r="A1417" s="13" t="str">
        <x:v>REC-001416</x:v>
      </x:c>
      <x:c r="B1417" s="23" t="n">
        <x:v>45995</x:v>
      </x:c>
      <x:c r="C1417" s="23" t="n">
        <x:v>46010</x:v>
      </x:c>
      <x:c r="D1417" s="23" t="n">
        <x:v>46008</x:v>
      </x:c>
      <x:c r="E1417" s="13" t="str">
        <x:v>VAL-026</x:v>
      </x:c>
      <x:c r="F1417" s="13" t="str">
        <x:v>Ribeiro Arquitetura</x:v>
      </x:c>
      <x:c r="G1417" s="13" t="str">
        <x:v>Serviços Profissionais</x:v>
      </x:c>
      <x:c r="H1417" s="13" t="str">
        <x:v>Baixo</x:v>
      </x:c>
      <x:c r="I1417" s="13" t="str">
        <x:v>Gestão</x:v>
      </x:c>
      <x:c r="J1417" s="17" t="n">
        <x:v>13094.02</x:v>
      </x:c>
      <x:c r="K1417" s="17" t="n">
        <x:v>0</x:v>
      </x:c>
      <x:c r="L1417" s="17" t="n">
        <x:v>0</x:v>
      </x:c>
      <x:c r="M1417" s="13" t="str">
        <x:v>Pago</x:v>
      </x:c>
      <x:c r="N1417" s="13" t="str">
        <x:v>Sem cobrança</x:v>
      </x:c>
      <x:c r="O1417" s="13" t="str">
        <x:v>Operação Clareza</x:v>
      </x:c>
      <x:c r="P1417" s="17" t="n">
        <x:f>IF(D1417="",0,J1417-K1417+L1417)</x:f>
        <x:v>13094.02</x:v>
      </x:c>
      <x:c r="Q1417" s="17" t="n">
        <x:f>MAX(J1417-P1417-K1417,0)</x:f>
        <x:v>0</x:v>
      </x:c>
      <x:c r="R1417" s="13" t="n">
        <x:f>IF(D1417="",MAX(TODAY()-C1417,0),MAX(D1417-C1417,0))</x:f>
        <x:v>0</x:v>
      </x:c>
      <x:c r="S1417" s="13" t="str">
        <x:f>IF(R1417=0,"Em dia",IF(R1417&lt;=15,"1-15 dias",IF(R1417&lt;=30,"16-30 dias",IF(R1417&lt;=60,"31-60 dias","Acima de 60 dias"))))</x:f>
        <x:v>Em dia</x:v>
      </x:c>
    </x:row>
    <x:row r="1418">
      <x:c r="A1418" s="13" t="str">
        <x:v>REC-001417</x:v>
      </x:c>
      <x:c r="B1418" s="23" t="n">
        <x:v>46009</x:v>
      </x:c>
      <x:c r="C1418" s="23" t="n">
        <x:v>46024</x:v>
      </x:c>
      <x:c r="D1418" s="23" t="n">
        <x:v>46022</x:v>
      </x:c>
      <x:c r="E1418" s="13" t="str">
        <x:v>VAL-030</x:v>
      </x:c>
      <x:c r="F1418" s="13" t="str">
        <x:v>Mundo Kids Cursos</x:v>
      </x:c>
      <x:c r="G1418" s="13" t="str">
        <x:v>Educação</x:v>
      </x:c>
      <x:c r="H1418" s="13" t="str">
        <x:v>Alto</x:v>
      </x:c>
      <x:c r="I1418" s="13" t="str">
        <x:v>Gestão</x:v>
      </x:c>
      <x:c r="J1418" s="17" t="n">
        <x:v>25146.07</x:v>
      </x:c>
      <x:c r="K1418" s="17" t="n">
        <x:v>0</x:v>
      </x:c>
      <x:c r="L1418" s="17" t="n">
        <x:v>0</x:v>
      </x:c>
      <x:c r="M1418" s="13" t="str">
        <x:v>Pago</x:v>
      </x:c>
      <x:c r="N1418" s="13" t="str">
        <x:v>Sem cobrança</x:v>
      </x:c>
      <x:c r="O1418" s="13" t="str">
        <x:v>Operação Clareza</x:v>
      </x:c>
      <x:c r="P1418" s="17" t="n">
        <x:f>IF(D1418="",0,J1418-K1418+L1418)</x:f>
        <x:v>25146.07</x:v>
      </x:c>
      <x:c r="Q1418" s="17" t="n">
        <x:f>MAX(J1418-P1418-K1418,0)</x:f>
        <x:v>0</x:v>
      </x:c>
      <x:c r="R1418" s="13" t="n">
        <x:f>IF(D1418="",MAX(TODAY()-C1418,0),MAX(D1418-C1418,0))</x:f>
        <x:v>0</x:v>
      </x:c>
      <x:c r="S1418" s="13" t="str">
        <x:f>IF(R1418=0,"Em dia",IF(R1418&lt;=15,"1-15 dias",IF(R1418&lt;=30,"16-30 dias",IF(R1418&lt;=60,"31-60 dias","Acima de 60 dias"))))</x:f>
        <x:v>Em dia</x:v>
      </x:c>
    </x:row>
    <x:row r="1419">
      <x:c r="A1419" s="13" t="str">
        <x:v>REC-001418</x:v>
      </x:c>
      <x:c r="B1419" s="23" t="n">
        <x:v>45997</x:v>
      </x:c>
      <x:c r="C1419" s="23" t="n">
        <x:v>46012</x:v>
      </x:c>
      <x:c r="D1419" s="23" t="n">
        <x:v>46010</x:v>
      </x:c>
      <x:c r="E1419" s="13" t="str">
        <x:v>VAL-026</x:v>
      </x:c>
      <x:c r="F1419" s="13" t="str">
        <x:v>Ribeiro Arquitetura</x:v>
      </x:c>
      <x:c r="G1419" s="13" t="str">
        <x:v>Serviços Profissionais</x:v>
      </x:c>
      <x:c r="H1419" s="13" t="str">
        <x:v>Baixo</x:v>
      </x:c>
      <x:c r="I1419" s="13" t="str">
        <x:v>Gestão</x:v>
      </x:c>
      <x:c r="J1419" s="17" t="n">
        <x:v>26198.96</x:v>
      </x:c>
      <x:c r="K1419" s="17" t="n">
        <x:v>0</x:v>
      </x:c>
      <x:c r="L1419" s="17" t="n">
        <x:v>0</x:v>
      </x:c>
      <x:c r="M1419" s="13" t="str">
        <x:v>Pago</x:v>
      </x:c>
      <x:c r="N1419" s="13" t="str">
        <x:v>Sem cobrança</x:v>
      </x:c>
      <x:c r="O1419" s="13" t="str">
        <x:v>Operação Clareza</x:v>
      </x:c>
      <x:c r="P1419" s="17" t="n">
        <x:f>IF(D1419="",0,J1419-K1419+L1419)</x:f>
        <x:v>26198.96</x:v>
      </x:c>
      <x:c r="Q1419" s="17" t="n">
        <x:f>MAX(J1419-P1419-K1419,0)</x:f>
        <x:v>0</x:v>
      </x:c>
      <x:c r="R1419" s="13" t="n">
        <x:f>IF(D1419="",MAX(TODAY()-C1419,0),MAX(D1419-C1419,0))</x:f>
        <x:v>0</x:v>
      </x:c>
      <x:c r="S1419" s="13" t="str">
        <x:f>IF(R1419=0,"Em dia",IF(R1419&lt;=15,"1-15 dias",IF(R1419&lt;=30,"16-30 dias",IF(R1419&lt;=60,"31-60 dias","Acima de 60 dias"))))</x:f>
        <x:v>Em dia</x:v>
      </x:c>
    </x:row>
    <x:row r="1420">
      <x:c r="A1420" s="13" t="str">
        <x:v>REC-001419</x:v>
      </x:c>
      <x:c r="B1420" s="23" t="n">
        <x:v>45999</x:v>
      </x:c>
      <x:c r="C1420" s="23" t="n">
        <x:v>46020</x:v>
      </x:c>
      <x:c r="D1420" s="23" t="n">
        <x:v>46020</x:v>
      </x:c>
      <x:c r="E1420" s="13" t="str">
        <x:v>VAL-021</x:v>
      </x:c>
      <x:c r="F1420" s="13" t="str">
        <x:v>Base Forte Obras</x:v>
      </x:c>
      <x:c r="G1420" s="13" t="str">
        <x:v>Construção</x:v>
      </x:c>
      <x:c r="H1420" s="13" t="str">
        <x:v>Médio</x:v>
      </x:c>
      <x:c r="I1420" s="13" t="str">
        <x:v>Essencial</x:v>
      </x:c>
      <x:c r="J1420" s="17" t="n">
        <x:v>16813.03</x:v>
      </x:c>
      <x:c r="K1420" s="17" t="n">
        <x:v>0</x:v>
      </x:c>
      <x:c r="L1420" s="17" t="n">
        <x:v>0</x:v>
      </x:c>
      <x:c r="M1420" s="13" t="str">
        <x:v>Pago</x:v>
      </x:c>
      <x:c r="N1420" s="13" t="str">
        <x:v>Sem cobrança</x:v>
      </x:c>
      <x:c r="O1420" s="13" t="str">
        <x:v>Operação Clareza</x:v>
      </x:c>
      <x:c r="P1420" s="17" t="n">
        <x:f>IF(D1420="",0,J1420-K1420+L1420)</x:f>
        <x:v>16813.03</x:v>
      </x:c>
      <x:c r="Q1420" s="17" t="n">
        <x:f>MAX(J1420-P1420-K1420,0)</x:f>
        <x:v>0</x:v>
      </x:c>
      <x:c r="R1420" s="13" t="n">
        <x:f>IF(D1420="",MAX(TODAY()-C1420,0),MAX(D1420-C1420,0))</x:f>
        <x:v>0</x:v>
      </x:c>
      <x:c r="S1420" s="13" t="str">
        <x:f>IF(R1420=0,"Em dia",IF(R1420&lt;=15,"1-15 dias",IF(R1420&lt;=30,"16-30 dias",IF(R1420&lt;=60,"31-60 dias","Acima de 60 dias"))))</x:f>
        <x:v>Em dia</x:v>
      </x:c>
    </x:row>
    <x:row r="1421">
      <x:c r="A1421" s="13" t="str">
        <x:v>REC-001420</x:v>
      </x:c>
      <x:c r="B1421" s="23" t="n">
        <x:v>45996</x:v>
      </x:c>
      <x:c r="C1421" s="23" t="n">
        <x:v>46026</x:v>
      </x:c>
      <x:c r="D1421" s="23" t="n">
        <x:v>46026</x:v>
      </x:c>
      <x:c r="E1421" s="13" t="str">
        <x:v>VAL-024</x:v>
      </x:c>
      <x:c r="F1421" s="13" t="str">
        <x:v>NovaForma Móveis</x:v>
      </x:c>
      <x:c r="G1421" s="13" t="str">
        <x:v>Indústria Leve</x:v>
      </x:c>
      <x:c r="H1421" s="13" t="str">
        <x:v>Baixo</x:v>
      </x:c>
      <x:c r="I1421" s="13" t="str">
        <x:v>Enterprise</x:v>
      </x:c>
      <x:c r="J1421" s="17" t="n">
        <x:v>27251.74</x:v>
      </x:c>
      <x:c r="K1421" s="17" t="n">
        <x:v>351.46</x:v>
      </x:c>
      <x:c r="L1421" s="17" t="n">
        <x:v>0</x:v>
      </x:c>
      <x:c r="M1421" s="13" t="str">
        <x:v>Pago</x:v>
      </x:c>
      <x:c r="N1421" s="13" t="str">
        <x:v>Sem cobrança</x:v>
      </x:c>
      <x:c r="O1421" s="13" t="str">
        <x:v>Operação Clareza</x:v>
      </x:c>
      <x:c r="P1421" s="17" t="n">
        <x:f>IF(D1421="",0,J1421-K1421+L1421)</x:f>
        <x:v>26900.280000000002</x:v>
      </x:c>
      <x:c r="Q1421" s="17" t="n">
        <x:f>MAX(J1421-P1421-K1421,0)</x:f>
        <x:v>0</x:v>
      </x:c>
      <x:c r="R1421" s="13" t="n">
        <x:f>IF(D1421="",MAX(TODAY()-C1421,0),MAX(D1421-C1421,0))</x:f>
        <x:v>0</x:v>
      </x:c>
      <x:c r="S1421" s="13" t="str">
        <x:f>IF(R1421=0,"Em dia",IF(R1421&lt;=15,"1-15 dias",IF(R1421&lt;=30,"16-30 dias",IF(R1421&lt;=60,"31-60 dias","Acima de 60 dias"))))</x:f>
        <x:v>Em dia</x:v>
      </x:c>
    </x:row>
    <x:row r="1422">
      <x:c r="A1422" s="13" t="str">
        <x:v>REC-001421</x:v>
      </x:c>
      <x:c r="B1422" s="23" t="n">
        <x:v>45992</x:v>
      </x:c>
      <x:c r="C1422" s="23" t="n">
        <x:v>45999</x:v>
      </x:c>
      <x:c r="D1422" s="23" t="n">
        <x:v>45997</x:v>
      </x:c>
      <x:c r="E1422" s="13" t="str">
        <x:v>VAL-012</x:v>
      </x:c>
      <x:c r="F1422" s="13" t="str">
        <x:v>DataFlow Sistemas</x:v>
      </x:c>
      <x:c r="G1422" s="13" t="str">
        <x:v>Tecnologia</x:v>
      </x:c>
      <x:c r="H1422" s="13" t="str">
        <x:v>Médio</x:v>
      </x:c>
      <x:c r="I1422" s="13" t="str">
        <x:v>Enterprise</x:v>
      </x:c>
      <x:c r="J1422" s="17" t="n">
        <x:v>30942.52</x:v>
      </x:c>
      <x:c r="K1422" s="17" t="n">
        <x:v>0</x:v>
      </x:c>
      <x:c r="L1422" s="17" t="n">
        <x:v>0</x:v>
      </x:c>
      <x:c r="M1422" s="13" t="str">
        <x:v>Pago</x:v>
      </x:c>
      <x:c r="N1422" s="13" t="str">
        <x:v>Sem cobrança</x:v>
      </x:c>
      <x:c r="O1422" s="13" t="str">
        <x:v>Operação Clareza</x:v>
      </x:c>
      <x:c r="P1422" s="17" t="n">
        <x:f>IF(D1422="",0,J1422-K1422+L1422)</x:f>
        <x:v>30942.52</x:v>
      </x:c>
      <x:c r="Q1422" s="17" t="n">
        <x:f>MAX(J1422-P1422-K1422,0)</x:f>
        <x:v>0</x:v>
      </x:c>
      <x:c r="R1422" s="13" t="n">
        <x:f>IF(D1422="",MAX(TODAY()-C1422,0),MAX(D1422-C1422,0))</x:f>
        <x:v>0</x:v>
      </x:c>
      <x:c r="S1422" s="13" t="str">
        <x:f>IF(R1422=0,"Em dia",IF(R1422&lt;=15,"1-15 dias",IF(R1422&lt;=30,"16-30 dias",IF(R1422&lt;=60,"31-60 dias","Acima de 60 dias"))))</x:f>
        <x:v>Em dia</x:v>
      </x:c>
    </x:row>
    <x:row r="1423">
      <x:c r="A1423" s="13" t="str">
        <x:v>REC-001422</x:v>
      </x:c>
      <x:c r="B1423" s="23" t="n">
        <x:v>45995</x:v>
      </x:c>
      <x:c r="C1423" s="23" t="n">
        <x:v>46025</x:v>
      </x:c>
      <x:c r="D1423" s="23" t="n">
        <x:v>46025</x:v>
      </x:c>
      <x:c r="E1423" s="13" t="str">
        <x:v>VAL-020</x:v>
      </x:c>
      <x:c r="F1423" s="13" t="str">
        <x:v>Corelink Digital</x:v>
      </x:c>
      <x:c r="G1423" s="13" t="str">
        <x:v>Tecnologia</x:v>
      </x:c>
      <x:c r="H1423" s="13" t="str">
        <x:v>Baixo</x:v>
      </x:c>
      <x:c r="I1423" s="13" t="str">
        <x:v>Enterprise</x:v>
      </x:c>
      <x:c r="J1423" s="17" t="n">
        <x:v>1526.26</x:v>
      </x:c>
      <x:c r="K1423" s="17" t="n">
        <x:v>23.73</x:v>
      </x:c>
      <x:c r="L1423" s="17" t="n">
        <x:v>0</x:v>
      </x:c>
      <x:c r="M1423" s="13" t="str">
        <x:v>Pago</x:v>
      </x:c>
      <x:c r="N1423" s="13" t="str">
        <x:v>Sem cobrança</x:v>
      </x:c>
      <x:c r="O1423" s="13" t="str">
        <x:v>Operação Clareza</x:v>
      </x:c>
      <x:c r="P1423" s="17" t="n">
        <x:f>IF(D1423="",0,J1423-K1423+L1423)</x:f>
        <x:v>1502.53</x:v>
      </x:c>
      <x:c r="Q1423" s="17" t="n">
        <x:f>MAX(J1423-P1423-K1423,0)</x:f>
        <x:v>1.7763568394002505e-14</x:v>
      </x:c>
      <x:c r="R1423" s="13" t="n">
        <x:f>IF(D1423="",MAX(TODAY()-C1423,0),MAX(D1423-C1423,0))</x:f>
        <x:v>0</x:v>
      </x:c>
      <x:c r="S1423" s="13" t="str">
        <x:f>IF(R1423=0,"Em dia",IF(R1423&lt;=15,"1-15 dias",IF(R1423&lt;=30,"16-30 dias",IF(R1423&lt;=60,"31-60 dias","Acima de 60 dias"))))</x:f>
        <x:v>Em dia</x:v>
      </x:c>
    </x:row>
    <x:row r="1424">
      <x:c r="A1424" s="13" t="str">
        <x:v>REC-001423</x:v>
      </x:c>
      <x:c r="B1424" s="23" t="n">
        <x:v>46007</x:v>
      </x:c>
      <x:c r="C1424" s="23" t="n">
        <x:v>46022</x:v>
      </x:c>
      <x:c r="D1424" s="23" t="n">
        <x:v>46022</x:v>
      </x:c>
      <x:c r="E1424" s="13" t="str">
        <x:v>VAL-024</x:v>
      </x:c>
      <x:c r="F1424" s="13" t="str">
        <x:v>NovaForma Móveis</x:v>
      </x:c>
      <x:c r="G1424" s="13" t="str">
        <x:v>Indústria Leve</x:v>
      </x:c>
      <x:c r="H1424" s="13" t="str">
        <x:v>Baixo</x:v>
      </x:c>
      <x:c r="I1424" s="13" t="str">
        <x:v>Enterprise</x:v>
      </x:c>
      <x:c r="J1424" s="17" t="n">
        <x:v>24046.81</x:v>
      </x:c>
      <x:c r="K1424" s="17" t="n">
        <x:v>0</x:v>
      </x:c>
      <x:c r="L1424" s="17" t="n">
        <x:v>0</x:v>
      </x:c>
      <x:c r="M1424" s="13" t="str">
        <x:v>Pago</x:v>
      </x:c>
      <x:c r="N1424" s="13" t="str">
        <x:v>Sem cobrança</x:v>
      </x:c>
      <x:c r="O1424" s="13" t="str">
        <x:v>Operação Clareza</x:v>
      </x:c>
      <x:c r="P1424" s="17" t="n">
        <x:f>IF(D1424="",0,J1424-K1424+L1424)</x:f>
        <x:v>24046.81</x:v>
      </x:c>
      <x:c r="Q1424" s="17" t="n">
        <x:f>MAX(J1424-P1424-K1424,0)</x:f>
        <x:v>0</x:v>
      </x:c>
      <x:c r="R1424" s="13" t="n">
        <x:f>IF(D1424="",MAX(TODAY()-C1424,0),MAX(D1424-C1424,0))</x:f>
        <x:v>0</x:v>
      </x:c>
      <x:c r="S1424" s="13" t="str">
        <x:f>IF(R1424=0,"Em dia",IF(R1424&lt;=15,"1-15 dias",IF(R1424&lt;=30,"16-30 dias",IF(R1424&lt;=60,"31-60 dias","Acima de 60 dias"))))</x:f>
        <x:v>Em dia</x:v>
      </x:c>
    </x:row>
    <x:row r="1425">
      <x:c r="A1425" s="13" t="str">
        <x:v>REC-001424</x:v>
      </x:c>
      <x:c r="B1425" s="23" t="n">
        <x:v>46000</x:v>
      </x:c>
      <x:c r="C1425" s="23" t="n">
        <x:v>46007</x:v>
      </x:c>
      <x:c r="D1425" s="23" t="n">
        <x:v>46007</x:v>
      </x:c>
      <x:c r="E1425" s="13" t="str">
        <x:v>VAL-025</x:v>
      </x:c>
      <x:c r="F1425" s="13" t="str">
        <x:v>Bem-Estar Terapias</x:v>
      </x:c>
      <x:c r="G1425" s="13" t="str">
        <x:v>Clínicas e Saúde</x:v>
      </x:c>
      <x:c r="H1425" s="13" t="str">
        <x:v>Baixo</x:v>
      </x:c>
      <x:c r="I1425" s="13" t="str">
        <x:v>Essencial</x:v>
      </x:c>
      <x:c r="J1425" s="17" t="n">
        <x:v>13128.89</x:v>
      </x:c>
      <x:c r="K1425" s="17" t="n">
        <x:v>195.1</x:v>
      </x:c>
      <x:c r="L1425" s="17" t="n">
        <x:v>0</x:v>
      </x:c>
      <x:c r="M1425" s="13" t="str">
        <x:v>Pago</x:v>
      </x:c>
      <x:c r="N1425" s="13" t="str">
        <x:v>Sem cobrança</x:v>
      </x:c>
      <x:c r="O1425" s="13" t="str">
        <x:v>Operação Clareza</x:v>
      </x:c>
      <x:c r="P1425" s="17" t="n">
        <x:f>IF(D1425="",0,J1425-K1425+L1425)</x:f>
        <x:v>12933.789999999999</x:v>
      </x:c>
      <x:c r="Q1425" s="17" t="n">
        <x:f>MAX(J1425-P1425-K1425,0)</x:f>
        <x:v>3.694822225952521e-13</x:v>
      </x:c>
      <x:c r="R1425" s="13" t="n">
        <x:f>IF(D1425="",MAX(TODAY()-C1425,0),MAX(D1425-C1425,0))</x:f>
        <x:v>0</x:v>
      </x:c>
      <x:c r="S1425" s="13" t="str">
        <x:f>IF(R1425=0,"Em dia",IF(R1425&lt;=15,"1-15 dias",IF(R1425&lt;=30,"16-30 dias",IF(R1425&lt;=60,"31-60 dias","Acima de 60 dias"))))</x:f>
        <x:v>Em dia</x:v>
      </x:c>
    </x:row>
    <x:row r="1426">
      <x:c r="A1426" s="13" t="str">
        <x:v>REC-001425</x:v>
      </x:c>
      <x:c r="B1426" s="23" t="n">
        <x:v>45996</x:v>
      </x:c>
      <x:c r="C1426" s="23" t="n">
        <x:v>46003</x:v>
      </x:c>
      <x:c r="D1426" s="23" t="n">
        <x:v>46002</x:v>
      </x:c>
      <x:c r="E1426" s="13" t="str">
        <x:v>VAL-018</x:v>
      </x:c>
      <x:c r="F1426" s="13" t="str">
        <x:v>Ponto Legal Advocacia</x:v>
      </x:c>
      <x:c r="G1426" s="13" t="str">
        <x:v>Serviços Profissionais</x:v>
      </x:c>
      <x:c r="H1426" s="13" t="str">
        <x:v>Baixo</x:v>
      </x:c>
      <x:c r="I1426" s="13" t="str">
        <x:v>Gestão</x:v>
      </x:c>
      <x:c r="J1426" s="17" t="n">
        <x:v>12914.74</x:v>
      </x:c>
      <x:c r="K1426" s="17" t="n">
        <x:v>0</x:v>
      </x:c>
      <x:c r="L1426" s="17" t="n">
        <x:v>0</x:v>
      </x:c>
      <x:c r="M1426" s="13" t="str">
        <x:v>Pago</x:v>
      </x:c>
      <x:c r="N1426" s="13" t="str">
        <x:v>Sem cobrança</x:v>
      </x:c>
      <x:c r="O1426" s="13" t="str">
        <x:v>Operação Clareza</x:v>
      </x:c>
      <x:c r="P1426" s="17" t="n">
        <x:f>IF(D1426="",0,J1426-K1426+L1426)</x:f>
        <x:v>12914.74</x:v>
      </x:c>
      <x:c r="Q1426" s="17" t="n">
        <x:f>MAX(J1426-P1426-K1426,0)</x:f>
        <x:v>0</x:v>
      </x:c>
      <x:c r="R1426" s="13" t="n">
        <x:f>IF(D1426="",MAX(TODAY()-C1426,0),MAX(D1426-C1426,0))</x:f>
        <x:v>0</x:v>
      </x:c>
      <x:c r="S1426" s="13" t="str">
        <x:f>IF(R1426=0,"Em dia",IF(R1426&lt;=15,"1-15 dias",IF(R1426&lt;=30,"16-30 dias",IF(R1426&lt;=60,"31-60 dias","Acima de 60 dias"))))</x:f>
        <x:v>Em dia</x:v>
      </x:c>
    </x:row>
    <x:row r="1427">
      <x:c r="A1427" s="13" t="str">
        <x:v>REC-001426</x:v>
      </x:c>
      <x:c r="B1427" s="23" t="n">
        <x:v>46010</x:v>
      </x:c>
      <x:c r="C1427" s="23" t="n">
        <x:v>46031</x:v>
      </x:c>
      <x:c r="D1427" s="23" t="n">
        <x:v>46028</x:v>
      </x:c>
      <x:c r="E1427" s="13" t="str">
        <x:v>VAL-009</x:v>
      </x:c>
      <x:c r="F1427" s="13" t="str">
        <x:v>Odonto Prime</x:v>
      </x:c>
      <x:c r="G1427" s="13" t="str">
        <x:v>Clínicas e Saúde</x:v>
      </x:c>
      <x:c r="H1427" s="13" t="str">
        <x:v>Médio</x:v>
      </x:c>
      <x:c r="I1427" s="13" t="str">
        <x:v>Essencial</x:v>
      </x:c>
      <x:c r="J1427" s="17" t="n">
        <x:v>24054.11</x:v>
      </x:c>
      <x:c r="K1427" s="17" t="n">
        <x:v>0</x:v>
      </x:c>
      <x:c r="L1427" s="17" t="n">
        <x:v>0</x:v>
      </x:c>
      <x:c r="M1427" s="13" t="str">
        <x:v>Pago</x:v>
      </x:c>
      <x:c r="N1427" s="13" t="str">
        <x:v>Sem cobrança</x:v>
      </x:c>
      <x:c r="O1427" s="13" t="str">
        <x:v>Operação Clareza</x:v>
      </x:c>
      <x:c r="P1427" s="17" t="n">
        <x:f>IF(D1427="",0,J1427-K1427+L1427)</x:f>
        <x:v>24054.11</x:v>
      </x:c>
      <x:c r="Q1427" s="17" t="n">
        <x:f>MAX(J1427-P1427-K1427,0)</x:f>
        <x:v>0</x:v>
      </x:c>
      <x:c r="R1427" s="13" t="n">
        <x:f>IF(D1427="",MAX(TODAY()-C1427,0),MAX(D1427-C1427,0))</x:f>
        <x:v>0</x:v>
      </x:c>
      <x:c r="S1427" s="13" t="str">
        <x:f>IF(R1427=0,"Em dia",IF(R1427&lt;=15,"1-15 dias",IF(R1427&lt;=30,"16-30 dias",IF(R1427&lt;=60,"31-60 dias","Acima de 60 dias"))))</x:f>
        <x:v>Em dia</x:v>
      </x:c>
    </x:row>
    <x:row r="1428">
      <x:c r="A1428" s="13" t="str">
        <x:v>REC-001427</x:v>
      </x:c>
      <x:c r="B1428" s="23" t="n">
        <x:v>46009</x:v>
      </x:c>
      <x:c r="C1428" s="23" t="n">
        <x:v>46016</x:v>
      </x:c>
      <x:c r="D1428" s="23" t="n">
        <x:v>46016</x:v>
      </x:c>
      <x:c r="E1428" s="13" t="str">
        <x:v>VAL-030</x:v>
      </x:c>
      <x:c r="F1428" s="13" t="str">
        <x:v>Mundo Kids Cursos</x:v>
      </x:c>
      <x:c r="G1428" s="13" t="str">
        <x:v>Educação</x:v>
      </x:c>
      <x:c r="H1428" s="13" t="str">
        <x:v>Alto</x:v>
      </x:c>
      <x:c r="I1428" s="13" t="str">
        <x:v>Gestão</x:v>
      </x:c>
      <x:c r="J1428" s="17" t="n">
        <x:v>16077.61</x:v>
      </x:c>
      <x:c r="K1428" s="17" t="n">
        <x:v>0</x:v>
      </x:c>
      <x:c r="L1428" s="17" t="n">
        <x:v>0</x:v>
      </x:c>
      <x:c r="M1428" s="13" t="str">
        <x:v>Pago</x:v>
      </x:c>
      <x:c r="N1428" s="13" t="str">
        <x:v>Sem cobrança</x:v>
      </x:c>
      <x:c r="O1428" s="13" t="str">
        <x:v>Operação Clareza</x:v>
      </x:c>
      <x:c r="P1428" s="17" t="n">
        <x:f>IF(D1428="",0,J1428-K1428+L1428)</x:f>
        <x:v>16077.61</x:v>
      </x:c>
      <x:c r="Q1428" s="17" t="n">
        <x:f>MAX(J1428-P1428-K1428,0)</x:f>
        <x:v>0</x:v>
      </x:c>
      <x:c r="R1428" s="13" t="n">
        <x:f>IF(D1428="",MAX(TODAY()-C1428,0),MAX(D1428-C1428,0))</x:f>
        <x:v>0</x:v>
      </x:c>
      <x:c r="S1428" s="13" t="str">
        <x:f>IF(R1428=0,"Em dia",IF(R1428&lt;=15,"1-15 dias",IF(R1428&lt;=30,"16-30 dias",IF(R1428&lt;=60,"31-60 dias","Acima de 60 dias"))))</x:f>
        <x:v>Em dia</x:v>
      </x:c>
    </x:row>
    <x:row r="1429">
      <x:c r="A1429" s="13" t="str">
        <x:v>REC-001428</x:v>
      </x:c>
      <x:c r="B1429" s="23" t="n">
        <x:v>46006</x:v>
      </x:c>
      <x:c r="C1429" s="23" t="n">
        <x:v>46021</x:v>
      </x:c>
      <x:c r="D1429" s="23" t="n">
        <x:v>46020</x:v>
      </x:c>
      <x:c r="E1429" s="13" t="str">
        <x:v>VAL-029</x:v>
      </x:c>
      <x:c r="F1429" s="13" t="str">
        <x:v>Planobra Serviços</x:v>
      </x:c>
      <x:c r="G1429" s="13" t="str">
        <x:v>Construção</x:v>
      </x:c>
      <x:c r="H1429" s="13" t="str">
        <x:v>Baixo</x:v>
      </x:c>
      <x:c r="I1429" s="13" t="str">
        <x:v>Essencial</x:v>
      </x:c>
      <x:c r="J1429" s="17" t="n">
        <x:v>21811.77</x:v>
      </x:c>
      <x:c r="K1429" s="17" t="n">
        <x:v>0</x:v>
      </x:c>
      <x:c r="L1429" s="17" t="n">
        <x:v>0</x:v>
      </x:c>
      <x:c r="M1429" s="13" t="str">
        <x:v>Pago</x:v>
      </x:c>
      <x:c r="N1429" s="13" t="str">
        <x:v>Sem cobrança</x:v>
      </x:c>
      <x:c r="O1429" s="13" t="str">
        <x:v>Operação Clareza</x:v>
      </x:c>
      <x:c r="P1429" s="17" t="n">
        <x:f>IF(D1429="",0,J1429-K1429+L1429)</x:f>
        <x:v>21811.77</x:v>
      </x:c>
      <x:c r="Q1429" s="17" t="n">
        <x:f>MAX(J1429-P1429-K1429,0)</x:f>
        <x:v>0</x:v>
      </x:c>
      <x:c r="R1429" s="13" t="n">
        <x:f>IF(D1429="",MAX(TODAY()-C1429,0),MAX(D1429-C1429,0))</x:f>
        <x:v>0</x:v>
      </x:c>
      <x:c r="S1429" s="13" t="str">
        <x:f>IF(R1429=0,"Em dia",IF(R1429&lt;=15,"1-15 dias",IF(R1429&lt;=30,"16-30 dias",IF(R1429&lt;=60,"31-60 dias","Acima de 60 dias"))))</x:f>
        <x:v>Em dia</x:v>
      </x:c>
    </x:row>
    <x:row r="1430">
      <x:c r="A1430" s="13" t="str">
        <x:v>REC-001429</x:v>
      </x:c>
      <x:c r="B1430" s="23" t="n">
        <x:v>45996</x:v>
      </x:c>
      <x:c r="C1430" s="23" t="n">
        <x:v>46026</x:v>
      </x:c>
      <x:c r="D1430" s="23" t="n">
        <x:v>46025</x:v>
      </x:c>
      <x:c r="E1430" s="13" t="str">
        <x:v>VAL-017</x:v>
      </x:c>
      <x:c r="F1430" s="13" t="str">
        <x:v>Centro Médico Vida</x:v>
      </x:c>
      <x:c r="G1430" s="13" t="str">
        <x:v>Clínicas e Saúde</x:v>
      </x:c>
      <x:c r="H1430" s="13" t="str">
        <x:v>Baixo</x:v>
      </x:c>
      <x:c r="I1430" s="13" t="str">
        <x:v>Essencial</x:v>
      </x:c>
      <x:c r="J1430" s="17" t="n">
        <x:v>7278.28</x:v>
      </x:c>
      <x:c r="K1430" s="17" t="n">
        <x:v>0</x:v>
      </x:c>
      <x:c r="L1430" s="17" t="n">
        <x:v>0</x:v>
      </x:c>
      <x:c r="M1430" s="13" t="str">
        <x:v>Pago</x:v>
      </x:c>
      <x:c r="N1430" s="13" t="str">
        <x:v>Sem cobrança</x:v>
      </x:c>
      <x:c r="O1430" s="13" t="str">
        <x:v>Operação Clareza</x:v>
      </x:c>
      <x:c r="P1430" s="17" t="n">
        <x:f>IF(D1430="",0,J1430-K1430+L1430)</x:f>
        <x:v>7278.28</x:v>
      </x:c>
      <x:c r="Q1430" s="17" t="n">
        <x:f>MAX(J1430-P1430-K1430,0)</x:f>
        <x:v>0</x:v>
      </x:c>
      <x:c r="R1430" s="13" t="n">
        <x:f>IF(D1430="",MAX(TODAY()-C1430,0),MAX(D1430-C1430,0))</x:f>
        <x:v>0</x:v>
      </x:c>
      <x:c r="S1430" s="13" t="str">
        <x:f>IF(R1430=0,"Em dia",IF(R1430&lt;=15,"1-15 dias",IF(R1430&lt;=30,"16-30 dias",IF(R1430&lt;=60,"31-60 dias","Acima de 60 dias"))))</x:f>
        <x:v>Em dia</x:v>
      </x:c>
    </x:row>
    <x:row r="1431">
      <x:c r="A1431" s="13" t="str">
        <x:v>REC-001430</x:v>
      </x:c>
      <x:c r="B1431" s="23" t="n">
        <x:v>45999</x:v>
      </x:c>
      <x:c r="C1431" s="23" t="n">
        <x:v>46020</x:v>
      </x:c>
      <x:c r="D1431" s="23" t="n">
        <x:v>46020</x:v>
      </x:c>
      <x:c r="E1431" s="13" t="str">
        <x:v>VAL-029</x:v>
      </x:c>
      <x:c r="F1431" s="13" t="str">
        <x:v>Planobra Serviços</x:v>
      </x:c>
      <x:c r="G1431" s="13" t="str">
        <x:v>Construção</x:v>
      </x:c>
      <x:c r="H1431" s="13" t="str">
        <x:v>Baixo</x:v>
      </x:c>
      <x:c r="I1431" s="13" t="str">
        <x:v>Essencial</x:v>
      </x:c>
      <x:c r="J1431" s="17" t="n">
        <x:v>9034.04</x:v>
      </x:c>
      <x:c r="K1431" s="17" t="n">
        <x:v>75.03</x:v>
      </x:c>
      <x:c r="L1431" s="17" t="n">
        <x:v>0</x:v>
      </x:c>
      <x:c r="M1431" s="13" t="str">
        <x:v>Pago</x:v>
      </x:c>
      <x:c r="N1431" s="13" t="str">
        <x:v>Sem cobrança</x:v>
      </x:c>
      <x:c r="O1431" s="13" t="str">
        <x:v>Operação Clareza</x:v>
      </x:c>
      <x:c r="P1431" s="17" t="n">
        <x:f>IF(D1431="",0,J1431-K1431+L1431)</x:f>
        <x:v>8959.01</x:v>
      </x:c>
      <x:c r="Q1431" s="17" t="n">
        <x:f>MAX(J1431-P1431-K1431,0)</x:f>
        <x:v>6.536993168992922e-13</x:v>
      </x:c>
      <x:c r="R1431" s="13" t="n">
        <x:f>IF(D1431="",MAX(TODAY()-C1431,0),MAX(D1431-C1431,0))</x:f>
        <x:v>0</x:v>
      </x:c>
      <x:c r="S1431" s="13" t="str">
        <x:f>IF(R1431=0,"Em dia",IF(R1431&lt;=15,"1-15 dias",IF(R1431&lt;=30,"16-30 dias",IF(R1431&lt;=60,"31-60 dias","Acima de 60 dias"))))</x:f>
        <x:v>Em dia</x:v>
      </x:c>
    </x:row>
    <x:row r="1432">
      <x:c r="A1432" s="13" t="str">
        <x:v>REC-001431</x:v>
      </x:c>
      <x:c r="B1432" s="23" t="n">
        <x:v>46006</x:v>
      </x:c>
      <x:c r="C1432" s="23" t="n">
        <x:v>46027</x:v>
      </x:c>
      <x:c r="D1432" s="23" t="n">
        <x:v>46027</x:v>
      </x:c>
      <x:c r="E1432" s="13" t="str">
        <x:v>VAL-010</x:v>
      </x:c>
      <x:c r="F1432" s="13" t="str">
        <x:v>Atlas Contabilidade</x:v>
      </x:c>
      <x:c r="G1432" s="13" t="str">
        <x:v>Serviços Profissionais</x:v>
      </x:c>
      <x:c r="H1432" s="13" t="str">
        <x:v>Baixo</x:v>
      </x:c>
      <x:c r="I1432" s="13" t="str">
        <x:v>Gestão</x:v>
      </x:c>
      <x:c r="J1432" s="17" t="n">
        <x:v>11390.21</x:v>
      </x:c>
      <x:c r="K1432" s="17" t="n">
        <x:v>0</x:v>
      </x:c>
      <x:c r="L1432" s="17" t="n">
        <x:v>0</x:v>
      </x:c>
      <x:c r="M1432" s="13" t="str">
        <x:v>Pago</x:v>
      </x:c>
      <x:c r="N1432" s="13" t="str">
        <x:v>Sem cobrança</x:v>
      </x:c>
      <x:c r="O1432" s="13" t="str">
        <x:v>Operação Clareza</x:v>
      </x:c>
      <x:c r="P1432" s="17" t="n">
        <x:f>IF(D1432="",0,J1432-K1432+L1432)</x:f>
        <x:v>11390.21</x:v>
      </x:c>
      <x:c r="Q1432" s="17" t="n">
        <x:f>MAX(J1432-P1432-K1432,0)</x:f>
        <x:v>0</x:v>
      </x:c>
      <x:c r="R1432" s="13" t="n">
        <x:f>IF(D1432="",MAX(TODAY()-C1432,0),MAX(D1432-C1432,0))</x:f>
        <x:v>0</x:v>
      </x:c>
      <x:c r="S1432" s="13" t="str">
        <x:f>IF(R1432=0,"Em dia",IF(R1432&lt;=15,"1-15 dias",IF(R1432&lt;=30,"16-30 dias",IF(R1432&lt;=60,"31-60 dias","Acima de 60 dias"))))</x:f>
        <x:v>Em dia</x:v>
      </x:c>
    </x:row>
    <x:row r="1433">
      <x:c r="A1433" s="13" t="str">
        <x:v>REC-001432</x:v>
      </x:c>
      <x:c r="B1433" s="23" t="n">
        <x:v>46003</x:v>
      </x:c>
      <x:c r="C1433" s="23" t="n">
        <x:v>46033</x:v>
      </x:c>
      <x:c r="D1433" s="23" t="n">
        <x:v>46033</x:v>
      </x:c>
      <x:c r="E1433" s="13" t="str">
        <x:v>VAL-026</x:v>
      </x:c>
      <x:c r="F1433" s="13" t="str">
        <x:v>Ribeiro Arquitetura</x:v>
      </x:c>
      <x:c r="G1433" s="13" t="str">
        <x:v>Serviços Profissionais</x:v>
      </x:c>
      <x:c r="H1433" s="13" t="str">
        <x:v>Baixo</x:v>
      </x:c>
      <x:c r="I1433" s="13" t="str">
        <x:v>Gestão</x:v>
      </x:c>
      <x:c r="J1433" s="17" t="n">
        <x:v>14163.04</x:v>
      </x:c>
      <x:c r="K1433" s="17" t="n">
        <x:v>0</x:v>
      </x:c>
      <x:c r="L1433" s="17" t="n">
        <x:v>0</x:v>
      </x:c>
      <x:c r="M1433" s="13" t="str">
        <x:v>Pago</x:v>
      </x:c>
      <x:c r="N1433" s="13" t="str">
        <x:v>Sem cobrança</x:v>
      </x:c>
      <x:c r="O1433" s="13" t="str">
        <x:v>Operação Clareza</x:v>
      </x:c>
      <x:c r="P1433" s="17" t="n">
        <x:f>IF(D1433="",0,J1433-K1433+L1433)</x:f>
        <x:v>14163.04</x:v>
      </x:c>
      <x:c r="Q1433" s="17" t="n">
        <x:f>MAX(J1433-P1433-K1433,0)</x:f>
        <x:v>0</x:v>
      </x:c>
      <x:c r="R1433" s="13" t="n">
        <x:f>IF(D1433="",MAX(TODAY()-C1433,0),MAX(D1433-C1433,0))</x:f>
        <x:v>0</x:v>
      </x:c>
      <x:c r="S1433" s="13" t="str">
        <x:f>IF(R1433=0,"Em dia",IF(R1433&lt;=15,"1-15 dias",IF(R1433&lt;=30,"16-30 dias",IF(R1433&lt;=60,"31-60 dias","Acima de 60 dias"))))</x:f>
        <x:v>Em dia</x:v>
      </x:c>
    </x:row>
    <x:row r="1434">
      <x:c r="A1434" s="13" t="str">
        <x:v>REC-001433</x:v>
      </x:c>
      <x:c r="B1434" s="23" t="n">
        <x:v>46002</x:v>
      </x:c>
      <x:c r="C1434" s="23" t="n">
        <x:v>46009</x:v>
      </x:c>
      <x:c r="D1434" s="23" t="n">
        <x:v>46030</x:v>
      </x:c>
      <x:c r="E1434" s="13" t="str">
        <x:v>VAL-007</x:v>
      </x:c>
      <x:c r="F1434" s="13" t="str">
        <x:v>Loja Prisma Online</x:v>
      </x:c>
      <x:c r="G1434" s="13" t="str">
        <x:v>E-commerce</x:v>
      </x:c>
      <x:c r="H1434" s="13" t="str">
        <x:v>Médio</x:v>
      </x:c>
      <x:c r="I1434" s="13" t="str">
        <x:v>Performance</x:v>
      </x:c>
      <x:c r="J1434" s="17" t="n">
        <x:v>15168.51</x:v>
      </x:c>
      <x:c r="K1434" s="17" t="n">
        <x:v>0</x:v>
      </x:c>
      <x:c r="L1434" s="17" t="n">
        <x:v>207.05</x:v>
      </x:c>
      <x:c r="M1434" s="13" t="str">
        <x:v>Pago com atraso</x:v>
      </x:c>
      <x:c r="N1434" s="13" t="str">
        <x:v>Telefone</x:v>
      </x:c>
      <x:c r="O1434" s="13" t="str">
        <x:v>Operação Clareza</x:v>
      </x:c>
      <x:c r="P1434" s="17" t="n">
        <x:f>IF(D1434="",0,J1434-K1434+L1434)</x:f>
        <x:v>15375.56</x:v>
      </x:c>
      <x:c r="Q1434" s="17" t="n">
        <x:f>MAX(J1434-P1434-K1434,0)</x:f>
        <x:v>0</x:v>
      </x:c>
      <x:c r="R1434" s="13" t="n">
        <x:f>IF(D1434="",MAX(TODAY()-C1434,0),MAX(D1434-C1434,0))</x:f>
        <x:v>21</x:v>
      </x:c>
      <x:c r="S1434" s="13" t="str">
        <x:f>IF(R1434=0,"Em dia",IF(R1434&lt;=15,"1-15 dias",IF(R1434&lt;=30,"16-30 dias",IF(R1434&lt;=60,"31-60 dias","Acima de 60 dias"))))</x:f>
        <x:v>16-30 dias</x:v>
      </x:c>
    </x:row>
    <x:row r="1435">
      <x:c r="A1435" s="13" t="str">
        <x:v>REC-001434</x:v>
      </x:c>
      <x:c r="B1435" s="23" t="n">
        <x:v>46001</x:v>
      </x:c>
      <x:c r="C1435" s="23" t="n">
        <x:v>46022</x:v>
      </x:c>
      <x:c r="D1435" s="23"/>
      <x:c r="E1435" s="13" t="str">
        <x:v>VAL-014</x:v>
      </x:c>
      <x:c r="F1435" s="13" t="str">
        <x:v>Colégio Caminhos</x:v>
      </x:c>
      <x:c r="G1435" s="13" t="str">
        <x:v>Educação</x:v>
      </x:c>
      <x:c r="H1435" s="13" t="str">
        <x:v>Médio</x:v>
      </x:c>
      <x:c r="I1435" s="13" t="str">
        <x:v>Gestão</x:v>
      </x:c>
      <x:c r="J1435" s="17" t="n">
        <x:v>17728.55</x:v>
      </x:c>
      <x:c r="K1435" s="17" t="n">
        <x:v>0</x:v>
      </x:c>
      <x:c r="L1435" s="17" t="n">
        <x:v>0</x:v>
      </x:c>
      <x:c r="M1435" s="13" t="str">
        <x:v>Em aberto</x:v>
      </x:c>
      <x:c r="N1435" s="13" t="str">
        <x:v>WhatsApp</x:v>
      </x:c>
      <x:c r="O1435" s="13" t="str">
        <x:v>Operação Clareza</x:v>
      </x:c>
      <x:c r="P1435" s="17" t="n">
        <x:f>IF(D1435="",0,J1435-K1435+L1435)</x:f>
        <x:v>0</x:v>
      </x:c>
      <x:c r="Q1435" s="17" t="n">
        <x:f>MAX(J1435-P1435-K1435,0)</x:f>
        <x:v>17728.55</x:v>
      </x:c>
      <x:c r="R1435" s="13" t="n">
        <x:f>IF(D1435="",MAX(TODAY()-C1435,0),MAX(D1435-C1435,0))</x:f>
        <x:v>191</x:v>
      </x:c>
      <x:c r="S1435" s="13" t="str">
        <x:f>IF(R1435=0,"Em dia",IF(R1435&lt;=15,"1-15 dias",IF(R1435&lt;=30,"16-30 dias",IF(R1435&lt;=60,"31-60 dias","Acima de 60 dias"))))</x:f>
        <x:v>Acima de 60 dias</x:v>
      </x:c>
    </x:row>
    <x:row r="1436">
      <x:c r="A1436" s="13" t="str">
        <x:v>REC-001435</x:v>
      </x:c>
      <x:c r="B1436" s="23" t="n">
        <x:v>46004</x:v>
      </x:c>
      <x:c r="C1436" s="23" t="n">
        <x:v>46011</x:v>
      </x:c>
      <x:c r="D1436" s="23" t="n">
        <x:v>46011</x:v>
      </x:c>
      <x:c r="E1436" s="13" t="str">
        <x:v>VAL-003</x:v>
      </x:c>
      <x:c r="F1436" s="13" t="str">
        <x:v>Casa Nova Varejo</x:v>
      </x:c>
      <x:c r="G1436" s="13" t="str">
        <x:v>Varejo</x:v>
      </x:c>
      <x:c r="H1436" s="13" t="str">
        <x:v>Baixo</x:v>
      </x:c>
      <x:c r="I1436" s="13" t="str">
        <x:v>Performance</x:v>
      </x:c>
      <x:c r="J1436" s="17" t="n">
        <x:v>1256.66</x:v>
      </x:c>
      <x:c r="K1436" s="17" t="n">
        <x:v>0</x:v>
      </x:c>
      <x:c r="L1436" s="17" t="n">
        <x:v>0</x:v>
      </x:c>
      <x:c r="M1436" s="13" t="str">
        <x:v>Pago</x:v>
      </x:c>
      <x:c r="N1436" s="13" t="str">
        <x:v>Sem cobrança</x:v>
      </x:c>
      <x:c r="O1436" s="13" t="str">
        <x:v>Operação Clareza</x:v>
      </x:c>
      <x:c r="P1436" s="17" t="n">
        <x:f>IF(D1436="",0,J1436-K1436+L1436)</x:f>
        <x:v>1256.66</x:v>
      </x:c>
      <x:c r="Q1436" s="17" t="n">
        <x:f>MAX(J1436-P1436-K1436,0)</x:f>
        <x:v>0</x:v>
      </x:c>
      <x:c r="R1436" s="13" t="n">
        <x:f>IF(D1436="",MAX(TODAY()-C1436,0),MAX(D1436-C1436,0))</x:f>
        <x:v>0</x:v>
      </x:c>
      <x:c r="S1436" s="13" t="str">
        <x:f>IF(R1436=0,"Em dia",IF(R1436&lt;=15,"1-15 dias",IF(R1436&lt;=30,"16-30 dias",IF(R1436&lt;=60,"31-60 dias","Acima de 60 dias"))))</x:f>
        <x:v>Em dia</x:v>
      </x:c>
    </x:row>
    <x:row r="1437">
      <x:c r="A1437" s="13" t="str">
        <x:v>REC-001436</x:v>
      </x:c>
      <x:c r="B1437" s="23" t="n">
        <x:v>46001</x:v>
      </x:c>
      <x:c r="C1437" s="23" t="n">
        <x:v>46029</x:v>
      </x:c>
      <x:c r="D1437" s="23" t="n">
        <x:v>46040</x:v>
      </x:c>
      <x:c r="E1437" s="13" t="str">
        <x:v>VAL-030</x:v>
      </x:c>
      <x:c r="F1437" s="13" t="str">
        <x:v>Mundo Kids Cursos</x:v>
      </x:c>
      <x:c r="G1437" s="13" t="str">
        <x:v>Educação</x:v>
      </x:c>
      <x:c r="H1437" s="13" t="str">
        <x:v>Alto</x:v>
      </x:c>
      <x:c r="I1437" s="13" t="str">
        <x:v>Gestão</x:v>
      </x:c>
      <x:c r="J1437" s="17" t="n">
        <x:v>17614.22</x:v>
      </x:c>
      <x:c r="K1437" s="17" t="n">
        <x:v>0</x:v>
      </x:c>
      <x:c r="L1437" s="17" t="n">
        <x:v>125.94</x:v>
      </x:c>
      <x:c r="M1437" s="13" t="str">
        <x:v>Pago com atraso</x:v>
      </x:c>
      <x:c r="N1437" s="13" t="str">
        <x:v>Telefone</x:v>
      </x:c>
      <x:c r="O1437" s="13" t="str">
        <x:v>Operação Clareza</x:v>
      </x:c>
      <x:c r="P1437" s="17" t="n">
        <x:f>IF(D1437="",0,J1437-K1437+L1437)</x:f>
        <x:v>17740.16</x:v>
      </x:c>
      <x:c r="Q1437" s="17" t="n">
        <x:f>MAX(J1437-P1437-K1437,0)</x:f>
        <x:v>0</x:v>
      </x:c>
      <x:c r="R1437" s="13" t="n">
        <x:f>IF(D1437="",MAX(TODAY()-C1437,0),MAX(D1437-C1437,0))</x:f>
        <x:v>11</x:v>
      </x:c>
      <x:c r="S1437" s="13" t="str">
        <x:f>IF(R1437=0,"Em dia",IF(R1437&lt;=15,"1-15 dias",IF(R1437&lt;=30,"16-30 dias",IF(R1437&lt;=60,"31-60 dias","Acima de 60 dias"))))</x:f>
        <x:v>1-15 dias</x:v>
      </x:c>
    </x:row>
    <x:row r="1438">
      <x:c r="A1438" s="13" t="str">
        <x:v>REC-001437</x:v>
      </x:c>
      <x:c r="B1438" s="23" t="n">
        <x:v>45997</x:v>
      </x:c>
      <x:c r="C1438" s="23" t="n">
        <x:v>46018</x:v>
      </x:c>
      <x:c r="D1438" s="23" t="n">
        <x:v>46018</x:v>
      </x:c>
      <x:c r="E1438" s="13" t="str">
        <x:v>VAL-006</x:v>
      </x:c>
      <x:c r="F1438" s="13" t="str">
        <x:v>Instituto Saber Mais</x:v>
      </x:c>
      <x:c r="G1438" s="13" t="str">
        <x:v>Educação</x:v>
      </x:c>
      <x:c r="H1438" s="13" t="str">
        <x:v>Médio</x:v>
      </x:c>
      <x:c r="I1438" s="13" t="str">
        <x:v>Gestão</x:v>
      </x:c>
      <x:c r="J1438" s="17" t="n">
        <x:v>25639.07</x:v>
      </x:c>
      <x:c r="K1438" s="17" t="n">
        <x:v>0</x:v>
      </x:c>
      <x:c r="L1438" s="17" t="n">
        <x:v>0</x:v>
      </x:c>
      <x:c r="M1438" s="13" t="str">
        <x:v>Pago</x:v>
      </x:c>
      <x:c r="N1438" s="13" t="str">
        <x:v>Sem cobrança</x:v>
      </x:c>
      <x:c r="O1438" s="13" t="str">
        <x:v>Operação Clareza</x:v>
      </x:c>
      <x:c r="P1438" s="17" t="n">
        <x:f>IF(D1438="",0,J1438-K1438+L1438)</x:f>
        <x:v>25639.07</x:v>
      </x:c>
      <x:c r="Q1438" s="17" t="n">
        <x:f>MAX(J1438-P1438-K1438,0)</x:f>
        <x:v>0</x:v>
      </x:c>
      <x:c r="R1438" s="13" t="n">
        <x:f>IF(D1438="",MAX(TODAY()-C1438,0),MAX(D1438-C1438,0))</x:f>
        <x:v>0</x:v>
      </x:c>
      <x:c r="S1438" s="13" t="str">
        <x:f>IF(R1438=0,"Em dia",IF(R1438&lt;=15,"1-15 dias",IF(R1438&lt;=30,"16-30 dias",IF(R1438&lt;=60,"31-60 dias","Acima de 60 dias"))))</x:f>
        <x:v>Em dia</x:v>
      </x:c>
    </x:row>
    <x:row r="1439">
      <x:c r="A1439" s="13" t="str">
        <x:v>REC-001438</x:v>
      </x:c>
      <x:c r="B1439" s="23" t="n">
        <x:v>45993</x:v>
      </x:c>
      <x:c r="C1439" s="23" t="n">
        <x:v>46023</x:v>
      </x:c>
      <x:c r="D1439" s="23" t="n">
        <x:v>46023</x:v>
      </x:c>
      <x:c r="E1439" s="13" t="str">
        <x:v>VAL-010</x:v>
      </x:c>
      <x:c r="F1439" s="13" t="str">
        <x:v>Atlas Contabilidade</x:v>
      </x:c>
      <x:c r="G1439" s="13" t="str">
        <x:v>Serviços Profissionais</x:v>
      </x:c>
      <x:c r="H1439" s="13" t="str">
        <x:v>Baixo</x:v>
      </x:c>
      <x:c r="I1439" s="13" t="str">
        <x:v>Gestão</x:v>
      </x:c>
      <x:c r="J1439" s="17" t="n">
        <x:v>9250.01</x:v>
      </x:c>
      <x:c r="K1439" s="17" t="n">
        <x:v>0</x:v>
      </x:c>
      <x:c r="L1439" s="17" t="n">
        <x:v>0</x:v>
      </x:c>
      <x:c r="M1439" s="13" t="str">
        <x:v>Pago</x:v>
      </x:c>
      <x:c r="N1439" s="13" t="str">
        <x:v>Sem cobrança</x:v>
      </x:c>
      <x:c r="O1439" s="13" t="str">
        <x:v>Operação Clareza</x:v>
      </x:c>
      <x:c r="P1439" s="17" t="n">
        <x:f>IF(D1439="",0,J1439-K1439+L1439)</x:f>
        <x:v>9250.01</x:v>
      </x:c>
      <x:c r="Q1439" s="17" t="n">
        <x:f>MAX(J1439-P1439-K1439,0)</x:f>
        <x:v>0</x:v>
      </x:c>
      <x:c r="R1439" s="13" t="n">
        <x:f>IF(D1439="",MAX(TODAY()-C1439,0),MAX(D1439-C1439,0))</x:f>
        <x:v>0</x:v>
      </x:c>
      <x:c r="S1439" s="13" t="str">
        <x:f>IF(R1439=0,"Em dia",IF(R1439&lt;=15,"1-15 dias",IF(R1439&lt;=30,"16-30 dias",IF(R1439&lt;=60,"31-60 dias","Acima de 60 dias"))))</x:f>
        <x:v>Em dia</x:v>
      </x:c>
    </x:row>
    <x:row r="1440">
      <x:c r="A1440" s="13" t="str">
        <x:v>REC-001439</x:v>
      </x:c>
      <x:c r="B1440" s="23" t="n">
        <x:v>45997</x:v>
      </x:c>
      <x:c r="C1440" s="23" t="n">
        <x:v>46012</x:v>
      </x:c>
      <x:c r="D1440" s="23" t="n">
        <x:v>46008</x:v>
      </x:c>
      <x:c r="E1440" s="13" t="str">
        <x:v>VAL-028</x:v>
      </x:c>
      <x:c r="F1440" s="13" t="str">
        <x:v>Pixel Norte</x:v>
      </x:c>
      <x:c r="G1440" s="13" t="str">
        <x:v>Tecnologia</x:v>
      </x:c>
      <x:c r="H1440" s="13" t="str">
        <x:v>Alto</x:v>
      </x:c>
      <x:c r="I1440" s="13" t="str">
        <x:v>Enterprise</x:v>
      </x:c>
      <x:c r="J1440" s="17" t="n">
        <x:v>13739.1</x:v>
      </x:c>
      <x:c r="K1440" s="17" t="n">
        <x:v>0</x:v>
      </x:c>
      <x:c r="L1440" s="17" t="n">
        <x:v>0</x:v>
      </x:c>
      <x:c r="M1440" s="13" t="str">
        <x:v>Pago</x:v>
      </x:c>
      <x:c r="N1440" s="13" t="str">
        <x:v>Sem cobrança</x:v>
      </x:c>
      <x:c r="O1440" s="13" t="str">
        <x:v>Operação Clareza</x:v>
      </x:c>
      <x:c r="P1440" s="17" t="n">
        <x:f>IF(D1440="",0,J1440-K1440+L1440)</x:f>
        <x:v>13739.1</x:v>
      </x:c>
      <x:c r="Q1440" s="17" t="n">
        <x:f>MAX(J1440-P1440-K1440,0)</x:f>
        <x:v>0</x:v>
      </x:c>
      <x:c r="R1440" s="13" t="n">
        <x:f>IF(D1440="",MAX(TODAY()-C1440,0),MAX(D1440-C1440,0))</x:f>
        <x:v>0</x:v>
      </x:c>
      <x:c r="S1440" s="13" t="str">
        <x:f>IF(R1440=0,"Em dia",IF(R1440&lt;=15,"1-15 dias",IF(R1440&lt;=30,"16-30 dias",IF(R1440&lt;=60,"31-60 dias","Acima de 60 dias"))))</x:f>
        <x:v>Em dia</x:v>
      </x:c>
    </x:row>
    <x:row r="1441">
      <x:c r="A1441" s="13" t="str">
        <x:v>REC-001440</x:v>
      </x:c>
      <x:c r="B1441" s="23" t="n">
        <x:v>45997</x:v>
      </x:c>
      <x:c r="C1441" s="23" t="n">
        <x:v>46025</x:v>
      </x:c>
      <x:c r="D1441" s="23" t="n">
        <x:v>46021</x:v>
      </x:c>
      <x:c r="E1441" s="13" t="str">
        <x:v>VAL-017</x:v>
      </x:c>
      <x:c r="F1441" s="13" t="str">
        <x:v>Centro Médico Vida</x:v>
      </x:c>
      <x:c r="G1441" s="13" t="str">
        <x:v>Clínicas e Saúde</x:v>
      </x:c>
      <x:c r="H1441" s="13" t="str">
        <x:v>Baixo</x:v>
      </x:c>
      <x:c r="I1441" s="13" t="str">
        <x:v>Essencial</x:v>
      </x:c>
      <x:c r="J1441" s="17" t="n">
        <x:v>16516.36</x:v>
      </x:c>
      <x:c r="K1441" s="17" t="n">
        <x:v>268.82</x:v>
      </x:c>
      <x:c r="L1441" s="17" t="n">
        <x:v>0</x:v>
      </x:c>
      <x:c r="M1441" s="13" t="str">
        <x:v>Pago</x:v>
      </x:c>
      <x:c r="N1441" s="13" t="str">
        <x:v>Sem cobrança</x:v>
      </x:c>
      <x:c r="O1441" s="13" t="str">
        <x:v>Operação Clareza</x:v>
      </x:c>
      <x:c r="P1441" s="17" t="n">
        <x:f>IF(D1441="",0,J1441-K1441+L1441)</x:f>
        <x:v>16247.54</x:v>
      </x:c>
      <x:c r="Q1441" s="17" t="n">
        <x:f>MAX(J1441-P1441-K1441,0)</x:f>
        <x:v>0</x:v>
      </x:c>
      <x:c r="R1441" s="13" t="n">
        <x:f>IF(D1441="",MAX(TODAY()-C1441,0),MAX(D1441-C1441,0))</x:f>
        <x:v>0</x:v>
      </x:c>
      <x:c r="S1441" s="13" t="str">
        <x:f>IF(R1441=0,"Em dia",IF(R1441&lt;=15,"1-15 dias",IF(R1441&lt;=30,"16-30 dias",IF(R1441&lt;=60,"31-60 dias","Acima de 60 dias"))))</x:f>
        <x:v>Em dia</x:v>
      </x:c>
    </x:row>
    <x:row r="1442">
      <x:c r="A1442" s="13" t="str">
        <x:v>REC-001441</x:v>
      </x:c>
      <x:c r="B1442" s="23" t="n">
        <x:v>46034</x:v>
      </x:c>
      <x:c r="C1442" s="23" t="n">
        <x:v>46064</x:v>
      </x:c>
      <x:c r="D1442" s="23" t="n">
        <x:v>46082</x:v>
      </x:c>
      <x:c r="E1442" s="13" t="str">
        <x:v>VAL-014</x:v>
      </x:c>
      <x:c r="F1442" s="13" t="str">
        <x:v>Colégio Caminhos</x:v>
      </x:c>
      <x:c r="G1442" s="13" t="str">
        <x:v>Educação</x:v>
      </x:c>
      <x:c r="H1442" s="13" t="str">
        <x:v>Médio</x:v>
      </x:c>
      <x:c r="I1442" s="13" t="str">
        <x:v>Gestão</x:v>
      </x:c>
      <x:c r="J1442" s="17" t="n">
        <x:v>18203.57</x:v>
      </x:c>
      <x:c r="K1442" s="17" t="n">
        <x:v>0</x:v>
      </x:c>
      <x:c r="L1442" s="17" t="n">
        <x:v>212.98</x:v>
      </x:c>
      <x:c r="M1442" s="13" t="str">
        <x:v>Pago com atraso</x:v>
      </x:c>
      <x:c r="N1442" s="13" t="str">
        <x:v>Régua automática</x:v>
      </x:c>
      <x:c r="O1442" s="13" t="str">
        <x:v>Escala inteligente</x:v>
      </x:c>
      <x:c r="P1442" s="17" t="n">
        <x:f>IF(D1442="",0,J1442-K1442+L1442)</x:f>
        <x:v>18416.55</x:v>
      </x:c>
      <x:c r="Q1442" s="17" t="n">
        <x:f>MAX(J1442-P1442-K1442,0)</x:f>
        <x:v>0</x:v>
      </x:c>
      <x:c r="R1442" s="13" t="n">
        <x:f>IF(D1442="",MAX(TODAY()-C1442,0),MAX(D1442-C1442,0))</x:f>
        <x:v>18</x:v>
      </x:c>
      <x:c r="S1442" s="13" t="str">
        <x:f>IF(R1442=0,"Em dia",IF(R1442&lt;=15,"1-15 dias",IF(R1442&lt;=30,"16-30 dias",IF(R1442&lt;=60,"31-60 dias","Acima de 60 dias"))))</x:f>
        <x:v>16-30 dias</x:v>
      </x:c>
    </x:row>
    <x:row r="1443">
      <x:c r="A1443" s="13" t="str">
        <x:v>REC-001442</x:v>
      </x:c>
      <x:c r="B1443" s="23" t="n">
        <x:v>46025</x:v>
      </x:c>
      <x:c r="C1443" s="23" t="n">
        <x:v>46053</x:v>
      </x:c>
      <x:c r="D1443" s="23" t="n">
        <x:v>46050</x:v>
      </x:c>
      <x:c r="E1443" s="13" t="str">
        <x:v>VAL-013</x:v>
      </x:c>
      <x:c r="F1443" s="13" t="str">
        <x:v>Engenharia Vértice</x:v>
      </x:c>
      <x:c r="G1443" s="13" t="str">
        <x:v>Construção</x:v>
      </x:c>
      <x:c r="H1443" s="13" t="str">
        <x:v>Baixo</x:v>
      </x:c>
      <x:c r="I1443" s="13" t="str">
        <x:v>Essencial</x:v>
      </x:c>
      <x:c r="J1443" s="17" t="n">
        <x:v>13906.23</x:v>
      </x:c>
      <x:c r="K1443" s="17" t="n">
        <x:v>0</x:v>
      </x:c>
      <x:c r="L1443" s="17" t="n">
        <x:v>0</x:v>
      </x:c>
      <x:c r="M1443" s="13" t="str">
        <x:v>Pago</x:v>
      </x:c>
      <x:c r="N1443" s="13" t="str">
        <x:v>Sem cobrança</x:v>
      </x:c>
      <x:c r="O1443" s="13" t="str">
        <x:v>Escala inteligente</x:v>
      </x:c>
      <x:c r="P1443" s="17" t="n">
        <x:f>IF(D1443="",0,J1443-K1443+L1443)</x:f>
        <x:v>13906.23</x:v>
      </x:c>
      <x:c r="Q1443" s="17" t="n">
        <x:f>MAX(J1443-P1443-K1443,0)</x:f>
        <x:v>0</x:v>
      </x:c>
      <x:c r="R1443" s="13" t="n">
        <x:f>IF(D1443="",MAX(TODAY()-C1443,0),MAX(D1443-C1443,0))</x:f>
        <x:v>0</x:v>
      </x:c>
      <x:c r="S1443" s="13" t="str">
        <x:f>IF(R1443=0,"Em dia",IF(R1443&lt;=15,"1-15 dias",IF(R1443&lt;=30,"16-30 dias",IF(R1443&lt;=60,"31-60 dias","Acima de 60 dias"))))</x:f>
        <x:v>Em dia</x:v>
      </x:c>
    </x:row>
    <x:row r="1444">
      <x:c r="A1444" s="13" t="str">
        <x:v>REC-001443</x:v>
      </x:c>
      <x:c r="B1444" s="23" t="n">
        <x:v>46027</x:v>
      </x:c>
      <x:c r="C1444" s="23" t="n">
        <x:v>46042</x:v>
      </x:c>
      <x:c r="D1444" s="23" t="n">
        <x:v>46041</x:v>
      </x:c>
      <x:c r="E1444" s="13" t="str">
        <x:v>VAL-030</x:v>
      </x:c>
      <x:c r="F1444" s="13" t="str">
        <x:v>Mundo Kids Cursos</x:v>
      </x:c>
      <x:c r="G1444" s="13" t="str">
        <x:v>Educação</x:v>
      </x:c>
      <x:c r="H1444" s="13" t="str">
        <x:v>Alto</x:v>
      </x:c>
      <x:c r="I1444" s="13" t="str">
        <x:v>Gestão</x:v>
      </x:c>
      <x:c r="J1444" s="17" t="n">
        <x:v>20473.02</x:v>
      </x:c>
      <x:c r="K1444" s="17" t="n">
        <x:v>0</x:v>
      </x:c>
      <x:c r="L1444" s="17" t="n">
        <x:v>0</x:v>
      </x:c>
      <x:c r="M1444" s="13" t="str">
        <x:v>Pago</x:v>
      </x:c>
      <x:c r="N1444" s="13" t="str">
        <x:v>Sem cobrança</x:v>
      </x:c>
      <x:c r="O1444" s="13" t="str">
        <x:v>Escala inteligente</x:v>
      </x:c>
      <x:c r="P1444" s="17" t="n">
        <x:f>IF(D1444="",0,J1444-K1444+L1444)</x:f>
        <x:v>20473.02</x:v>
      </x:c>
      <x:c r="Q1444" s="17" t="n">
        <x:f>MAX(J1444-P1444-K1444,0)</x:f>
        <x:v>0</x:v>
      </x:c>
      <x:c r="R1444" s="13" t="n">
        <x:f>IF(D1444="",MAX(TODAY()-C1444,0),MAX(D1444-C1444,0))</x:f>
        <x:v>0</x:v>
      </x:c>
      <x:c r="S1444" s="13" t="str">
        <x:f>IF(R1444=0,"Em dia",IF(R1444&lt;=15,"1-15 dias",IF(R1444&lt;=30,"16-30 dias",IF(R1444&lt;=60,"31-60 dias","Acima de 60 dias"))))</x:f>
        <x:v>Em dia</x:v>
      </x:c>
    </x:row>
    <x:row r="1445">
      <x:c r="A1445" s="13" t="str">
        <x:v>REC-001444</x:v>
      </x:c>
      <x:c r="B1445" s="23" t="n">
        <x:v>46034</x:v>
      </x:c>
      <x:c r="C1445" s="23" t="n">
        <x:v>46041</x:v>
      </x:c>
      <x:c r="D1445" s="23" t="n">
        <x:v>46041</x:v>
      </x:c>
      <x:c r="E1445" s="13" t="str">
        <x:v>VAL-029</x:v>
      </x:c>
      <x:c r="F1445" s="13" t="str">
        <x:v>Planobra Serviços</x:v>
      </x:c>
      <x:c r="G1445" s="13" t="str">
        <x:v>Construção</x:v>
      </x:c>
      <x:c r="H1445" s="13" t="str">
        <x:v>Baixo</x:v>
      </x:c>
      <x:c r="I1445" s="13" t="str">
        <x:v>Essencial</x:v>
      </x:c>
      <x:c r="J1445" s="17" t="n">
        <x:v>22892.4</x:v>
      </x:c>
      <x:c r="K1445" s="17" t="n">
        <x:v>0</x:v>
      </x:c>
      <x:c r="L1445" s="17" t="n">
        <x:v>0</x:v>
      </x:c>
      <x:c r="M1445" s="13" t="str">
        <x:v>Pago</x:v>
      </x:c>
      <x:c r="N1445" s="13" t="str">
        <x:v>Sem cobrança</x:v>
      </x:c>
      <x:c r="O1445" s="13" t="str">
        <x:v>Escala inteligente</x:v>
      </x:c>
      <x:c r="P1445" s="17" t="n">
        <x:f>IF(D1445="",0,J1445-K1445+L1445)</x:f>
        <x:v>22892.4</x:v>
      </x:c>
      <x:c r="Q1445" s="17" t="n">
        <x:f>MAX(J1445-P1445-K1445,0)</x:f>
        <x:v>0</x:v>
      </x:c>
      <x:c r="R1445" s="13" t="n">
        <x:f>IF(D1445="",MAX(TODAY()-C1445,0),MAX(D1445-C1445,0))</x:f>
        <x:v>0</x:v>
      </x:c>
      <x:c r="S1445" s="13" t="str">
        <x:f>IF(R1445=0,"Em dia",IF(R1445&lt;=15,"1-15 dias",IF(R1445&lt;=30,"16-30 dias",IF(R1445&lt;=60,"31-60 dias","Acima de 60 dias"))))</x:f>
        <x:v>Em dia</x:v>
      </x:c>
    </x:row>
    <x:row r="1446">
      <x:c r="A1446" s="13" t="str">
        <x:v>REC-001445</x:v>
      </x:c>
      <x:c r="B1446" s="23" t="n">
        <x:v>46037</x:v>
      </x:c>
      <x:c r="C1446" s="23" t="n">
        <x:v>46044</x:v>
      </x:c>
      <x:c r="D1446" s="23" t="n">
        <x:v>46041</x:v>
      </x:c>
      <x:c r="E1446" s="13" t="str">
        <x:v>VAL-029</x:v>
      </x:c>
      <x:c r="F1446" s="13" t="str">
        <x:v>Planobra Serviços</x:v>
      </x:c>
      <x:c r="G1446" s="13" t="str">
        <x:v>Construção</x:v>
      </x:c>
      <x:c r="H1446" s="13" t="str">
        <x:v>Baixo</x:v>
      </x:c>
      <x:c r="I1446" s="13" t="str">
        <x:v>Essencial</x:v>
      </x:c>
      <x:c r="J1446" s="17" t="n">
        <x:v>13164.87</x:v>
      </x:c>
      <x:c r="K1446" s="17" t="n">
        <x:v>0</x:v>
      </x:c>
      <x:c r="L1446" s="17" t="n">
        <x:v>0</x:v>
      </x:c>
      <x:c r="M1446" s="13" t="str">
        <x:v>Pago</x:v>
      </x:c>
      <x:c r="N1446" s="13" t="str">
        <x:v>Sem cobrança</x:v>
      </x:c>
      <x:c r="O1446" s="13" t="str">
        <x:v>Escala inteligente</x:v>
      </x:c>
      <x:c r="P1446" s="17" t="n">
        <x:f>IF(D1446="",0,J1446-K1446+L1446)</x:f>
        <x:v>13164.87</x:v>
      </x:c>
      <x:c r="Q1446" s="17" t="n">
        <x:f>MAX(J1446-P1446-K1446,0)</x:f>
        <x:v>0</x:v>
      </x:c>
      <x:c r="R1446" s="13" t="n">
        <x:f>IF(D1446="",MAX(TODAY()-C1446,0),MAX(D1446-C1446,0))</x:f>
        <x:v>0</x:v>
      </x:c>
      <x:c r="S1446" s="13" t="str">
        <x:f>IF(R1446=0,"Em dia",IF(R1446&lt;=15,"1-15 dias",IF(R1446&lt;=30,"16-30 dias",IF(R1446&lt;=60,"31-60 dias","Acima de 60 dias"))))</x:f>
        <x:v>Em dia</x:v>
      </x:c>
    </x:row>
    <x:row r="1447">
      <x:c r="A1447" s="13" t="str">
        <x:v>REC-001446</x:v>
      </x:c>
      <x:c r="B1447" s="23" t="n">
        <x:v>46042</x:v>
      </x:c>
      <x:c r="C1447" s="23" t="n">
        <x:v>46072</x:v>
      </x:c>
      <x:c r="D1447" s="23" t="n">
        <x:v>46071</x:v>
      </x:c>
      <x:c r="E1447" s="13" t="str">
        <x:v>VAL-018</x:v>
      </x:c>
      <x:c r="F1447" s="13" t="str">
        <x:v>Ponto Legal Advocacia</x:v>
      </x:c>
      <x:c r="G1447" s="13" t="str">
        <x:v>Serviços Profissionais</x:v>
      </x:c>
      <x:c r="H1447" s="13" t="str">
        <x:v>Baixo</x:v>
      </x:c>
      <x:c r="I1447" s="13" t="str">
        <x:v>Gestão</x:v>
      </x:c>
      <x:c r="J1447" s="17" t="n">
        <x:v>11630.89</x:v>
      </x:c>
      <x:c r="K1447" s="17" t="n">
        <x:v>97.65</x:v>
      </x:c>
      <x:c r="L1447" s="17" t="n">
        <x:v>0</x:v>
      </x:c>
      <x:c r="M1447" s="13" t="str">
        <x:v>Pago</x:v>
      </x:c>
      <x:c r="N1447" s="13" t="str">
        <x:v>Sem cobrança</x:v>
      </x:c>
      <x:c r="O1447" s="13" t="str">
        <x:v>Escala inteligente</x:v>
      </x:c>
      <x:c r="P1447" s="17" t="n">
        <x:f>IF(D1447="",0,J1447-K1447+L1447)</x:f>
        <x:v>11533.24</x:v>
      </x:c>
      <x:c r="Q1447" s="17" t="n">
        <x:f>MAX(J1447-P1447-K1447,0)</x:f>
        <x:v>0</x:v>
      </x:c>
      <x:c r="R1447" s="13" t="n">
        <x:f>IF(D1447="",MAX(TODAY()-C1447,0),MAX(D1447-C1447,0))</x:f>
        <x:v>0</x:v>
      </x:c>
      <x:c r="S1447" s="13" t="str">
        <x:f>IF(R1447=0,"Em dia",IF(R1447&lt;=15,"1-15 dias",IF(R1447&lt;=30,"16-30 dias",IF(R1447&lt;=60,"31-60 dias","Acima de 60 dias"))))</x:f>
        <x:v>Em dia</x:v>
      </x:c>
    </x:row>
    <x:row r="1448">
      <x:c r="A1448" s="13" t="str">
        <x:v>REC-001447</x:v>
      </x:c>
      <x:c r="B1448" s="23" t="n">
        <x:v>46037</x:v>
      </x:c>
      <x:c r="C1448" s="23" t="n">
        <x:v>46058</x:v>
      </x:c>
      <x:c r="D1448" s="23" t="n">
        <x:v>46054</x:v>
      </x:c>
      <x:c r="E1448" s="13" t="str">
        <x:v>VAL-001</x:v>
      </x:c>
      <x:c r="F1448" s="13" t="str">
        <x:v>Clínica Horizonte</x:v>
      </x:c>
      <x:c r="G1448" s="13" t="str">
        <x:v>Clínicas e Saúde</x:v>
      </x:c>
      <x:c r="H1448" s="13" t="str">
        <x:v>Baixo</x:v>
      </x:c>
      <x:c r="I1448" s="13" t="str">
        <x:v>Essencial</x:v>
      </x:c>
      <x:c r="J1448" s="17" t="n">
        <x:v>24673.33</x:v>
      </x:c>
      <x:c r="K1448" s="17" t="n">
        <x:v>0</x:v>
      </x:c>
      <x:c r="L1448" s="17" t="n">
        <x:v>0</x:v>
      </x:c>
      <x:c r="M1448" s="13" t="str">
        <x:v>Pago</x:v>
      </x:c>
      <x:c r="N1448" s="13" t="str">
        <x:v>Sem cobrança</x:v>
      </x:c>
      <x:c r="O1448" s="13" t="str">
        <x:v>Escala inteligente</x:v>
      </x:c>
      <x:c r="P1448" s="17" t="n">
        <x:f>IF(D1448="",0,J1448-K1448+L1448)</x:f>
        <x:v>24673.33</x:v>
      </x:c>
      <x:c r="Q1448" s="17" t="n">
        <x:f>MAX(J1448-P1448-K1448,0)</x:f>
        <x:v>0</x:v>
      </x:c>
      <x:c r="R1448" s="13" t="n">
        <x:f>IF(D1448="",MAX(TODAY()-C1448,0),MAX(D1448-C1448,0))</x:f>
        <x:v>0</x:v>
      </x:c>
      <x:c r="S1448" s="13" t="str">
        <x:f>IF(R1448=0,"Em dia",IF(R1448&lt;=15,"1-15 dias",IF(R1448&lt;=30,"16-30 dias",IF(R1448&lt;=60,"31-60 dias","Acima de 60 dias"))))</x:f>
        <x:v>Em dia</x:v>
      </x:c>
    </x:row>
    <x:row r="1449">
      <x:c r="A1449" s="13" t="str">
        <x:v>REC-001448</x:v>
      </x:c>
      <x:c r="B1449" s="23" t="n">
        <x:v>46027</x:v>
      </x:c>
      <x:c r="C1449" s="23" t="n">
        <x:v>46034</x:v>
      </x:c>
      <x:c r="D1449" s="23" t="n">
        <x:v>46030</x:v>
      </x:c>
      <x:c r="E1449" s="13" t="str">
        <x:v>VAL-007</x:v>
      </x:c>
      <x:c r="F1449" s="13" t="str">
        <x:v>Loja Prisma Online</x:v>
      </x:c>
      <x:c r="G1449" s="13" t="str">
        <x:v>E-commerce</x:v>
      </x:c>
      <x:c r="H1449" s="13" t="str">
        <x:v>Médio</x:v>
      </x:c>
      <x:c r="I1449" s="13" t="str">
        <x:v>Performance</x:v>
      </x:c>
      <x:c r="J1449" s="17" t="n">
        <x:v>3840.49</x:v>
      </x:c>
      <x:c r="K1449" s="17" t="n">
        <x:v>0</x:v>
      </x:c>
      <x:c r="L1449" s="17" t="n">
        <x:v>0</x:v>
      </x:c>
      <x:c r="M1449" s="13" t="str">
        <x:v>Pago</x:v>
      </x:c>
      <x:c r="N1449" s="13" t="str">
        <x:v>Sem cobrança</x:v>
      </x:c>
      <x:c r="O1449" s="13" t="str">
        <x:v>Escala inteligente</x:v>
      </x:c>
      <x:c r="P1449" s="17" t="n">
        <x:f>IF(D1449="",0,J1449-K1449+L1449)</x:f>
        <x:v>3840.49</x:v>
      </x:c>
      <x:c r="Q1449" s="17" t="n">
        <x:f>MAX(J1449-P1449-K1449,0)</x:f>
        <x:v>0</x:v>
      </x:c>
      <x:c r="R1449" s="13" t="n">
        <x:f>IF(D1449="",MAX(TODAY()-C1449,0),MAX(D1449-C1449,0))</x:f>
        <x:v>0</x:v>
      </x:c>
      <x:c r="S1449" s="13" t="str">
        <x:f>IF(R1449=0,"Em dia",IF(R1449&lt;=15,"1-15 dias",IF(R1449&lt;=30,"16-30 dias",IF(R1449&lt;=60,"31-60 dias","Acima de 60 dias"))))</x:f>
        <x:v>Em dia</x:v>
      </x:c>
    </x:row>
    <x:row r="1450">
      <x:c r="A1450" s="13" t="str">
        <x:v>REC-001449</x:v>
      </x:c>
      <x:c r="B1450" s="23" t="n">
        <x:v>46030</x:v>
      </x:c>
      <x:c r="C1450" s="23" t="n">
        <x:v>46060</x:v>
      </x:c>
      <x:c r="D1450" s="23" t="n">
        <x:v>46057</x:v>
      </x:c>
      <x:c r="E1450" s="13" t="str">
        <x:v>VAL-026</x:v>
      </x:c>
      <x:c r="F1450" s="13" t="str">
        <x:v>Ribeiro Arquitetura</x:v>
      </x:c>
      <x:c r="G1450" s="13" t="str">
        <x:v>Serviços Profissionais</x:v>
      </x:c>
      <x:c r="H1450" s="13" t="str">
        <x:v>Baixo</x:v>
      </x:c>
      <x:c r="I1450" s="13" t="str">
        <x:v>Gestão</x:v>
      </x:c>
      <x:c r="J1450" s="17" t="n">
        <x:v>6330.08</x:v>
      </x:c>
      <x:c r="K1450" s="17" t="n">
        <x:v>0</x:v>
      </x:c>
      <x:c r="L1450" s="17" t="n">
        <x:v>0</x:v>
      </x:c>
      <x:c r="M1450" s="13" t="str">
        <x:v>Pago</x:v>
      </x:c>
      <x:c r="N1450" s="13" t="str">
        <x:v>Sem cobrança</x:v>
      </x:c>
      <x:c r="O1450" s="13" t="str">
        <x:v>Escala inteligente</x:v>
      </x:c>
      <x:c r="P1450" s="17" t="n">
        <x:f>IF(D1450="",0,J1450-K1450+L1450)</x:f>
        <x:v>6330.08</x:v>
      </x:c>
      <x:c r="Q1450" s="17" t="n">
        <x:f>MAX(J1450-P1450-K1450,0)</x:f>
        <x:v>0</x:v>
      </x:c>
      <x:c r="R1450" s="13" t="n">
        <x:f>IF(D1450="",MAX(TODAY()-C1450,0),MAX(D1450-C1450,0))</x:f>
        <x:v>0</x:v>
      </x:c>
      <x:c r="S1450" s="13" t="str">
        <x:f>IF(R1450=0,"Em dia",IF(R1450&lt;=15,"1-15 dias",IF(R1450&lt;=30,"16-30 dias",IF(R1450&lt;=60,"31-60 dias","Acima de 60 dias"))))</x:f>
        <x:v>Em dia</x:v>
      </x:c>
    </x:row>
    <x:row r="1451">
      <x:c r="A1451" s="13" t="str">
        <x:v>REC-001450</x:v>
      </x:c>
      <x:c r="B1451" s="23" t="n">
        <x:v>46024</x:v>
      </x:c>
      <x:c r="C1451" s="23" t="n">
        <x:v>46031</x:v>
      </x:c>
      <x:c r="D1451" s="23" t="n">
        <x:v>46028</x:v>
      </x:c>
      <x:c r="E1451" s="13" t="str">
        <x:v>VAL-028</x:v>
      </x:c>
      <x:c r="F1451" s="13" t="str">
        <x:v>Pixel Norte</x:v>
      </x:c>
      <x:c r="G1451" s="13" t="str">
        <x:v>Tecnologia</x:v>
      </x:c>
      <x:c r="H1451" s="13" t="str">
        <x:v>Alto</x:v>
      </x:c>
      <x:c r="I1451" s="13" t="str">
        <x:v>Enterprise</x:v>
      </x:c>
      <x:c r="J1451" s="17" t="n">
        <x:v>29291.76</x:v>
      </x:c>
      <x:c r="K1451" s="17" t="n">
        <x:v>0</x:v>
      </x:c>
      <x:c r="L1451" s="17" t="n">
        <x:v>0</x:v>
      </x:c>
      <x:c r="M1451" s="13" t="str">
        <x:v>Pago</x:v>
      </x:c>
      <x:c r="N1451" s="13" t="str">
        <x:v>Sem cobrança</x:v>
      </x:c>
      <x:c r="O1451" s="13" t="str">
        <x:v>Escala inteligente</x:v>
      </x:c>
      <x:c r="P1451" s="17" t="n">
        <x:f>IF(D1451="",0,J1451-K1451+L1451)</x:f>
        <x:v>29291.76</x:v>
      </x:c>
      <x:c r="Q1451" s="17" t="n">
        <x:f>MAX(J1451-P1451-K1451,0)</x:f>
        <x:v>0</x:v>
      </x:c>
      <x:c r="R1451" s="13" t="n">
        <x:f>IF(D1451="",MAX(TODAY()-C1451,0),MAX(D1451-C1451,0))</x:f>
        <x:v>0</x:v>
      </x:c>
      <x:c r="S1451" s="13" t="str">
        <x:f>IF(R1451=0,"Em dia",IF(R1451&lt;=15,"1-15 dias",IF(R1451&lt;=30,"16-30 dias",IF(R1451&lt;=60,"31-60 dias","Acima de 60 dias"))))</x:f>
        <x:v>Em dia</x:v>
      </x:c>
    </x:row>
    <x:row r="1452">
      <x:c r="A1452" s="13" t="str">
        <x:v>REC-001451</x:v>
      </x:c>
      <x:c r="B1452" s="23" t="n">
        <x:v>46038</x:v>
      </x:c>
      <x:c r="C1452" s="23" t="n">
        <x:v>46066</x:v>
      </x:c>
      <x:c r="D1452" s="23" t="n">
        <x:v>46066</x:v>
      </x:c>
      <x:c r="E1452" s="13" t="str">
        <x:v>VAL-025</x:v>
      </x:c>
      <x:c r="F1452" s="13" t="str">
        <x:v>Bem-Estar Terapias</x:v>
      </x:c>
      <x:c r="G1452" s="13" t="str">
        <x:v>Clínicas e Saúde</x:v>
      </x:c>
      <x:c r="H1452" s="13" t="str">
        <x:v>Baixo</x:v>
      </x:c>
      <x:c r="I1452" s="13" t="str">
        <x:v>Essencial</x:v>
      </x:c>
      <x:c r="J1452" s="17" t="n">
        <x:v>14451.86</x:v>
      </x:c>
      <x:c r="K1452" s="17" t="n">
        <x:v>236.07</x:v>
      </x:c>
      <x:c r="L1452" s="17" t="n">
        <x:v>0</x:v>
      </x:c>
      <x:c r="M1452" s="13" t="str">
        <x:v>Pago</x:v>
      </x:c>
      <x:c r="N1452" s="13" t="str">
        <x:v>Sem cobrança</x:v>
      </x:c>
      <x:c r="O1452" s="13" t="str">
        <x:v>Escala inteligente</x:v>
      </x:c>
      <x:c r="P1452" s="17" t="n">
        <x:f>IF(D1452="",0,J1452-K1452+L1452)</x:f>
        <x:v>14215.79</x:v>
      </x:c>
      <x:c r="Q1452" s="17" t="n">
        <x:f>MAX(J1452-P1452-K1452,0)</x:f>
        <x:v>0</x:v>
      </x:c>
      <x:c r="R1452" s="13" t="n">
        <x:f>IF(D1452="",MAX(TODAY()-C1452,0),MAX(D1452-C1452,0))</x:f>
        <x:v>0</x:v>
      </x:c>
      <x:c r="S1452" s="13" t="str">
        <x:f>IF(R1452=0,"Em dia",IF(R1452&lt;=15,"1-15 dias",IF(R1452&lt;=30,"16-30 dias",IF(R1452&lt;=60,"31-60 dias","Acima de 60 dias"))))</x:f>
        <x:v>Em dia</x:v>
      </x:c>
    </x:row>
    <x:row r="1453">
      <x:c r="A1453" s="13" t="str">
        <x:v>REC-001452</x:v>
      </x:c>
      <x:c r="B1453" s="23" t="n">
        <x:v>46036</x:v>
      </x:c>
      <x:c r="C1453" s="23" t="n">
        <x:v>46043</x:v>
      </x:c>
      <x:c r="D1453" s="23" t="n">
        <x:v>46039</x:v>
      </x:c>
      <x:c r="E1453" s="13" t="str">
        <x:v>VAL-022</x:v>
      </x:c>
      <x:c r="F1453" s="13" t="str">
        <x:v>Academia Evoluir</x:v>
      </x:c>
      <x:c r="G1453" s="13" t="str">
        <x:v>Educação</x:v>
      </x:c>
      <x:c r="H1453" s="13" t="str">
        <x:v>Alto</x:v>
      </x:c>
      <x:c r="I1453" s="13" t="str">
        <x:v>Gestão</x:v>
      </x:c>
      <x:c r="J1453" s="17" t="n">
        <x:v>16856.33</x:v>
      </x:c>
      <x:c r="K1453" s="17" t="n">
        <x:v>0</x:v>
      </x:c>
      <x:c r="L1453" s="17" t="n">
        <x:v>0</x:v>
      </x:c>
      <x:c r="M1453" s="13" t="str">
        <x:v>Pago</x:v>
      </x:c>
      <x:c r="N1453" s="13" t="str">
        <x:v>Sem cobrança</x:v>
      </x:c>
      <x:c r="O1453" s="13" t="str">
        <x:v>Escala inteligente</x:v>
      </x:c>
      <x:c r="P1453" s="17" t="n">
        <x:f>IF(D1453="",0,J1453-K1453+L1453)</x:f>
        <x:v>16856.33</x:v>
      </x:c>
      <x:c r="Q1453" s="17" t="n">
        <x:f>MAX(J1453-P1453-K1453,0)</x:f>
        <x:v>0</x:v>
      </x:c>
      <x:c r="R1453" s="13" t="n">
        <x:f>IF(D1453="",MAX(TODAY()-C1453,0),MAX(D1453-C1453,0))</x:f>
        <x:v>0</x:v>
      </x:c>
      <x:c r="S1453" s="13" t="str">
        <x:f>IF(R1453=0,"Em dia",IF(R1453&lt;=15,"1-15 dias",IF(R1453&lt;=30,"16-30 dias",IF(R1453&lt;=60,"31-60 dias","Acima de 60 dias"))))</x:f>
        <x:v>Em dia</x:v>
      </x:c>
    </x:row>
    <x:row r="1454">
      <x:c r="A1454" s="13" t="str">
        <x:v>REC-001453</x:v>
      </x:c>
      <x:c r="B1454" s="23" t="n">
        <x:v>46031</x:v>
      </x:c>
      <x:c r="C1454" s="23" t="n">
        <x:v>46061</x:v>
      </x:c>
      <x:c r="D1454" s="23" t="n">
        <x:v>46061</x:v>
      </x:c>
      <x:c r="E1454" s="13" t="str">
        <x:v>VAL-024</x:v>
      </x:c>
      <x:c r="F1454" s="13" t="str">
        <x:v>NovaForma Móveis</x:v>
      </x:c>
      <x:c r="G1454" s="13" t="str">
        <x:v>Indústria Leve</x:v>
      </x:c>
      <x:c r="H1454" s="13" t="str">
        <x:v>Baixo</x:v>
      </x:c>
      <x:c r="I1454" s="13" t="str">
        <x:v>Enterprise</x:v>
      </x:c>
      <x:c r="J1454" s="17" t="n">
        <x:v>26801.3</x:v>
      </x:c>
      <x:c r="K1454" s="17" t="n">
        <x:v>0</x:v>
      </x:c>
      <x:c r="L1454" s="17" t="n">
        <x:v>0</x:v>
      </x:c>
      <x:c r="M1454" s="13" t="str">
        <x:v>Pago</x:v>
      </x:c>
      <x:c r="N1454" s="13" t="str">
        <x:v>Sem cobrança</x:v>
      </x:c>
      <x:c r="O1454" s="13" t="str">
        <x:v>Escala inteligente</x:v>
      </x:c>
      <x:c r="P1454" s="17" t="n">
        <x:f>IF(D1454="",0,J1454-K1454+L1454)</x:f>
        <x:v>26801.3</x:v>
      </x:c>
      <x:c r="Q1454" s="17" t="n">
        <x:f>MAX(J1454-P1454-K1454,0)</x:f>
        <x:v>0</x:v>
      </x:c>
      <x:c r="R1454" s="13" t="n">
        <x:f>IF(D1454="",MAX(TODAY()-C1454,0),MAX(D1454-C1454,0))</x:f>
        <x:v>0</x:v>
      </x:c>
      <x:c r="S1454" s="13" t="str">
        <x:f>IF(R1454=0,"Em dia",IF(R1454&lt;=15,"1-15 dias",IF(R1454&lt;=30,"16-30 dias",IF(R1454&lt;=60,"31-60 dias","Acima de 60 dias"))))</x:f>
        <x:v>Em dia</x:v>
      </x:c>
    </x:row>
    <x:row r="1455">
      <x:c r="A1455" s="13" t="str">
        <x:v>REC-001454</x:v>
      </x:c>
      <x:c r="B1455" s="23" t="n">
        <x:v>46030</x:v>
      </x:c>
      <x:c r="C1455" s="23" t="n">
        <x:v>46045</x:v>
      </x:c>
      <x:c r="D1455" s="23" t="n">
        <x:v>46074</x:v>
      </x:c>
      <x:c r="E1455" s="13" t="str">
        <x:v>VAL-026</x:v>
      </x:c>
      <x:c r="F1455" s="13" t="str">
        <x:v>Ribeiro Arquitetura</x:v>
      </x:c>
      <x:c r="G1455" s="13" t="str">
        <x:v>Serviços Profissionais</x:v>
      </x:c>
      <x:c r="H1455" s="13" t="str">
        <x:v>Baixo</x:v>
      </x:c>
      <x:c r="I1455" s="13" t="str">
        <x:v>Gestão</x:v>
      </x:c>
      <x:c r="J1455" s="17" t="n">
        <x:v>17273.58</x:v>
      </x:c>
      <x:c r="K1455" s="17" t="n">
        <x:v>0</x:v>
      </x:c>
      <x:c r="L1455" s="17" t="n">
        <x:v>325.61</x:v>
      </x:c>
      <x:c r="M1455" s="13" t="str">
        <x:v>Pago com atraso</x:v>
      </x:c>
      <x:c r="N1455" s="13" t="str">
        <x:v>Régua automática</x:v>
      </x:c>
      <x:c r="O1455" s="13" t="str">
        <x:v>Escala inteligente</x:v>
      </x:c>
      <x:c r="P1455" s="17" t="n">
        <x:f>IF(D1455="",0,J1455-K1455+L1455)</x:f>
        <x:v>17599.190000000002</x:v>
      </x:c>
      <x:c r="Q1455" s="17" t="n">
        <x:f>MAX(J1455-P1455-K1455,0)</x:f>
        <x:v>0</x:v>
      </x:c>
      <x:c r="R1455" s="13" t="n">
        <x:f>IF(D1455="",MAX(TODAY()-C1455,0),MAX(D1455-C1455,0))</x:f>
        <x:v>29</x:v>
      </x:c>
      <x:c r="S1455" s="13" t="str">
        <x:f>IF(R1455=0,"Em dia",IF(R1455&lt;=15,"1-15 dias",IF(R1455&lt;=30,"16-30 dias",IF(R1455&lt;=60,"31-60 dias","Acima de 60 dias"))))</x:f>
        <x:v>16-30 dias</x:v>
      </x:c>
    </x:row>
    <x:row r="1456">
      <x:c r="A1456" s="13" t="str">
        <x:v>REC-001455</x:v>
      </x:c>
      <x:c r="B1456" s="23" t="n">
        <x:v>46035</x:v>
      </x:c>
      <x:c r="C1456" s="23" t="n">
        <x:v>46056</x:v>
      </x:c>
      <x:c r="D1456" s="23" t="n">
        <x:v>46056</x:v>
      </x:c>
      <x:c r="E1456" s="13" t="str">
        <x:v>VAL-017</x:v>
      </x:c>
      <x:c r="F1456" s="13" t="str">
        <x:v>Centro Médico Vida</x:v>
      </x:c>
      <x:c r="G1456" s="13" t="str">
        <x:v>Clínicas e Saúde</x:v>
      </x:c>
      <x:c r="H1456" s="13" t="str">
        <x:v>Baixo</x:v>
      </x:c>
      <x:c r="I1456" s="13" t="str">
        <x:v>Essencial</x:v>
      </x:c>
      <x:c r="J1456" s="17" t="n">
        <x:v>24347.53</x:v>
      </x:c>
      <x:c r="K1456" s="17" t="n">
        <x:v>0</x:v>
      </x:c>
      <x:c r="L1456" s="17" t="n">
        <x:v>0</x:v>
      </x:c>
      <x:c r="M1456" s="13" t="str">
        <x:v>Pago</x:v>
      </x:c>
      <x:c r="N1456" s="13" t="str">
        <x:v>Sem cobrança</x:v>
      </x:c>
      <x:c r="O1456" s="13" t="str">
        <x:v>Escala inteligente</x:v>
      </x:c>
      <x:c r="P1456" s="17" t="n">
        <x:f>IF(D1456="",0,J1456-K1456+L1456)</x:f>
        <x:v>24347.53</x:v>
      </x:c>
      <x:c r="Q1456" s="17" t="n">
        <x:f>MAX(J1456-P1456-K1456,0)</x:f>
        <x:v>0</x:v>
      </x:c>
      <x:c r="R1456" s="13" t="n">
        <x:f>IF(D1456="",MAX(TODAY()-C1456,0),MAX(D1456-C1456,0))</x:f>
        <x:v>0</x:v>
      </x:c>
      <x:c r="S1456" s="13" t="str">
        <x:f>IF(R1456=0,"Em dia",IF(R1456&lt;=15,"1-15 dias",IF(R1456&lt;=30,"16-30 dias",IF(R1456&lt;=60,"31-60 dias","Acima de 60 dias"))))</x:f>
        <x:v>Em dia</x:v>
      </x:c>
    </x:row>
    <x:row r="1457">
      <x:c r="A1457" s="13" t="str">
        <x:v>REC-001456</x:v>
      </x:c>
      <x:c r="B1457" s="23" t="n">
        <x:v>46037</x:v>
      </x:c>
      <x:c r="C1457" s="23" t="n">
        <x:v>46058</x:v>
      </x:c>
      <x:c r="D1457" s="23" t="n">
        <x:v>46056</x:v>
      </x:c>
      <x:c r="E1457" s="13" t="str">
        <x:v>VAL-028</x:v>
      </x:c>
      <x:c r="F1457" s="13" t="str">
        <x:v>Pixel Norte</x:v>
      </x:c>
      <x:c r="G1457" s="13" t="str">
        <x:v>Tecnologia</x:v>
      </x:c>
      <x:c r="H1457" s="13" t="str">
        <x:v>Alto</x:v>
      </x:c>
      <x:c r="I1457" s="13" t="str">
        <x:v>Enterprise</x:v>
      </x:c>
      <x:c r="J1457" s="17" t="n">
        <x:v>13987.44</x:v>
      </x:c>
      <x:c r="K1457" s="17" t="n">
        <x:v>0</x:v>
      </x:c>
      <x:c r="L1457" s="17" t="n">
        <x:v>0</x:v>
      </x:c>
      <x:c r="M1457" s="13" t="str">
        <x:v>Pago</x:v>
      </x:c>
      <x:c r="N1457" s="13" t="str">
        <x:v>Sem cobrança</x:v>
      </x:c>
      <x:c r="O1457" s="13" t="str">
        <x:v>Escala inteligente</x:v>
      </x:c>
      <x:c r="P1457" s="17" t="n">
        <x:f>IF(D1457="",0,J1457-K1457+L1457)</x:f>
        <x:v>13987.44</x:v>
      </x:c>
      <x:c r="Q1457" s="17" t="n">
        <x:f>MAX(J1457-P1457-K1457,0)</x:f>
        <x:v>0</x:v>
      </x:c>
      <x:c r="R1457" s="13" t="n">
        <x:f>IF(D1457="",MAX(TODAY()-C1457,0),MAX(D1457-C1457,0))</x:f>
        <x:v>0</x:v>
      </x:c>
      <x:c r="S1457" s="13" t="str">
        <x:f>IF(R1457=0,"Em dia",IF(R1457&lt;=15,"1-15 dias",IF(R1457&lt;=30,"16-30 dias",IF(R1457&lt;=60,"31-60 dias","Acima de 60 dias"))))</x:f>
        <x:v>Em dia</x:v>
      </x:c>
    </x:row>
    <x:row r="1458">
      <x:c r="A1458" s="13" t="str">
        <x:v>REC-001457</x:v>
      </x:c>
      <x:c r="B1458" s="23" t="n">
        <x:v>46040</x:v>
      </x:c>
      <x:c r="C1458" s="23" t="n">
        <x:v>46070</x:v>
      </x:c>
      <x:c r="D1458" s="23" t="n">
        <x:v>46069</x:v>
      </x:c>
      <x:c r="E1458" s="13" t="str">
        <x:v>VAL-022</x:v>
      </x:c>
      <x:c r="F1458" s="13" t="str">
        <x:v>Academia Evoluir</x:v>
      </x:c>
      <x:c r="G1458" s="13" t="str">
        <x:v>Educação</x:v>
      </x:c>
      <x:c r="H1458" s="13" t="str">
        <x:v>Alto</x:v>
      </x:c>
      <x:c r="I1458" s="13" t="str">
        <x:v>Gestão</x:v>
      </x:c>
      <x:c r="J1458" s="17" t="n">
        <x:v>21635.9</x:v>
      </x:c>
      <x:c r="K1458" s="17" t="n">
        <x:v>0</x:v>
      </x:c>
      <x:c r="L1458" s="17" t="n">
        <x:v>0</x:v>
      </x:c>
      <x:c r="M1458" s="13" t="str">
        <x:v>Pago</x:v>
      </x:c>
      <x:c r="N1458" s="13" t="str">
        <x:v>Sem cobrança</x:v>
      </x:c>
      <x:c r="O1458" s="13" t="str">
        <x:v>Escala inteligente</x:v>
      </x:c>
      <x:c r="P1458" s="17" t="n">
        <x:f>IF(D1458="",0,J1458-K1458+L1458)</x:f>
        <x:v>21635.9</x:v>
      </x:c>
      <x:c r="Q1458" s="17" t="n">
        <x:f>MAX(J1458-P1458-K1458,0)</x:f>
        <x:v>0</x:v>
      </x:c>
      <x:c r="R1458" s="13" t="n">
        <x:f>IF(D1458="",MAX(TODAY()-C1458,0),MAX(D1458-C1458,0))</x:f>
        <x:v>0</x:v>
      </x:c>
      <x:c r="S1458" s="13" t="str">
        <x:f>IF(R1458=0,"Em dia",IF(R1458&lt;=15,"1-15 dias",IF(R1458&lt;=30,"16-30 dias",IF(R1458&lt;=60,"31-60 dias","Acima de 60 dias"))))</x:f>
        <x:v>Em dia</x:v>
      </x:c>
    </x:row>
    <x:row r="1459">
      <x:c r="A1459" s="13" t="str">
        <x:v>REC-001458</x:v>
      </x:c>
      <x:c r="B1459" s="23" t="n">
        <x:v>46030</x:v>
      </x:c>
      <x:c r="C1459" s="23" t="n">
        <x:v>46060</x:v>
      </x:c>
      <x:c r="D1459" s="23" t="n">
        <x:v>46058</x:v>
      </x:c>
      <x:c r="E1459" s="13" t="str">
        <x:v>VAL-028</x:v>
      </x:c>
      <x:c r="F1459" s="13" t="str">
        <x:v>Pixel Norte</x:v>
      </x:c>
      <x:c r="G1459" s="13" t="str">
        <x:v>Tecnologia</x:v>
      </x:c>
      <x:c r="H1459" s="13" t="str">
        <x:v>Alto</x:v>
      </x:c>
      <x:c r="I1459" s="13" t="str">
        <x:v>Enterprise</x:v>
      </x:c>
      <x:c r="J1459" s="17" t="n">
        <x:v>28438.47</x:v>
      </x:c>
      <x:c r="K1459" s="17" t="n">
        <x:v>478.57</x:v>
      </x:c>
      <x:c r="L1459" s="17" t="n">
        <x:v>0</x:v>
      </x:c>
      <x:c r="M1459" s="13" t="str">
        <x:v>Pago</x:v>
      </x:c>
      <x:c r="N1459" s="13" t="str">
        <x:v>Sem cobrança</x:v>
      </x:c>
      <x:c r="O1459" s="13" t="str">
        <x:v>Escala inteligente</x:v>
      </x:c>
      <x:c r="P1459" s="17" t="n">
        <x:f>IF(D1459="",0,J1459-K1459+L1459)</x:f>
        <x:v>27959.9</x:v>
      </x:c>
      <x:c r="Q1459" s="17" t="n">
        <x:f>MAX(J1459-P1459-K1459,0)</x:f>
        <x:v>0</x:v>
      </x:c>
      <x:c r="R1459" s="13" t="n">
        <x:f>IF(D1459="",MAX(TODAY()-C1459,0),MAX(D1459-C1459,0))</x:f>
        <x:v>0</x:v>
      </x:c>
      <x:c r="S1459" s="13" t="str">
        <x:f>IF(R1459=0,"Em dia",IF(R1459&lt;=15,"1-15 dias",IF(R1459&lt;=30,"16-30 dias",IF(R1459&lt;=60,"31-60 dias","Acima de 60 dias"))))</x:f>
        <x:v>Em dia</x:v>
      </x:c>
    </x:row>
    <x:row r="1460">
      <x:c r="A1460" s="13" t="str">
        <x:v>REC-001459</x:v>
      </x:c>
      <x:c r="B1460" s="23" t="n">
        <x:v>46028</x:v>
      </x:c>
      <x:c r="C1460" s="23" t="n">
        <x:v>46043</x:v>
      </x:c>
      <x:c r="D1460" s="23" t="n">
        <x:v>46042</x:v>
      </x:c>
      <x:c r="E1460" s="13" t="str">
        <x:v>VAL-029</x:v>
      </x:c>
      <x:c r="F1460" s="13" t="str">
        <x:v>Planobra Serviços</x:v>
      </x:c>
      <x:c r="G1460" s="13" t="str">
        <x:v>Construção</x:v>
      </x:c>
      <x:c r="H1460" s="13" t="str">
        <x:v>Baixo</x:v>
      </x:c>
      <x:c r="I1460" s="13" t="str">
        <x:v>Essencial</x:v>
      </x:c>
      <x:c r="J1460" s="17" t="n">
        <x:v>23702.04</x:v>
      </x:c>
      <x:c r="K1460" s="17" t="n">
        <x:v>0</x:v>
      </x:c>
      <x:c r="L1460" s="17" t="n">
        <x:v>0</x:v>
      </x:c>
      <x:c r="M1460" s="13" t="str">
        <x:v>Pago</x:v>
      </x:c>
      <x:c r="N1460" s="13" t="str">
        <x:v>Sem cobrança</x:v>
      </x:c>
      <x:c r="O1460" s="13" t="str">
        <x:v>Escala inteligente</x:v>
      </x:c>
      <x:c r="P1460" s="17" t="n">
        <x:f>IF(D1460="",0,J1460-K1460+L1460)</x:f>
        <x:v>23702.04</x:v>
      </x:c>
      <x:c r="Q1460" s="17" t="n">
        <x:f>MAX(J1460-P1460-K1460,0)</x:f>
        <x:v>0</x:v>
      </x:c>
      <x:c r="R1460" s="13" t="n">
        <x:f>IF(D1460="",MAX(TODAY()-C1460,0),MAX(D1460-C1460,0))</x:f>
        <x:v>0</x:v>
      </x:c>
      <x:c r="S1460" s="13" t="str">
        <x:f>IF(R1460=0,"Em dia",IF(R1460&lt;=15,"1-15 dias",IF(R1460&lt;=30,"16-30 dias",IF(R1460&lt;=60,"31-60 dias","Acima de 60 dias"))))</x:f>
        <x:v>Em dia</x:v>
      </x:c>
    </x:row>
    <x:row r="1461">
      <x:c r="A1461" s="13" t="str">
        <x:v>REC-001460</x:v>
      </x:c>
      <x:c r="B1461" s="23" t="n">
        <x:v>46032</x:v>
      </x:c>
      <x:c r="C1461" s="23" t="n">
        <x:v>46039</x:v>
      </x:c>
      <x:c r="D1461" s="23" t="n">
        <x:v>46039</x:v>
      </x:c>
      <x:c r="E1461" s="13" t="str">
        <x:v>VAL-017</x:v>
      </x:c>
      <x:c r="F1461" s="13" t="str">
        <x:v>Centro Médico Vida</x:v>
      </x:c>
      <x:c r="G1461" s="13" t="str">
        <x:v>Clínicas e Saúde</x:v>
      </x:c>
      <x:c r="H1461" s="13" t="str">
        <x:v>Baixo</x:v>
      </x:c>
      <x:c r="I1461" s="13" t="str">
        <x:v>Essencial</x:v>
      </x:c>
      <x:c r="J1461" s="17" t="n">
        <x:v>16083.94</x:v>
      </x:c>
      <x:c r="K1461" s="17" t="n">
        <x:v>0</x:v>
      </x:c>
      <x:c r="L1461" s="17" t="n">
        <x:v>0</x:v>
      </x:c>
      <x:c r="M1461" s="13" t="str">
        <x:v>Pago</x:v>
      </x:c>
      <x:c r="N1461" s="13" t="str">
        <x:v>Sem cobrança</x:v>
      </x:c>
      <x:c r="O1461" s="13" t="str">
        <x:v>Escala inteligente</x:v>
      </x:c>
      <x:c r="P1461" s="17" t="n">
        <x:f>IF(D1461="",0,J1461-K1461+L1461)</x:f>
        <x:v>16083.94</x:v>
      </x:c>
      <x:c r="Q1461" s="17" t="n">
        <x:f>MAX(J1461-P1461-K1461,0)</x:f>
        <x:v>0</x:v>
      </x:c>
      <x:c r="R1461" s="13" t="n">
        <x:f>IF(D1461="",MAX(TODAY()-C1461,0),MAX(D1461-C1461,0))</x:f>
        <x:v>0</x:v>
      </x:c>
      <x:c r="S1461" s="13" t="str">
        <x:f>IF(R1461=0,"Em dia",IF(R1461&lt;=15,"1-15 dias",IF(R1461&lt;=30,"16-30 dias",IF(R1461&lt;=60,"31-60 dias","Acima de 60 dias"))))</x:f>
        <x:v>Em dia</x:v>
      </x:c>
    </x:row>
    <x:row r="1462">
      <x:c r="A1462" s="13" t="str">
        <x:v>REC-001461</x:v>
      </x:c>
      <x:c r="B1462" s="23" t="n">
        <x:v>46037</x:v>
      </x:c>
      <x:c r="C1462" s="23" t="n">
        <x:v>46065</x:v>
      </x:c>
      <x:c r="D1462" s="23" t="n">
        <x:v>46065</x:v>
      </x:c>
      <x:c r="E1462" s="13" t="str">
        <x:v>VAL-001</x:v>
      </x:c>
      <x:c r="F1462" s="13" t="str">
        <x:v>Clínica Horizonte</x:v>
      </x:c>
      <x:c r="G1462" s="13" t="str">
        <x:v>Clínicas e Saúde</x:v>
      </x:c>
      <x:c r="H1462" s="13" t="str">
        <x:v>Baixo</x:v>
      </x:c>
      <x:c r="I1462" s="13" t="str">
        <x:v>Essencial</x:v>
      </x:c>
      <x:c r="J1462" s="17" t="n">
        <x:v>5662.82</x:v>
      </x:c>
      <x:c r="K1462" s="17" t="n">
        <x:v>0</x:v>
      </x:c>
      <x:c r="L1462" s="17" t="n">
        <x:v>0</x:v>
      </x:c>
      <x:c r="M1462" s="13" t="str">
        <x:v>Pago</x:v>
      </x:c>
      <x:c r="N1462" s="13" t="str">
        <x:v>Sem cobrança</x:v>
      </x:c>
      <x:c r="O1462" s="13" t="str">
        <x:v>Escala inteligente</x:v>
      </x:c>
      <x:c r="P1462" s="17" t="n">
        <x:f>IF(D1462="",0,J1462-K1462+L1462)</x:f>
        <x:v>5662.82</x:v>
      </x:c>
      <x:c r="Q1462" s="17" t="n">
        <x:f>MAX(J1462-P1462-K1462,0)</x:f>
        <x:v>0</x:v>
      </x:c>
      <x:c r="R1462" s="13" t="n">
        <x:f>IF(D1462="",MAX(TODAY()-C1462,0),MAX(D1462-C1462,0))</x:f>
        <x:v>0</x:v>
      </x:c>
      <x:c r="S1462" s="13" t="str">
        <x:f>IF(R1462=0,"Em dia",IF(R1462&lt;=15,"1-15 dias",IF(R1462&lt;=30,"16-30 dias",IF(R1462&lt;=60,"31-60 dias","Acima de 60 dias"))))</x:f>
        <x:v>Em dia</x:v>
      </x:c>
    </x:row>
    <x:row r="1463">
      <x:c r="A1463" s="13" t="str">
        <x:v>REC-001462</x:v>
      </x:c>
      <x:c r="B1463" s="23" t="n">
        <x:v>46037</x:v>
      </x:c>
      <x:c r="C1463" s="23" t="n">
        <x:v>46067</x:v>
      </x:c>
      <x:c r="D1463" s="23" t="n">
        <x:v>46063</x:v>
      </x:c>
      <x:c r="E1463" s="13" t="str">
        <x:v>VAL-016</x:v>
      </x:c>
      <x:c r="F1463" s="13" t="str">
        <x:v>Lumina Embalagens</x:v>
      </x:c>
      <x:c r="G1463" s="13" t="str">
        <x:v>Indústria Leve</x:v>
      </x:c>
      <x:c r="H1463" s="13" t="str">
        <x:v>Baixo</x:v>
      </x:c>
      <x:c r="I1463" s="13" t="str">
        <x:v>Enterprise</x:v>
      </x:c>
      <x:c r="J1463" s="17" t="n">
        <x:v>10119.7</x:v>
      </x:c>
      <x:c r="K1463" s="17" t="n">
        <x:v>0</x:v>
      </x:c>
      <x:c r="L1463" s="17" t="n">
        <x:v>0</x:v>
      </x:c>
      <x:c r="M1463" s="13" t="str">
        <x:v>Pago</x:v>
      </x:c>
      <x:c r="N1463" s="13" t="str">
        <x:v>Sem cobrança</x:v>
      </x:c>
      <x:c r="O1463" s="13" t="str">
        <x:v>Escala inteligente</x:v>
      </x:c>
      <x:c r="P1463" s="17" t="n">
        <x:f>IF(D1463="",0,J1463-K1463+L1463)</x:f>
        <x:v>10119.7</x:v>
      </x:c>
      <x:c r="Q1463" s="17" t="n">
        <x:f>MAX(J1463-P1463-K1463,0)</x:f>
        <x:v>0</x:v>
      </x:c>
      <x:c r="R1463" s="13" t="n">
        <x:f>IF(D1463="",MAX(TODAY()-C1463,0),MAX(D1463-C1463,0))</x:f>
        <x:v>0</x:v>
      </x:c>
      <x:c r="S1463" s="13" t="str">
        <x:f>IF(R1463=0,"Em dia",IF(R1463&lt;=15,"1-15 dias",IF(R1463&lt;=30,"16-30 dias",IF(R1463&lt;=60,"31-60 dias","Acima de 60 dias"))))</x:f>
        <x:v>Em dia</x:v>
      </x:c>
    </x:row>
    <x:row r="1464">
      <x:c r="A1464" s="13" t="str">
        <x:v>REC-001463</x:v>
      </x:c>
      <x:c r="B1464" s="23" t="n">
        <x:v>46025</x:v>
      </x:c>
      <x:c r="C1464" s="23" t="n">
        <x:v>46046</x:v>
      </x:c>
      <x:c r="D1464" s="23" t="n">
        <x:v>46046</x:v>
      </x:c>
      <x:c r="E1464" s="13" t="str">
        <x:v>VAL-002</x:v>
      </x:c>
      <x:c r="F1464" s="13" t="str">
        <x:v>Mendes &amp; Prado Consultoria</x:v>
      </x:c>
      <x:c r="G1464" s="13" t="str">
        <x:v>Serviços Profissionais</x:v>
      </x:c>
      <x:c r="H1464" s="13" t="str">
        <x:v>Baixo</x:v>
      </x:c>
      <x:c r="I1464" s="13" t="str">
        <x:v>Gestão</x:v>
      </x:c>
      <x:c r="J1464" s="17" t="n">
        <x:v>13769.31</x:v>
      </x:c>
      <x:c r="K1464" s="17" t="n">
        <x:v>0</x:v>
      </x:c>
      <x:c r="L1464" s="17" t="n">
        <x:v>0</x:v>
      </x:c>
      <x:c r="M1464" s="13" t="str">
        <x:v>Pago</x:v>
      </x:c>
      <x:c r="N1464" s="13" t="str">
        <x:v>Sem cobrança</x:v>
      </x:c>
      <x:c r="O1464" s="13" t="str">
        <x:v>Escala inteligente</x:v>
      </x:c>
      <x:c r="P1464" s="17" t="n">
        <x:f>IF(D1464="",0,J1464-K1464+L1464)</x:f>
        <x:v>13769.31</x:v>
      </x:c>
      <x:c r="Q1464" s="17" t="n">
        <x:f>MAX(J1464-P1464-K1464,0)</x:f>
        <x:v>0</x:v>
      </x:c>
      <x:c r="R1464" s="13" t="n">
        <x:f>IF(D1464="",MAX(TODAY()-C1464,0),MAX(D1464-C1464,0))</x:f>
        <x:v>0</x:v>
      </x:c>
      <x:c r="S1464" s="13" t="str">
        <x:f>IF(R1464=0,"Em dia",IF(R1464&lt;=15,"1-15 dias",IF(R1464&lt;=30,"16-30 dias",IF(R1464&lt;=60,"31-60 dias","Acima de 60 dias"))))</x:f>
        <x:v>Em dia</x:v>
      </x:c>
    </x:row>
    <x:row r="1465">
      <x:c r="A1465" s="13" t="str">
        <x:v>REC-001464</x:v>
      </x:c>
      <x:c r="B1465" s="23" t="n">
        <x:v>46038</x:v>
      </x:c>
      <x:c r="C1465" s="23" t="n">
        <x:v>46066</x:v>
      </x:c>
      <x:c r="D1465" s="23" t="n">
        <x:v>46062</x:v>
      </x:c>
      <x:c r="E1465" s="13" t="str">
        <x:v>VAL-012</x:v>
      </x:c>
      <x:c r="F1465" s="13" t="str">
        <x:v>DataFlow Sistemas</x:v>
      </x:c>
      <x:c r="G1465" s="13" t="str">
        <x:v>Tecnologia</x:v>
      </x:c>
      <x:c r="H1465" s="13" t="str">
        <x:v>Médio</x:v>
      </x:c>
      <x:c r="I1465" s="13" t="str">
        <x:v>Enterprise</x:v>
      </x:c>
      <x:c r="J1465" s="17" t="n">
        <x:v>30762.43</x:v>
      </x:c>
      <x:c r="K1465" s="17" t="n">
        <x:v>0</x:v>
      </x:c>
      <x:c r="L1465" s="17" t="n">
        <x:v>0</x:v>
      </x:c>
      <x:c r="M1465" s="13" t="str">
        <x:v>Pago</x:v>
      </x:c>
      <x:c r="N1465" s="13" t="str">
        <x:v>Sem cobrança</x:v>
      </x:c>
      <x:c r="O1465" s="13" t="str">
        <x:v>Escala inteligente</x:v>
      </x:c>
      <x:c r="P1465" s="17" t="n">
        <x:f>IF(D1465="",0,J1465-K1465+L1465)</x:f>
        <x:v>30762.43</x:v>
      </x:c>
      <x:c r="Q1465" s="17" t="n">
        <x:f>MAX(J1465-P1465-K1465,0)</x:f>
        <x:v>0</x:v>
      </x:c>
      <x:c r="R1465" s="13" t="n">
        <x:f>IF(D1465="",MAX(TODAY()-C1465,0),MAX(D1465-C1465,0))</x:f>
        <x:v>0</x:v>
      </x:c>
      <x:c r="S1465" s="13" t="str">
        <x:f>IF(R1465=0,"Em dia",IF(R1465&lt;=15,"1-15 dias",IF(R1465&lt;=30,"16-30 dias",IF(R1465&lt;=60,"31-60 dias","Acima de 60 dias"))))</x:f>
        <x:v>Em dia</x:v>
      </x:c>
    </x:row>
    <x:row r="1466">
      <x:c r="A1466" s="13" t="str">
        <x:v>REC-001465</x:v>
      </x:c>
      <x:c r="B1466" s="23" t="n">
        <x:v>46039</x:v>
      </x:c>
      <x:c r="C1466" s="23" t="n">
        <x:v>46046</x:v>
      </x:c>
      <x:c r="D1466" s="23" t="n">
        <x:v>46046</x:v>
      </x:c>
      <x:c r="E1466" s="13" t="str">
        <x:v>VAL-023</x:v>
      </x:c>
      <x:c r="F1466" s="13" t="str">
        <x:v>ShopMix Brasil</x:v>
      </x:c>
      <x:c r="G1466" s="13" t="str">
        <x:v>E-commerce</x:v>
      </x:c>
      <x:c r="H1466" s="13" t="str">
        <x:v>Baixo</x:v>
      </x:c>
      <x:c r="I1466" s="13" t="str">
        <x:v>Performance</x:v>
      </x:c>
      <x:c r="J1466" s="17" t="n">
        <x:v>2053.93</x:v>
      </x:c>
      <x:c r="K1466" s="17" t="n">
        <x:v>0</x:v>
      </x:c>
      <x:c r="L1466" s="17" t="n">
        <x:v>0</x:v>
      </x:c>
      <x:c r="M1466" s="13" t="str">
        <x:v>Pago</x:v>
      </x:c>
      <x:c r="N1466" s="13" t="str">
        <x:v>Sem cobrança</x:v>
      </x:c>
      <x:c r="O1466" s="13" t="str">
        <x:v>Escala inteligente</x:v>
      </x:c>
      <x:c r="P1466" s="17" t="n">
        <x:f>IF(D1466="",0,J1466-K1466+L1466)</x:f>
        <x:v>2053.93</x:v>
      </x:c>
      <x:c r="Q1466" s="17" t="n">
        <x:f>MAX(J1466-P1466-K1466,0)</x:f>
        <x:v>0</x:v>
      </x:c>
      <x:c r="R1466" s="13" t="n">
        <x:f>IF(D1466="",MAX(TODAY()-C1466,0),MAX(D1466-C1466,0))</x:f>
        <x:v>0</x:v>
      </x:c>
      <x:c r="S1466" s="13" t="str">
        <x:f>IF(R1466=0,"Em dia",IF(R1466&lt;=15,"1-15 dias",IF(R1466&lt;=30,"16-30 dias",IF(R1466&lt;=60,"31-60 dias","Acima de 60 dias"))))</x:f>
        <x:v>Em dia</x:v>
      </x:c>
    </x:row>
    <x:row r="1467">
      <x:c r="A1467" s="13" t="str">
        <x:v>REC-001466</x:v>
      </x:c>
      <x:c r="B1467" s="23" t="n">
        <x:v>46035</x:v>
      </x:c>
      <x:c r="C1467" s="23" t="n">
        <x:v>46063</x:v>
      </x:c>
      <x:c r="D1467" s="23" t="n">
        <x:v>46059</x:v>
      </x:c>
      <x:c r="E1467" s="13" t="str">
        <x:v>VAL-011</x:v>
      </x:c>
      <x:c r="F1467" s="13" t="str">
        <x:v>Rede Essencial</x:v>
      </x:c>
      <x:c r="G1467" s="13" t="str">
        <x:v>Varejo</x:v>
      </x:c>
      <x:c r="H1467" s="13" t="str">
        <x:v>Médio</x:v>
      </x:c>
      <x:c r="I1467" s="13" t="str">
        <x:v>Performance</x:v>
      </x:c>
      <x:c r="J1467" s="17" t="n">
        <x:v>11354.48</x:v>
      </x:c>
      <x:c r="K1467" s="17" t="n">
        <x:v>0</x:v>
      </x:c>
      <x:c r="L1467" s="17" t="n">
        <x:v>0</x:v>
      </x:c>
      <x:c r="M1467" s="13" t="str">
        <x:v>Pago</x:v>
      </x:c>
      <x:c r="N1467" s="13" t="str">
        <x:v>Sem cobrança</x:v>
      </x:c>
      <x:c r="O1467" s="13" t="str">
        <x:v>Escala inteligente</x:v>
      </x:c>
      <x:c r="P1467" s="17" t="n">
        <x:f>IF(D1467="",0,J1467-K1467+L1467)</x:f>
        <x:v>11354.48</x:v>
      </x:c>
      <x:c r="Q1467" s="17" t="n">
        <x:f>MAX(J1467-P1467-K1467,0)</x:f>
        <x:v>0</x:v>
      </x:c>
      <x:c r="R1467" s="13" t="n">
        <x:f>IF(D1467="",MAX(TODAY()-C1467,0),MAX(D1467-C1467,0))</x:f>
        <x:v>0</x:v>
      </x:c>
      <x:c r="S1467" s="13" t="str">
        <x:f>IF(R1467=0,"Em dia",IF(R1467&lt;=15,"1-15 dias",IF(R1467&lt;=30,"16-30 dias",IF(R1467&lt;=60,"31-60 dias","Acima de 60 dias"))))</x:f>
        <x:v>Em dia</x:v>
      </x:c>
    </x:row>
    <x:row r="1468">
      <x:c r="A1468" s="13" t="str">
        <x:v>REC-001467</x:v>
      </x:c>
      <x:c r="B1468" s="23" t="n">
        <x:v>46039</x:v>
      </x:c>
      <x:c r="C1468" s="23" t="n">
        <x:v>46054</x:v>
      </x:c>
      <x:c r="D1468" s="23" t="n">
        <x:v>46079</x:v>
      </x:c>
      <x:c r="E1468" s="13" t="str">
        <x:v>VAL-022</x:v>
      </x:c>
      <x:c r="F1468" s="13" t="str">
        <x:v>Academia Evoluir</x:v>
      </x:c>
      <x:c r="G1468" s="13" t="str">
        <x:v>Educação</x:v>
      </x:c>
      <x:c r="H1468" s="13" t="str">
        <x:v>Alto</x:v>
      </x:c>
      <x:c r="I1468" s="13" t="str">
        <x:v>Gestão</x:v>
      </x:c>
      <x:c r="J1468" s="17" t="n">
        <x:v>6699.66</x:v>
      </x:c>
      <x:c r="K1468" s="17" t="n">
        <x:v>0</x:v>
      </x:c>
      <x:c r="L1468" s="17" t="n">
        <x:v>108.87</x:v>
      </x:c>
      <x:c r="M1468" s="13" t="str">
        <x:v>Pago com atraso</x:v>
      </x:c>
      <x:c r="N1468" s="13" t="str">
        <x:v>Telefone</x:v>
      </x:c>
      <x:c r="O1468" s="13" t="str">
        <x:v>Escala inteligente</x:v>
      </x:c>
      <x:c r="P1468" s="17" t="n">
        <x:f>IF(D1468="",0,J1468-K1468+L1468)</x:f>
        <x:v>6808.53</x:v>
      </x:c>
      <x:c r="Q1468" s="17" t="n">
        <x:f>MAX(J1468-P1468-K1468,0)</x:f>
        <x:v>0</x:v>
      </x:c>
      <x:c r="R1468" s="13" t="n">
        <x:f>IF(D1468="",MAX(TODAY()-C1468,0),MAX(D1468-C1468,0))</x:f>
        <x:v>25</x:v>
      </x:c>
      <x:c r="S1468" s="13" t="str">
        <x:f>IF(R1468=0,"Em dia",IF(R1468&lt;=15,"1-15 dias",IF(R1468&lt;=30,"16-30 dias",IF(R1468&lt;=60,"31-60 dias","Acima de 60 dias"))))</x:f>
        <x:v>16-30 dias</x:v>
      </x:c>
    </x:row>
    <x:row r="1469">
      <x:c r="A1469" s="13" t="str">
        <x:v>REC-001468</x:v>
      </x:c>
      <x:c r="B1469" s="23" t="n">
        <x:v>46038</x:v>
      </x:c>
      <x:c r="C1469" s="23" t="n">
        <x:v>46068</x:v>
      </x:c>
      <x:c r="D1469" s="23" t="n">
        <x:v>46065</x:v>
      </x:c>
      <x:c r="E1469" s="13" t="str">
        <x:v>VAL-004</x:v>
      </x:c>
      <x:c r="F1469" s="13" t="str">
        <x:v>NuvemBase Tecnologia</x:v>
      </x:c>
      <x:c r="G1469" s="13" t="str">
        <x:v>Tecnologia</x:v>
      </x:c>
      <x:c r="H1469" s="13" t="str">
        <x:v>Baixo</x:v>
      </x:c>
      <x:c r="I1469" s="13" t="str">
        <x:v>Enterprise</x:v>
      </x:c>
      <x:c r="J1469" s="17" t="n">
        <x:v>25876.46</x:v>
      </x:c>
      <x:c r="K1469" s="17" t="n">
        <x:v>0</x:v>
      </x:c>
      <x:c r="L1469" s="17" t="n">
        <x:v>0</x:v>
      </x:c>
      <x:c r="M1469" s="13" t="str">
        <x:v>Pago</x:v>
      </x:c>
      <x:c r="N1469" s="13" t="str">
        <x:v>Sem cobrança</x:v>
      </x:c>
      <x:c r="O1469" s="13" t="str">
        <x:v>Escala inteligente</x:v>
      </x:c>
      <x:c r="P1469" s="17" t="n">
        <x:f>IF(D1469="",0,J1469-K1469+L1469)</x:f>
        <x:v>25876.46</x:v>
      </x:c>
      <x:c r="Q1469" s="17" t="n">
        <x:f>MAX(J1469-P1469-K1469,0)</x:f>
        <x:v>0</x:v>
      </x:c>
      <x:c r="R1469" s="13" t="n">
        <x:f>IF(D1469="",MAX(TODAY()-C1469,0),MAX(D1469-C1469,0))</x:f>
        <x:v>0</x:v>
      </x:c>
      <x:c r="S1469" s="13" t="str">
        <x:f>IF(R1469=0,"Em dia",IF(R1469&lt;=15,"1-15 dias",IF(R1469&lt;=30,"16-30 dias",IF(R1469&lt;=60,"31-60 dias","Acima de 60 dias"))))</x:f>
        <x:v>Em dia</x:v>
      </x:c>
    </x:row>
    <x:row r="1470">
      <x:c r="A1470" s="13" t="str">
        <x:v>REC-001469</x:v>
      </x:c>
      <x:c r="B1470" s="23" t="n">
        <x:v>46042</x:v>
      </x:c>
      <x:c r="C1470" s="23" t="n">
        <x:v>46049</x:v>
      </x:c>
      <x:c r="D1470" s="23" t="n">
        <x:v>46047</x:v>
      </x:c>
      <x:c r="E1470" s="13" t="str">
        <x:v>VAL-023</x:v>
      </x:c>
      <x:c r="F1470" s="13" t="str">
        <x:v>ShopMix Brasil</x:v>
      </x:c>
      <x:c r="G1470" s="13" t="str">
        <x:v>E-commerce</x:v>
      </x:c>
      <x:c r="H1470" s="13" t="str">
        <x:v>Baixo</x:v>
      </x:c>
      <x:c r="I1470" s="13" t="str">
        <x:v>Performance</x:v>
      </x:c>
      <x:c r="J1470" s="17" t="n">
        <x:v>4070.47</x:v>
      </x:c>
      <x:c r="K1470" s="17" t="n">
        <x:v>0</x:v>
      </x:c>
      <x:c r="L1470" s="17" t="n">
        <x:v>0</x:v>
      </x:c>
      <x:c r="M1470" s="13" t="str">
        <x:v>Pago</x:v>
      </x:c>
      <x:c r="N1470" s="13" t="str">
        <x:v>Sem cobrança</x:v>
      </x:c>
      <x:c r="O1470" s="13" t="str">
        <x:v>Escala inteligente</x:v>
      </x:c>
      <x:c r="P1470" s="17" t="n">
        <x:f>IF(D1470="",0,J1470-K1470+L1470)</x:f>
        <x:v>4070.47</x:v>
      </x:c>
      <x:c r="Q1470" s="17" t="n">
        <x:f>MAX(J1470-P1470-K1470,0)</x:f>
        <x:v>0</x:v>
      </x:c>
      <x:c r="R1470" s="13" t="n">
        <x:f>IF(D1470="",MAX(TODAY()-C1470,0),MAX(D1470-C1470,0))</x:f>
        <x:v>0</x:v>
      </x:c>
      <x:c r="S1470" s="13" t="str">
        <x:f>IF(R1470=0,"Em dia",IF(R1470&lt;=15,"1-15 dias",IF(R1470&lt;=30,"16-30 dias",IF(R1470&lt;=60,"31-60 dias","Acima de 60 dias"))))</x:f>
        <x:v>Em dia</x:v>
      </x:c>
    </x:row>
    <x:row r="1471">
      <x:c r="A1471" s="13" t="str">
        <x:v>REC-001470</x:v>
      </x:c>
      <x:c r="B1471" s="23" t="n">
        <x:v>46025</x:v>
      </x:c>
      <x:c r="C1471" s="23" t="n">
        <x:v>46040</x:v>
      </x:c>
      <x:c r="D1471" s="23" t="n">
        <x:v>46040</x:v>
      </x:c>
      <x:c r="E1471" s="13" t="str">
        <x:v>VAL-011</x:v>
      </x:c>
      <x:c r="F1471" s="13" t="str">
        <x:v>Rede Essencial</x:v>
      </x:c>
      <x:c r="G1471" s="13" t="str">
        <x:v>Varejo</x:v>
      </x:c>
      <x:c r="H1471" s="13" t="str">
        <x:v>Médio</x:v>
      </x:c>
      <x:c r="I1471" s="13" t="str">
        <x:v>Performance</x:v>
      </x:c>
      <x:c r="J1471" s="17" t="n">
        <x:v>3183.23</x:v>
      </x:c>
      <x:c r="K1471" s="17" t="n">
        <x:v>0</x:v>
      </x:c>
      <x:c r="L1471" s="17" t="n">
        <x:v>0</x:v>
      </x:c>
      <x:c r="M1471" s="13" t="str">
        <x:v>Pago</x:v>
      </x:c>
      <x:c r="N1471" s="13" t="str">
        <x:v>Sem cobrança</x:v>
      </x:c>
      <x:c r="O1471" s="13" t="str">
        <x:v>Escala inteligente</x:v>
      </x:c>
      <x:c r="P1471" s="17" t="n">
        <x:f>IF(D1471="",0,J1471-K1471+L1471)</x:f>
        <x:v>3183.23</x:v>
      </x:c>
      <x:c r="Q1471" s="17" t="n">
        <x:f>MAX(J1471-P1471-K1471,0)</x:f>
        <x:v>0</x:v>
      </x:c>
      <x:c r="R1471" s="13" t="n">
        <x:f>IF(D1471="",MAX(TODAY()-C1471,0),MAX(D1471-C1471,0))</x:f>
        <x:v>0</x:v>
      </x:c>
      <x:c r="S1471" s="13" t="str">
        <x:f>IF(R1471=0,"Em dia",IF(R1471&lt;=15,"1-15 dias",IF(R1471&lt;=30,"16-30 dias",IF(R1471&lt;=60,"31-60 dias","Acima de 60 dias"))))</x:f>
        <x:v>Em dia</x:v>
      </x:c>
    </x:row>
    <x:row r="1472">
      <x:c r="A1472" s="13" t="str">
        <x:v>REC-001471</x:v>
      </x:c>
      <x:c r="B1472" s="23" t="n">
        <x:v>46033</x:v>
      </x:c>
      <x:c r="C1472" s="23" t="n">
        <x:v>46054</x:v>
      </x:c>
      <x:c r="D1472" s="23" t="n">
        <x:v>46050</x:v>
      </x:c>
      <x:c r="E1472" s="13" t="str">
        <x:v>VAL-014</x:v>
      </x:c>
      <x:c r="F1472" s="13" t="str">
        <x:v>Colégio Caminhos</x:v>
      </x:c>
      <x:c r="G1472" s="13" t="str">
        <x:v>Educação</x:v>
      </x:c>
      <x:c r="H1472" s="13" t="str">
        <x:v>Médio</x:v>
      </x:c>
      <x:c r="I1472" s="13" t="str">
        <x:v>Gestão</x:v>
      </x:c>
      <x:c r="J1472" s="17" t="n">
        <x:v>18605.39</x:v>
      </x:c>
      <x:c r="K1472" s="17" t="n">
        <x:v>0</x:v>
      </x:c>
      <x:c r="L1472" s="17" t="n">
        <x:v>0</x:v>
      </x:c>
      <x:c r="M1472" s="13" t="str">
        <x:v>Pago</x:v>
      </x:c>
      <x:c r="N1472" s="13" t="str">
        <x:v>Sem cobrança</x:v>
      </x:c>
      <x:c r="O1472" s="13" t="str">
        <x:v>Escala inteligente</x:v>
      </x:c>
      <x:c r="P1472" s="17" t="n">
        <x:f>IF(D1472="",0,J1472-K1472+L1472)</x:f>
        <x:v>18605.39</x:v>
      </x:c>
      <x:c r="Q1472" s="17" t="n">
        <x:f>MAX(J1472-P1472-K1472,0)</x:f>
        <x:v>0</x:v>
      </x:c>
      <x:c r="R1472" s="13" t="n">
        <x:f>IF(D1472="",MAX(TODAY()-C1472,0),MAX(D1472-C1472,0))</x:f>
        <x:v>0</x:v>
      </x:c>
      <x:c r="S1472" s="13" t="str">
        <x:f>IF(R1472=0,"Em dia",IF(R1472&lt;=15,"1-15 dias",IF(R1472&lt;=30,"16-30 dias",IF(R1472&lt;=60,"31-60 dias","Acima de 60 dias"))))</x:f>
        <x:v>Em dia</x:v>
      </x:c>
    </x:row>
    <x:row r="1473">
      <x:c r="A1473" s="13" t="str">
        <x:v>REC-001472</x:v>
      </x:c>
      <x:c r="B1473" s="23" t="n">
        <x:v>46028</x:v>
      </x:c>
      <x:c r="C1473" s="23" t="n">
        <x:v>46058</x:v>
      </x:c>
      <x:c r="D1473" s="23" t="n">
        <x:v>46056</x:v>
      </x:c>
      <x:c r="E1473" s="13" t="str">
        <x:v>VAL-018</x:v>
      </x:c>
      <x:c r="F1473" s="13" t="str">
        <x:v>Ponto Legal Advocacia</x:v>
      </x:c>
      <x:c r="G1473" s="13" t="str">
        <x:v>Serviços Profissionais</x:v>
      </x:c>
      <x:c r="H1473" s="13" t="str">
        <x:v>Baixo</x:v>
      </x:c>
      <x:c r="I1473" s="13" t="str">
        <x:v>Gestão</x:v>
      </x:c>
      <x:c r="J1473" s="17" t="n">
        <x:v>10948.31</x:v>
      </x:c>
      <x:c r="K1473" s="17" t="n">
        <x:v>0</x:v>
      </x:c>
      <x:c r="L1473" s="17" t="n">
        <x:v>0</x:v>
      </x:c>
      <x:c r="M1473" s="13" t="str">
        <x:v>Pago</x:v>
      </x:c>
      <x:c r="N1473" s="13" t="str">
        <x:v>Sem cobrança</x:v>
      </x:c>
      <x:c r="O1473" s="13" t="str">
        <x:v>Escala inteligente</x:v>
      </x:c>
      <x:c r="P1473" s="17" t="n">
        <x:f>IF(D1473="",0,J1473-K1473+L1473)</x:f>
        <x:v>10948.31</x:v>
      </x:c>
      <x:c r="Q1473" s="17" t="n">
        <x:f>MAX(J1473-P1473-K1473,0)</x:f>
        <x:v>0</x:v>
      </x:c>
      <x:c r="R1473" s="13" t="n">
        <x:f>IF(D1473="",MAX(TODAY()-C1473,0),MAX(D1473-C1473,0))</x:f>
        <x:v>0</x:v>
      </x:c>
      <x:c r="S1473" s="13" t="str">
        <x:f>IF(R1473=0,"Em dia",IF(R1473&lt;=15,"1-15 dias",IF(R1473&lt;=30,"16-30 dias",IF(R1473&lt;=60,"31-60 dias","Acima de 60 dias"))))</x:f>
        <x:v>Em dia</x:v>
      </x:c>
    </x:row>
    <x:row r="1474">
      <x:c r="A1474" s="13" t="str">
        <x:v>REC-001473</x:v>
      </x:c>
      <x:c r="B1474" s="23" t="n">
        <x:v>46030</x:v>
      </x:c>
      <x:c r="C1474" s="23" t="n">
        <x:v>46037</x:v>
      </x:c>
      <x:c r="D1474" s="23" t="n">
        <x:v>46037</x:v>
      </x:c>
      <x:c r="E1474" s="13" t="str">
        <x:v>VAL-009</x:v>
      </x:c>
      <x:c r="F1474" s="13" t="str">
        <x:v>Odonto Prime</x:v>
      </x:c>
      <x:c r="G1474" s="13" t="str">
        <x:v>Clínicas e Saúde</x:v>
      </x:c>
      <x:c r="H1474" s="13" t="str">
        <x:v>Médio</x:v>
      </x:c>
      <x:c r="I1474" s="13" t="str">
        <x:v>Essencial</x:v>
      </x:c>
      <x:c r="J1474" s="17" t="n">
        <x:v>19674.69</x:v>
      </x:c>
      <x:c r="K1474" s="17" t="n">
        <x:v>0</x:v>
      </x:c>
      <x:c r="L1474" s="17" t="n">
        <x:v>0</x:v>
      </x:c>
      <x:c r="M1474" s="13" t="str">
        <x:v>Pago</x:v>
      </x:c>
      <x:c r="N1474" s="13" t="str">
        <x:v>Sem cobrança</x:v>
      </x:c>
      <x:c r="O1474" s="13" t="str">
        <x:v>Escala inteligente</x:v>
      </x:c>
      <x:c r="P1474" s="17" t="n">
        <x:f>IF(D1474="",0,J1474-K1474+L1474)</x:f>
        <x:v>19674.69</x:v>
      </x:c>
      <x:c r="Q1474" s="17" t="n">
        <x:f>MAX(J1474-P1474-K1474,0)</x:f>
        <x:v>0</x:v>
      </x:c>
      <x:c r="R1474" s="13" t="n">
        <x:f>IF(D1474="",MAX(TODAY()-C1474,0),MAX(D1474-C1474,0))</x:f>
        <x:v>0</x:v>
      </x:c>
      <x:c r="S1474" s="13" t="str">
        <x:f>IF(R1474=0,"Em dia",IF(R1474&lt;=15,"1-15 dias",IF(R1474&lt;=30,"16-30 dias",IF(R1474&lt;=60,"31-60 dias","Acima de 60 dias"))))</x:f>
        <x:v>Em dia</x:v>
      </x:c>
    </x:row>
    <x:row r="1475">
      <x:c r="A1475" s="13" t="str">
        <x:v>REC-001474</x:v>
      </x:c>
      <x:c r="B1475" s="23" t="n">
        <x:v>46038</x:v>
      </x:c>
      <x:c r="C1475" s="23" t="n">
        <x:v>46059</x:v>
      </x:c>
      <x:c r="D1475" s="23" t="n">
        <x:v>46059</x:v>
      </x:c>
      <x:c r="E1475" s="13" t="str">
        <x:v>VAL-023</x:v>
      </x:c>
      <x:c r="F1475" s="13" t="str">
        <x:v>ShopMix Brasil</x:v>
      </x:c>
      <x:c r="G1475" s="13" t="str">
        <x:v>E-commerce</x:v>
      </x:c>
      <x:c r="H1475" s="13" t="str">
        <x:v>Baixo</x:v>
      </x:c>
      <x:c r="I1475" s="13" t="str">
        <x:v>Performance</x:v>
      </x:c>
      <x:c r="J1475" s="17" t="n">
        <x:v>23034.06</x:v>
      </x:c>
      <x:c r="K1475" s="17" t="n">
        <x:v>0</x:v>
      </x:c>
      <x:c r="L1475" s="17" t="n">
        <x:v>0</x:v>
      </x:c>
      <x:c r="M1475" s="13" t="str">
        <x:v>Pago</x:v>
      </x:c>
      <x:c r="N1475" s="13" t="str">
        <x:v>Sem cobrança</x:v>
      </x:c>
      <x:c r="O1475" s="13" t="str">
        <x:v>Escala inteligente</x:v>
      </x:c>
      <x:c r="P1475" s="17" t="n">
        <x:f>IF(D1475="",0,J1475-K1475+L1475)</x:f>
        <x:v>23034.06</x:v>
      </x:c>
      <x:c r="Q1475" s="17" t="n">
        <x:f>MAX(J1475-P1475-K1475,0)</x:f>
        <x:v>0</x:v>
      </x:c>
      <x:c r="R1475" s="13" t="n">
        <x:f>IF(D1475="",MAX(TODAY()-C1475,0),MAX(D1475-C1475,0))</x:f>
        <x:v>0</x:v>
      </x:c>
      <x:c r="S1475" s="13" t="str">
        <x:f>IF(R1475=0,"Em dia",IF(R1475&lt;=15,"1-15 dias",IF(R1475&lt;=30,"16-30 dias",IF(R1475&lt;=60,"31-60 dias","Acima de 60 dias"))))</x:f>
        <x:v>Em dia</x:v>
      </x:c>
    </x:row>
    <x:row r="1476">
      <x:c r="A1476" s="13" t="str">
        <x:v>REC-001475</x:v>
      </x:c>
      <x:c r="B1476" s="23" t="n">
        <x:v>46038</x:v>
      </x:c>
      <x:c r="C1476" s="23" t="n">
        <x:v>46053</x:v>
      </x:c>
      <x:c r="D1476" s="23" t="n">
        <x:v>46052</x:v>
      </x:c>
      <x:c r="E1476" s="13" t="str">
        <x:v>VAL-002</x:v>
      </x:c>
      <x:c r="F1476" s="13" t="str">
        <x:v>Mendes &amp; Prado Consultoria</x:v>
      </x:c>
      <x:c r="G1476" s="13" t="str">
        <x:v>Serviços Profissionais</x:v>
      </x:c>
      <x:c r="H1476" s="13" t="str">
        <x:v>Baixo</x:v>
      </x:c>
      <x:c r="I1476" s="13" t="str">
        <x:v>Gestão</x:v>
      </x:c>
      <x:c r="J1476" s="17" t="n">
        <x:v>10899.2</x:v>
      </x:c>
      <x:c r="K1476" s="17" t="n">
        <x:v>0</x:v>
      </x:c>
      <x:c r="L1476" s="17" t="n">
        <x:v>0</x:v>
      </x:c>
      <x:c r="M1476" s="13" t="str">
        <x:v>Pago</x:v>
      </x:c>
      <x:c r="N1476" s="13" t="str">
        <x:v>Sem cobrança</x:v>
      </x:c>
      <x:c r="O1476" s="13" t="str">
        <x:v>Escala inteligente</x:v>
      </x:c>
      <x:c r="P1476" s="17" t="n">
        <x:f>IF(D1476="",0,J1476-K1476+L1476)</x:f>
        <x:v>10899.2</x:v>
      </x:c>
      <x:c r="Q1476" s="17" t="n">
        <x:f>MAX(J1476-P1476-K1476,0)</x:f>
        <x:v>0</x:v>
      </x:c>
      <x:c r="R1476" s="13" t="n">
        <x:f>IF(D1476="",MAX(TODAY()-C1476,0),MAX(D1476-C1476,0))</x:f>
        <x:v>0</x:v>
      </x:c>
      <x:c r="S1476" s="13" t="str">
        <x:f>IF(R1476=0,"Em dia",IF(R1476&lt;=15,"1-15 dias",IF(R1476&lt;=30,"16-30 dias",IF(R1476&lt;=60,"31-60 dias","Acima de 60 dias"))))</x:f>
        <x:v>Em dia</x:v>
      </x:c>
    </x:row>
    <x:row r="1477">
      <x:c r="A1477" s="13" t="str">
        <x:v>REC-001476</x:v>
      </x:c>
      <x:c r="B1477" s="23" t="n">
        <x:v>46042</x:v>
      </x:c>
      <x:c r="C1477" s="23" t="n">
        <x:v>46070</x:v>
      </x:c>
      <x:c r="D1477" s="23" t="n">
        <x:v>46068</x:v>
      </x:c>
      <x:c r="E1477" s="13" t="str">
        <x:v>VAL-026</x:v>
      </x:c>
      <x:c r="F1477" s="13" t="str">
        <x:v>Ribeiro Arquitetura</x:v>
      </x:c>
      <x:c r="G1477" s="13" t="str">
        <x:v>Serviços Profissionais</x:v>
      </x:c>
      <x:c r="H1477" s="13" t="str">
        <x:v>Baixo</x:v>
      </x:c>
      <x:c r="I1477" s="13" t="str">
        <x:v>Gestão</x:v>
      </x:c>
      <x:c r="J1477" s="17" t="n">
        <x:v>18315.23</x:v>
      </x:c>
      <x:c r="K1477" s="17" t="n">
        <x:v>0</x:v>
      </x:c>
      <x:c r="L1477" s="17" t="n">
        <x:v>0</x:v>
      </x:c>
      <x:c r="M1477" s="13" t="str">
        <x:v>Pago</x:v>
      </x:c>
      <x:c r="N1477" s="13" t="str">
        <x:v>Sem cobrança</x:v>
      </x:c>
      <x:c r="O1477" s="13" t="str">
        <x:v>Escala inteligente</x:v>
      </x:c>
      <x:c r="P1477" s="17" t="n">
        <x:f>IF(D1477="",0,J1477-K1477+L1477)</x:f>
        <x:v>18315.23</x:v>
      </x:c>
      <x:c r="Q1477" s="17" t="n">
        <x:f>MAX(J1477-P1477-K1477,0)</x:f>
        <x:v>0</x:v>
      </x:c>
      <x:c r="R1477" s="13" t="n">
        <x:f>IF(D1477="",MAX(TODAY()-C1477,0),MAX(D1477-C1477,0))</x:f>
        <x:v>0</x:v>
      </x:c>
      <x:c r="S1477" s="13" t="str">
        <x:f>IF(R1477=0,"Em dia",IF(R1477&lt;=15,"1-15 dias",IF(R1477&lt;=30,"16-30 dias",IF(R1477&lt;=60,"31-60 dias","Acima de 60 dias"))))</x:f>
        <x:v>Em dia</x:v>
      </x:c>
    </x:row>
    <x:row r="1478">
      <x:c r="A1478" s="13" t="str">
        <x:v>REC-001477</x:v>
      </x:c>
      <x:c r="B1478" s="23" t="n">
        <x:v>46028</x:v>
      </x:c>
      <x:c r="C1478" s="23" t="n">
        <x:v>46056</x:v>
      </x:c>
      <x:c r="D1478" s="23" t="n">
        <x:v>46052</x:v>
      </x:c>
      <x:c r="E1478" s="13" t="str">
        <x:v>VAL-013</x:v>
      </x:c>
      <x:c r="F1478" s="13" t="str">
        <x:v>Engenharia Vértice</x:v>
      </x:c>
      <x:c r="G1478" s="13" t="str">
        <x:v>Construção</x:v>
      </x:c>
      <x:c r="H1478" s="13" t="str">
        <x:v>Baixo</x:v>
      </x:c>
      <x:c r="I1478" s="13" t="str">
        <x:v>Essencial</x:v>
      </x:c>
      <x:c r="J1478" s="17" t="n">
        <x:v>10781.14</x:v>
      </x:c>
      <x:c r="K1478" s="17" t="n">
        <x:v>0</x:v>
      </x:c>
      <x:c r="L1478" s="17" t="n">
        <x:v>0</x:v>
      </x:c>
      <x:c r="M1478" s="13" t="str">
        <x:v>Pago</x:v>
      </x:c>
      <x:c r="N1478" s="13" t="str">
        <x:v>Sem cobrança</x:v>
      </x:c>
      <x:c r="O1478" s="13" t="str">
        <x:v>Escala inteligente</x:v>
      </x:c>
      <x:c r="P1478" s="17" t="n">
        <x:f>IF(D1478="",0,J1478-K1478+L1478)</x:f>
        <x:v>10781.14</x:v>
      </x:c>
      <x:c r="Q1478" s="17" t="n">
        <x:f>MAX(J1478-P1478-K1478,0)</x:f>
        <x:v>0</x:v>
      </x:c>
      <x:c r="R1478" s="13" t="n">
        <x:f>IF(D1478="",MAX(TODAY()-C1478,0),MAX(D1478-C1478,0))</x:f>
        <x:v>0</x:v>
      </x:c>
      <x:c r="S1478" s="13" t="str">
        <x:f>IF(R1478=0,"Em dia",IF(R1478&lt;=15,"1-15 dias",IF(R1478&lt;=30,"16-30 dias",IF(R1478&lt;=60,"31-60 dias","Acima de 60 dias"))))</x:f>
        <x:v>Em dia</x:v>
      </x:c>
    </x:row>
    <x:row r="1479">
      <x:c r="A1479" s="13" t="str">
        <x:v>REC-001478</x:v>
      </x:c>
      <x:c r="B1479" s="23" t="n">
        <x:v>46034</x:v>
      </x:c>
      <x:c r="C1479" s="23" t="n">
        <x:v>46064</x:v>
      </x:c>
      <x:c r="D1479" s="23" t="n">
        <x:v>46064</x:v>
      </x:c>
      <x:c r="E1479" s="13" t="str">
        <x:v>VAL-025</x:v>
      </x:c>
      <x:c r="F1479" s="13" t="str">
        <x:v>Bem-Estar Terapias</x:v>
      </x:c>
      <x:c r="G1479" s="13" t="str">
        <x:v>Clínicas e Saúde</x:v>
      </x:c>
      <x:c r="H1479" s="13" t="str">
        <x:v>Baixo</x:v>
      </x:c>
      <x:c r="I1479" s="13" t="str">
        <x:v>Essencial</x:v>
      </x:c>
      <x:c r="J1479" s="17" t="n">
        <x:v>14966.79</x:v>
      </x:c>
      <x:c r="K1479" s="17" t="n">
        <x:v>0</x:v>
      </x:c>
      <x:c r="L1479" s="17" t="n">
        <x:v>0</x:v>
      </x:c>
      <x:c r="M1479" s="13" t="str">
        <x:v>Pago</x:v>
      </x:c>
      <x:c r="N1479" s="13" t="str">
        <x:v>Sem cobrança</x:v>
      </x:c>
      <x:c r="O1479" s="13" t="str">
        <x:v>Escala inteligente</x:v>
      </x:c>
      <x:c r="P1479" s="17" t="n">
        <x:f>IF(D1479="",0,J1479-K1479+L1479)</x:f>
        <x:v>14966.79</x:v>
      </x:c>
      <x:c r="Q1479" s="17" t="n">
        <x:f>MAX(J1479-P1479-K1479,0)</x:f>
        <x:v>0</x:v>
      </x:c>
      <x:c r="R1479" s="13" t="n">
        <x:f>IF(D1479="",MAX(TODAY()-C1479,0),MAX(D1479-C1479,0))</x:f>
        <x:v>0</x:v>
      </x:c>
      <x:c r="S1479" s="13" t="str">
        <x:f>IF(R1479=0,"Em dia",IF(R1479&lt;=15,"1-15 dias",IF(R1479&lt;=30,"16-30 dias",IF(R1479&lt;=60,"31-60 dias","Acima de 60 dias"))))</x:f>
        <x:v>Em dia</x:v>
      </x:c>
    </x:row>
    <x:row r="1480">
      <x:c r="A1480" s="13" t="str">
        <x:v>REC-001479</x:v>
      </x:c>
      <x:c r="B1480" s="23" t="n">
        <x:v>46037</x:v>
      </x:c>
      <x:c r="C1480" s="23" t="n">
        <x:v>46044</x:v>
      </x:c>
      <x:c r="D1480" s="23" t="n">
        <x:v>46042</x:v>
      </x:c>
      <x:c r="E1480" s="13" t="str">
        <x:v>VAL-009</x:v>
      </x:c>
      <x:c r="F1480" s="13" t="str">
        <x:v>Odonto Prime</x:v>
      </x:c>
      <x:c r="G1480" s="13" t="str">
        <x:v>Clínicas e Saúde</x:v>
      </x:c>
      <x:c r="H1480" s="13" t="str">
        <x:v>Médio</x:v>
      </x:c>
      <x:c r="I1480" s="13" t="str">
        <x:v>Essencial</x:v>
      </x:c>
      <x:c r="J1480" s="17" t="n">
        <x:v>16429.03</x:v>
      </x:c>
      <x:c r="K1480" s="17" t="n">
        <x:v>0</x:v>
      </x:c>
      <x:c r="L1480" s="17" t="n">
        <x:v>0</x:v>
      </x:c>
      <x:c r="M1480" s="13" t="str">
        <x:v>Pago</x:v>
      </x:c>
      <x:c r="N1480" s="13" t="str">
        <x:v>Sem cobrança</x:v>
      </x:c>
      <x:c r="O1480" s="13" t="str">
        <x:v>Escala inteligente</x:v>
      </x:c>
      <x:c r="P1480" s="17" t="n">
        <x:f>IF(D1480="",0,J1480-K1480+L1480)</x:f>
        <x:v>16429.03</x:v>
      </x:c>
      <x:c r="Q1480" s="17" t="n">
        <x:f>MAX(J1480-P1480-K1480,0)</x:f>
        <x:v>0</x:v>
      </x:c>
      <x:c r="R1480" s="13" t="n">
        <x:f>IF(D1480="",MAX(TODAY()-C1480,0),MAX(D1480-C1480,0))</x:f>
        <x:v>0</x:v>
      </x:c>
      <x:c r="S1480" s="13" t="str">
        <x:f>IF(R1480=0,"Em dia",IF(R1480&lt;=15,"1-15 dias",IF(R1480&lt;=30,"16-30 dias",IF(R1480&lt;=60,"31-60 dias","Acima de 60 dias"))))</x:f>
        <x:v>Em dia</x:v>
      </x:c>
    </x:row>
    <x:row r="1481">
      <x:c r="A1481" s="13" t="str">
        <x:v>REC-001480</x:v>
      </x:c>
      <x:c r="B1481" s="23" t="n">
        <x:v>46037</x:v>
      </x:c>
      <x:c r="C1481" s="23" t="n">
        <x:v>46052</x:v>
      </x:c>
      <x:c r="D1481" s="23" t="n">
        <x:v>46049</x:v>
      </x:c>
      <x:c r="E1481" s="13" t="str">
        <x:v>VAL-005</x:v>
      </x:c>
      <x:c r="F1481" s="13" t="str">
        <x:v>Construtora Alameda</x:v>
      </x:c>
      <x:c r="G1481" s="13" t="str">
        <x:v>Construção</x:v>
      </x:c>
      <x:c r="H1481" s="13" t="str">
        <x:v>Médio</x:v>
      </x:c>
      <x:c r="I1481" s="13" t="str">
        <x:v>Essencial</x:v>
      </x:c>
      <x:c r="J1481" s="17" t="n">
        <x:v>27810.71</x:v>
      </x:c>
      <x:c r="K1481" s="17" t="n">
        <x:v>0</x:v>
      </x:c>
      <x:c r="L1481" s="17" t="n">
        <x:v>0</x:v>
      </x:c>
      <x:c r="M1481" s="13" t="str">
        <x:v>Pago</x:v>
      </x:c>
      <x:c r="N1481" s="13" t="str">
        <x:v>Sem cobrança</x:v>
      </x:c>
      <x:c r="O1481" s="13" t="str">
        <x:v>Escala inteligente</x:v>
      </x:c>
      <x:c r="P1481" s="17" t="n">
        <x:f>IF(D1481="",0,J1481-K1481+L1481)</x:f>
        <x:v>27810.71</x:v>
      </x:c>
      <x:c r="Q1481" s="17" t="n">
        <x:f>MAX(J1481-P1481-K1481,0)</x:f>
        <x:v>0</x:v>
      </x:c>
      <x:c r="R1481" s="13" t="n">
        <x:f>IF(D1481="",MAX(TODAY()-C1481,0),MAX(D1481-C1481,0))</x:f>
        <x:v>0</x:v>
      </x:c>
      <x:c r="S1481" s="13" t="str">
        <x:f>IF(R1481=0,"Em dia",IF(R1481&lt;=15,"1-15 dias",IF(R1481&lt;=30,"16-30 dias",IF(R1481&lt;=60,"31-60 dias","Acima de 60 dias"))))</x:f>
        <x:v>Em dia</x:v>
      </x:c>
    </x:row>
    <x:row r="1482">
      <x:c r="A1482" s="13" t="str">
        <x:v>REC-001481</x:v>
      </x:c>
      <x:c r="B1482" s="23" t="n">
        <x:v>46026</x:v>
      </x:c>
      <x:c r="C1482" s="23" t="n">
        <x:v>46047</x:v>
      </x:c>
      <x:c r="D1482" s="23" t="n">
        <x:v>46063</x:v>
      </x:c>
      <x:c r="E1482" s="13" t="str">
        <x:v>VAL-018</x:v>
      </x:c>
      <x:c r="F1482" s="13" t="str">
        <x:v>Ponto Legal Advocacia</x:v>
      </x:c>
      <x:c r="G1482" s="13" t="str">
        <x:v>Serviços Profissionais</x:v>
      </x:c>
      <x:c r="H1482" s="13" t="str">
        <x:v>Baixo</x:v>
      </x:c>
      <x:c r="I1482" s="13" t="str">
        <x:v>Gestão</x:v>
      </x:c>
      <x:c r="J1482" s="17" t="n">
        <x:v>22365.45</x:v>
      </x:c>
      <x:c r="K1482" s="17" t="n">
        <x:v>0</x:v>
      </x:c>
      <x:c r="L1482" s="17" t="n">
        <x:v>232.6</x:v>
      </x:c>
      <x:c r="M1482" s="13" t="str">
        <x:v>Pago com atraso</x:v>
      </x:c>
      <x:c r="N1482" s="13" t="str">
        <x:v>Telefone</x:v>
      </x:c>
      <x:c r="O1482" s="13" t="str">
        <x:v>Escala inteligente</x:v>
      </x:c>
      <x:c r="P1482" s="17" t="n">
        <x:f>IF(D1482="",0,J1482-K1482+L1482)</x:f>
        <x:v>22598.05</x:v>
      </x:c>
      <x:c r="Q1482" s="17" t="n">
        <x:f>MAX(J1482-P1482-K1482,0)</x:f>
        <x:v>0</x:v>
      </x:c>
      <x:c r="R1482" s="13" t="n">
        <x:f>IF(D1482="",MAX(TODAY()-C1482,0),MAX(D1482-C1482,0))</x:f>
        <x:v>16</x:v>
      </x:c>
      <x:c r="S1482" s="13" t="str">
        <x:f>IF(R1482=0,"Em dia",IF(R1482&lt;=15,"1-15 dias",IF(R1482&lt;=30,"16-30 dias",IF(R1482&lt;=60,"31-60 dias","Acima de 60 dias"))))</x:f>
        <x:v>16-30 dias</x:v>
      </x:c>
    </x:row>
    <x:row r="1483">
      <x:c r="A1483" s="13" t="str">
        <x:v>REC-001482</x:v>
      </x:c>
      <x:c r="B1483" s="23" t="n">
        <x:v>46029</x:v>
      </x:c>
      <x:c r="C1483" s="23" t="n">
        <x:v>46044</x:v>
      </x:c>
      <x:c r="D1483" s="23" t="n">
        <x:v>46042</x:v>
      </x:c>
      <x:c r="E1483" s="13" t="str">
        <x:v>VAL-018</x:v>
      </x:c>
      <x:c r="F1483" s="13" t="str">
        <x:v>Ponto Legal Advocacia</x:v>
      </x:c>
      <x:c r="G1483" s="13" t="str">
        <x:v>Serviços Profissionais</x:v>
      </x:c>
      <x:c r="H1483" s="13" t="str">
        <x:v>Baixo</x:v>
      </x:c>
      <x:c r="I1483" s="13" t="str">
        <x:v>Gestão</x:v>
      </x:c>
      <x:c r="J1483" s="17" t="n">
        <x:v>14466.31</x:v>
      </x:c>
      <x:c r="K1483" s="17" t="n">
        <x:v>0</x:v>
      </x:c>
      <x:c r="L1483" s="17" t="n">
        <x:v>0</x:v>
      </x:c>
      <x:c r="M1483" s="13" t="str">
        <x:v>Pago</x:v>
      </x:c>
      <x:c r="N1483" s="13" t="str">
        <x:v>Sem cobrança</x:v>
      </x:c>
      <x:c r="O1483" s="13" t="str">
        <x:v>Escala inteligente</x:v>
      </x:c>
      <x:c r="P1483" s="17" t="n">
        <x:f>IF(D1483="",0,J1483-K1483+L1483)</x:f>
        <x:v>14466.31</x:v>
      </x:c>
      <x:c r="Q1483" s="17" t="n">
        <x:f>MAX(J1483-P1483-K1483,0)</x:f>
        <x:v>0</x:v>
      </x:c>
      <x:c r="R1483" s="13" t="n">
        <x:f>IF(D1483="",MAX(TODAY()-C1483,0),MAX(D1483-C1483,0))</x:f>
        <x:v>0</x:v>
      </x:c>
      <x:c r="S1483" s="13" t="str">
        <x:f>IF(R1483=0,"Em dia",IF(R1483&lt;=15,"1-15 dias",IF(R1483&lt;=30,"16-30 dias",IF(R1483&lt;=60,"31-60 dias","Acima de 60 dias"))))</x:f>
        <x:v>Em dia</x:v>
      </x:c>
    </x:row>
    <x:row r="1484">
      <x:c r="A1484" s="13" t="str">
        <x:v>REC-001483</x:v>
      </x:c>
      <x:c r="B1484" s="23" t="n">
        <x:v>46026</x:v>
      </x:c>
      <x:c r="C1484" s="23" t="n">
        <x:v>46041</x:v>
      </x:c>
      <x:c r="D1484" s="23" t="n">
        <x:v>46037</x:v>
      </x:c>
      <x:c r="E1484" s="13" t="str">
        <x:v>VAL-025</x:v>
      </x:c>
      <x:c r="F1484" s="13" t="str">
        <x:v>Bem-Estar Terapias</x:v>
      </x:c>
      <x:c r="G1484" s="13" t="str">
        <x:v>Clínicas e Saúde</x:v>
      </x:c>
      <x:c r="H1484" s="13" t="str">
        <x:v>Baixo</x:v>
      </x:c>
      <x:c r="I1484" s="13" t="str">
        <x:v>Essencial</x:v>
      </x:c>
      <x:c r="J1484" s="17" t="n">
        <x:v>24709.91</x:v>
      </x:c>
      <x:c r="K1484" s="17" t="n">
        <x:v>0</x:v>
      </x:c>
      <x:c r="L1484" s="17" t="n">
        <x:v>0</x:v>
      </x:c>
      <x:c r="M1484" s="13" t="str">
        <x:v>Pago</x:v>
      </x:c>
      <x:c r="N1484" s="13" t="str">
        <x:v>Sem cobrança</x:v>
      </x:c>
      <x:c r="O1484" s="13" t="str">
        <x:v>Escala inteligente</x:v>
      </x:c>
      <x:c r="P1484" s="17" t="n">
        <x:f>IF(D1484="",0,J1484-K1484+L1484)</x:f>
        <x:v>24709.91</x:v>
      </x:c>
      <x:c r="Q1484" s="17" t="n">
        <x:f>MAX(J1484-P1484-K1484,0)</x:f>
        <x:v>0</x:v>
      </x:c>
      <x:c r="R1484" s="13" t="n">
        <x:f>IF(D1484="",MAX(TODAY()-C1484,0),MAX(D1484-C1484,0))</x:f>
        <x:v>0</x:v>
      </x:c>
      <x:c r="S1484" s="13" t="str">
        <x:f>IF(R1484=0,"Em dia",IF(R1484&lt;=15,"1-15 dias",IF(R1484&lt;=30,"16-30 dias",IF(R1484&lt;=60,"31-60 dias","Acima de 60 dias"))))</x:f>
        <x:v>Em dia</x:v>
      </x:c>
    </x:row>
    <x:row r="1485">
      <x:c r="A1485" s="13" t="str">
        <x:v>REC-001484</x:v>
      </x:c>
      <x:c r="B1485" s="23" t="n">
        <x:v>46031</x:v>
      </x:c>
      <x:c r="C1485" s="23" t="n">
        <x:v>46059</x:v>
      </x:c>
      <x:c r="D1485" s="23" t="n">
        <x:v>46056</x:v>
      </x:c>
      <x:c r="E1485" s="13" t="str">
        <x:v>VAL-006</x:v>
      </x:c>
      <x:c r="F1485" s="13" t="str">
        <x:v>Instituto Saber Mais</x:v>
      </x:c>
      <x:c r="G1485" s="13" t="str">
        <x:v>Educação</x:v>
      </x:c>
      <x:c r="H1485" s="13" t="str">
        <x:v>Médio</x:v>
      </x:c>
      <x:c r="I1485" s="13" t="str">
        <x:v>Gestão</x:v>
      </x:c>
      <x:c r="J1485" s="17" t="n">
        <x:v>15512.11</x:v>
      </x:c>
      <x:c r="K1485" s="17" t="n">
        <x:v>0</x:v>
      </x:c>
      <x:c r="L1485" s="17" t="n">
        <x:v>0</x:v>
      </x:c>
      <x:c r="M1485" s="13" t="str">
        <x:v>Pago</x:v>
      </x:c>
      <x:c r="N1485" s="13" t="str">
        <x:v>Sem cobrança</x:v>
      </x:c>
      <x:c r="O1485" s="13" t="str">
        <x:v>Escala inteligente</x:v>
      </x:c>
      <x:c r="P1485" s="17" t="n">
        <x:f>IF(D1485="",0,J1485-K1485+L1485)</x:f>
        <x:v>15512.11</x:v>
      </x:c>
      <x:c r="Q1485" s="17" t="n">
        <x:f>MAX(J1485-P1485-K1485,0)</x:f>
        <x:v>0</x:v>
      </x:c>
      <x:c r="R1485" s="13" t="n">
        <x:f>IF(D1485="",MAX(TODAY()-C1485,0),MAX(D1485-C1485,0))</x:f>
        <x:v>0</x:v>
      </x:c>
      <x:c r="S1485" s="13" t="str">
        <x:f>IF(R1485=0,"Em dia",IF(R1485&lt;=15,"1-15 dias",IF(R1485&lt;=30,"16-30 dias",IF(R1485&lt;=60,"31-60 dias","Acima de 60 dias"))))</x:f>
        <x:v>Em dia</x:v>
      </x:c>
    </x:row>
    <x:row r="1486">
      <x:c r="A1486" s="13" t="str">
        <x:v>REC-001485</x:v>
      </x:c>
      <x:c r="B1486" s="23" t="n">
        <x:v>46038</x:v>
      </x:c>
      <x:c r="C1486" s="23" t="n">
        <x:v>46066</x:v>
      </x:c>
      <x:c r="D1486" s="23" t="n">
        <x:v>46066</x:v>
      </x:c>
      <x:c r="E1486" s="13" t="str">
        <x:v>VAL-018</x:v>
      </x:c>
      <x:c r="F1486" s="13" t="str">
        <x:v>Ponto Legal Advocacia</x:v>
      </x:c>
      <x:c r="G1486" s="13" t="str">
        <x:v>Serviços Profissionais</x:v>
      </x:c>
      <x:c r="H1486" s="13" t="str">
        <x:v>Baixo</x:v>
      </x:c>
      <x:c r="I1486" s="13" t="str">
        <x:v>Gestão</x:v>
      </x:c>
      <x:c r="J1486" s="17" t="n">
        <x:v>21321.49</x:v>
      </x:c>
      <x:c r="K1486" s="17" t="n">
        <x:v>0</x:v>
      </x:c>
      <x:c r="L1486" s="17" t="n">
        <x:v>0</x:v>
      </x:c>
      <x:c r="M1486" s="13" t="str">
        <x:v>Pago</x:v>
      </x:c>
      <x:c r="N1486" s="13" t="str">
        <x:v>Sem cobrança</x:v>
      </x:c>
      <x:c r="O1486" s="13" t="str">
        <x:v>Escala inteligente</x:v>
      </x:c>
      <x:c r="P1486" s="17" t="n">
        <x:f>IF(D1486="",0,J1486-K1486+L1486)</x:f>
        <x:v>21321.49</x:v>
      </x:c>
      <x:c r="Q1486" s="17" t="n">
        <x:f>MAX(J1486-P1486-K1486,0)</x:f>
        <x:v>0</x:v>
      </x:c>
      <x:c r="R1486" s="13" t="n">
        <x:f>IF(D1486="",MAX(TODAY()-C1486,0),MAX(D1486-C1486,0))</x:f>
        <x:v>0</x:v>
      </x:c>
      <x:c r="S1486" s="13" t="str">
        <x:f>IF(R1486=0,"Em dia",IF(R1486&lt;=15,"1-15 dias",IF(R1486&lt;=30,"16-30 dias",IF(R1486&lt;=60,"31-60 dias","Acima de 60 dias"))))</x:f>
        <x:v>Em dia</x:v>
      </x:c>
    </x:row>
    <x:row r="1487">
      <x:c r="A1487" s="13" t="str">
        <x:v>REC-001486</x:v>
      </x:c>
      <x:c r="B1487" s="23" t="n">
        <x:v>46042</x:v>
      </x:c>
      <x:c r="C1487" s="23" t="n">
        <x:v>46049</x:v>
      </x:c>
      <x:c r="D1487" s="23" t="n">
        <x:v>46049</x:v>
      </x:c>
      <x:c r="E1487" s="13" t="str">
        <x:v>VAL-027</x:v>
      </x:c>
      <x:c r="F1487" s="13" t="str">
        <x:v>Mais Lar Utilidades</x:v>
      </x:c>
      <x:c r="G1487" s="13" t="str">
        <x:v>Varejo</x:v>
      </x:c>
      <x:c r="H1487" s="13" t="str">
        <x:v>Baixo</x:v>
      </x:c>
      <x:c r="I1487" s="13" t="str">
        <x:v>Performance</x:v>
      </x:c>
      <x:c r="J1487" s="17" t="n">
        <x:v>7723.99</x:v>
      </x:c>
      <x:c r="K1487" s="17" t="n">
        <x:v>0</x:v>
      </x:c>
      <x:c r="L1487" s="17" t="n">
        <x:v>0</x:v>
      </x:c>
      <x:c r="M1487" s="13" t="str">
        <x:v>Pago</x:v>
      </x:c>
      <x:c r="N1487" s="13" t="str">
        <x:v>Sem cobrança</x:v>
      </x:c>
      <x:c r="O1487" s="13" t="str">
        <x:v>Escala inteligente</x:v>
      </x:c>
      <x:c r="P1487" s="17" t="n">
        <x:f>IF(D1487="",0,J1487-K1487+L1487)</x:f>
        <x:v>7723.99</x:v>
      </x:c>
      <x:c r="Q1487" s="17" t="n">
        <x:f>MAX(J1487-P1487-K1487,0)</x:f>
        <x:v>0</x:v>
      </x:c>
      <x:c r="R1487" s="13" t="n">
        <x:f>IF(D1487="",MAX(TODAY()-C1487,0),MAX(D1487-C1487,0))</x:f>
        <x:v>0</x:v>
      </x:c>
      <x:c r="S1487" s="13" t="str">
        <x:f>IF(R1487=0,"Em dia",IF(R1487&lt;=15,"1-15 dias",IF(R1487&lt;=30,"16-30 dias",IF(R1487&lt;=60,"31-60 dias","Acima de 60 dias"))))</x:f>
        <x:v>Em dia</x:v>
      </x:c>
    </x:row>
    <x:row r="1488">
      <x:c r="A1488" s="13" t="str">
        <x:v>REC-001487</x:v>
      </x:c>
      <x:c r="B1488" s="23" t="n">
        <x:v>46038</x:v>
      </x:c>
      <x:c r="C1488" s="23" t="n">
        <x:v>46053</x:v>
      </x:c>
      <x:c r="D1488" s="23" t="n">
        <x:v>46051</x:v>
      </x:c>
      <x:c r="E1488" s="13" t="str">
        <x:v>VAL-027</x:v>
      </x:c>
      <x:c r="F1488" s="13" t="str">
        <x:v>Mais Lar Utilidades</x:v>
      </x:c>
      <x:c r="G1488" s="13" t="str">
        <x:v>Varejo</x:v>
      </x:c>
      <x:c r="H1488" s="13" t="str">
        <x:v>Baixo</x:v>
      </x:c>
      <x:c r="I1488" s="13" t="str">
        <x:v>Performance</x:v>
      </x:c>
      <x:c r="J1488" s="17" t="n">
        <x:v>16312.6</x:v>
      </x:c>
      <x:c r="K1488" s="17" t="n">
        <x:v>140.29</x:v>
      </x:c>
      <x:c r="L1488" s="17" t="n">
        <x:v>0</x:v>
      </x:c>
      <x:c r="M1488" s="13" t="str">
        <x:v>Pago</x:v>
      </x:c>
      <x:c r="N1488" s="13" t="str">
        <x:v>Sem cobrança</x:v>
      </x:c>
      <x:c r="O1488" s="13" t="str">
        <x:v>Escala inteligente</x:v>
      </x:c>
      <x:c r="P1488" s="17" t="n">
        <x:f>IF(D1488="",0,J1488-K1488+L1488)</x:f>
        <x:v>16172.31</x:v>
      </x:c>
      <x:c r="Q1488" s="17" t="n">
        <x:f>MAX(J1488-P1488-K1488,0)</x:f>
        <x:v>8.810729923425242e-13</x:v>
      </x:c>
      <x:c r="R1488" s="13" t="n">
        <x:f>IF(D1488="",MAX(TODAY()-C1488,0),MAX(D1488-C1488,0))</x:f>
        <x:v>0</x:v>
      </x:c>
      <x:c r="S1488" s="13" t="str">
        <x:f>IF(R1488=0,"Em dia",IF(R1488&lt;=15,"1-15 dias",IF(R1488&lt;=30,"16-30 dias",IF(R1488&lt;=60,"31-60 dias","Acima de 60 dias"))))</x:f>
        <x:v>Em dia</x:v>
      </x:c>
    </x:row>
    <x:row r="1489">
      <x:c r="A1489" s="13" t="str">
        <x:v>REC-001488</x:v>
      </x:c>
      <x:c r="B1489" s="23" t="n">
        <x:v>46029</x:v>
      </x:c>
      <x:c r="C1489" s="23" t="n">
        <x:v>46036</x:v>
      </x:c>
      <x:c r="D1489" s="23" t="n">
        <x:v>46061</x:v>
      </x:c>
      <x:c r="E1489" s="13" t="str">
        <x:v>VAL-023</x:v>
      </x:c>
      <x:c r="F1489" s="13" t="str">
        <x:v>ShopMix Brasil</x:v>
      </x:c>
      <x:c r="G1489" s="13" t="str">
        <x:v>E-commerce</x:v>
      </x:c>
      <x:c r="H1489" s="13" t="str">
        <x:v>Baixo</x:v>
      </x:c>
      <x:c r="I1489" s="13" t="str">
        <x:v>Performance</x:v>
      </x:c>
      <x:c r="J1489" s="17" t="n">
        <x:v>30001.73</x:v>
      </x:c>
      <x:c r="K1489" s="17" t="n">
        <x:v>0</x:v>
      </x:c>
      <x:c r="L1489" s="17" t="n">
        <x:v>487.53</x:v>
      </x:c>
      <x:c r="M1489" s="13" t="str">
        <x:v>Pago com atraso</x:v>
      </x:c>
      <x:c r="N1489" s="13" t="str">
        <x:v>Régua automática</x:v>
      </x:c>
      <x:c r="O1489" s="13" t="str">
        <x:v>Escala inteligente</x:v>
      </x:c>
      <x:c r="P1489" s="17" t="n">
        <x:f>IF(D1489="",0,J1489-K1489+L1489)</x:f>
        <x:v>30489.26</x:v>
      </x:c>
      <x:c r="Q1489" s="17" t="n">
        <x:f>MAX(J1489-P1489-K1489,0)</x:f>
        <x:v>0</x:v>
      </x:c>
      <x:c r="R1489" s="13" t="n">
        <x:f>IF(D1489="",MAX(TODAY()-C1489,0),MAX(D1489-C1489,0))</x:f>
        <x:v>25</x:v>
      </x:c>
      <x:c r="S1489" s="13" t="str">
        <x:f>IF(R1489=0,"Em dia",IF(R1489&lt;=15,"1-15 dias",IF(R1489&lt;=30,"16-30 dias",IF(R1489&lt;=60,"31-60 dias","Acima de 60 dias"))))</x:f>
        <x:v>16-30 dias</x:v>
      </x:c>
    </x:row>
    <x:row r="1490">
      <x:c r="A1490" s="13" t="str">
        <x:v>REC-001489</x:v>
      </x:c>
      <x:c r="B1490" s="23" t="n">
        <x:v>46036</x:v>
      </x:c>
      <x:c r="C1490" s="23" t="n">
        <x:v>46057</x:v>
      </x:c>
      <x:c r="D1490" s="23" t="n">
        <x:v>46068</x:v>
      </x:c>
      <x:c r="E1490" s="13" t="str">
        <x:v>VAL-003</x:v>
      </x:c>
      <x:c r="F1490" s="13" t="str">
        <x:v>Casa Nova Varejo</x:v>
      </x:c>
      <x:c r="G1490" s="13" t="str">
        <x:v>Varejo</x:v>
      </x:c>
      <x:c r="H1490" s="13" t="str">
        <x:v>Baixo</x:v>
      </x:c>
      <x:c r="I1490" s="13" t="str">
        <x:v>Performance</x:v>
      </x:c>
      <x:c r="J1490" s="17" t="n">
        <x:v>20084.4</x:v>
      </x:c>
      <x:c r="K1490" s="17" t="n">
        <x:v>0</x:v>
      </x:c>
      <x:c r="L1490" s="17" t="n">
        <x:v>143.6</x:v>
      </x:c>
      <x:c r="M1490" s="13" t="str">
        <x:v>Pago com atraso</x:v>
      </x:c>
      <x:c r="N1490" s="13" t="str">
        <x:v>Telefone</x:v>
      </x:c>
      <x:c r="O1490" s="13" t="str">
        <x:v>Escala inteligente</x:v>
      </x:c>
      <x:c r="P1490" s="17" t="n">
        <x:f>IF(D1490="",0,J1490-K1490+L1490)</x:f>
        <x:v>20228</x:v>
      </x:c>
      <x:c r="Q1490" s="17" t="n">
        <x:f>MAX(J1490-P1490-K1490,0)</x:f>
        <x:v>0</x:v>
      </x:c>
      <x:c r="R1490" s="13" t="n">
        <x:f>IF(D1490="",MAX(TODAY()-C1490,0),MAX(D1490-C1490,0))</x:f>
        <x:v>11</x:v>
      </x:c>
      <x:c r="S1490" s="13" t="str">
        <x:f>IF(R1490=0,"Em dia",IF(R1490&lt;=15,"1-15 dias",IF(R1490&lt;=30,"16-30 dias",IF(R1490&lt;=60,"31-60 dias","Acima de 60 dias"))))</x:f>
        <x:v>1-15 dias</x:v>
      </x:c>
    </x:row>
    <x:row r="1491">
      <x:c r="A1491" s="13" t="str">
        <x:v>REC-001490</x:v>
      </x:c>
      <x:c r="B1491" s="23" t="n">
        <x:v>46042</x:v>
      </x:c>
      <x:c r="C1491" s="23" t="n">
        <x:v>46072</x:v>
      </x:c>
      <x:c r="D1491" s="23" t="n">
        <x:v>46069</x:v>
      </x:c>
      <x:c r="E1491" s="13" t="str">
        <x:v>VAL-020</x:v>
      </x:c>
      <x:c r="F1491" s="13" t="str">
        <x:v>Corelink Digital</x:v>
      </x:c>
      <x:c r="G1491" s="13" t="str">
        <x:v>Tecnologia</x:v>
      </x:c>
      <x:c r="H1491" s="13" t="str">
        <x:v>Baixo</x:v>
      </x:c>
      <x:c r="I1491" s="13" t="str">
        <x:v>Enterprise</x:v>
      </x:c>
      <x:c r="J1491" s="17" t="n">
        <x:v>23733.7</x:v>
      </x:c>
      <x:c r="K1491" s="17" t="n">
        <x:v>0</x:v>
      </x:c>
      <x:c r="L1491" s="17" t="n">
        <x:v>0</x:v>
      </x:c>
      <x:c r="M1491" s="13" t="str">
        <x:v>Pago</x:v>
      </x:c>
      <x:c r="N1491" s="13" t="str">
        <x:v>Sem cobrança</x:v>
      </x:c>
      <x:c r="O1491" s="13" t="str">
        <x:v>Escala inteligente</x:v>
      </x:c>
      <x:c r="P1491" s="17" t="n">
        <x:f>IF(D1491="",0,J1491-K1491+L1491)</x:f>
        <x:v>23733.7</x:v>
      </x:c>
      <x:c r="Q1491" s="17" t="n">
        <x:f>MAX(J1491-P1491-K1491,0)</x:f>
        <x:v>0</x:v>
      </x:c>
      <x:c r="R1491" s="13" t="n">
        <x:f>IF(D1491="",MAX(TODAY()-C1491,0),MAX(D1491-C1491,0))</x:f>
        <x:v>0</x:v>
      </x:c>
      <x:c r="S1491" s="13" t="str">
        <x:f>IF(R1491=0,"Em dia",IF(R1491&lt;=15,"1-15 dias",IF(R1491&lt;=30,"16-30 dias",IF(R1491&lt;=60,"31-60 dias","Acima de 60 dias"))))</x:f>
        <x:v>Em dia</x:v>
      </x:c>
    </x:row>
    <x:row r="1492">
      <x:c r="A1492" s="13" t="str">
        <x:v>REC-001491</x:v>
      </x:c>
      <x:c r="B1492" s="23" t="n">
        <x:v>46038</x:v>
      </x:c>
      <x:c r="C1492" s="23" t="n">
        <x:v>46045</x:v>
      </x:c>
      <x:c r="D1492" s="23" t="n">
        <x:v>46064</x:v>
      </x:c>
      <x:c r="E1492" s="13" t="str">
        <x:v>VAL-001</x:v>
      </x:c>
      <x:c r="F1492" s="13" t="str">
        <x:v>Clínica Horizonte</x:v>
      </x:c>
      <x:c r="G1492" s="13" t="str">
        <x:v>Clínicas e Saúde</x:v>
      </x:c>
      <x:c r="H1492" s="13" t="str">
        <x:v>Baixo</x:v>
      </x:c>
      <x:c r="I1492" s="13" t="str">
        <x:v>Essencial</x:v>
      </x:c>
      <x:c r="J1492" s="17" t="n">
        <x:v>27145.86</x:v>
      </x:c>
      <x:c r="K1492" s="17" t="n">
        <x:v>0</x:v>
      </x:c>
      <x:c r="L1492" s="17" t="n">
        <x:v>335.25</x:v>
      </x:c>
      <x:c r="M1492" s="13" t="str">
        <x:v>Pago com atraso</x:v>
      </x:c>
      <x:c r="N1492" s="13" t="str">
        <x:v>WhatsApp</x:v>
      </x:c>
      <x:c r="O1492" s="13" t="str">
        <x:v>Escala inteligente</x:v>
      </x:c>
      <x:c r="P1492" s="17" t="n">
        <x:f>IF(D1492="",0,J1492-K1492+L1492)</x:f>
        <x:v>27481.11</x:v>
      </x:c>
      <x:c r="Q1492" s="17" t="n">
        <x:f>MAX(J1492-P1492-K1492,0)</x:f>
        <x:v>0</x:v>
      </x:c>
      <x:c r="R1492" s="13" t="n">
        <x:f>IF(D1492="",MAX(TODAY()-C1492,0),MAX(D1492-C1492,0))</x:f>
        <x:v>19</x:v>
      </x:c>
      <x:c r="S1492" s="13" t="str">
        <x:f>IF(R1492=0,"Em dia",IF(R1492&lt;=15,"1-15 dias",IF(R1492&lt;=30,"16-30 dias",IF(R1492&lt;=60,"31-60 dias","Acima de 60 dias"))))</x:f>
        <x:v>16-30 dias</x:v>
      </x:c>
    </x:row>
    <x:row r="1493">
      <x:c r="A1493" s="13" t="str">
        <x:v>REC-001492</x:v>
      </x:c>
      <x:c r="B1493" s="23" t="n">
        <x:v>46034</x:v>
      </x:c>
      <x:c r="C1493" s="23" t="n">
        <x:v>46055</x:v>
      </x:c>
      <x:c r="D1493" s="23" t="n">
        <x:v>46055</x:v>
      </x:c>
      <x:c r="E1493" s="13" t="str">
        <x:v>VAL-009</x:v>
      </x:c>
      <x:c r="F1493" s="13" t="str">
        <x:v>Odonto Prime</x:v>
      </x:c>
      <x:c r="G1493" s="13" t="str">
        <x:v>Clínicas e Saúde</x:v>
      </x:c>
      <x:c r="H1493" s="13" t="str">
        <x:v>Médio</x:v>
      </x:c>
      <x:c r="I1493" s="13" t="str">
        <x:v>Essencial</x:v>
      </x:c>
      <x:c r="J1493" s="17" t="n">
        <x:v>17462.25</x:v>
      </x:c>
      <x:c r="K1493" s="17" t="n">
        <x:v>0</x:v>
      </x:c>
      <x:c r="L1493" s="17" t="n">
        <x:v>0</x:v>
      </x:c>
      <x:c r="M1493" s="13" t="str">
        <x:v>Pago</x:v>
      </x:c>
      <x:c r="N1493" s="13" t="str">
        <x:v>Sem cobrança</x:v>
      </x:c>
      <x:c r="O1493" s="13" t="str">
        <x:v>Escala inteligente</x:v>
      </x:c>
      <x:c r="P1493" s="17" t="n">
        <x:f>IF(D1493="",0,J1493-K1493+L1493)</x:f>
        <x:v>17462.25</x:v>
      </x:c>
      <x:c r="Q1493" s="17" t="n">
        <x:f>MAX(J1493-P1493-K1493,0)</x:f>
        <x:v>0</x:v>
      </x:c>
      <x:c r="R1493" s="13" t="n">
        <x:f>IF(D1493="",MAX(TODAY()-C1493,0),MAX(D1493-C1493,0))</x:f>
        <x:v>0</x:v>
      </x:c>
      <x:c r="S1493" s="13" t="str">
        <x:f>IF(R1493=0,"Em dia",IF(R1493&lt;=15,"1-15 dias",IF(R1493&lt;=30,"16-30 dias",IF(R1493&lt;=60,"31-60 dias","Acima de 60 dias"))))</x:f>
        <x:v>Em dia</x:v>
      </x:c>
    </x:row>
    <x:row r="1494">
      <x:c r="A1494" s="13" t="str">
        <x:v>REC-001493</x:v>
      </x:c>
      <x:c r="B1494" s="23" t="n">
        <x:v>46034</x:v>
      </x:c>
      <x:c r="C1494" s="23" t="n">
        <x:v>46049</x:v>
      </x:c>
      <x:c r="D1494" s="23" t="n">
        <x:v>46046</x:v>
      </x:c>
      <x:c r="E1494" s="13" t="str">
        <x:v>VAL-010</x:v>
      </x:c>
      <x:c r="F1494" s="13" t="str">
        <x:v>Atlas Contabilidade</x:v>
      </x:c>
      <x:c r="G1494" s="13" t="str">
        <x:v>Serviços Profissionais</x:v>
      </x:c>
      <x:c r="H1494" s="13" t="str">
        <x:v>Baixo</x:v>
      </x:c>
      <x:c r="I1494" s="13" t="str">
        <x:v>Gestão</x:v>
      </x:c>
      <x:c r="J1494" s="17" t="n">
        <x:v>19265.89</x:v>
      </x:c>
      <x:c r="K1494" s="17" t="n">
        <x:v>0</x:v>
      </x:c>
      <x:c r="L1494" s="17" t="n">
        <x:v>0</x:v>
      </x:c>
      <x:c r="M1494" s="13" t="str">
        <x:v>Pago</x:v>
      </x:c>
      <x:c r="N1494" s="13" t="str">
        <x:v>Sem cobrança</x:v>
      </x:c>
      <x:c r="O1494" s="13" t="str">
        <x:v>Escala inteligente</x:v>
      </x:c>
      <x:c r="P1494" s="17" t="n">
        <x:f>IF(D1494="",0,J1494-K1494+L1494)</x:f>
        <x:v>19265.89</x:v>
      </x:c>
      <x:c r="Q1494" s="17" t="n">
        <x:f>MAX(J1494-P1494-K1494,0)</x:f>
        <x:v>0</x:v>
      </x:c>
      <x:c r="R1494" s="13" t="n">
        <x:f>IF(D1494="",MAX(TODAY()-C1494,0),MAX(D1494-C1494,0))</x:f>
        <x:v>0</x:v>
      </x:c>
      <x:c r="S1494" s="13" t="str">
        <x:f>IF(R1494=0,"Em dia",IF(R1494&lt;=15,"1-15 dias",IF(R1494&lt;=30,"16-30 dias",IF(R1494&lt;=60,"31-60 dias","Acima de 60 dias"))))</x:f>
        <x:v>Em dia</x:v>
      </x:c>
    </x:row>
    <x:row r="1495">
      <x:c r="A1495" s="13" t="str">
        <x:v>REC-001494</x:v>
      </x:c>
      <x:c r="B1495" s="23" t="n">
        <x:v>46034</x:v>
      </x:c>
      <x:c r="C1495" s="23" t="n">
        <x:v>46062</x:v>
      </x:c>
      <x:c r="D1495" s="23" t="n">
        <x:v>46061</x:v>
      </x:c>
      <x:c r="E1495" s="13" t="str">
        <x:v>VAL-001</x:v>
      </x:c>
      <x:c r="F1495" s="13" t="str">
        <x:v>Clínica Horizonte</x:v>
      </x:c>
      <x:c r="G1495" s="13" t="str">
        <x:v>Clínicas e Saúde</x:v>
      </x:c>
      <x:c r="H1495" s="13" t="str">
        <x:v>Baixo</x:v>
      </x:c>
      <x:c r="I1495" s="13" t="str">
        <x:v>Essencial</x:v>
      </x:c>
      <x:c r="J1495" s="17" t="n">
        <x:v>9714.74</x:v>
      </x:c>
      <x:c r="K1495" s="17" t="n">
        <x:v>0</x:v>
      </x:c>
      <x:c r="L1495" s="17" t="n">
        <x:v>0</x:v>
      </x:c>
      <x:c r="M1495" s="13" t="str">
        <x:v>Pago</x:v>
      </x:c>
      <x:c r="N1495" s="13" t="str">
        <x:v>Sem cobrança</x:v>
      </x:c>
      <x:c r="O1495" s="13" t="str">
        <x:v>Escala inteligente</x:v>
      </x:c>
      <x:c r="P1495" s="17" t="n">
        <x:f>IF(D1495="",0,J1495-K1495+L1495)</x:f>
        <x:v>9714.74</x:v>
      </x:c>
      <x:c r="Q1495" s="17" t="n">
        <x:f>MAX(J1495-P1495-K1495,0)</x:f>
        <x:v>0</x:v>
      </x:c>
      <x:c r="R1495" s="13" t="n">
        <x:f>IF(D1495="",MAX(TODAY()-C1495,0),MAX(D1495-C1495,0))</x:f>
        <x:v>0</x:v>
      </x:c>
      <x:c r="S1495" s="13" t="str">
        <x:f>IF(R1495=0,"Em dia",IF(R1495&lt;=15,"1-15 dias",IF(R1495&lt;=30,"16-30 dias",IF(R1495&lt;=60,"31-60 dias","Acima de 60 dias"))))</x:f>
        <x:v>Em dia</x:v>
      </x:c>
    </x:row>
    <x:row r="1496">
      <x:c r="A1496" s="13" t="str">
        <x:v>REC-001495</x:v>
      </x:c>
      <x:c r="B1496" s="23" t="n">
        <x:v>46036</x:v>
      </x:c>
      <x:c r="C1496" s="23" t="n">
        <x:v>46051</x:v>
      </x:c>
      <x:c r="D1496" s="23" t="n">
        <x:v>46049</x:v>
      </x:c>
      <x:c r="E1496" s="13" t="str">
        <x:v>VAL-024</x:v>
      </x:c>
      <x:c r="F1496" s="13" t="str">
        <x:v>NovaForma Móveis</x:v>
      </x:c>
      <x:c r="G1496" s="13" t="str">
        <x:v>Indústria Leve</x:v>
      </x:c>
      <x:c r="H1496" s="13" t="str">
        <x:v>Baixo</x:v>
      </x:c>
      <x:c r="I1496" s="13" t="str">
        <x:v>Enterprise</x:v>
      </x:c>
      <x:c r="J1496" s="17" t="n">
        <x:v>2890.59</x:v>
      </x:c>
      <x:c r="K1496" s="17" t="n">
        <x:v>31.37</x:v>
      </x:c>
      <x:c r="L1496" s="17" t="n">
        <x:v>0</x:v>
      </x:c>
      <x:c r="M1496" s="13" t="str">
        <x:v>Pago</x:v>
      </x:c>
      <x:c r="N1496" s="13" t="str">
        <x:v>Sem cobrança</x:v>
      </x:c>
      <x:c r="O1496" s="13" t="str">
        <x:v>Escala inteligente</x:v>
      </x:c>
      <x:c r="P1496" s="17" t="n">
        <x:f>IF(D1496="",0,J1496-K1496+L1496)</x:f>
        <x:v>2859.2200000000003</x:v>
      </x:c>
      <x:c r="Q1496" s="17" t="n">
        <x:f>MAX(J1496-P1496-K1496,0)</x:f>
        <x:v>0</x:v>
      </x:c>
      <x:c r="R1496" s="13" t="n">
        <x:f>IF(D1496="",MAX(TODAY()-C1496,0),MAX(D1496-C1496,0))</x:f>
        <x:v>0</x:v>
      </x:c>
      <x:c r="S1496" s="13" t="str">
        <x:f>IF(R1496=0,"Em dia",IF(R1496&lt;=15,"1-15 dias",IF(R1496&lt;=30,"16-30 dias",IF(R1496&lt;=60,"31-60 dias","Acima de 60 dias"))))</x:f>
        <x:v>Em dia</x:v>
      </x:c>
    </x:row>
    <x:row r="1497">
      <x:c r="A1497" s="13" t="str">
        <x:v>REC-001496</x:v>
      </x:c>
      <x:c r="B1497" s="23" t="n">
        <x:v>46032</x:v>
      </x:c>
      <x:c r="C1497" s="23" t="n">
        <x:v>46053</x:v>
      </x:c>
      <x:c r="D1497" s="23" t="n">
        <x:v>46053</x:v>
      </x:c>
      <x:c r="E1497" s="13" t="str">
        <x:v>VAL-001</x:v>
      </x:c>
      <x:c r="F1497" s="13" t="str">
        <x:v>Clínica Horizonte</x:v>
      </x:c>
      <x:c r="G1497" s="13" t="str">
        <x:v>Clínicas e Saúde</x:v>
      </x:c>
      <x:c r="H1497" s="13" t="str">
        <x:v>Baixo</x:v>
      </x:c>
      <x:c r="I1497" s="13" t="str">
        <x:v>Essencial</x:v>
      </x:c>
      <x:c r="J1497" s="17" t="n">
        <x:v>19507.65</x:v>
      </x:c>
      <x:c r="K1497" s="17" t="n">
        <x:v>0</x:v>
      </x:c>
      <x:c r="L1497" s="17" t="n">
        <x:v>0</x:v>
      </x:c>
      <x:c r="M1497" s="13" t="str">
        <x:v>Pago</x:v>
      </x:c>
      <x:c r="N1497" s="13" t="str">
        <x:v>Sem cobrança</x:v>
      </x:c>
      <x:c r="O1497" s="13" t="str">
        <x:v>Escala inteligente</x:v>
      </x:c>
      <x:c r="P1497" s="17" t="n">
        <x:f>IF(D1497="",0,J1497-K1497+L1497)</x:f>
        <x:v>19507.65</x:v>
      </x:c>
      <x:c r="Q1497" s="17" t="n">
        <x:f>MAX(J1497-P1497-K1497,0)</x:f>
        <x:v>0</x:v>
      </x:c>
      <x:c r="R1497" s="13" t="n">
        <x:f>IF(D1497="",MAX(TODAY()-C1497,0),MAX(D1497-C1497,0))</x:f>
        <x:v>0</x:v>
      </x:c>
      <x:c r="S1497" s="13" t="str">
        <x:f>IF(R1497=0,"Em dia",IF(R1497&lt;=15,"1-15 dias",IF(R1497&lt;=30,"16-30 dias",IF(R1497&lt;=60,"31-60 dias","Acima de 60 dias"))))</x:f>
        <x:v>Em dia</x:v>
      </x:c>
    </x:row>
    <x:row r="1498">
      <x:c r="A1498" s="13" t="str">
        <x:v>REC-001497</x:v>
      </x:c>
      <x:c r="B1498" s="23" t="n">
        <x:v>46026</x:v>
      </x:c>
      <x:c r="C1498" s="23" t="n">
        <x:v>46047</x:v>
      </x:c>
      <x:c r="D1498" s="23" t="n">
        <x:v>46044</x:v>
      </x:c>
      <x:c r="E1498" s="13" t="str">
        <x:v>VAL-018</x:v>
      </x:c>
      <x:c r="F1498" s="13" t="str">
        <x:v>Ponto Legal Advocacia</x:v>
      </x:c>
      <x:c r="G1498" s="13" t="str">
        <x:v>Serviços Profissionais</x:v>
      </x:c>
      <x:c r="H1498" s="13" t="str">
        <x:v>Baixo</x:v>
      </x:c>
      <x:c r="I1498" s="13" t="str">
        <x:v>Gestão</x:v>
      </x:c>
      <x:c r="J1498" s="17" t="n">
        <x:v>20407.23</x:v>
      </x:c>
      <x:c r="K1498" s="17" t="n">
        <x:v>0</x:v>
      </x:c>
      <x:c r="L1498" s="17" t="n">
        <x:v>0</x:v>
      </x:c>
      <x:c r="M1498" s="13" t="str">
        <x:v>Pago</x:v>
      </x:c>
      <x:c r="N1498" s="13" t="str">
        <x:v>Sem cobrança</x:v>
      </x:c>
      <x:c r="O1498" s="13" t="str">
        <x:v>Escala inteligente</x:v>
      </x:c>
      <x:c r="P1498" s="17" t="n">
        <x:f>IF(D1498="",0,J1498-K1498+L1498)</x:f>
        <x:v>20407.23</x:v>
      </x:c>
      <x:c r="Q1498" s="17" t="n">
        <x:f>MAX(J1498-P1498-K1498,0)</x:f>
        <x:v>0</x:v>
      </x:c>
      <x:c r="R1498" s="13" t="n">
        <x:f>IF(D1498="",MAX(TODAY()-C1498,0),MAX(D1498-C1498,0))</x:f>
        <x:v>0</x:v>
      </x:c>
      <x:c r="S1498" s="13" t="str">
        <x:f>IF(R1498=0,"Em dia",IF(R1498&lt;=15,"1-15 dias",IF(R1498&lt;=30,"16-30 dias",IF(R1498&lt;=60,"31-60 dias","Acima de 60 dias"))))</x:f>
        <x:v>Em dia</x:v>
      </x:c>
    </x:row>
    <x:row r="1499">
      <x:c r="A1499" s="13" t="str">
        <x:v>REC-001498</x:v>
      </x:c>
      <x:c r="B1499" s="23" t="n">
        <x:v>46024</x:v>
      </x:c>
      <x:c r="C1499" s="23" t="n">
        <x:v>46039</x:v>
      </x:c>
      <x:c r="D1499" s="23" t="n">
        <x:v>46035</x:v>
      </x:c>
      <x:c r="E1499" s="13" t="str">
        <x:v>VAL-013</x:v>
      </x:c>
      <x:c r="F1499" s="13" t="str">
        <x:v>Engenharia Vértice</x:v>
      </x:c>
      <x:c r="G1499" s="13" t="str">
        <x:v>Construção</x:v>
      </x:c>
      <x:c r="H1499" s="13" t="str">
        <x:v>Baixo</x:v>
      </x:c>
      <x:c r="I1499" s="13" t="str">
        <x:v>Essencial</x:v>
      </x:c>
      <x:c r="J1499" s="17" t="n">
        <x:v>17832.21</x:v>
      </x:c>
      <x:c r="K1499" s="17" t="n">
        <x:v>131.48</x:v>
      </x:c>
      <x:c r="L1499" s="17" t="n">
        <x:v>0</x:v>
      </x:c>
      <x:c r="M1499" s="13" t="str">
        <x:v>Pago</x:v>
      </x:c>
      <x:c r="N1499" s="13" t="str">
        <x:v>Sem cobrança</x:v>
      </x:c>
      <x:c r="O1499" s="13" t="str">
        <x:v>Escala inteligente</x:v>
      </x:c>
      <x:c r="P1499" s="17" t="n">
        <x:f>IF(D1499="",0,J1499-K1499+L1499)</x:f>
        <x:v>17700.73</x:v>
      </x:c>
      <x:c r="Q1499" s="17" t="n">
        <x:f>MAX(J1499-P1499-K1499,0)</x:f>
        <x:v>0</x:v>
      </x:c>
      <x:c r="R1499" s="13" t="n">
        <x:f>IF(D1499="",MAX(TODAY()-C1499,0),MAX(D1499-C1499,0))</x:f>
        <x:v>0</x:v>
      </x:c>
      <x:c r="S1499" s="13" t="str">
        <x:f>IF(R1499=0,"Em dia",IF(R1499&lt;=15,"1-15 dias",IF(R1499&lt;=30,"16-30 dias",IF(R1499&lt;=60,"31-60 dias","Acima de 60 dias"))))</x:f>
        <x:v>Em dia</x:v>
      </x:c>
    </x:row>
    <x:row r="1500">
      <x:c r="A1500" s="13" t="str">
        <x:v>REC-001499</x:v>
      </x:c>
      <x:c r="B1500" s="23" t="n">
        <x:v>46027</x:v>
      </x:c>
      <x:c r="C1500" s="23" t="n">
        <x:v>46057</x:v>
      </x:c>
      <x:c r="D1500" s="23" t="n">
        <x:v>46053</x:v>
      </x:c>
      <x:c r="E1500" s="13" t="str">
        <x:v>VAL-021</x:v>
      </x:c>
      <x:c r="F1500" s="13" t="str">
        <x:v>Base Forte Obras</x:v>
      </x:c>
      <x:c r="G1500" s="13" t="str">
        <x:v>Construção</x:v>
      </x:c>
      <x:c r="H1500" s="13" t="str">
        <x:v>Médio</x:v>
      </x:c>
      <x:c r="I1500" s="13" t="str">
        <x:v>Essencial</x:v>
      </x:c>
      <x:c r="J1500" s="17" t="n">
        <x:v>2799.97</x:v>
      </x:c>
      <x:c r="K1500" s="17" t="n">
        <x:v>0</x:v>
      </x:c>
      <x:c r="L1500" s="17" t="n">
        <x:v>0</x:v>
      </x:c>
      <x:c r="M1500" s="13" t="str">
        <x:v>Pago</x:v>
      </x:c>
      <x:c r="N1500" s="13" t="str">
        <x:v>Sem cobrança</x:v>
      </x:c>
      <x:c r="O1500" s="13" t="str">
        <x:v>Escala inteligente</x:v>
      </x:c>
      <x:c r="P1500" s="17" t="n">
        <x:f>IF(D1500="",0,J1500-K1500+L1500)</x:f>
        <x:v>2799.97</x:v>
      </x:c>
      <x:c r="Q1500" s="17" t="n">
        <x:f>MAX(J1500-P1500-K1500,0)</x:f>
        <x:v>0</x:v>
      </x:c>
      <x:c r="R1500" s="13" t="n">
        <x:f>IF(D1500="",MAX(TODAY()-C1500,0),MAX(D1500-C1500,0))</x:f>
        <x:v>0</x:v>
      </x:c>
      <x:c r="S1500" s="13" t="str">
        <x:f>IF(R1500=0,"Em dia",IF(R1500&lt;=15,"1-15 dias",IF(R1500&lt;=30,"16-30 dias",IF(R1500&lt;=60,"31-60 dias","Acima de 60 dias"))))</x:f>
        <x:v>Em dia</x:v>
      </x:c>
    </x:row>
    <x:row r="1501">
      <x:c r="A1501" s="13" t="str">
        <x:v>REC-001500</x:v>
      </x:c>
      <x:c r="B1501" s="23" t="n">
        <x:v>46034</x:v>
      </x:c>
      <x:c r="C1501" s="23" t="n">
        <x:v>46041</x:v>
      </x:c>
      <x:c r="D1501" s="23" t="n">
        <x:v>46039</x:v>
      </x:c>
      <x:c r="E1501" s="13" t="str">
        <x:v>VAL-016</x:v>
      </x:c>
      <x:c r="F1501" s="13" t="str">
        <x:v>Lumina Embalagens</x:v>
      </x:c>
      <x:c r="G1501" s="13" t="str">
        <x:v>Indústria Leve</x:v>
      </x:c>
      <x:c r="H1501" s="13" t="str">
        <x:v>Baixo</x:v>
      </x:c>
      <x:c r="I1501" s="13" t="str">
        <x:v>Enterprise</x:v>
      </x:c>
      <x:c r="J1501" s="17" t="n">
        <x:v>34581.94</x:v>
      </x:c>
      <x:c r="K1501" s="17" t="n">
        <x:v>0</x:v>
      </x:c>
      <x:c r="L1501" s="17" t="n">
        <x:v>0</x:v>
      </x:c>
      <x:c r="M1501" s="13" t="str">
        <x:v>Pago</x:v>
      </x:c>
      <x:c r="N1501" s="13" t="str">
        <x:v>Sem cobrança</x:v>
      </x:c>
      <x:c r="O1501" s="13" t="str">
        <x:v>Escala inteligente</x:v>
      </x:c>
      <x:c r="P1501" s="17" t="n">
        <x:f>IF(D1501="",0,J1501-K1501+L1501)</x:f>
        <x:v>34581.94</x:v>
      </x:c>
      <x:c r="Q1501" s="17" t="n">
        <x:f>MAX(J1501-P1501-K1501,0)</x:f>
        <x:v>0</x:v>
      </x:c>
      <x:c r="R1501" s="13" t="n">
        <x:f>IF(D1501="",MAX(TODAY()-C1501,0),MAX(D1501-C1501,0))</x:f>
        <x:v>0</x:v>
      </x:c>
      <x:c r="S1501" s="13" t="str">
        <x:f>IF(R1501=0,"Em dia",IF(R1501&lt;=15,"1-15 dias",IF(R1501&lt;=30,"16-30 dias",IF(R1501&lt;=60,"31-60 dias","Acima de 60 dias"))))</x:f>
        <x:v>Em dia</x:v>
      </x:c>
    </x:row>
    <x:row r="1502">
      <x:c r="A1502" s="13" t="str">
        <x:v>REC-001501</x:v>
      </x:c>
      <x:c r="B1502" s="23" t="n">
        <x:v>46057</x:v>
      </x:c>
      <x:c r="C1502" s="23" t="n">
        <x:v>46087</x:v>
      </x:c>
      <x:c r="D1502" s="23" t="n">
        <x:v>46084</x:v>
      </x:c>
      <x:c r="E1502" s="13" t="str">
        <x:v>VAL-026</x:v>
      </x:c>
      <x:c r="F1502" s="13" t="str">
        <x:v>Ribeiro Arquitetura</x:v>
      </x:c>
      <x:c r="G1502" s="13" t="str">
        <x:v>Serviços Profissionais</x:v>
      </x:c>
      <x:c r="H1502" s="13" t="str">
        <x:v>Baixo</x:v>
      </x:c>
      <x:c r="I1502" s="13" t="str">
        <x:v>Gestão</x:v>
      </x:c>
      <x:c r="J1502" s="17" t="n">
        <x:v>26544.43</x:v>
      </x:c>
      <x:c r="K1502" s="17" t="n">
        <x:v>0</x:v>
      </x:c>
      <x:c r="L1502" s="17" t="n">
        <x:v>0</x:v>
      </x:c>
      <x:c r="M1502" s="13" t="str">
        <x:v>Pago</x:v>
      </x:c>
      <x:c r="N1502" s="13" t="str">
        <x:v>Sem cobrança</x:v>
      </x:c>
      <x:c r="O1502" s="13" t="str">
        <x:v>Escala inteligente</x:v>
      </x:c>
      <x:c r="P1502" s="17" t="n">
        <x:f>IF(D1502="",0,J1502-K1502+L1502)</x:f>
        <x:v>26544.43</x:v>
      </x:c>
      <x:c r="Q1502" s="17" t="n">
        <x:f>MAX(J1502-P1502-K1502,0)</x:f>
        <x:v>0</x:v>
      </x:c>
      <x:c r="R1502" s="13" t="n">
        <x:f>IF(D1502="",MAX(TODAY()-C1502,0),MAX(D1502-C1502,0))</x:f>
        <x:v>0</x:v>
      </x:c>
      <x:c r="S1502" s="13" t="str">
        <x:f>IF(R1502=0,"Em dia",IF(R1502&lt;=15,"1-15 dias",IF(R1502&lt;=30,"16-30 dias",IF(R1502&lt;=60,"31-60 dias","Acima de 60 dias"))))</x:f>
        <x:v>Em dia</x:v>
      </x:c>
    </x:row>
    <x:row r="1503">
      <x:c r="A1503" s="13" t="str">
        <x:v>REC-001502</x:v>
      </x:c>
      <x:c r="B1503" s="23" t="n">
        <x:v>46064</x:v>
      </x:c>
      <x:c r="C1503" s="23" t="n">
        <x:v>46071</x:v>
      </x:c>
      <x:c r="D1503" s="23" t="n">
        <x:v>46071</x:v>
      </x:c>
      <x:c r="E1503" s="13" t="str">
        <x:v>VAL-001</x:v>
      </x:c>
      <x:c r="F1503" s="13" t="str">
        <x:v>Clínica Horizonte</x:v>
      </x:c>
      <x:c r="G1503" s="13" t="str">
        <x:v>Clínicas e Saúde</x:v>
      </x:c>
      <x:c r="H1503" s="13" t="str">
        <x:v>Baixo</x:v>
      </x:c>
      <x:c r="I1503" s="13" t="str">
        <x:v>Essencial</x:v>
      </x:c>
      <x:c r="J1503" s="17" t="n">
        <x:v>25142.09</x:v>
      </x:c>
      <x:c r="K1503" s="17" t="n">
        <x:v>0</x:v>
      </x:c>
      <x:c r="L1503" s="17" t="n">
        <x:v>0</x:v>
      </x:c>
      <x:c r="M1503" s="13" t="str">
        <x:v>Pago</x:v>
      </x:c>
      <x:c r="N1503" s="13" t="str">
        <x:v>Sem cobrança</x:v>
      </x:c>
      <x:c r="O1503" s="13" t="str">
        <x:v>Escala inteligente</x:v>
      </x:c>
      <x:c r="P1503" s="17" t="n">
        <x:f>IF(D1503="",0,J1503-K1503+L1503)</x:f>
        <x:v>25142.09</x:v>
      </x:c>
      <x:c r="Q1503" s="17" t="n">
        <x:f>MAX(J1503-P1503-K1503,0)</x:f>
        <x:v>0</x:v>
      </x:c>
      <x:c r="R1503" s="13" t="n">
        <x:f>IF(D1503="",MAX(TODAY()-C1503,0),MAX(D1503-C1503,0))</x:f>
        <x:v>0</x:v>
      </x:c>
      <x:c r="S1503" s="13" t="str">
        <x:f>IF(R1503=0,"Em dia",IF(R1503&lt;=15,"1-15 dias",IF(R1503&lt;=30,"16-30 dias",IF(R1503&lt;=60,"31-60 dias","Acima de 60 dias"))))</x:f>
        <x:v>Em dia</x:v>
      </x:c>
    </x:row>
    <x:row r="1504">
      <x:c r="A1504" s="13" t="str">
        <x:v>REC-001503</x:v>
      </x:c>
      <x:c r="B1504" s="23" t="n">
        <x:v>46073</x:v>
      </x:c>
      <x:c r="C1504" s="23" t="n">
        <x:v>46094</x:v>
      </x:c>
      <x:c r="D1504" s="23" t="n">
        <x:v>46094</x:v>
      </x:c>
      <x:c r="E1504" s="13" t="str">
        <x:v>VAL-002</x:v>
      </x:c>
      <x:c r="F1504" s="13" t="str">
        <x:v>Mendes &amp; Prado Consultoria</x:v>
      </x:c>
      <x:c r="G1504" s="13" t="str">
        <x:v>Serviços Profissionais</x:v>
      </x:c>
      <x:c r="H1504" s="13" t="str">
        <x:v>Baixo</x:v>
      </x:c>
      <x:c r="I1504" s="13" t="str">
        <x:v>Gestão</x:v>
      </x:c>
      <x:c r="J1504" s="17" t="n">
        <x:v>14310.69</x:v>
      </x:c>
      <x:c r="K1504" s="17" t="n">
        <x:v>0</x:v>
      </x:c>
      <x:c r="L1504" s="17" t="n">
        <x:v>0</x:v>
      </x:c>
      <x:c r="M1504" s="13" t="str">
        <x:v>Pago</x:v>
      </x:c>
      <x:c r="N1504" s="13" t="str">
        <x:v>Sem cobrança</x:v>
      </x:c>
      <x:c r="O1504" s="13" t="str">
        <x:v>Escala inteligente</x:v>
      </x:c>
      <x:c r="P1504" s="17" t="n">
        <x:f>IF(D1504="",0,J1504-K1504+L1504)</x:f>
        <x:v>14310.69</x:v>
      </x:c>
      <x:c r="Q1504" s="17" t="n">
        <x:f>MAX(J1504-P1504-K1504,0)</x:f>
        <x:v>0</x:v>
      </x:c>
      <x:c r="R1504" s="13" t="n">
        <x:f>IF(D1504="",MAX(TODAY()-C1504,0),MAX(D1504-C1504,0))</x:f>
        <x:v>0</x:v>
      </x:c>
      <x:c r="S1504" s="13" t="str">
        <x:f>IF(R1504=0,"Em dia",IF(R1504&lt;=15,"1-15 dias",IF(R1504&lt;=30,"16-30 dias",IF(R1504&lt;=60,"31-60 dias","Acima de 60 dias"))))</x:f>
        <x:v>Em dia</x:v>
      </x:c>
    </x:row>
    <x:row r="1505">
      <x:c r="A1505" s="13" t="str">
        <x:v>REC-001504</x:v>
      </x:c>
      <x:c r="B1505" s="23" t="n">
        <x:v>46066</x:v>
      </x:c>
      <x:c r="C1505" s="23" t="n">
        <x:v>46081</x:v>
      </x:c>
      <x:c r="D1505" s="23" t="n">
        <x:v>46079</x:v>
      </x:c>
      <x:c r="E1505" s="13" t="str">
        <x:v>VAL-005</x:v>
      </x:c>
      <x:c r="F1505" s="13" t="str">
        <x:v>Construtora Alameda</x:v>
      </x:c>
      <x:c r="G1505" s="13" t="str">
        <x:v>Construção</x:v>
      </x:c>
      <x:c r="H1505" s="13" t="str">
        <x:v>Médio</x:v>
      </x:c>
      <x:c r="I1505" s="13" t="str">
        <x:v>Essencial</x:v>
      </x:c>
      <x:c r="J1505" s="17" t="n">
        <x:v>19762.51</x:v>
      </x:c>
      <x:c r="K1505" s="17" t="n">
        <x:v>0</x:v>
      </x:c>
      <x:c r="L1505" s="17" t="n">
        <x:v>0</x:v>
      </x:c>
      <x:c r="M1505" s="13" t="str">
        <x:v>Pago</x:v>
      </x:c>
      <x:c r="N1505" s="13" t="str">
        <x:v>Sem cobrança</x:v>
      </x:c>
      <x:c r="O1505" s="13" t="str">
        <x:v>Escala inteligente</x:v>
      </x:c>
      <x:c r="P1505" s="17" t="n">
        <x:f>IF(D1505="",0,J1505-K1505+L1505)</x:f>
        <x:v>19762.51</x:v>
      </x:c>
      <x:c r="Q1505" s="17" t="n">
        <x:f>MAX(J1505-P1505-K1505,0)</x:f>
        <x:v>0</x:v>
      </x:c>
      <x:c r="R1505" s="13" t="n">
        <x:f>IF(D1505="",MAX(TODAY()-C1505,0),MAX(D1505-C1505,0))</x:f>
        <x:v>0</x:v>
      </x:c>
      <x:c r="S1505" s="13" t="str">
        <x:f>IF(R1505=0,"Em dia",IF(R1505&lt;=15,"1-15 dias",IF(R1505&lt;=30,"16-30 dias",IF(R1505&lt;=60,"31-60 dias","Acima de 60 dias"))))</x:f>
        <x:v>Em dia</x:v>
      </x:c>
    </x:row>
    <x:row r="1506">
      <x:c r="A1506" s="13" t="str">
        <x:v>REC-001505</x:v>
      </x:c>
      <x:c r="B1506" s="23" t="n">
        <x:v>46070</x:v>
      </x:c>
      <x:c r="C1506" s="23" t="n">
        <x:v>46077</x:v>
      </x:c>
      <x:c r="D1506" s="23" t="n">
        <x:v>46074</x:v>
      </x:c>
      <x:c r="E1506" s="13" t="str">
        <x:v>VAL-018</x:v>
      </x:c>
      <x:c r="F1506" s="13" t="str">
        <x:v>Ponto Legal Advocacia</x:v>
      </x:c>
      <x:c r="G1506" s="13" t="str">
        <x:v>Serviços Profissionais</x:v>
      </x:c>
      <x:c r="H1506" s="13" t="str">
        <x:v>Baixo</x:v>
      </x:c>
      <x:c r="I1506" s="13" t="str">
        <x:v>Gestão</x:v>
      </x:c>
      <x:c r="J1506" s="17" t="n">
        <x:v>11685.75</x:v>
      </x:c>
      <x:c r="K1506" s="17" t="n">
        <x:v>0</x:v>
      </x:c>
      <x:c r="L1506" s="17" t="n">
        <x:v>0</x:v>
      </x:c>
      <x:c r="M1506" s="13" t="str">
        <x:v>Pago</x:v>
      </x:c>
      <x:c r="N1506" s="13" t="str">
        <x:v>Sem cobrança</x:v>
      </x:c>
      <x:c r="O1506" s="13" t="str">
        <x:v>Escala inteligente</x:v>
      </x:c>
      <x:c r="P1506" s="17" t="n">
        <x:f>IF(D1506="",0,J1506-K1506+L1506)</x:f>
        <x:v>11685.75</x:v>
      </x:c>
      <x:c r="Q1506" s="17" t="n">
        <x:f>MAX(J1506-P1506-K1506,0)</x:f>
        <x:v>0</x:v>
      </x:c>
      <x:c r="R1506" s="13" t="n">
        <x:f>IF(D1506="",MAX(TODAY()-C1506,0),MAX(D1506-C1506,0))</x:f>
        <x:v>0</x:v>
      </x:c>
      <x:c r="S1506" s="13" t="str">
        <x:f>IF(R1506=0,"Em dia",IF(R1506&lt;=15,"1-15 dias",IF(R1506&lt;=30,"16-30 dias",IF(R1506&lt;=60,"31-60 dias","Acima de 60 dias"))))</x:f>
        <x:v>Em dia</x:v>
      </x:c>
    </x:row>
    <x:row r="1507">
      <x:c r="A1507" s="13" t="str">
        <x:v>REC-001506</x:v>
      </x:c>
      <x:c r="B1507" s="23" t="n">
        <x:v>46060</x:v>
      </x:c>
      <x:c r="C1507" s="23" t="n">
        <x:v>46081</x:v>
      </x:c>
      <x:c r="D1507" s="23" t="n">
        <x:v>46097</x:v>
      </x:c>
      <x:c r="E1507" s="13" t="str">
        <x:v>VAL-016</x:v>
      </x:c>
      <x:c r="F1507" s="13" t="str">
        <x:v>Lumina Embalagens</x:v>
      </x:c>
      <x:c r="G1507" s="13" t="str">
        <x:v>Indústria Leve</x:v>
      </x:c>
      <x:c r="H1507" s="13" t="str">
        <x:v>Baixo</x:v>
      </x:c>
      <x:c r="I1507" s="13" t="str">
        <x:v>Enterprise</x:v>
      </x:c>
      <x:c r="J1507" s="17" t="n">
        <x:v>23894.82</x:v>
      </x:c>
      <x:c r="K1507" s="17" t="n">
        <x:v>0</x:v>
      </x:c>
      <x:c r="L1507" s="17" t="n">
        <x:v>248.51</x:v>
      </x:c>
      <x:c r="M1507" s="13" t="str">
        <x:v>Pago com atraso</x:v>
      </x:c>
      <x:c r="N1507" s="13" t="str">
        <x:v>Telefone</x:v>
      </x:c>
      <x:c r="O1507" s="13" t="str">
        <x:v>Escala inteligente</x:v>
      </x:c>
      <x:c r="P1507" s="17" t="n">
        <x:f>IF(D1507="",0,J1507-K1507+L1507)</x:f>
        <x:v>24143.329999999998</x:v>
      </x:c>
      <x:c r="Q1507" s="17" t="n">
        <x:f>MAX(J1507-P1507-K1507,0)</x:f>
        <x:v>0</x:v>
      </x:c>
      <x:c r="R1507" s="13" t="n">
        <x:f>IF(D1507="",MAX(TODAY()-C1507,0),MAX(D1507-C1507,0))</x:f>
        <x:v>16</x:v>
      </x:c>
      <x:c r="S1507" s="13" t="str">
        <x:f>IF(R1507=0,"Em dia",IF(R1507&lt;=15,"1-15 dias",IF(R1507&lt;=30,"16-30 dias",IF(R1507&lt;=60,"31-60 dias","Acima de 60 dias"))))</x:f>
        <x:v>16-30 dias</x:v>
      </x:c>
    </x:row>
    <x:row r="1508">
      <x:c r="A1508" s="13" t="str">
        <x:v>REC-001507</x:v>
      </x:c>
      <x:c r="B1508" s="23" t="n">
        <x:v>46056</x:v>
      </x:c>
      <x:c r="C1508" s="23" t="n">
        <x:v>46063</x:v>
      </x:c>
      <x:c r="D1508" s="23" t="n">
        <x:v>46060</x:v>
      </x:c>
      <x:c r="E1508" s="13" t="str">
        <x:v>VAL-009</x:v>
      </x:c>
      <x:c r="F1508" s="13" t="str">
        <x:v>Odonto Prime</x:v>
      </x:c>
      <x:c r="G1508" s="13" t="str">
        <x:v>Clínicas e Saúde</x:v>
      </x:c>
      <x:c r="H1508" s="13" t="str">
        <x:v>Médio</x:v>
      </x:c>
      <x:c r="I1508" s="13" t="str">
        <x:v>Essencial</x:v>
      </x:c>
      <x:c r="J1508" s="17" t="n">
        <x:v>3658.38</x:v>
      </x:c>
      <x:c r="K1508" s="17" t="n">
        <x:v>0</x:v>
      </x:c>
      <x:c r="L1508" s="17" t="n">
        <x:v>0</x:v>
      </x:c>
      <x:c r="M1508" s="13" t="str">
        <x:v>Pago</x:v>
      </x:c>
      <x:c r="N1508" s="13" t="str">
        <x:v>Sem cobrança</x:v>
      </x:c>
      <x:c r="O1508" s="13" t="str">
        <x:v>Escala inteligente</x:v>
      </x:c>
      <x:c r="P1508" s="17" t="n">
        <x:f>IF(D1508="",0,J1508-K1508+L1508)</x:f>
        <x:v>3658.38</x:v>
      </x:c>
      <x:c r="Q1508" s="17" t="n">
        <x:f>MAX(J1508-P1508-K1508,0)</x:f>
        <x:v>0</x:v>
      </x:c>
      <x:c r="R1508" s="13" t="n">
        <x:f>IF(D1508="",MAX(TODAY()-C1508,0),MAX(D1508-C1508,0))</x:f>
        <x:v>0</x:v>
      </x:c>
      <x:c r="S1508" s="13" t="str">
        <x:f>IF(R1508=0,"Em dia",IF(R1508&lt;=15,"1-15 dias",IF(R1508&lt;=30,"16-30 dias",IF(R1508&lt;=60,"31-60 dias","Acima de 60 dias"))))</x:f>
        <x:v>Em dia</x:v>
      </x:c>
    </x:row>
    <x:row r="1509">
      <x:c r="A1509" s="13" t="str">
        <x:v>REC-001508</x:v>
      </x:c>
      <x:c r="B1509" s="23" t="n">
        <x:v>46057</x:v>
      </x:c>
      <x:c r="C1509" s="23" t="n">
        <x:v>46072</x:v>
      </x:c>
      <x:c r="D1509" s="23" t="n">
        <x:v>46071</x:v>
      </x:c>
      <x:c r="E1509" s="13" t="str">
        <x:v>VAL-012</x:v>
      </x:c>
      <x:c r="F1509" s="13" t="str">
        <x:v>DataFlow Sistemas</x:v>
      </x:c>
      <x:c r="G1509" s="13" t="str">
        <x:v>Tecnologia</x:v>
      </x:c>
      <x:c r="H1509" s="13" t="str">
        <x:v>Médio</x:v>
      </x:c>
      <x:c r="I1509" s="13" t="str">
        <x:v>Enterprise</x:v>
      </x:c>
      <x:c r="J1509" s="17" t="n">
        <x:v>9236.65</x:v>
      </x:c>
      <x:c r="K1509" s="17" t="n">
        <x:v>0</x:v>
      </x:c>
      <x:c r="L1509" s="17" t="n">
        <x:v>0</x:v>
      </x:c>
      <x:c r="M1509" s="13" t="str">
        <x:v>Pago</x:v>
      </x:c>
      <x:c r="N1509" s="13" t="str">
        <x:v>Sem cobrança</x:v>
      </x:c>
      <x:c r="O1509" s="13" t="str">
        <x:v>Escala inteligente</x:v>
      </x:c>
      <x:c r="P1509" s="17" t="n">
        <x:f>IF(D1509="",0,J1509-K1509+L1509)</x:f>
        <x:v>9236.65</x:v>
      </x:c>
      <x:c r="Q1509" s="17" t="n">
        <x:f>MAX(J1509-P1509-K1509,0)</x:f>
        <x:v>0</x:v>
      </x:c>
      <x:c r="R1509" s="13" t="n">
        <x:f>IF(D1509="",MAX(TODAY()-C1509,0),MAX(D1509-C1509,0))</x:f>
        <x:v>0</x:v>
      </x:c>
      <x:c r="S1509" s="13" t="str">
        <x:f>IF(R1509=0,"Em dia",IF(R1509&lt;=15,"1-15 dias",IF(R1509&lt;=30,"16-30 dias",IF(R1509&lt;=60,"31-60 dias","Acima de 60 dias"))))</x:f>
        <x:v>Em dia</x:v>
      </x:c>
    </x:row>
    <x:row r="1510">
      <x:c r="A1510" s="13" t="str">
        <x:v>REC-001509</x:v>
      </x:c>
      <x:c r="B1510" s="23" t="n">
        <x:v>46067</x:v>
      </x:c>
      <x:c r="C1510" s="23" t="n">
        <x:v>46074</x:v>
      </x:c>
      <x:c r="D1510" s="23" t="n">
        <x:v>46071</x:v>
      </x:c>
      <x:c r="E1510" s="13" t="str">
        <x:v>VAL-014</x:v>
      </x:c>
      <x:c r="F1510" s="13" t="str">
        <x:v>Colégio Caminhos</x:v>
      </x:c>
      <x:c r="G1510" s="13" t="str">
        <x:v>Educação</x:v>
      </x:c>
      <x:c r="H1510" s="13" t="str">
        <x:v>Médio</x:v>
      </x:c>
      <x:c r="I1510" s="13" t="str">
        <x:v>Gestão</x:v>
      </x:c>
      <x:c r="J1510" s="17" t="n">
        <x:v>6319.34</x:v>
      </x:c>
      <x:c r="K1510" s="17" t="n">
        <x:v>0</x:v>
      </x:c>
      <x:c r="L1510" s="17" t="n">
        <x:v>0</x:v>
      </x:c>
      <x:c r="M1510" s="13" t="str">
        <x:v>Pago</x:v>
      </x:c>
      <x:c r="N1510" s="13" t="str">
        <x:v>Sem cobrança</x:v>
      </x:c>
      <x:c r="O1510" s="13" t="str">
        <x:v>Escala inteligente</x:v>
      </x:c>
      <x:c r="P1510" s="17" t="n">
        <x:f>IF(D1510="",0,J1510-K1510+L1510)</x:f>
        <x:v>6319.34</x:v>
      </x:c>
      <x:c r="Q1510" s="17" t="n">
        <x:f>MAX(J1510-P1510-K1510,0)</x:f>
        <x:v>0</x:v>
      </x:c>
      <x:c r="R1510" s="13" t="n">
        <x:f>IF(D1510="",MAX(TODAY()-C1510,0),MAX(D1510-C1510,0))</x:f>
        <x:v>0</x:v>
      </x:c>
      <x:c r="S1510" s="13" t="str">
        <x:f>IF(R1510=0,"Em dia",IF(R1510&lt;=15,"1-15 dias",IF(R1510&lt;=30,"16-30 dias",IF(R1510&lt;=60,"31-60 dias","Acima de 60 dias"))))</x:f>
        <x:v>Em dia</x:v>
      </x:c>
    </x:row>
    <x:row r="1511">
      <x:c r="A1511" s="13" t="str">
        <x:v>REC-001510</x:v>
      </x:c>
      <x:c r="B1511" s="23" t="n">
        <x:v>46055</x:v>
      </x:c>
      <x:c r="C1511" s="23" t="n">
        <x:v>46085</x:v>
      </x:c>
      <x:c r="D1511" s="23" t="n">
        <x:v>46082</x:v>
      </x:c>
      <x:c r="E1511" s="13" t="str">
        <x:v>VAL-020</x:v>
      </x:c>
      <x:c r="F1511" s="13" t="str">
        <x:v>Corelink Digital</x:v>
      </x:c>
      <x:c r="G1511" s="13" t="str">
        <x:v>Tecnologia</x:v>
      </x:c>
      <x:c r="H1511" s="13" t="str">
        <x:v>Baixo</x:v>
      </x:c>
      <x:c r="I1511" s="13" t="str">
        <x:v>Enterprise</x:v>
      </x:c>
      <x:c r="J1511" s="17" t="n">
        <x:v>31754.84</x:v>
      </x:c>
      <x:c r="K1511" s="17" t="n">
        <x:v>0</x:v>
      </x:c>
      <x:c r="L1511" s="17" t="n">
        <x:v>0</x:v>
      </x:c>
      <x:c r="M1511" s="13" t="str">
        <x:v>Pago</x:v>
      </x:c>
      <x:c r="N1511" s="13" t="str">
        <x:v>Sem cobrança</x:v>
      </x:c>
      <x:c r="O1511" s="13" t="str">
        <x:v>Escala inteligente</x:v>
      </x:c>
      <x:c r="P1511" s="17" t="n">
        <x:f>IF(D1511="",0,J1511-K1511+L1511)</x:f>
        <x:v>31754.84</x:v>
      </x:c>
      <x:c r="Q1511" s="17" t="n">
        <x:f>MAX(J1511-P1511-K1511,0)</x:f>
        <x:v>0</x:v>
      </x:c>
      <x:c r="R1511" s="13" t="n">
        <x:f>IF(D1511="",MAX(TODAY()-C1511,0),MAX(D1511-C1511,0))</x:f>
        <x:v>0</x:v>
      </x:c>
      <x:c r="S1511" s="13" t="str">
        <x:f>IF(R1511=0,"Em dia",IF(R1511&lt;=15,"1-15 dias",IF(R1511&lt;=30,"16-30 dias",IF(R1511&lt;=60,"31-60 dias","Acima de 60 dias"))))</x:f>
        <x:v>Em dia</x:v>
      </x:c>
    </x:row>
    <x:row r="1512">
      <x:c r="A1512" s="13" t="str">
        <x:v>REC-001511</x:v>
      </x:c>
      <x:c r="B1512" s="23" t="n">
        <x:v>46063</x:v>
      </x:c>
      <x:c r="C1512" s="23" t="n">
        <x:v>46084</x:v>
      </x:c>
      <x:c r="D1512" s="23" t="n">
        <x:v>46081</x:v>
      </x:c>
      <x:c r="E1512" s="13" t="str">
        <x:v>VAL-023</x:v>
      </x:c>
      <x:c r="F1512" s="13" t="str">
        <x:v>ShopMix Brasil</x:v>
      </x:c>
      <x:c r="G1512" s="13" t="str">
        <x:v>E-commerce</x:v>
      </x:c>
      <x:c r="H1512" s="13" t="str">
        <x:v>Baixo</x:v>
      </x:c>
      <x:c r="I1512" s="13" t="str">
        <x:v>Performance</x:v>
      </x:c>
      <x:c r="J1512" s="17" t="n">
        <x:v>25707.67</x:v>
      </x:c>
      <x:c r="K1512" s="17" t="n">
        <x:v>0</x:v>
      </x:c>
      <x:c r="L1512" s="17" t="n">
        <x:v>0</x:v>
      </x:c>
      <x:c r="M1512" s="13" t="str">
        <x:v>Pago</x:v>
      </x:c>
      <x:c r="N1512" s="13" t="str">
        <x:v>Sem cobrança</x:v>
      </x:c>
      <x:c r="O1512" s="13" t="str">
        <x:v>Escala inteligente</x:v>
      </x:c>
      <x:c r="P1512" s="17" t="n">
        <x:f>IF(D1512="",0,J1512-K1512+L1512)</x:f>
        <x:v>25707.67</x:v>
      </x:c>
      <x:c r="Q1512" s="17" t="n">
        <x:f>MAX(J1512-P1512-K1512,0)</x:f>
        <x:v>0</x:v>
      </x:c>
      <x:c r="R1512" s="13" t="n">
        <x:f>IF(D1512="",MAX(TODAY()-C1512,0),MAX(D1512-C1512,0))</x:f>
        <x:v>0</x:v>
      </x:c>
      <x:c r="S1512" s="13" t="str">
        <x:f>IF(R1512=0,"Em dia",IF(R1512&lt;=15,"1-15 dias",IF(R1512&lt;=30,"16-30 dias",IF(R1512&lt;=60,"31-60 dias","Acima de 60 dias"))))</x:f>
        <x:v>Em dia</x:v>
      </x:c>
    </x:row>
    <x:row r="1513">
      <x:c r="A1513" s="13" t="str">
        <x:v>REC-001512</x:v>
      </x:c>
      <x:c r="B1513" s="23" t="n">
        <x:v>46058</x:v>
      </x:c>
      <x:c r="C1513" s="23" t="n">
        <x:v>46073</x:v>
      </x:c>
      <x:c r="D1513" s="23" t="n">
        <x:v>46070</x:v>
      </x:c>
      <x:c r="E1513" s="13" t="str">
        <x:v>VAL-005</x:v>
      </x:c>
      <x:c r="F1513" s="13" t="str">
        <x:v>Construtora Alameda</x:v>
      </x:c>
      <x:c r="G1513" s="13" t="str">
        <x:v>Construção</x:v>
      </x:c>
      <x:c r="H1513" s="13" t="str">
        <x:v>Médio</x:v>
      </x:c>
      <x:c r="I1513" s="13" t="str">
        <x:v>Essencial</x:v>
      </x:c>
      <x:c r="J1513" s="17" t="n">
        <x:v>16837.44</x:v>
      </x:c>
      <x:c r="K1513" s="17" t="n">
        <x:v>0</x:v>
      </x:c>
      <x:c r="L1513" s="17" t="n">
        <x:v>0</x:v>
      </x:c>
      <x:c r="M1513" s="13" t="str">
        <x:v>Pago</x:v>
      </x:c>
      <x:c r="N1513" s="13" t="str">
        <x:v>Sem cobrança</x:v>
      </x:c>
      <x:c r="O1513" s="13" t="str">
        <x:v>Escala inteligente</x:v>
      </x:c>
      <x:c r="P1513" s="17" t="n">
        <x:f>IF(D1513="",0,J1513-K1513+L1513)</x:f>
        <x:v>16837.44</x:v>
      </x:c>
      <x:c r="Q1513" s="17" t="n">
        <x:f>MAX(J1513-P1513-K1513,0)</x:f>
        <x:v>0</x:v>
      </x:c>
      <x:c r="R1513" s="13" t="n">
        <x:f>IF(D1513="",MAX(TODAY()-C1513,0),MAX(D1513-C1513,0))</x:f>
        <x:v>0</x:v>
      </x:c>
      <x:c r="S1513" s="13" t="str">
        <x:f>IF(R1513=0,"Em dia",IF(R1513&lt;=15,"1-15 dias",IF(R1513&lt;=30,"16-30 dias",IF(R1513&lt;=60,"31-60 dias","Acima de 60 dias"))))</x:f>
        <x:v>Em dia</x:v>
      </x:c>
    </x:row>
    <x:row r="1514">
      <x:c r="A1514" s="13" t="str">
        <x:v>REC-001513</x:v>
      </x:c>
      <x:c r="B1514" s="23" t="n">
        <x:v>46066</x:v>
      </x:c>
      <x:c r="C1514" s="23" t="n">
        <x:v>46096</x:v>
      </x:c>
      <x:c r="D1514" s="23" t="n">
        <x:v>46093</x:v>
      </x:c>
      <x:c r="E1514" s="13" t="str">
        <x:v>VAL-001</x:v>
      </x:c>
      <x:c r="F1514" s="13" t="str">
        <x:v>Clínica Horizonte</x:v>
      </x:c>
      <x:c r="G1514" s="13" t="str">
        <x:v>Clínicas e Saúde</x:v>
      </x:c>
      <x:c r="H1514" s="13" t="str">
        <x:v>Baixo</x:v>
      </x:c>
      <x:c r="I1514" s="13" t="str">
        <x:v>Essencial</x:v>
      </x:c>
      <x:c r="J1514" s="17" t="n">
        <x:v>24073.68</x:v>
      </x:c>
      <x:c r="K1514" s="17" t="n">
        <x:v>0</x:v>
      </x:c>
      <x:c r="L1514" s="17" t="n">
        <x:v>0</x:v>
      </x:c>
      <x:c r="M1514" s="13" t="str">
        <x:v>Pago</x:v>
      </x:c>
      <x:c r="N1514" s="13" t="str">
        <x:v>Sem cobrança</x:v>
      </x:c>
      <x:c r="O1514" s="13" t="str">
        <x:v>Escala inteligente</x:v>
      </x:c>
      <x:c r="P1514" s="17" t="n">
        <x:f>IF(D1514="",0,J1514-K1514+L1514)</x:f>
        <x:v>24073.68</x:v>
      </x:c>
      <x:c r="Q1514" s="17" t="n">
        <x:f>MAX(J1514-P1514-K1514,0)</x:f>
        <x:v>0</x:v>
      </x:c>
      <x:c r="R1514" s="13" t="n">
        <x:f>IF(D1514="",MAX(TODAY()-C1514,0),MAX(D1514-C1514,0))</x:f>
        <x:v>0</x:v>
      </x:c>
      <x:c r="S1514" s="13" t="str">
        <x:f>IF(R1514=0,"Em dia",IF(R1514&lt;=15,"1-15 dias",IF(R1514&lt;=30,"16-30 dias",IF(R1514&lt;=60,"31-60 dias","Acima de 60 dias"))))</x:f>
        <x:v>Em dia</x:v>
      </x:c>
    </x:row>
    <x:row r="1515">
      <x:c r="A1515" s="13" t="str">
        <x:v>REC-001514</x:v>
      </x:c>
      <x:c r="B1515" s="23" t="n">
        <x:v>46068</x:v>
      </x:c>
      <x:c r="C1515" s="23" t="n">
        <x:v>46096</x:v>
      </x:c>
      <x:c r="D1515" s="23" t="n">
        <x:v>46095</x:v>
      </x:c>
      <x:c r="E1515" s="13" t="str">
        <x:v>VAL-028</x:v>
      </x:c>
      <x:c r="F1515" s="13" t="str">
        <x:v>Pixel Norte</x:v>
      </x:c>
      <x:c r="G1515" s="13" t="str">
        <x:v>Tecnologia</x:v>
      </x:c>
      <x:c r="H1515" s="13" t="str">
        <x:v>Alto</x:v>
      </x:c>
      <x:c r="I1515" s="13" t="str">
        <x:v>Enterprise</x:v>
      </x:c>
      <x:c r="J1515" s="17" t="n">
        <x:v>34594.23</x:v>
      </x:c>
      <x:c r="K1515" s="17" t="n">
        <x:v>0</x:v>
      </x:c>
      <x:c r="L1515" s="17" t="n">
        <x:v>0</x:v>
      </x:c>
      <x:c r="M1515" s="13" t="str">
        <x:v>Pago</x:v>
      </x:c>
      <x:c r="N1515" s="13" t="str">
        <x:v>Sem cobrança</x:v>
      </x:c>
      <x:c r="O1515" s="13" t="str">
        <x:v>Escala inteligente</x:v>
      </x:c>
      <x:c r="P1515" s="17" t="n">
        <x:f>IF(D1515="",0,J1515-K1515+L1515)</x:f>
        <x:v>34594.23</x:v>
      </x:c>
      <x:c r="Q1515" s="17" t="n">
        <x:f>MAX(J1515-P1515-K1515,0)</x:f>
        <x:v>0</x:v>
      </x:c>
      <x:c r="R1515" s="13" t="n">
        <x:f>IF(D1515="",MAX(TODAY()-C1515,0),MAX(D1515-C1515,0))</x:f>
        <x:v>0</x:v>
      </x:c>
      <x:c r="S1515" s="13" t="str">
        <x:f>IF(R1515=0,"Em dia",IF(R1515&lt;=15,"1-15 dias",IF(R1515&lt;=30,"16-30 dias",IF(R1515&lt;=60,"31-60 dias","Acima de 60 dias"))))</x:f>
        <x:v>Em dia</x:v>
      </x:c>
    </x:row>
    <x:row r="1516">
      <x:c r="A1516" s="13" t="str">
        <x:v>REC-001515</x:v>
      </x:c>
      <x:c r="B1516" s="23" t="n">
        <x:v>46067</x:v>
      </x:c>
      <x:c r="C1516" s="23" t="n">
        <x:v>46088</x:v>
      </x:c>
      <x:c r="D1516" s="23" t="n">
        <x:v>46088</x:v>
      </x:c>
      <x:c r="E1516" s="13" t="str">
        <x:v>VAL-005</x:v>
      </x:c>
      <x:c r="F1516" s="13" t="str">
        <x:v>Construtora Alameda</x:v>
      </x:c>
      <x:c r="G1516" s="13" t="str">
        <x:v>Construção</x:v>
      </x:c>
      <x:c r="H1516" s="13" t="str">
        <x:v>Médio</x:v>
      </x:c>
      <x:c r="I1516" s="13" t="str">
        <x:v>Essencial</x:v>
      </x:c>
      <x:c r="J1516" s="17" t="n">
        <x:v>7110.51</x:v>
      </x:c>
      <x:c r="K1516" s="17" t="n">
        <x:v>0</x:v>
      </x:c>
      <x:c r="L1516" s="17" t="n">
        <x:v>0</x:v>
      </x:c>
      <x:c r="M1516" s="13" t="str">
        <x:v>Pago</x:v>
      </x:c>
      <x:c r="N1516" s="13" t="str">
        <x:v>Sem cobrança</x:v>
      </x:c>
      <x:c r="O1516" s="13" t="str">
        <x:v>Escala inteligente</x:v>
      </x:c>
      <x:c r="P1516" s="17" t="n">
        <x:f>IF(D1516="",0,J1516-K1516+L1516)</x:f>
        <x:v>7110.51</x:v>
      </x:c>
      <x:c r="Q1516" s="17" t="n">
        <x:f>MAX(J1516-P1516-K1516,0)</x:f>
        <x:v>0</x:v>
      </x:c>
      <x:c r="R1516" s="13" t="n">
        <x:f>IF(D1516="",MAX(TODAY()-C1516,0),MAX(D1516-C1516,0))</x:f>
        <x:v>0</x:v>
      </x:c>
      <x:c r="S1516" s="13" t="str">
        <x:f>IF(R1516=0,"Em dia",IF(R1516&lt;=15,"1-15 dias",IF(R1516&lt;=30,"16-30 dias",IF(R1516&lt;=60,"31-60 dias","Acima de 60 dias"))))</x:f>
        <x:v>Em dia</x:v>
      </x:c>
    </x:row>
    <x:row r="1517">
      <x:c r="A1517" s="13" t="str">
        <x:v>REC-001516</x:v>
      </x:c>
      <x:c r="B1517" s="23" t="n">
        <x:v>46059</x:v>
      </x:c>
      <x:c r="C1517" s="23" t="n">
        <x:v>46066</x:v>
      </x:c>
      <x:c r="D1517" s="23" t="n">
        <x:v>46063</x:v>
      </x:c>
      <x:c r="E1517" s="13" t="str">
        <x:v>VAL-015</x:v>
      </x:c>
      <x:c r="F1517" s="13" t="str">
        <x:v>Mercado Click</x:v>
      </x:c>
      <x:c r="G1517" s="13" t="str">
        <x:v>E-commerce</x:v>
      </x:c>
      <x:c r="H1517" s="13" t="str">
        <x:v>Baixo</x:v>
      </x:c>
      <x:c r="I1517" s="13" t="str">
        <x:v>Performance</x:v>
      </x:c>
      <x:c r="J1517" s="17" t="n">
        <x:v>25060.56</x:v>
      </x:c>
      <x:c r="K1517" s="17" t="n">
        <x:v>188.26</x:v>
      </x:c>
      <x:c r="L1517" s="17" t="n">
        <x:v>0</x:v>
      </x:c>
      <x:c r="M1517" s="13" t="str">
        <x:v>Pago</x:v>
      </x:c>
      <x:c r="N1517" s="13" t="str">
        <x:v>Sem cobrança</x:v>
      </x:c>
      <x:c r="O1517" s="13" t="str">
        <x:v>Escala inteligente</x:v>
      </x:c>
      <x:c r="P1517" s="17" t="n">
        <x:f>IF(D1517="",0,J1517-K1517+L1517)</x:f>
        <x:v>24872.300000000003</x:v>
      </x:c>
      <x:c r="Q1517" s="17" t="n">
        <x:f>MAX(J1517-P1517-K1517,0)</x:f>
        <x:v>0</x:v>
      </x:c>
      <x:c r="R1517" s="13" t="n">
        <x:f>IF(D1517="",MAX(TODAY()-C1517,0),MAX(D1517-C1517,0))</x:f>
        <x:v>0</x:v>
      </x:c>
      <x:c r="S1517" s="13" t="str">
        <x:f>IF(R1517=0,"Em dia",IF(R1517&lt;=15,"1-15 dias",IF(R1517&lt;=30,"16-30 dias",IF(R1517&lt;=60,"31-60 dias","Acima de 60 dias"))))</x:f>
        <x:v>Em dia</x:v>
      </x:c>
    </x:row>
    <x:row r="1518">
      <x:c r="A1518" s="13" t="str">
        <x:v>REC-001517</x:v>
      </x:c>
      <x:c r="B1518" s="23" t="n">
        <x:v>46066</x:v>
      </x:c>
      <x:c r="C1518" s="23" t="n">
        <x:v>46094</x:v>
      </x:c>
      <x:c r="D1518" s="23" t="n">
        <x:v>46091</x:v>
      </x:c>
      <x:c r="E1518" s="13" t="str">
        <x:v>VAL-027</x:v>
      </x:c>
      <x:c r="F1518" s="13" t="str">
        <x:v>Mais Lar Utilidades</x:v>
      </x:c>
      <x:c r="G1518" s="13" t="str">
        <x:v>Varejo</x:v>
      </x:c>
      <x:c r="H1518" s="13" t="str">
        <x:v>Baixo</x:v>
      </x:c>
      <x:c r="I1518" s="13" t="str">
        <x:v>Performance</x:v>
      </x:c>
      <x:c r="J1518" s="17" t="n">
        <x:v>31284.68</x:v>
      </x:c>
      <x:c r="K1518" s="17" t="n">
        <x:v>0</x:v>
      </x:c>
      <x:c r="L1518" s="17" t="n">
        <x:v>0</x:v>
      </x:c>
      <x:c r="M1518" s="13" t="str">
        <x:v>Pago</x:v>
      </x:c>
      <x:c r="N1518" s="13" t="str">
        <x:v>Sem cobrança</x:v>
      </x:c>
      <x:c r="O1518" s="13" t="str">
        <x:v>Escala inteligente</x:v>
      </x:c>
      <x:c r="P1518" s="17" t="n">
        <x:f>IF(D1518="",0,J1518-K1518+L1518)</x:f>
        <x:v>31284.68</x:v>
      </x:c>
      <x:c r="Q1518" s="17" t="n">
        <x:f>MAX(J1518-P1518-K1518,0)</x:f>
        <x:v>0</x:v>
      </x:c>
      <x:c r="R1518" s="13" t="n">
        <x:f>IF(D1518="",MAX(TODAY()-C1518,0),MAX(D1518-C1518,0))</x:f>
        <x:v>0</x:v>
      </x:c>
      <x:c r="S1518" s="13" t="str">
        <x:f>IF(R1518=0,"Em dia",IF(R1518&lt;=15,"1-15 dias",IF(R1518&lt;=30,"16-30 dias",IF(R1518&lt;=60,"31-60 dias","Acima de 60 dias"))))</x:f>
        <x:v>Em dia</x:v>
      </x:c>
    </x:row>
    <x:row r="1519">
      <x:c r="A1519" s="13" t="str">
        <x:v>REC-001518</x:v>
      </x:c>
      <x:c r="B1519" s="23" t="n">
        <x:v>46062</x:v>
      </x:c>
      <x:c r="C1519" s="23" t="n">
        <x:v>46092</x:v>
      </x:c>
      <x:c r="D1519" s="23" t="n">
        <x:v>46115</x:v>
      </x:c>
      <x:c r="E1519" s="13" t="str">
        <x:v>VAL-029</x:v>
      </x:c>
      <x:c r="F1519" s="13" t="str">
        <x:v>Planobra Serviços</x:v>
      </x:c>
      <x:c r="G1519" s="13" t="str">
        <x:v>Construção</x:v>
      </x:c>
      <x:c r="H1519" s="13" t="str">
        <x:v>Baixo</x:v>
      </x:c>
      <x:c r="I1519" s="13" t="str">
        <x:v>Essencial</x:v>
      </x:c>
      <x:c r="J1519" s="17" t="n">
        <x:v>11424.29</x:v>
      </x:c>
      <x:c r="K1519" s="17" t="n">
        <x:v>0</x:v>
      </x:c>
      <x:c r="L1519" s="17" t="n">
        <x:v>170.79</x:v>
      </x:c>
      <x:c r="M1519" s="13" t="str">
        <x:v>Pago com atraso</x:v>
      </x:c>
      <x:c r="N1519" s="13" t="str">
        <x:v>Telefone</x:v>
      </x:c>
      <x:c r="O1519" s="13" t="str">
        <x:v>Escala inteligente</x:v>
      </x:c>
      <x:c r="P1519" s="17" t="n">
        <x:f>IF(D1519="",0,J1519-K1519+L1519)</x:f>
        <x:v>11595.080000000002</x:v>
      </x:c>
      <x:c r="Q1519" s="17" t="n">
        <x:f>MAX(J1519-P1519-K1519,0)</x:f>
        <x:v>0</x:v>
      </x:c>
      <x:c r="R1519" s="13" t="n">
        <x:f>IF(D1519="",MAX(TODAY()-C1519,0),MAX(D1519-C1519,0))</x:f>
        <x:v>23</x:v>
      </x:c>
      <x:c r="S1519" s="13" t="str">
        <x:f>IF(R1519=0,"Em dia",IF(R1519&lt;=15,"1-15 dias",IF(R1519&lt;=30,"16-30 dias",IF(R1519&lt;=60,"31-60 dias","Acima de 60 dias"))))</x:f>
        <x:v>16-30 dias</x:v>
      </x:c>
    </x:row>
    <x:row r="1520">
      <x:c r="A1520" s="13" t="str">
        <x:v>REC-001519</x:v>
      </x:c>
      <x:c r="B1520" s="23" t="n">
        <x:v>46060</x:v>
      </x:c>
      <x:c r="C1520" s="23" t="n">
        <x:v>46067</x:v>
      </x:c>
      <x:c r="D1520" s="23" t="n">
        <x:v>46065</x:v>
      </x:c>
      <x:c r="E1520" s="13" t="str">
        <x:v>VAL-016</x:v>
      </x:c>
      <x:c r="F1520" s="13" t="str">
        <x:v>Lumina Embalagens</x:v>
      </x:c>
      <x:c r="G1520" s="13" t="str">
        <x:v>Indústria Leve</x:v>
      </x:c>
      <x:c r="H1520" s="13" t="str">
        <x:v>Baixo</x:v>
      </x:c>
      <x:c r="I1520" s="13" t="str">
        <x:v>Enterprise</x:v>
      </x:c>
      <x:c r="J1520" s="17" t="n">
        <x:v>30634.08</x:v>
      </x:c>
      <x:c r="K1520" s="17" t="n">
        <x:v>0</x:v>
      </x:c>
      <x:c r="L1520" s="17" t="n">
        <x:v>0</x:v>
      </x:c>
      <x:c r="M1520" s="13" t="str">
        <x:v>Pago</x:v>
      </x:c>
      <x:c r="N1520" s="13" t="str">
        <x:v>Sem cobrança</x:v>
      </x:c>
      <x:c r="O1520" s="13" t="str">
        <x:v>Escala inteligente</x:v>
      </x:c>
      <x:c r="P1520" s="17" t="n">
        <x:f>IF(D1520="",0,J1520-K1520+L1520)</x:f>
        <x:v>30634.08</x:v>
      </x:c>
      <x:c r="Q1520" s="17" t="n">
        <x:f>MAX(J1520-P1520-K1520,0)</x:f>
        <x:v>0</x:v>
      </x:c>
      <x:c r="R1520" s="13" t="n">
        <x:f>IF(D1520="",MAX(TODAY()-C1520,0),MAX(D1520-C1520,0))</x:f>
        <x:v>0</x:v>
      </x:c>
      <x:c r="S1520" s="13" t="str">
        <x:f>IF(R1520=0,"Em dia",IF(R1520&lt;=15,"1-15 dias",IF(R1520&lt;=30,"16-30 dias",IF(R1520&lt;=60,"31-60 dias","Acima de 60 dias"))))</x:f>
        <x:v>Em dia</x:v>
      </x:c>
    </x:row>
    <x:row r="1521">
      <x:c r="A1521" s="13" t="str">
        <x:v>REC-001520</x:v>
      </x:c>
      <x:c r="B1521" s="23" t="n">
        <x:v>46068</x:v>
      </x:c>
      <x:c r="C1521" s="23" t="n">
        <x:v>46098</x:v>
      </x:c>
      <x:c r="D1521" s="23" t="n">
        <x:v>46101</x:v>
      </x:c>
      <x:c r="E1521" s="13" t="str">
        <x:v>VAL-030</x:v>
      </x:c>
      <x:c r="F1521" s="13" t="str">
        <x:v>Mundo Kids Cursos</x:v>
      </x:c>
      <x:c r="G1521" s="13" t="str">
        <x:v>Educação</x:v>
      </x:c>
      <x:c r="H1521" s="13" t="str">
        <x:v>Alto</x:v>
      </x:c>
      <x:c r="I1521" s="13" t="str">
        <x:v>Gestão</x:v>
      </x:c>
      <x:c r="J1521" s="17" t="n">
        <x:v>16842.63</x:v>
      </x:c>
      <x:c r="K1521" s="17" t="n">
        <x:v>0</x:v>
      </x:c>
      <x:c r="L1521" s="17" t="n">
        <x:v>32.84</x:v>
      </x:c>
      <x:c r="M1521" s="13" t="str">
        <x:v>Pago com atraso</x:v>
      </x:c>
      <x:c r="N1521" s="13" t="str">
        <x:v>Telefone</x:v>
      </x:c>
      <x:c r="O1521" s="13" t="str">
        <x:v>Escala inteligente</x:v>
      </x:c>
      <x:c r="P1521" s="17" t="n">
        <x:f>IF(D1521="",0,J1521-K1521+L1521)</x:f>
        <x:v>16875.47</x:v>
      </x:c>
      <x:c r="Q1521" s="17" t="n">
        <x:f>MAX(J1521-P1521-K1521,0)</x:f>
        <x:v>0</x:v>
      </x:c>
      <x:c r="R1521" s="13" t="n">
        <x:f>IF(D1521="",MAX(TODAY()-C1521,0),MAX(D1521-C1521,0))</x:f>
        <x:v>3</x:v>
      </x:c>
      <x:c r="S1521" s="13" t="str">
        <x:f>IF(R1521=0,"Em dia",IF(R1521&lt;=15,"1-15 dias",IF(R1521&lt;=30,"16-30 dias",IF(R1521&lt;=60,"31-60 dias","Acima de 60 dias"))))</x:f>
        <x:v>1-15 dias</x:v>
      </x:c>
    </x:row>
    <x:row r="1522">
      <x:c r="A1522" s="13" t="str">
        <x:v>REC-001521</x:v>
      </x:c>
      <x:c r="B1522" s="23" t="n">
        <x:v>46060</x:v>
      </x:c>
      <x:c r="C1522" s="23" t="n">
        <x:v>46088</x:v>
      </x:c>
      <x:c r="D1522" s="23" t="n">
        <x:v>46087</x:v>
      </x:c>
      <x:c r="E1522" s="13" t="str">
        <x:v>VAL-024</x:v>
      </x:c>
      <x:c r="F1522" s="13" t="str">
        <x:v>NovaForma Móveis</x:v>
      </x:c>
      <x:c r="G1522" s="13" t="str">
        <x:v>Indústria Leve</x:v>
      </x:c>
      <x:c r="H1522" s="13" t="str">
        <x:v>Baixo</x:v>
      </x:c>
      <x:c r="I1522" s="13" t="str">
        <x:v>Enterprise</x:v>
      </x:c>
      <x:c r="J1522" s="17" t="n">
        <x:v>17975.74</x:v>
      </x:c>
      <x:c r="K1522" s="17" t="n">
        <x:v>0</x:v>
      </x:c>
      <x:c r="L1522" s="17" t="n">
        <x:v>0</x:v>
      </x:c>
      <x:c r="M1522" s="13" t="str">
        <x:v>Pago</x:v>
      </x:c>
      <x:c r="N1522" s="13" t="str">
        <x:v>Sem cobrança</x:v>
      </x:c>
      <x:c r="O1522" s="13" t="str">
        <x:v>Escala inteligente</x:v>
      </x:c>
      <x:c r="P1522" s="17" t="n">
        <x:f>IF(D1522="",0,J1522-K1522+L1522)</x:f>
        <x:v>17975.74</x:v>
      </x:c>
      <x:c r="Q1522" s="17" t="n">
        <x:f>MAX(J1522-P1522-K1522,0)</x:f>
        <x:v>0</x:v>
      </x:c>
      <x:c r="R1522" s="13" t="n">
        <x:f>IF(D1522="",MAX(TODAY()-C1522,0),MAX(D1522-C1522,0))</x:f>
        <x:v>0</x:v>
      </x:c>
      <x:c r="S1522" s="13" t="str">
        <x:f>IF(R1522=0,"Em dia",IF(R1522&lt;=15,"1-15 dias",IF(R1522&lt;=30,"16-30 dias",IF(R1522&lt;=60,"31-60 dias","Acima de 60 dias"))))</x:f>
        <x:v>Em dia</x:v>
      </x:c>
    </x:row>
    <x:row r="1523">
      <x:c r="A1523" s="13" t="str">
        <x:v>REC-001522</x:v>
      </x:c>
      <x:c r="B1523" s="23" t="n">
        <x:v>46054</x:v>
      </x:c>
      <x:c r="C1523" s="23" t="n">
        <x:v>46082</x:v>
      </x:c>
      <x:c r="D1523" s="23" t="n">
        <x:v>46079</x:v>
      </x:c>
      <x:c r="E1523" s="13" t="str">
        <x:v>VAL-016</x:v>
      </x:c>
      <x:c r="F1523" s="13" t="str">
        <x:v>Lumina Embalagens</x:v>
      </x:c>
      <x:c r="G1523" s="13" t="str">
        <x:v>Indústria Leve</x:v>
      </x:c>
      <x:c r="H1523" s="13" t="str">
        <x:v>Baixo</x:v>
      </x:c>
      <x:c r="I1523" s="13" t="str">
        <x:v>Enterprise</x:v>
      </x:c>
      <x:c r="J1523" s="17" t="n">
        <x:v>5300.28</x:v>
      </x:c>
      <x:c r="K1523" s="17" t="n">
        <x:v>0</x:v>
      </x:c>
      <x:c r="L1523" s="17" t="n">
        <x:v>0</x:v>
      </x:c>
      <x:c r="M1523" s="13" t="str">
        <x:v>Pago</x:v>
      </x:c>
      <x:c r="N1523" s="13" t="str">
        <x:v>Sem cobrança</x:v>
      </x:c>
      <x:c r="O1523" s="13" t="str">
        <x:v>Escala inteligente</x:v>
      </x:c>
      <x:c r="P1523" s="17" t="n">
        <x:f>IF(D1523="",0,J1523-K1523+L1523)</x:f>
        <x:v>5300.28</x:v>
      </x:c>
      <x:c r="Q1523" s="17" t="n">
        <x:f>MAX(J1523-P1523-K1523,0)</x:f>
        <x:v>0</x:v>
      </x:c>
      <x:c r="R1523" s="13" t="n">
        <x:f>IF(D1523="",MAX(TODAY()-C1523,0),MAX(D1523-C1523,0))</x:f>
        <x:v>0</x:v>
      </x:c>
      <x:c r="S1523" s="13" t="str">
        <x:f>IF(R1523=0,"Em dia",IF(R1523&lt;=15,"1-15 dias",IF(R1523&lt;=30,"16-30 dias",IF(R1523&lt;=60,"31-60 dias","Acima de 60 dias"))))</x:f>
        <x:v>Em dia</x:v>
      </x:c>
    </x:row>
    <x:row r="1524">
      <x:c r="A1524" s="13" t="str">
        <x:v>REC-001523</x:v>
      </x:c>
      <x:c r="B1524" s="23" t="n">
        <x:v>46065</x:v>
      </x:c>
      <x:c r="C1524" s="23" t="n">
        <x:v>46072</x:v>
      </x:c>
      <x:c r="D1524" s="23" t="n">
        <x:v>46070</x:v>
      </x:c>
      <x:c r="E1524" s="13" t="str">
        <x:v>VAL-007</x:v>
      </x:c>
      <x:c r="F1524" s="13" t="str">
        <x:v>Loja Prisma Online</x:v>
      </x:c>
      <x:c r="G1524" s="13" t="str">
        <x:v>E-commerce</x:v>
      </x:c>
      <x:c r="H1524" s="13" t="str">
        <x:v>Médio</x:v>
      </x:c>
      <x:c r="I1524" s="13" t="str">
        <x:v>Performance</x:v>
      </x:c>
      <x:c r="J1524" s="17" t="n">
        <x:v>34224.04</x:v>
      </x:c>
      <x:c r="K1524" s="17" t="n">
        <x:v>0</x:v>
      </x:c>
      <x:c r="L1524" s="17" t="n">
        <x:v>0</x:v>
      </x:c>
      <x:c r="M1524" s="13" t="str">
        <x:v>Pago</x:v>
      </x:c>
      <x:c r="N1524" s="13" t="str">
        <x:v>Sem cobrança</x:v>
      </x:c>
      <x:c r="O1524" s="13" t="str">
        <x:v>Escala inteligente</x:v>
      </x:c>
      <x:c r="P1524" s="17" t="n">
        <x:f>IF(D1524="",0,J1524-K1524+L1524)</x:f>
        <x:v>34224.04</x:v>
      </x:c>
      <x:c r="Q1524" s="17" t="n">
        <x:f>MAX(J1524-P1524-K1524,0)</x:f>
        <x:v>0</x:v>
      </x:c>
      <x:c r="R1524" s="13" t="n">
        <x:f>IF(D1524="",MAX(TODAY()-C1524,0),MAX(D1524-C1524,0))</x:f>
        <x:v>0</x:v>
      </x:c>
      <x:c r="S1524" s="13" t="str">
        <x:f>IF(R1524=0,"Em dia",IF(R1524&lt;=15,"1-15 dias",IF(R1524&lt;=30,"16-30 dias",IF(R1524&lt;=60,"31-60 dias","Acima de 60 dias"))))</x:f>
        <x:v>Em dia</x:v>
      </x:c>
    </x:row>
    <x:row r="1525">
      <x:c r="A1525" s="13" t="str">
        <x:v>REC-001524</x:v>
      </x:c>
      <x:c r="B1525" s="23" t="n">
        <x:v>46063</x:v>
      </x:c>
      <x:c r="C1525" s="23" t="n">
        <x:v>46091</x:v>
      </x:c>
      <x:c r="D1525" s="23" t="n">
        <x:v>46088</x:v>
      </x:c>
      <x:c r="E1525" s="13" t="str">
        <x:v>VAL-013</x:v>
      </x:c>
      <x:c r="F1525" s="13" t="str">
        <x:v>Engenharia Vértice</x:v>
      </x:c>
      <x:c r="G1525" s="13" t="str">
        <x:v>Construção</x:v>
      </x:c>
      <x:c r="H1525" s="13" t="str">
        <x:v>Baixo</x:v>
      </x:c>
      <x:c r="I1525" s="13" t="str">
        <x:v>Essencial</x:v>
      </x:c>
      <x:c r="J1525" s="17" t="n">
        <x:v>5391.64</x:v>
      </x:c>
      <x:c r="K1525" s="17" t="n">
        <x:v>0</x:v>
      </x:c>
      <x:c r="L1525" s="17" t="n">
        <x:v>0</x:v>
      </x:c>
      <x:c r="M1525" s="13" t="str">
        <x:v>Pago</x:v>
      </x:c>
      <x:c r="N1525" s="13" t="str">
        <x:v>Sem cobrança</x:v>
      </x:c>
      <x:c r="O1525" s="13" t="str">
        <x:v>Escala inteligente</x:v>
      </x:c>
      <x:c r="P1525" s="17" t="n">
        <x:f>IF(D1525="",0,J1525-K1525+L1525)</x:f>
        <x:v>5391.64</x:v>
      </x:c>
      <x:c r="Q1525" s="17" t="n">
        <x:f>MAX(J1525-P1525-K1525,0)</x:f>
        <x:v>0</x:v>
      </x:c>
      <x:c r="R1525" s="13" t="n">
        <x:f>IF(D1525="",MAX(TODAY()-C1525,0),MAX(D1525-C1525,0))</x:f>
        <x:v>0</x:v>
      </x:c>
      <x:c r="S1525" s="13" t="str">
        <x:f>IF(R1525=0,"Em dia",IF(R1525&lt;=15,"1-15 dias",IF(R1525&lt;=30,"16-30 dias",IF(R1525&lt;=60,"31-60 dias","Acima de 60 dias"))))</x:f>
        <x:v>Em dia</x:v>
      </x:c>
    </x:row>
    <x:row r="1526">
      <x:c r="A1526" s="13" t="str">
        <x:v>REC-001525</x:v>
      </x:c>
      <x:c r="B1526" s="23" t="n">
        <x:v>46070</x:v>
      </x:c>
      <x:c r="C1526" s="23" t="n">
        <x:v>46100</x:v>
      </x:c>
      <x:c r="D1526" s="23" t="n">
        <x:v>46098</x:v>
      </x:c>
      <x:c r="E1526" s="13" t="str">
        <x:v>VAL-011</x:v>
      </x:c>
      <x:c r="F1526" s="13" t="str">
        <x:v>Rede Essencial</x:v>
      </x:c>
      <x:c r="G1526" s="13" t="str">
        <x:v>Varejo</x:v>
      </x:c>
      <x:c r="H1526" s="13" t="str">
        <x:v>Médio</x:v>
      </x:c>
      <x:c r="I1526" s="13" t="str">
        <x:v>Performance</x:v>
      </x:c>
      <x:c r="J1526" s="17" t="n">
        <x:v>34394.16</x:v>
      </x:c>
      <x:c r="K1526" s="17" t="n">
        <x:v>0</x:v>
      </x:c>
      <x:c r="L1526" s="17" t="n">
        <x:v>0</x:v>
      </x:c>
      <x:c r="M1526" s="13" t="str">
        <x:v>Pago</x:v>
      </x:c>
      <x:c r="N1526" s="13" t="str">
        <x:v>Sem cobrança</x:v>
      </x:c>
      <x:c r="O1526" s="13" t="str">
        <x:v>Escala inteligente</x:v>
      </x:c>
      <x:c r="P1526" s="17" t="n">
        <x:f>IF(D1526="",0,J1526-K1526+L1526)</x:f>
        <x:v>34394.16</x:v>
      </x:c>
      <x:c r="Q1526" s="17" t="n">
        <x:f>MAX(J1526-P1526-K1526,0)</x:f>
        <x:v>0</x:v>
      </x:c>
      <x:c r="R1526" s="13" t="n">
        <x:f>IF(D1526="",MAX(TODAY()-C1526,0),MAX(D1526-C1526,0))</x:f>
        <x:v>0</x:v>
      </x:c>
      <x:c r="S1526" s="13" t="str">
        <x:f>IF(R1526=0,"Em dia",IF(R1526&lt;=15,"1-15 dias",IF(R1526&lt;=30,"16-30 dias",IF(R1526&lt;=60,"31-60 dias","Acima de 60 dias"))))</x:f>
        <x:v>Em dia</x:v>
      </x:c>
    </x:row>
    <x:row r="1527">
      <x:c r="A1527" s="13" t="str">
        <x:v>REC-001526</x:v>
      </x:c>
      <x:c r="B1527" s="23" t="n">
        <x:v>46056</x:v>
      </x:c>
      <x:c r="C1527" s="23" t="n">
        <x:v>46063</x:v>
      </x:c>
      <x:c r="D1527" s="23" t="n">
        <x:v>46060</x:v>
      </x:c>
      <x:c r="E1527" s="13" t="str">
        <x:v>VAL-003</x:v>
      </x:c>
      <x:c r="F1527" s="13" t="str">
        <x:v>Casa Nova Varejo</x:v>
      </x:c>
      <x:c r="G1527" s="13" t="str">
        <x:v>Varejo</x:v>
      </x:c>
      <x:c r="H1527" s="13" t="str">
        <x:v>Baixo</x:v>
      </x:c>
      <x:c r="I1527" s="13" t="str">
        <x:v>Performance</x:v>
      </x:c>
      <x:c r="J1527" s="17" t="n">
        <x:v>16376.65</x:v>
      </x:c>
      <x:c r="K1527" s="17" t="n">
        <x:v>0</x:v>
      </x:c>
      <x:c r="L1527" s="17" t="n">
        <x:v>0</x:v>
      </x:c>
      <x:c r="M1527" s="13" t="str">
        <x:v>Pago</x:v>
      </x:c>
      <x:c r="N1527" s="13" t="str">
        <x:v>Sem cobrança</x:v>
      </x:c>
      <x:c r="O1527" s="13" t="str">
        <x:v>Escala inteligente</x:v>
      </x:c>
      <x:c r="P1527" s="17" t="n">
        <x:f>IF(D1527="",0,J1527-K1527+L1527)</x:f>
        <x:v>16376.65</x:v>
      </x:c>
      <x:c r="Q1527" s="17" t="n">
        <x:f>MAX(J1527-P1527-K1527,0)</x:f>
        <x:v>0</x:v>
      </x:c>
      <x:c r="R1527" s="13" t="n">
        <x:f>IF(D1527="",MAX(TODAY()-C1527,0),MAX(D1527-C1527,0))</x:f>
        <x:v>0</x:v>
      </x:c>
      <x:c r="S1527" s="13" t="str">
        <x:f>IF(R1527=0,"Em dia",IF(R1527&lt;=15,"1-15 dias",IF(R1527&lt;=30,"16-30 dias",IF(R1527&lt;=60,"31-60 dias","Acima de 60 dias"))))</x:f>
        <x:v>Em dia</x:v>
      </x:c>
    </x:row>
    <x:row r="1528">
      <x:c r="A1528" s="13" t="str">
        <x:v>REC-001527</x:v>
      </x:c>
      <x:c r="B1528" s="23" t="n">
        <x:v>46062</x:v>
      </x:c>
      <x:c r="C1528" s="23" t="n">
        <x:v>46083</x:v>
      </x:c>
      <x:c r="D1528" s="23" t="n">
        <x:v>46083</x:v>
      </x:c>
      <x:c r="E1528" s="13" t="str">
        <x:v>VAL-010</x:v>
      </x:c>
      <x:c r="F1528" s="13" t="str">
        <x:v>Atlas Contabilidade</x:v>
      </x:c>
      <x:c r="G1528" s="13" t="str">
        <x:v>Serviços Profissionais</x:v>
      </x:c>
      <x:c r="H1528" s="13" t="str">
        <x:v>Baixo</x:v>
      </x:c>
      <x:c r="I1528" s="13" t="str">
        <x:v>Gestão</x:v>
      </x:c>
      <x:c r="J1528" s="17" t="n">
        <x:v>21682</x:v>
      </x:c>
      <x:c r="K1528" s="17" t="n">
        <x:v>0</x:v>
      </x:c>
      <x:c r="L1528" s="17" t="n">
        <x:v>0</x:v>
      </x:c>
      <x:c r="M1528" s="13" t="str">
        <x:v>Pago</x:v>
      </x:c>
      <x:c r="N1528" s="13" t="str">
        <x:v>Sem cobrança</x:v>
      </x:c>
      <x:c r="O1528" s="13" t="str">
        <x:v>Escala inteligente</x:v>
      </x:c>
      <x:c r="P1528" s="17" t="n">
        <x:f>IF(D1528="",0,J1528-K1528+L1528)</x:f>
        <x:v>21682</x:v>
      </x:c>
      <x:c r="Q1528" s="17" t="n">
        <x:f>MAX(J1528-P1528-K1528,0)</x:f>
        <x:v>0</x:v>
      </x:c>
      <x:c r="R1528" s="13" t="n">
        <x:f>IF(D1528="",MAX(TODAY()-C1528,0),MAX(D1528-C1528,0))</x:f>
        <x:v>0</x:v>
      </x:c>
      <x:c r="S1528" s="13" t="str">
        <x:f>IF(R1528=0,"Em dia",IF(R1528&lt;=15,"1-15 dias",IF(R1528&lt;=30,"16-30 dias",IF(R1528&lt;=60,"31-60 dias","Acima de 60 dias"))))</x:f>
        <x:v>Em dia</x:v>
      </x:c>
    </x:row>
    <x:row r="1529">
      <x:c r="A1529" s="13" t="str">
        <x:v>REC-001528</x:v>
      </x:c>
      <x:c r="B1529" s="23" t="n">
        <x:v>46065</x:v>
      </x:c>
      <x:c r="C1529" s="23" t="n">
        <x:v>46095</x:v>
      </x:c>
      <x:c r="D1529" s="23" t="n">
        <x:v>46094</x:v>
      </x:c>
      <x:c r="E1529" s="13" t="str">
        <x:v>VAL-023</x:v>
      </x:c>
      <x:c r="F1529" s="13" t="str">
        <x:v>ShopMix Brasil</x:v>
      </x:c>
      <x:c r="G1529" s="13" t="str">
        <x:v>E-commerce</x:v>
      </x:c>
      <x:c r="H1529" s="13" t="str">
        <x:v>Baixo</x:v>
      </x:c>
      <x:c r="I1529" s="13" t="str">
        <x:v>Performance</x:v>
      </x:c>
      <x:c r="J1529" s="17" t="n">
        <x:v>31085.66</x:v>
      </x:c>
      <x:c r="K1529" s="17" t="n">
        <x:v>0</x:v>
      </x:c>
      <x:c r="L1529" s="17" t="n">
        <x:v>0</x:v>
      </x:c>
      <x:c r="M1529" s="13" t="str">
        <x:v>Pago</x:v>
      </x:c>
      <x:c r="N1529" s="13" t="str">
        <x:v>Sem cobrança</x:v>
      </x:c>
      <x:c r="O1529" s="13" t="str">
        <x:v>Escala inteligente</x:v>
      </x:c>
      <x:c r="P1529" s="17" t="n">
        <x:f>IF(D1529="",0,J1529-K1529+L1529)</x:f>
        <x:v>31085.66</x:v>
      </x:c>
      <x:c r="Q1529" s="17" t="n">
        <x:f>MAX(J1529-P1529-K1529,0)</x:f>
        <x:v>0</x:v>
      </x:c>
      <x:c r="R1529" s="13" t="n">
        <x:f>IF(D1529="",MAX(TODAY()-C1529,0),MAX(D1529-C1529,0))</x:f>
        <x:v>0</x:v>
      </x:c>
      <x:c r="S1529" s="13" t="str">
        <x:f>IF(R1529=0,"Em dia",IF(R1529&lt;=15,"1-15 dias",IF(R1529&lt;=30,"16-30 dias",IF(R1529&lt;=60,"31-60 dias","Acima de 60 dias"))))</x:f>
        <x:v>Em dia</x:v>
      </x:c>
    </x:row>
    <x:row r="1530">
      <x:c r="A1530" s="13" t="str">
        <x:v>REC-001529</x:v>
      </x:c>
      <x:c r="B1530" s="23" t="n">
        <x:v>46060</x:v>
      </x:c>
      <x:c r="C1530" s="23" t="n">
        <x:v>46090</x:v>
      </x:c>
      <x:c r="D1530" s="23" t="n">
        <x:v>46086</x:v>
      </x:c>
      <x:c r="E1530" s="13" t="str">
        <x:v>VAL-003</x:v>
      </x:c>
      <x:c r="F1530" s="13" t="str">
        <x:v>Casa Nova Varejo</x:v>
      </x:c>
      <x:c r="G1530" s="13" t="str">
        <x:v>Varejo</x:v>
      </x:c>
      <x:c r="H1530" s="13" t="str">
        <x:v>Baixo</x:v>
      </x:c>
      <x:c r="I1530" s="13" t="str">
        <x:v>Performance</x:v>
      </x:c>
      <x:c r="J1530" s="17" t="n">
        <x:v>24461.9</x:v>
      </x:c>
      <x:c r="K1530" s="17" t="n">
        <x:v>211.82</x:v>
      </x:c>
      <x:c r="L1530" s="17" t="n">
        <x:v>0</x:v>
      </x:c>
      <x:c r="M1530" s="13" t="str">
        <x:v>Pago</x:v>
      </x:c>
      <x:c r="N1530" s="13" t="str">
        <x:v>Sem cobrança</x:v>
      </x:c>
      <x:c r="O1530" s="13" t="str">
        <x:v>Escala inteligente</x:v>
      </x:c>
      <x:c r="P1530" s="17" t="n">
        <x:f>IF(D1530="",0,J1530-K1530+L1530)</x:f>
        <x:v>24250.08</x:v>
      </x:c>
      <x:c r="Q1530" s="17" t="n">
        <x:f>MAX(J1530-P1530-K1530,0)</x:f>
        <x:v>0</x:v>
      </x:c>
      <x:c r="R1530" s="13" t="n">
        <x:f>IF(D1530="",MAX(TODAY()-C1530,0),MAX(D1530-C1530,0))</x:f>
        <x:v>0</x:v>
      </x:c>
      <x:c r="S1530" s="13" t="str">
        <x:f>IF(R1530=0,"Em dia",IF(R1530&lt;=15,"1-15 dias",IF(R1530&lt;=30,"16-30 dias",IF(R1530&lt;=60,"31-60 dias","Acima de 60 dias"))))</x:f>
        <x:v>Em dia</x:v>
      </x:c>
    </x:row>
    <x:row r="1531">
      <x:c r="A1531" s="13" t="str">
        <x:v>REC-001530</x:v>
      </x:c>
      <x:c r="B1531" s="23" t="n">
        <x:v>46070</x:v>
      </x:c>
      <x:c r="C1531" s="23" t="n">
        <x:v>46091</x:v>
      </x:c>
      <x:c r="D1531" s="23" t="n">
        <x:v>46089</x:v>
      </x:c>
      <x:c r="E1531" s="13" t="str">
        <x:v>VAL-030</x:v>
      </x:c>
      <x:c r="F1531" s="13" t="str">
        <x:v>Mundo Kids Cursos</x:v>
      </x:c>
      <x:c r="G1531" s="13" t="str">
        <x:v>Educação</x:v>
      </x:c>
      <x:c r="H1531" s="13" t="str">
        <x:v>Alto</x:v>
      </x:c>
      <x:c r="I1531" s="13" t="str">
        <x:v>Gestão</x:v>
      </x:c>
      <x:c r="J1531" s="17" t="n">
        <x:v>17013.41</x:v>
      </x:c>
      <x:c r="K1531" s="17" t="n">
        <x:v>0</x:v>
      </x:c>
      <x:c r="L1531" s="17" t="n">
        <x:v>0</x:v>
      </x:c>
      <x:c r="M1531" s="13" t="str">
        <x:v>Pago</x:v>
      </x:c>
      <x:c r="N1531" s="13" t="str">
        <x:v>Sem cobrança</x:v>
      </x:c>
      <x:c r="O1531" s="13" t="str">
        <x:v>Escala inteligente</x:v>
      </x:c>
      <x:c r="P1531" s="17" t="n">
        <x:f>IF(D1531="",0,J1531-K1531+L1531)</x:f>
        <x:v>17013.41</x:v>
      </x:c>
      <x:c r="Q1531" s="17" t="n">
        <x:f>MAX(J1531-P1531-K1531,0)</x:f>
        <x:v>0</x:v>
      </x:c>
      <x:c r="R1531" s="13" t="n">
        <x:f>IF(D1531="",MAX(TODAY()-C1531,0),MAX(D1531-C1531,0))</x:f>
        <x:v>0</x:v>
      </x:c>
      <x:c r="S1531" s="13" t="str">
        <x:f>IF(R1531=0,"Em dia",IF(R1531&lt;=15,"1-15 dias",IF(R1531&lt;=30,"16-30 dias",IF(R1531&lt;=60,"31-60 dias","Acima de 60 dias"))))</x:f>
        <x:v>Em dia</x:v>
      </x:c>
    </x:row>
    <x:row r="1532">
      <x:c r="A1532" s="13" t="str">
        <x:v>REC-001531</x:v>
      </x:c>
      <x:c r="B1532" s="23" t="n">
        <x:v>46061</x:v>
      </x:c>
      <x:c r="C1532" s="23" t="n">
        <x:v>46068</x:v>
      </x:c>
      <x:c r="D1532" s="23" t="n">
        <x:v>46066</x:v>
      </x:c>
      <x:c r="E1532" s="13" t="str">
        <x:v>VAL-018</x:v>
      </x:c>
      <x:c r="F1532" s="13" t="str">
        <x:v>Ponto Legal Advocacia</x:v>
      </x:c>
      <x:c r="G1532" s="13" t="str">
        <x:v>Serviços Profissionais</x:v>
      </x:c>
      <x:c r="H1532" s="13" t="str">
        <x:v>Baixo</x:v>
      </x:c>
      <x:c r="I1532" s="13" t="str">
        <x:v>Gestão</x:v>
      </x:c>
      <x:c r="J1532" s="17" t="n">
        <x:v>15968.35</x:v>
      </x:c>
      <x:c r="K1532" s="17" t="n">
        <x:v>0</x:v>
      </x:c>
      <x:c r="L1532" s="17" t="n">
        <x:v>0</x:v>
      </x:c>
      <x:c r="M1532" s="13" t="str">
        <x:v>Pago</x:v>
      </x:c>
      <x:c r="N1532" s="13" t="str">
        <x:v>Sem cobrança</x:v>
      </x:c>
      <x:c r="O1532" s="13" t="str">
        <x:v>Escala inteligente</x:v>
      </x:c>
      <x:c r="P1532" s="17" t="n">
        <x:f>IF(D1532="",0,J1532-K1532+L1532)</x:f>
        <x:v>15968.35</x:v>
      </x:c>
      <x:c r="Q1532" s="17" t="n">
        <x:f>MAX(J1532-P1532-K1532,0)</x:f>
        <x:v>0</x:v>
      </x:c>
      <x:c r="R1532" s="13" t="n">
        <x:f>IF(D1532="",MAX(TODAY()-C1532,0),MAX(D1532-C1532,0))</x:f>
        <x:v>0</x:v>
      </x:c>
      <x:c r="S1532" s="13" t="str">
        <x:f>IF(R1532=0,"Em dia",IF(R1532&lt;=15,"1-15 dias",IF(R1532&lt;=30,"16-30 dias",IF(R1532&lt;=60,"31-60 dias","Acima de 60 dias"))))</x:f>
        <x:v>Em dia</x:v>
      </x:c>
    </x:row>
    <x:row r="1533">
      <x:c r="A1533" s="13" t="str">
        <x:v>REC-001532</x:v>
      </x:c>
      <x:c r="B1533" s="23" t="n">
        <x:v>46062</x:v>
      </x:c>
      <x:c r="C1533" s="23" t="n">
        <x:v>46083</x:v>
      </x:c>
      <x:c r="D1533" s="23" t="n">
        <x:v>46081</x:v>
      </x:c>
      <x:c r="E1533" s="13" t="str">
        <x:v>VAL-005</x:v>
      </x:c>
      <x:c r="F1533" s="13" t="str">
        <x:v>Construtora Alameda</x:v>
      </x:c>
      <x:c r="G1533" s="13" t="str">
        <x:v>Construção</x:v>
      </x:c>
      <x:c r="H1533" s="13" t="str">
        <x:v>Médio</x:v>
      </x:c>
      <x:c r="I1533" s="13" t="str">
        <x:v>Essencial</x:v>
      </x:c>
      <x:c r="J1533" s="17" t="n">
        <x:v>18138.15</x:v>
      </x:c>
      <x:c r="K1533" s="17" t="n">
        <x:v>0</x:v>
      </x:c>
      <x:c r="L1533" s="17" t="n">
        <x:v>0</x:v>
      </x:c>
      <x:c r="M1533" s="13" t="str">
        <x:v>Pago</x:v>
      </x:c>
      <x:c r="N1533" s="13" t="str">
        <x:v>Sem cobrança</x:v>
      </x:c>
      <x:c r="O1533" s="13" t="str">
        <x:v>Escala inteligente</x:v>
      </x:c>
      <x:c r="P1533" s="17" t="n">
        <x:f>IF(D1533="",0,J1533-K1533+L1533)</x:f>
        <x:v>18138.15</x:v>
      </x:c>
      <x:c r="Q1533" s="17" t="n">
        <x:f>MAX(J1533-P1533-K1533,0)</x:f>
        <x:v>0</x:v>
      </x:c>
      <x:c r="R1533" s="13" t="n">
        <x:f>IF(D1533="",MAX(TODAY()-C1533,0),MAX(D1533-C1533,0))</x:f>
        <x:v>0</x:v>
      </x:c>
      <x:c r="S1533" s="13" t="str">
        <x:f>IF(R1533=0,"Em dia",IF(R1533&lt;=15,"1-15 dias",IF(R1533&lt;=30,"16-30 dias",IF(R1533&lt;=60,"31-60 dias","Acima de 60 dias"))))</x:f>
        <x:v>Em dia</x:v>
      </x:c>
    </x:row>
    <x:row r="1534">
      <x:c r="A1534" s="13" t="str">
        <x:v>REC-001533</x:v>
      </x:c>
      <x:c r="B1534" s="23" t="n">
        <x:v>46059</x:v>
      </x:c>
      <x:c r="C1534" s="23" t="n">
        <x:v>46066</x:v>
      </x:c>
      <x:c r="D1534" s="23" t="n">
        <x:v>46080</x:v>
      </x:c>
      <x:c r="E1534" s="13" t="str">
        <x:v>VAL-018</x:v>
      </x:c>
      <x:c r="F1534" s="13" t="str">
        <x:v>Ponto Legal Advocacia</x:v>
      </x:c>
      <x:c r="G1534" s="13" t="str">
        <x:v>Serviços Profissionais</x:v>
      </x:c>
      <x:c r="H1534" s="13" t="str">
        <x:v>Baixo</x:v>
      </x:c>
      <x:c r="I1534" s="13" t="str">
        <x:v>Gestão</x:v>
      </x:c>
      <x:c r="J1534" s="17" t="n">
        <x:v>13801.76</x:v>
      </x:c>
      <x:c r="K1534" s="17" t="n">
        <x:v>0</x:v>
      </x:c>
      <x:c r="L1534" s="17" t="n">
        <x:v>125.6</x:v>
      </x:c>
      <x:c r="M1534" s="13" t="str">
        <x:v>Pago com atraso</x:v>
      </x:c>
      <x:c r="N1534" s="13" t="str">
        <x:v>WhatsApp</x:v>
      </x:c>
      <x:c r="O1534" s="13" t="str">
        <x:v>Escala inteligente</x:v>
      </x:c>
      <x:c r="P1534" s="17" t="n">
        <x:f>IF(D1534="",0,J1534-K1534+L1534)</x:f>
        <x:v>13927.36</x:v>
      </x:c>
      <x:c r="Q1534" s="17" t="n">
        <x:f>MAX(J1534-P1534-K1534,0)</x:f>
        <x:v>0</x:v>
      </x:c>
      <x:c r="R1534" s="13" t="n">
        <x:f>IF(D1534="",MAX(TODAY()-C1534,0),MAX(D1534-C1534,0))</x:f>
        <x:v>14</x:v>
      </x:c>
      <x:c r="S1534" s="13" t="str">
        <x:f>IF(R1534=0,"Em dia",IF(R1534&lt;=15,"1-15 dias",IF(R1534&lt;=30,"16-30 dias",IF(R1534&lt;=60,"31-60 dias","Acima de 60 dias"))))</x:f>
        <x:v>1-15 dias</x:v>
      </x:c>
    </x:row>
    <x:row r="1535">
      <x:c r="A1535" s="13" t="str">
        <x:v>REC-001534</x:v>
      </x:c>
      <x:c r="B1535" s="23" t="n">
        <x:v>46066</x:v>
      </x:c>
      <x:c r="C1535" s="23" t="n">
        <x:v>46087</x:v>
      </x:c>
      <x:c r="D1535" s="23" t="n">
        <x:v>46086</x:v>
      </x:c>
      <x:c r="E1535" s="13" t="str">
        <x:v>VAL-013</x:v>
      </x:c>
      <x:c r="F1535" s="13" t="str">
        <x:v>Engenharia Vértice</x:v>
      </x:c>
      <x:c r="G1535" s="13" t="str">
        <x:v>Construção</x:v>
      </x:c>
      <x:c r="H1535" s="13" t="str">
        <x:v>Baixo</x:v>
      </x:c>
      <x:c r="I1535" s="13" t="str">
        <x:v>Essencial</x:v>
      </x:c>
      <x:c r="J1535" s="17" t="n">
        <x:v>23391.37</x:v>
      </x:c>
      <x:c r="K1535" s="17" t="n">
        <x:v>0</x:v>
      </x:c>
      <x:c r="L1535" s="17" t="n">
        <x:v>0</x:v>
      </x:c>
      <x:c r="M1535" s="13" t="str">
        <x:v>Pago</x:v>
      </x:c>
      <x:c r="N1535" s="13" t="str">
        <x:v>Sem cobrança</x:v>
      </x:c>
      <x:c r="O1535" s="13" t="str">
        <x:v>Escala inteligente</x:v>
      </x:c>
      <x:c r="P1535" s="17" t="n">
        <x:f>IF(D1535="",0,J1535-K1535+L1535)</x:f>
        <x:v>23391.37</x:v>
      </x:c>
      <x:c r="Q1535" s="17" t="n">
        <x:f>MAX(J1535-P1535-K1535,0)</x:f>
        <x:v>0</x:v>
      </x:c>
      <x:c r="R1535" s="13" t="n">
        <x:f>IF(D1535="",MAX(TODAY()-C1535,0),MAX(D1535-C1535,0))</x:f>
        <x:v>0</x:v>
      </x:c>
      <x:c r="S1535" s="13" t="str">
        <x:f>IF(R1535=0,"Em dia",IF(R1535&lt;=15,"1-15 dias",IF(R1535&lt;=30,"16-30 dias",IF(R1535&lt;=60,"31-60 dias","Acima de 60 dias"))))</x:f>
        <x:v>Em dia</x:v>
      </x:c>
    </x:row>
    <x:row r="1536">
      <x:c r="A1536" s="13" t="str">
        <x:v>REC-001535</x:v>
      </x:c>
      <x:c r="B1536" s="23" t="n">
        <x:v>46071</x:v>
      </x:c>
      <x:c r="C1536" s="23" t="n">
        <x:v>46099</x:v>
      </x:c>
      <x:c r="D1536" s="23" t="n">
        <x:v>46097</x:v>
      </x:c>
      <x:c r="E1536" s="13" t="str">
        <x:v>VAL-027</x:v>
      </x:c>
      <x:c r="F1536" s="13" t="str">
        <x:v>Mais Lar Utilidades</x:v>
      </x:c>
      <x:c r="G1536" s="13" t="str">
        <x:v>Varejo</x:v>
      </x:c>
      <x:c r="H1536" s="13" t="str">
        <x:v>Baixo</x:v>
      </x:c>
      <x:c r="I1536" s="13" t="str">
        <x:v>Performance</x:v>
      </x:c>
      <x:c r="J1536" s="17" t="n">
        <x:v>21522.41</x:v>
      </x:c>
      <x:c r="K1536" s="17" t="n">
        <x:v>207.96</x:v>
      </x:c>
      <x:c r="L1536" s="17" t="n">
        <x:v>0</x:v>
      </x:c>
      <x:c r="M1536" s="13" t="str">
        <x:v>Pago</x:v>
      </x:c>
      <x:c r="N1536" s="13" t="str">
        <x:v>Sem cobrança</x:v>
      </x:c>
      <x:c r="O1536" s="13" t="str">
        <x:v>Escala inteligente</x:v>
      </x:c>
      <x:c r="P1536" s="17" t="n">
        <x:f>IF(D1536="",0,J1536-K1536+L1536)</x:f>
        <x:v>21314.45</x:v>
      </x:c>
      <x:c r="Q1536" s="17" t="n">
        <x:f>MAX(J1536-P1536-K1536,0)</x:f>
        <x:v>0</x:v>
      </x:c>
      <x:c r="R1536" s="13" t="n">
        <x:f>IF(D1536="",MAX(TODAY()-C1536,0),MAX(D1536-C1536,0))</x:f>
        <x:v>0</x:v>
      </x:c>
      <x:c r="S1536" s="13" t="str">
        <x:f>IF(R1536=0,"Em dia",IF(R1536&lt;=15,"1-15 dias",IF(R1536&lt;=30,"16-30 dias",IF(R1536&lt;=60,"31-60 dias","Acima de 60 dias"))))</x:f>
        <x:v>Em dia</x:v>
      </x:c>
    </x:row>
    <x:row r="1537">
      <x:c r="A1537" s="13" t="str">
        <x:v>REC-001536</x:v>
      </x:c>
      <x:c r="B1537" s="23" t="n">
        <x:v>46062</x:v>
      </x:c>
      <x:c r="C1537" s="23" t="n">
        <x:v>46083</x:v>
      </x:c>
      <x:c r="D1537" s="23" t="n">
        <x:v>46080</x:v>
      </x:c>
      <x:c r="E1537" s="13" t="str">
        <x:v>VAL-028</x:v>
      </x:c>
      <x:c r="F1537" s="13" t="str">
        <x:v>Pixel Norte</x:v>
      </x:c>
      <x:c r="G1537" s="13" t="str">
        <x:v>Tecnologia</x:v>
      </x:c>
      <x:c r="H1537" s="13" t="str">
        <x:v>Alto</x:v>
      </x:c>
      <x:c r="I1537" s="13" t="str">
        <x:v>Enterprise</x:v>
      </x:c>
      <x:c r="J1537" s="17" t="n">
        <x:v>9282.8</x:v>
      </x:c>
      <x:c r="K1537" s="17" t="n">
        <x:v>0</x:v>
      </x:c>
      <x:c r="L1537" s="17" t="n">
        <x:v>0</x:v>
      </x:c>
      <x:c r="M1537" s="13" t="str">
        <x:v>Pago</x:v>
      </x:c>
      <x:c r="N1537" s="13" t="str">
        <x:v>Sem cobrança</x:v>
      </x:c>
      <x:c r="O1537" s="13" t="str">
        <x:v>Escala inteligente</x:v>
      </x:c>
      <x:c r="P1537" s="17" t="n">
        <x:f>IF(D1537="",0,J1537-K1537+L1537)</x:f>
        <x:v>9282.8</x:v>
      </x:c>
      <x:c r="Q1537" s="17" t="n">
        <x:f>MAX(J1537-P1537-K1537,0)</x:f>
        <x:v>0</x:v>
      </x:c>
      <x:c r="R1537" s="13" t="n">
        <x:f>IF(D1537="",MAX(TODAY()-C1537,0),MAX(D1537-C1537,0))</x:f>
        <x:v>0</x:v>
      </x:c>
      <x:c r="S1537" s="13" t="str">
        <x:f>IF(R1537=0,"Em dia",IF(R1537&lt;=15,"1-15 dias",IF(R1537&lt;=30,"16-30 dias",IF(R1537&lt;=60,"31-60 dias","Acima de 60 dias"))))</x:f>
        <x:v>Em dia</x:v>
      </x:c>
    </x:row>
    <x:row r="1538">
      <x:c r="A1538" s="13" t="str">
        <x:v>REC-001537</x:v>
      </x:c>
      <x:c r="B1538" s="23" t="n">
        <x:v>46069</x:v>
      </x:c>
      <x:c r="C1538" s="23" t="n">
        <x:v>46084</x:v>
      </x:c>
      <x:c r="D1538" s="23" t="n">
        <x:v>46083</x:v>
      </x:c>
      <x:c r="E1538" s="13" t="str">
        <x:v>VAL-007</x:v>
      </x:c>
      <x:c r="F1538" s="13" t="str">
        <x:v>Loja Prisma Online</x:v>
      </x:c>
      <x:c r="G1538" s="13" t="str">
        <x:v>E-commerce</x:v>
      </x:c>
      <x:c r="H1538" s="13" t="str">
        <x:v>Médio</x:v>
      </x:c>
      <x:c r="I1538" s="13" t="str">
        <x:v>Performance</x:v>
      </x:c>
      <x:c r="J1538" s="17" t="n">
        <x:v>20501.47</x:v>
      </x:c>
      <x:c r="K1538" s="17" t="n">
        <x:v>355.63</x:v>
      </x:c>
      <x:c r="L1538" s="17" t="n">
        <x:v>0</x:v>
      </x:c>
      <x:c r="M1538" s="13" t="str">
        <x:v>Pago</x:v>
      </x:c>
      <x:c r="N1538" s="13" t="str">
        <x:v>Sem cobrança</x:v>
      </x:c>
      <x:c r="O1538" s="13" t="str">
        <x:v>Escala inteligente</x:v>
      </x:c>
      <x:c r="P1538" s="17" t="n">
        <x:f>IF(D1538="",0,J1538-K1538+L1538)</x:f>
        <x:v>20145.84</x:v>
      </x:c>
      <x:c r="Q1538" s="17" t="n">
        <x:f>MAX(J1538-P1538-K1538,0)</x:f>
        <x:v>1.0231815394945443e-12</x:v>
      </x:c>
      <x:c r="R1538" s="13" t="n">
        <x:f>IF(D1538="",MAX(TODAY()-C1538,0),MAX(D1538-C1538,0))</x:f>
        <x:v>0</x:v>
      </x:c>
      <x:c r="S1538" s="13" t="str">
        <x:f>IF(R1538=0,"Em dia",IF(R1538&lt;=15,"1-15 dias",IF(R1538&lt;=30,"16-30 dias",IF(R1538&lt;=60,"31-60 dias","Acima de 60 dias"))))</x:f>
        <x:v>Em dia</x:v>
      </x:c>
    </x:row>
    <x:row r="1539">
      <x:c r="A1539" s="13" t="str">
        <x:v>REC-001538</x:v>
      </x:c>
      <x:c r="B1539" s="23" t="n">
        <x:v>46067</x:v>
      </x:c>
      <x:c r="C1539" s="23" t="n">
        <x:v>46082</x:v>
      </x:c>
      <x:c r="D1539" s="23" t="n">
        <x:v>46079</x:v>
      </x:c>
      <x:c r="E1539" s="13" t="str">
        <x:v>VAL-022</x:v>
      </x:c>
      <x:c r="F1539" s="13" t="str">
        <x:v>Academia Evoluir</x:v>
      </x:c>
      <x:c r="G1539" s="13" t="str">
        <x:v>Educação</x:v>
      </x:c>
      <x:c r="H1539" s="13" t="str">
        <x:v>Alto</x:v>
      </x:c>
      <x:c r="I1539" s="13" t="str">
        <x:v>Gestão</x:v>
      </x:c>
      <x:c r="J1539" s="17" t="n">
        <x:v>8877.59</x:v>
      </x:c>
      <x:c r="K1539" s="17" t="n">
        <x:v>0</x:v>
      </x:c>
      <x:c r="L1539" s="17" t="n">
        <x:v>0</x:v>
      </x:c>
      <x:c r="M1539" s="13" t="str">
        <x:v>Pago</x:v>
      </x:c>
      <x:c r="N1539" s="13" t="str">
        <x:v>Sem cobrança</x:v>
      </x:c>
      <x:c r="O1539" s="13" t="str">
        <x:v>Escala inteligente</x:v>
      </x:c>
      <x:c r="P1539" s="17" t="n">
        <x:f>IF(D1539="",0,J1539-K1539+L1539)</x:f>
        <x:v>8877.59</x:v>
      </x:c>
      <x:c r="Q1539" s="17" t="n">
        <x:f>MAX(J1539-P1539-K1539,0)</x:f>
        <x:v>0</x:v>
      </x:c>
      <x:c r="R1539" s="13" t="n">
        <x:f>IF(D1539="",MAX(TODAY()-C1539,0),MAX(D1539-C1539,0))</x:f>
        <x:v>0</x:v>
      </x:c>
      <x:c r="S1539" s="13" t="str">
        <x:f>IF(R1539=0,"Em dia",IF(R1539&lt;=15,"1-15 dias",IF(R1539&lt;=30,"16-30 dias",IF(R1539&lt;=60,"31-60 dias","Acima de 60 dias"))))</x:f>
        <x:v>Em dia</x:v>
      </x:c>
    </x:row>
    <x:row r="1540">
      <x:c r="A1540" s="13" t="str">
        <x:v>REC-001539</x:v>
      </x:c>
      <x:c r="B1540" s="23" t="n">
        <x:v>46055</x:v>
      </x:c>
      <x:c r="C1540" s="23" t="n">
        <x:v>46062</x:v>
      </x:c>
      <x:c r="D1540" s="23" t="n">
        <x:v>46061</x:v>
      </x:c>
      <x:c r="E1540" s="13" t="str">
        <x:v>VAL-018</x:v>
      </x:c>
      <x:c r="F1540" s="13" t="str">
        <x:v>Ponto Legal Advocacia</x:v>
      </x:c>
      <x:c r="G1540" s="13" t="str">
        <x:v>Serviços Profissionais</x:v>
      </x:c>
      <x:c r="H1540" s="13" t="str">
        <x:v>Baixo</x:v>
      </x:c>
      <x:c r="I1540" s="13" t="str">
        <x:v>Gestão</x:v>
      </x:c>
      <x:c r="J1540" s="17" t="n">
        <x:v>11895.53</x:v>
      </x:c>
      <x:c r="K1540" s="17" t="n">
        <x:v>0</x:v>
      </x:c>
      <x:c r="L1540" s="17" t="n">
        <x:v>0</x:v>
      </x:c>
      <x:c r="M1540" s="13" t="str">
        <x:v>Pago</x:v>
      </x:c>
      <x:c r="N1540" s="13" t="str">
        <x:v>Sem cobrança</x:v>
      </x:c>
      <x:c r="O1540" s="13" t="str">
        <x:v>Escala inteligente</x:v>
      </x:c>
      <x:c r="P1540" s="17" t="n">
        <x:f>IF(D1540="",0,J1540-K1540+L1540)</x:f>
        <x:v>11895.53</x:v>
      </x:c>
      <x:c r="Q1540" s="17" t="n">
        <x:f>MAX(J1540-P1540-K1540,0)</x:f>
        <x:v>0</x:v>
      </x:c>
      <x:c r="R1540" s="13" t="n">
        <x:f>IF(D1540="",MAX(TODAY()-C1540,0),MAX(D1540-C1540,0))</x:f>
        <x:v>0</x:v>
      </x:c>
      <x:c r="S1540" s="13" t="str">
        <x:f>IF(R1540=0,"Em dia",IF(R1540&lt;=15,"1-15 dias",IF(R1540&lt;=30,"16-30 dias",IF(R1540&lt;=60,"31-60 dias","Acima de 60 dias"))))</x:f>
        <x:v>Em dia</x:v>
      </x:c>
    </x:row>
    <x:row r="1541">
      <x:c r="A1541" s="13" t="str">
        <x:v>REC-001540</x:v>
      </x:c>
      <x:c r="B1541" s="23" t="n">
        <x:v>46060</x:v>
      </x:c>
      <x:c r="C1541" s="23" t="n">
        <x:v>46088</x:v>
      </x:c>
      <x:c r="D1541" s="23" t="n">
        <x:v>46084</x:v>
      </x:c>
      <x:c r="E1541" s="13" t="str">
        <x:v>VAL-006</x:v>
      </x:c>
      <x:c r="F1541" s="13" t="str">
        <x:v>Instituto Saber Mais</x:v>
      </x:c>
      <x:c r="G1541" s="13" t="str">
        <x:v>Educação</x:v>
      </x:c>
      <x:c r="H1541" s="13" t="str">
        <x:v>Médio</x:v>
      </x:c>
      <x:c r="I1541" s="13" t="str">
        <x:v>Gestão</x:v>
      </x:c>
      <x:c r="J1541" s="17" t="n">
        <x:v>25328.82</x:v>
      </x:c>
      <x:c r="K1541" s="17" t="n">
        <x:v>413.69</x:v>
      </x:c>
      <x:c r="L1541" s="17" t="n">
        <x:v>0</x:v>
      </x:c>
      <x:c r="M1541" s="13" t="str">
        <x:v>Pago</x:v>
      </x:c>
      <x:c r="N1541" s="13" t="str">
        <x:v>Sem cobrança</x:v>
      </x:c>
      <x:c r="O1541" s="13" t="str">
        <x:v>Escala inteligente</x:v>
      </x:c>
      <x:c r="P1541" s="17" t="n">
        <x:f>IF(D1541="",0,J1541-K1541+L1541)</x:f>
        <x:v>24915.13</x:v>
      </x:c>
      <x:c r="Q1541" s="17" t="n">
        <x:f>MAX(J1541-P1541-K1541,0)</x:f>
        <x:v>0</x:v>
      </x:c>
      <x:c r="R1541" s="13" t="n">
        <x:f>IF(D1541="",MAX(TODAY()-C1541,0),MAX(D1541-C1541,0))</x:f>
        <x:v>0</x:v>
      </x:c>
      <x:c r="S1541" s="13" t="str">
        <x:f>IF(R1541=0,"Em dia",IF(R1541&lt;=15,"1-15 dias",IF(R1541&lt;=30,"16-30 dias",IF(R1541&lt;=60,"31-60 dias","Acima de 60 dias"))))</x:f>
        <x:v>Em dia</x:v>
      </x:c>
    </x:row>
    <x:row r="1542">
      <x:c r="A1542" s="13" t="str">
        <x:v>REC-001541</x:v>
      </x:c>
      <x:c r="B1542" s="23" t="n">
        <x:v>46054</x:v>
      </x:c>
      <x:c r="C1542" s="23" t="n">
        <x:v>46069</x:v>
      </x:c>
      <x:c r="D1542" s="23" t="n">
        <x:v>46068</x:v>
      </x:c>
      <x:c r="E1542" s="13" t="str">
        <x:v>VAL-015</x:v>
      </x:c>
      <x:c r="F1542" s="13" t="str">
        <x:v>Mercado Click</x:v>
      </x:c>
      <x:c r="G1542" s="13" t="str">
        <x:v>E-commerce</x:v>
      </x:c>
      <x:c r="H1542" s="13" t="str">
        <x:v>Baixo</x:v>
      </x:c>
      <x:c r="I1542" s="13" t="str">
        <x:v>Performance</x:v>
      </x:c>
      <x:c r="J1542" s="17" t="n">
        <x:v>3620.7</x:v>
      </x:c>
      <x:c r="K1542" s="17" t="n">
        <x:v>0</x:v>
      </x:c>
      <x:c r="L1542" s="17" t="n">
        <x:v>0</x:v>
      </x:c>
      <x:c r="M1542" s="13" t="str">
        <x:v>Pago</x:v>
      </x:c>
      <x:c r="N1542" s="13" t="str">
        <x:v>Sem cobrança</x:v>
      </x:c>
      <x:c r="O1542" s="13" t="str">
        <x:v>Escala inteligente</x:v>
      </x:c>
      <x:c r="P1542" s="17" t="n">
        <x:f>IF(D1542="",0,J1542-K1542+L1542)</x:f>
        <x:v>3620.7</x:v>
      </x:c>
      <x:c r="Q1542" s="17" t="n">
        <x:f>MAX(J1542-P1542-K1542,0)</x:f>
        <x:v>0</x:v>
      </x:c>
      <x:c r="R1542" s="13" t="n">
        <x:f>IF(D1542="",MAX(TODAY()-C1542,0),MAX(D1542-C1542,0))</x:f>
        <x:v>0</x:v>
      </x:c>
      <x:c r="S1542" s="13" t="str">
        <x:f>IF(R1542=0,"Em dia",IF(R1542&lt;=15,"1-15 dias",IF(R1542&lt;=30,"16-30 dias",IF(R1542&lt;=60,"31-60 dias","Acima de 60 dias"))))</x:f>
        <x:v>Em dia</x:v>
      </x:c>
    </x:row>
    <x:row r="1543">
      <x:c r="A1543" s="13" t="str">
        <x:v>REC-001542</x:v>
      </x:c>
      <x:c r="B1543" s="23" t="n">
        <x:v>46066</x:v>
      </x:c>
      <x:c r="C1543" s="23" t="n">
        <x:v>46094</x:v>
      </x:c>
      <x:c r="D1543" s="23" t="n">
        <x:v>46091</x:v>
      </x:c>
      <x:c r="E1543" s="13" t="str">
        <x:v>VAL-005</x:v>
      </x:c>
      <x:c r="F1543" s="13" t="str">
        <x:v>Construtora Alameda</x:v>
      </x:c>
      <x:c r="G1543" s="13" t="str">
        <x:v>Construção</x:v>
      </x:c>
      <x:c r="H1543" s="13" t="str">
        <x:v>Médio</x:v>
      </x:c>
      <x:c r="I1543" s="13" t="str">
        <x:v>Essencial</x:v>
      </x:c>
      <x:c r="J1543" s="17" t="n">
        <x:v>26425.16</x:v>
      </x:c>
      <x:c r="K1543" s="17" t="n">
        <x:v>0</x:v>
      </x:c>
      <x:c r="L1543" s="17" t="n">
        <x:v>0</x:v>
      </x:c>
      <x:c r="M1543" s="13" t="str">
        <x:v>Pago</x:v>
      </x:c>
      <x:c r="N1543" s="13" t="str">
        <x:v>Sem cobrança</x:v>
      </x:c>
      <x:c r="O1543" s="13" t="str">
        <x:v>Escala inteligente</x:v>
      </x:c>
      <x:c r="P1543" s="17" t="n">
        <x:f>IF(D1543="",0,J1543-K1543+L1543)</x:f>
        <x:v>26425.16</x:v>
      </x:c>
      <x:c r="Q1543" s="17" t="n">
        <x:f>MAX(J1543-P1543-K1543,0)</x:f>
        <x:v>0</x:v>
      </x:c>
      <x:c r="R1543" s="13" t="n">
        <x:f>IF(D1543="",MAX(TODAY()-C1543,0),MAX(D1543-C1543,0))</x:f>
        <x:v>0</x:v>
      </x:c>
      <x:c r="S1543" s="13" t="str">
        <x:f>IF(R1543=0,"Em dia",IF(R1543&lt;=15,"1-15 dias",IF(R1543&lt;=30,"16-30 dias",IF(R1543&lt;=60,"31-60 dias","Acima de 60 dias"))))</x:f>
        <x:v>Em dia</x:v>
      </x:c>
    </x:row>
    <x:row r="1544">
      <x:c r="A1544" s="13" t="str">
        <x:v>REC-001543</x:v>
      </x:c>
      <x:c r="B1544" s="23" t="n">
        <x:v>46066</x:v>
      </x:c>
      <x:c r="C1544" s="23" t="n">
        <x:v>46081</x:v>
      </x:c>
      <x:c r="D1544" s="23" t="n">
        <x:v>46077</x:v>
      </x:c>
      <x:c r="E1544" s="13" t="str">
        <x:v>VAL-020</x:v>
      </x:c>
      <x:c r="F1544" s="13" t="str">
        <x:v>Corelink Digital</x:v>
      </x:c>
      <x:c r="G1544" s="13" t="str">
        <x:v>Tecnologia</x:v>
      </x:c>
      <x:c r="H1544" s="13" t="str">
        <x:v>Baixo</x:v>
      </x:c>
      <x:c r="I1544" s="13" t="str">
        <x:v>Enterprise</x:v>
      </x:c>
      <x:c r="J1544" s="17" t="n">
        <x:v>10679.84</x:v>
      </x:c>
      <x:c r="K1544" s="17" t="n">
        <x:v>0</x:v>
      </x:c>
      <x:c r="L1544" s="17" t="n">
        <x:v>0</x:v>
      </x:c>
      <x:c r="M1544" s="13" t="str">
        <x:v>Pago</x:v>
      </x:c>
      <x:c r="N1544" s="13" t="str">
        <x:v>Sem cobrança</x:v>
      </x:c>
      <x:c r="O1544" s="13" t="str">
        <x:v>Escala inteligente</x:v>
      </x:c>
      <x:c r="P1544" s="17" t="n">
        <x:f>IF(D1544="",0,J1544-K1544+L1544)</x:f>
        <x:v>10679.84</x:v>
      </x:c>
      <x:c r="Q1544" s="17" t="n">
        <x:f>MAX(J1544-P1544-K1544,0)</x:f>
        <x:v>0</x:v>
      </x:c>
      <x:c r="R1544" s="13" t="n">
        <x:f>IF(D1544="",MAX(TODAY()-C1544,0),MAX(D1544-C1544,0))</x:f>
        <x:v>0</x:v>
      </x:c>
      <x:c r="S1544" s="13" t="str">
        <x:f>IF(R1544=0,"Em dia",IF(R1544&lt;=15,"1-15 dias",IF(R1544&lt;=30,"16-30 dias",IF(R1544&lt;=60,"31-60 dias","Acima de 60 dias"))))</x:f>
        <x:v>Em dia</x:v>
      </x:c>
    </x:row>
    <x:row r="1545">
      <x:c r="A1545" s="13" t="str">
        <x:v>REC-001544</x:v>
      </x:c>
      <x:c r="B1545" s="23" t="n">
        <x:v>46065</x:v>
      </x:c>
      <x:c r="C1545" s="23" t="n">
        <x:v>46080</x:v>
      </x:c>
      <x:c r="D1545" s="23" t="n">
        <x:v>46078</x:v>
      </x:c>
      <x:c r="E1545" s="13" t="str">
        <x:v>VAL-014</x:v>
      </x:c>
      <x:c r="F1545" s="13" t="str">
        <x:v>Colégio Caminhos</x:v>
      </x:c>
      <x:c r="G1545" s="13" t="str">
        <x:v>Educação</x:v>
      </x:c>
      <x:c r="H1545" s="13" t="str">
        <x:v>Médio</x:v>
      </x:c>
      <x:c r="I1545" s="13" t="str">
        <x:v>Gestão</x:v>
      </x:c>
      <x:c r="J1545" s="17" t="n">
        <x:v>14682.6</x:v>
      </x:c>
      <x:c r="K1545" s="17" t="n">
        <x:v>0</x:v>
      </x:c>
      <x:c r="L1545" s="17" t="n">
        <x:v>0</x:v>
      </x:c>
      <x:c r="M1545" s="13" t="str">
        <x:v>Pago</x:v>
      </x:c>
      <x:c r="N1545" s="13" t="str">
        <x:v>Sem cobrança</x:v>
      </x:c>
      <x:c r="O1545" s="13" t="str">
        <x:v>Escala inteligente</x:v>
      </x:c>
      <x:c r="P1545" s="17" t="n">
        <x:f>IF(D1545="",0,J1545-K1545+L1545)</x:f>
        <x:v>14682.6</x:v>
      </x:c>
      <x:c r="Q1545" s="17" t="n">
        <x:f>MAX(J1545-P1545-K1545,0)</x:f>
        <x:v>0</x:v>
      </x:c>
      <x:c r="R1545" s="13" t="n">
        <x:f>IF(D1545="",MAX(TODAY()-C1545,0),MAX(D1545-C1545,0))</x:f>
        <x:v>0</x:v>
      </x:c>
      <x:c r="S1545" s="13" t="str">
        <x:f>IF(R1545=0,"Em dia",IF(R1545&lt;=15,"1-15 dias",IF(R1545&lt;=30,"16-30 dias",IF(R1545&lt;=60,"31-60 dias","Acima de 60 dias"))))</x:f>
        <x:v>Em dia</x:v>
      </x:c>
    </x:row>
    <x:row r="1546">
      <x:c r="A1546" s="13" t="str">
        <x:v>REC-001545</x:v>
      </x:c>
      <x:c r="B1546" s="23" t="n">
        <x:v>46071</x:v>
      </x:c>
      <x:c r="C1546" s="23" t="n">
        <x:v>46086</x:v>
      </x:c>
      <x:c r="D1546" s="23" t="n">
        <x:v>46086</x:v>
      </x:c>
      <x:c r="E1546" s="13" t="str">
        <x:v>VAL-022</x:v>
      </x:c>
      <x:c r="F1546" s="13" t="str">
        <x:v>Academia Evoluir</x:v>
      </x:c>
      <x:c r="G1546" s="13" t="str">
        <x:v>Educação</x:v>
      </x:c>
      <x:c r="H1546" s="13" t="str">
        <x:v>Alto</x:v>
      </x:c>
      <x:c r="I1546" s="13" t="str">
        <x:v>Gestão</x:v>
      </x:c>
      <x:c r="J1546" s="17" t="n">
        <x:v>18983.75</x:v>
      </x:c>
      <x:c r="K1546" s="17" t="n">
        <x:v>0</x:v>
      </x:c>
      <x:c r="L1546" s="17" t="n">
        <x:v>0</x:v>
      </x:c>
      <x:c r="M1546" s="13" t="str">
        <x:v>Pago</x:v>
      </x:c>
      <x:c r="N1546" s="13" t="str">
        <x:v>Sem cobrança</x:v>
      </x:c>
      <x:c r="O1546" s="13" t="str">
        <x:v>Escala inteligente</x:v>
      </x:c>
      <x:c r="P1546" s="17" t="n">
        <x:f>IF(D1546="",0,J1546-K1546+L1546)</x:f>
        <x:v>18983.75</x:v>
      </x:c>
      <x:c r="Q1546" s="17" t="n">
        <x:f>MAX(J1546-P1546-K1546,0)</x:f>
        <x:v>0</x:v>
      </x:c>
      <x:c r="R1546" s="13" t="n">
        <x:f>IF(D1546="",MAX(TODAY()-C1546,0),MAX(D1546-C1546,0))</x:f>
        <x:v>0</x:v>
      </x:c>
      <x:c r="S1546" s="13" t="str">
        <x:f>IF(R1546=0,"Em dia",IF(R1546&lt;=15,"1-15 dias",IF(R1546&lt;=30,"16-30 dias",IF(R1546&lt;=60,"31-60 dias","Acima de 60 dias"))))</x:f>
        <x:v>Em dia</x:v>
      </x:c>
    </x:row>
    <x:row r="1547">
      <x:c r="A1547" s="13" t="str">
        <x:v>REC-001546</x:v>
      </x:c>
      <x:c r="B1547" s="23" t="n">
        <x:v>46069</x:v>
      </x:c>
      <x:c r="C1547" s="23" t="n">
        <x:v>46097</x:v>
      </x:c>
      <x:c r="D1547" s="23" t="n">
        <x:v>46094</x:v>
      </x:c>
      <x:c r="E1547" s="13" t="str">
        <x:v>VAL-014</x:v>
      </x:c>
      <x:c r="F1547" s="13" t="str">
        <x:v>Colégio Caminhos</x:v>
      </x:c>
      <x:c r="G1547" s="13" t="str">
        <x:v>Educação</x:v>
      </x:c>
      <x:c r="H1547" s="13" t="str">
        <x:v>Médio</x:v>
      </x:c>
      <x:c r="I1547" s="13" t="str">
        <x:v>Gestão</x:v>
      </x:c>
      <x:c r="J1547" s="17" t="n">
        <x:v>18988.39</x:v>
      </x:c>
      <x:c r="K1547" s="17" t="n">
        <x:v>0</x:v>
      </x:c>
      <x:c r="L1547" s="17" t="n">
        <x:v>0</x:v>
      </x:c>
      <x:c r="M1547" s="13" t="str">
        <x:v>Pago</x:v>
      </x:c>
      <x:c r="N1547" s="13" t="str">
        <x:v>Sem cobrança</x:v>
      </x:c>
      <x:c r="O1547" s="13" t="str">
        <x:v>Escala inteligente</x:v>
      </x:c>
      <x:c r="P1547" s="17" t="n">
        <x:f>IF(D1547="",0,J1547-K1547+L1547)</x:f>
        <x:v>18988.39</x:v>
      </x:c>
      <x:c r="Q1547" s="17" t="n">
        <x:f>MAX(J1547-P1547-K1547,0)</x:f>
        <x:v>0</x:v>
      </x:c>
      <x:c r="R1547" s="13" t="n">
        <x:f>IF(D1547="",MAX(TODAY()-C1547,0),MAX(D1547-C1547,0))</x:f>
        <x:v>0</x:v>
      </x:c>
      <x:c r="S1547" s="13" t="str">
        <x:f>IF(R1547=0,"Em dia",IF(R1547&lt;=15,"1-15 dias",IF(R1547&lt;=30,"16-30 dias",IF(R1547&lt;=60,"31-60 dias","Acima de 60 dias"))))</x:f>
        <x:v>Em dia</x:v>
      </x:c>
    </x:row>
    <x:row r="1548">
      <x:c r="A1548" s="13" t="str">
        <x:v>REC-001547</x:v>
      </x:c>
      <x:c r="B1548" s="23" t="n">
        <x:v>46056</x:v>
      </x:c>
      <x:c r="C1548" s="23" t="n">
        <x:v>46077</x:v>
      </x:c>
      <x:c r="D1548" s="23" t="n">
        <x:v>46077</x:v>
      </x:c>
      <x:c r="E1548" s="13" t="str">
        <x:v>VAL-014</x:v>
      </x:c>
      <x:c r="F1548" s="13" t="str">
        <x:v>Colégio Caminhos</x:v>
      </x:c>
      <x:c r="G1548" s="13" t="str">
        <x:v>Educação</x:v>
      </x:c>
      <x:c r="H1548" s="13" t="str">
        <x:v>Médio</x:v>
      </x:c>
      <x:c r="I1548" s="13" t="str">
        <x:v>Gestão</x:v>
      </x:c>
      <x:c r="J1548" s="17" t="n">
        <x:v>17177.74</x:v>
      </x:c>
      <x:c r="K1548" s="17" t="n">
        <x:v>0</x:v>
      </x:c>
      <x:c r="L1548" s="17" t="n">
        <x:v>0</x:v>
      </x:c>
      <x:c r="M1548" s="13" t="str">
        <x:v>Pago</x:v>
      </x:c>
      <x:c r="N1548" s="13" t="str">
        <x:v>Sem cobrança</x:v>
      </x:c>
      <x:c r="O1548" s="13" t="str">
        <x:v>Escala inteligente</x:v>
      </x:c>
      <x:c r="P1548" s="17" t="n">
        <x:f>IF(D1548="",0,J1548-K1548+L1548)</x:f>
        <x:v>17177.74</x:v>
      </x:c>
      <x:c r="Q1548" s="17" t="n">
        <x:f>MAX(J1548-P1548-K1548,0)</x:f>
        <x:v>0</x:v>
      </x:c>
      <x:c r="R1548" s="13" t="n">
        <x:f>IF(D1548="",MAX(TODAY()-C1548,0),MAX(D1548-C1548,0))</x:f>
        <x:v>0</x:v>
      </x:c>
      <x:c r="S1548" s="13" t="str">
        <x:f>IF(R1548=0,"Em dia",IF(R1548&lt;=15,"1-15 dias",IF(R1548&lt;=30,"16-30 dias",IF(R1548&lt;=60,"31-60 dias","Acima de 60 dias"))))</x:f>
        <x:v>Em dia</x:v>
      </x:c>
    </x:row>
    <x:row r="1549">
      <x:c r="A1549" s="13" t="str">
        <x:v>REC-001548</x:v>
      </x:c>
      <x:c r="B1549" s="23" t="n">
        <x:v>46058</x:v>
      </x:c>
      <x:c r="C1549" s="23" t="n">
        <x:v>46086</x:v>
      </x:c>
      <x:c r="D1549" s="23" t="n">
        <x:v>46082</x:v>
      </x:c>
      <x:c r="E1549" s="13" t="str">
        <x:v>VAL-021</x:v>
      </x:c>
      <x:c r="F1549" s="13" t="str">
        <x:v>Base Forte Obras</x:v>
      </x:c>
      <x:c r="G1549" s="13" t="str">
        <x:v>Construção</x:v>
      </x:c>
      <x:c r="H1549" s="13" t="str">
        <x:v>Médio</x:v>
      </x:c>
      <x:c r="I1549" s="13" t="str">
        <x:v>Essencial</x:v>
      </x:c>
      <x:c r="J1549" s="17" t="n">
        <x:v>20510.48</x:v>
      </x:c>
      <x:c r="K1549" s="17" t="n">
        <x:v>0</x:v>
      </x:c>
      <x:c r="L1549" s="17" t="n">
        <x:v>0</x:v>
      </x:c>
      <x:c r="M1549" s="13" t="str">
        <x:v>Pago</x:v>
      </x:c>
      <x:c r="N1549" s="13" t="str">
        <x:v>Sem cobrança</x:v>
      </x:c>
      <x:c r="O1549" s="13" t="str">
        <x:v>Escala inteligente</x:v>
      </x:c>
      <x:c r="P1549" s="17" t="n">
        <x:f>IF(D1549="",0,J1549-K1549+L1549)</x:f>
        <x:v>20510.48</x:v>
      </x:c>
      <x:c r="Q1549" s="17" t="n">
        <x:f>MAX(J1549-P1549-K1549,0)</x:f>
        <x:v>0</x:v>
      </x:c>
      <x:c r="R1549" s="13" t="n">
        <x:f>IF(D1549="",MAX(TODAY()-C1549,0),MAX(D1549-C1549,0))</x:f>
        <x:v>0</x:v>
      </x:c>
      <x:c r="S1549" s="13" t="str">
        <x:f>IF(R1549=0,"Em dia",IF(R1549&lt;=15,"1-15 dias",IF(R1549&lt;=30,"16-30 dias",IF(R1549&lt;=60,"31-60 dias","Acima de 60 dias"))))</x:f>
        <x:v>Em dia</x:v>
      </x:c>
    </x:row>
    <x:row r="1550">
      <x:c r="A1550" s="13" t="str">
        <x:v>REC-001549</x:v>
      </x:c>
      <x:c r="B1550" s="23" t="n">
        <x:v>46070</x:v>
      </x:c>
      <x:c r="C1550" s="23" t="n">
        <x:v>46100</x:v>
      </x:c>
      <x:c r="D1550" s="23" t="n">
        <x:v>46100</x:v>
      </x:c>
      <x:c r="E1550" s="13" t="str">
        <x:v>VAL-022</x:v>
      </x:c>
      <x:c r="F1550" s="13" t="str">
        <x:v>Academia Evoluir</x:v>
      </x:c>
      <x:c r="G1550" s="13" t="str">
        <x:v>Educação</x:v>
      </x:c>
      <x:c r="H1550" s="13" t="str">
        <x:v>Alto</x:v>
      </x:c>
      <x:c r="I1550" s="13" t="str">
        <x:v>Gestão</x:v>
      </x:c>
      <x:c r="J1550" s="17" t="n">
        <x:v>9423.76</x:v>
      </x:c>
      <x:c r="K1550" s="17" t="n">
        <x:v>0</x:v>
      </x:c>
      <x:c r="L1550" s="17" t="n">
        <x:v>0</x:v>
      </x:c>
      <x:c r="M1550" s="13" t="str">
        <x:v>Pago</x:v>
      </x:c>
      <x:c r="N1550" s="13" t="str">
        <x:v>Sem cobrança</x:v>
      </x:c>
      <x:c r="O1550" s="13" t="str">
        <x:v>Escala inteligente</x:v>
      </x:c>
      <x:c r="P1550" s="17" t="n">
        <x:f>IF(D1550="",0,J1550-K1550+L1550)</x:f>
        <x:v>9423.76</x:v>
      </x:c>
      <x:c r="Q1550" s="17" t="n">
        <x:f>MAX(J1550-P1550-K1550,0)</x:f>
        <x:v>0</x:v>
      </x:c>
      <x:c r="R1550" s="13" t="n">
        <x:f>IF(D1550="",MAX(TODAY()-C1550,0),MAX(D1550-C1550,0))</x:f>
        <x:v>0</x:v>
      </x:c>
      <x:c r="S1550" s="13" t="str">
        <x:f>IF(R1550=0,"Em dia",IF(R1550&lt;=15,"1-15 dias",IF(R1550&lt;=30,"16-30 dias",IF(R1550&lt;=60,"31-60 dias","Acima de 60 dias"))))</x:f>
        <x:v>Em dia</x:v>
      </x:c>
    </x:row>
    <x:row r="1551">
      <x:c r="A1551" s="13" t="str">
        <x:v>REC-001550</x:v>
      </x:c>
      <x:c r="B1551" s="23" t="n">
        <x:v>46065</x:v>
      </x:c>
      <x:c r="C1551" s="23" t="n">
        <x:v>46086</x:v>
      </x:c>
      <x:c r="D1551" s="23" t="n">
        <x:v>46084</x:v>
      </x:c>
      <x:c r="E1551" s="13" t="str">
        <x:v>VAL-026</x:v>
      </x:c>
      <x:c r="F1551" s="13" t="str">
        <x:v>Ribeiro Arquitetura</x:v>
      </x:c>
      <x:c r="G1551" s="13" t="str">
        <x:v>Serviços Profissionais</x:v>
      </x:c>
      <x:c r="H1551" s="13" t="str">
        <x:v>Baixo</x:v>
      </x:c>
      <x:c r="I1551" s="13" t="str">
        <x:v>Gestão</x:v>
      </x:c>
      <x:c r="J1551" s="17" t="n">
        <x:v>20452.43</x:v>
      </x:c>
      <x:c r="K1551" s="17" t="n">
        <x:v>0</x:v>
      </x:c>
      <x:c r="L1551" s="17" t="n">
        <x:v>0</x:v>
      </x:c>
      <x:c r="M1551" s="13" t="str">
        <x:v>Pago</x:v>
      </x:c>
      <x:c r="N1551" s="13" t="str">
        <x:v>Sem cobrança</x:v>
      </x:c>
      <x:c r="O1551" s="13" t="str">
        <x:v>Escala inteligente</x:v>
      </x:c>
      <x:c r="P1551" s="17" t="n">
        <x:f>IF(D1551="",0,J1551-K1551+L1551)</x:f>
        <x:v>20452.43</x:v>
      </x:c>
      <x:c r="Q1551" s="17" t="n">
        <x:f>MAX(J1551-P1551-K1551,0)</x:f>
        <x:v>0</x:v>
      </x:c>
      <x:c r="R1551" s="13" t="n">
        <x:f>IF(D1551="",MAX(TODAY()-C1551,0),MAX(D1551-C1551,0))</x:f>
        <x:v>0</x:v>
      </x:c>
      <x:c r="S1551" s="13" t="str">
        <x:f>IF(R1551=0,"Em dia",IF(R1551&lt;=15,"1-15 dias",IF(R1551&lt;=30,"16-30 dias",IF(R1551&lt;=60,"31-60 dias","Acima de 60 dias"))))</x:f>
        <x:v>Em dia</x:v>
      </x:c>
    </x:row>
    <x:row r="1552">
      <x:c r="A1552" s="13" t="str">
        <x:v>REC-001551</x:v>
      </x:c>
      <x:c r="B1552" s="23" t="n">
        <x:v>46072</x:v>
      </x:c>
      <x:c r="C1552" s="23" t="n">
        <x:v>46102</x:v>
      </x:c>
      <x:c r="D1552" s="23" t="n">
        <x:v>46100</x:v>
      </x:c>
      <x:c r="E1552" s="13" t="str">
        <x:v>VAL-022</x:v>
      </x:c>
      <x:c r="F1552" s="13" t="str">
        <x:v>Academia Evoluir</x:v>
      </x:c>
      <x:c r="G1552" s="13" t="str">
        <x:v>Educação</x:v>
      </x:c>
      <x:c r="H1552" s="13" t="str">
        <x:v>Alto</x:v>
      </x:c>
      <x:c r="I1552" s="13" t="str">
        <x:v>Gestão</x:v>
      </x:c>
      <x:c r="J1552" s="17" t="n">
        <x:v>12921.06</x:v>
      </x:c>
      <x:c r="K1552" s="17" t="n">
        <x:v>0</x:v>
      </x:c>
      <x:c r="L1552" s="17" t="n">
        <x:v>0</x:v>
      </x:c>
      <x:c r="M1552" s="13" t="str">
        <x:v>Pago</x:v>
      </x:c>
      <x:c r="N1552" s="13" t="str">
        <x:v>Sem cobrança</x:v>
      </x:c>
      <x:c r="O1552" s="13" t="str">
        <x:v>Escala inteligente</x:v>
      </x:c>
      <x:c r="P1552" s="17" t="n">
        <x:f>IF(D1552="",0,J1552-K1552+L1552)</x:f>
        <x:v>12921.06</x:v>
      </x:c>
      <x:c r="Q1552" s="17" t="n">
        <x:f>MAX(J1552-P1552-K1552,0)</x:f>
        <x:v>0</x:v>
      </x:c>
      <x:c r="R1552" s="13" t="n">
        <x:f>IF(D1552="",MAX(TODAY()-C1552,0),MAX(D1552-C1552,0))</x:f>
        <x:v>0</x:v>
      </x:c>
      <x:c r="S1552" s="13" t="str">
        <x:f>IF(R1552=0,"Em dia",IF(R1552&lt;=15,"1-15 dias",IF(R1552&lt;=30,"16-30 dias",IF(R1552&lt;=60,"31-60 dias","Acima de 60 dias"))))</x:f>
        <x:v>Em dia</x:v>
      </x:c>
    </x:row>
    <x:row r="1553">
      <x:c r="A1553" s="13" t="str">
        <x:v>REC-001552</x:v>
      </x:c>
      <x:c r="B1553" s="23" t="n">
        <x:v>46055</x:v>
      </x:c>
      <x:c r="C1553" s="23" t="n">
        <x:v>46062</x:v>
      </x:c>
      <x:c r="D1553" s="23" t="n">
        <x:v>46059</x:v>
      </x:c>
      <x:c r="E1553" s="13" t="str">
        <x:v>VAL-001</x:v>
      </x:c>
      <x:c r="F1553" s="13" t="str">
        <x:v>Clínica Horizonte</x:v>
      </x:c>
      <x:c r="G1553" s="13" t="str">
        <x:v>Clínicas e Saúde</x:v>
      </x:c>
      <x:c r="H1553" s="13" t="str">
        <x:v>Baixo</x:v>
      </x:c>
      <x:c r="I1553" s="13" t="str">
        <x:v>Essencial</x:v>
      </x:c>
      <x:c r="J1553" s="17" t="n">
        <x:v>23197.76</x:v>
      </x:c>
      <x:c r="K1553" s="17" t="n">
        <x:v>0</x:v>
      </x:c>
      <x:c r="L1553" s="17" t="n">
        <x:v>0</x:v>
      </x:c>
      <x:c r="M1553" s="13" t="str">
        <x:v>Pago</x:v>
      </x:c>
      <x:c r="N1553" s="13" t="str">
        <x:v>Sem cobrança</x:v>
      </x:c>
      <x:c r="O1553" s="13" t="str">
        <x:v>Escala inteligente</x:v>
      </x:c>
      <x:c r="P1553" s="17" t="n">
        <x:f>IF(D1553="",0,J1553-K1553+L1553)</x:f>
        <x:v>23197.76</x:v>
      </x:c>
      <x:c r="Q1553" s="17" t="n">
        <x:f>MAX(J1553-P1553-K1553,0)</x:f>
        <x:v>0</x:v>
      </x:c>
      <x:c r="R1553" s="13" t="n">
        <x:f>IF(D1553="",MAX(TODAY()-C1553,0),MAX(D1553-C1553,0))</x:f>
        <x:v>0</x:v>
      </x:c>
      <x:c r="S1553" s="13" t="str">
        <x:f>IF(R1553=0,"Em dia",IF(R1553&lt;=15,"1-15 dias",IF(R1553&lt;=30,"16-30 dias",IF(R1553&lt;=60,"31-60 dias","Acima de 60 dias"))))</x:f>
        <x:v>Em dia</x:v>
      </x:c>
    </x:row>
    <x:row r="1554">
      <x:c r="A1554" s="13" t="str">
        <x:v>REC-001553</x:v>
      </x:c>
      <x:c r="B1554" s="23" t="n">
        <x:v>46056</x:v>
      </x:c>
      <x:c r="C1554" s="23" t="n">
        <x:v>46077</x:v>
      </x:c>
      <x:c r="D1554" s="23" t="n">
        <x:v>46074</x:v>
      </x:c>
      <x:c r="E1554" s="13" t="str">
        <x:v>VAL-021</x:v>
      </x:c>
      <x:c r="F1554" s="13" t="str">
        <x:v>Base Forte Obras</x:v>
      </x:c>
      <x:c r="G1554" s="13" t="str">
        <x:v>Construção</x:v>
      </x:c>
      <x:c r="H1554" s="13" t="str">
        <x:v>Médio</x:v>
      </x:c>
      <x:c r="I1554" s="13" t="str">
        <x:v>Essencial</x:v>
      </x:c>
      <x:c r="J1554" s="17" t="n">
        <x:v>22986.03</x:v>
      </x:c>
      <x:c r="K1554" s="17" t="n">
        <x:v>0</x:v>
      </x:c>
      <x:c r="L1554" s="17" t="n">
        <x:v>0</x:v>
      </x:c>
      <x:c r="M1554" s="13" t="str">
        <x:v>Pago</x:v>
      </x:c>
      <x:c r="N1554" s="13" t="str">
        <x:v>Sem cobrança</x:v>
      </x:c>
      <x:c r="O1554" s="13" t="str">
        <x:v>Escala inteligente</x:v>
      </x:c>
      <x:c r="P1554" s="17" t="n">
        <x:f>IF(D1554="",0,J1554-K1554+L1554)</x:f>
        <x:v>22986.03</x:v>
      </x:c>
      <x:c r="Q1554" s="17" t="n">
        <x:f>MAX(J1554-P1554-K1554,0)</x:f>
        <x:v>0</x:v>
      </x:c>
      <x:c r="R1554" s="13" t="n">
        <x:f>IF(D1554="",MAX(TODAY()-C1554,0),MAX(D1554-C1554,0))</x:f>
        <x:v>0</x:v>
      </x:c>
      <x:c r="S1554" s="13" t="str">
        <x:f>IF(R1554=0,"Em dia",IF(R1554&lt;=15,"1-15 dias",IF(R1554&lt;=30,"16-30 dias",IF(R1554&lt;=60,"31-60 dias","Acima de 60 dias"))))</x:f>
        <x:v>Em dia</x:v>
      </x:c>
    </x:row>
    <x:row r="1555">
      <x:c r="A1555" s="13" t="str">
        <x:v>REC-001554</x:v>
      </x:c>
      <x:c r="B1555" s="23" t="n">
        <x:v>46065</x:v>
      </x:c>
      <x:c r="C1555" s="23" t="n">
        <x:v>46093</x:v>
      </x:c>
      <x:c r="D1555" s="23" t="n">
        <x:v>46090</x:v>
      </x:c>
      <x:c r="E1555" s="13" t="str">
        <x:v>VAL-001</x:v>
      </x:c>
      <x:c r="F1555" s="13" t="str">
        <x:v>Clínica Horizonte</x:v>
      </x:c>
      <x:c r="G1555" s="13" t="str">
        <x:v>Clínicas e Saúde</x:v>
      </x:c>
      <x:c r="H1555" s="13" t="str">
        <x:v>Baixo</x:v>
      </x:c>
      <x:c r="I1555" s="13" t="str">
        <x:v>Essencial</x:v>
      </x:c>
      <x:c r="J1555" s="17" t="n">
        <x:v>2154.72</x:v>
      </x:c>
      <x:c r="K1555" s="17" t="n">
        <x:v>0</x:v>
      </x:c>
      <x:c r="L1555" s="17" t="n">
        <x:v>0</x:v>
      </x:c>
      <x:c r="M1555" s="13" t="str">
        <x:v>Pago</x:v>
      </x:c>
      <x:c r="N1555" s="13" t="str">
        <x:v>Sem cobrança</x:v>
      </x:c>
      <x:c r="O1555" s="13" t="str">
        <x:v>Escala inteligente</x:v>
      </x:c>
      <x:c r="P1555" s="17" t="n">
        <x:f>IF(D1555="",0,J1555-K1555+L1555)</x:f>
        <x:v>2154.72</x:v>
      </x:c>
      <x:c r="Q1555" s="17" t="n">
        <x:f>MAX(J1555-P1555-K1555,0)</x:f>
        <x:v>0</x:v>
      </x:c>
      <x:c r="R1555" s="13" t="n">
        <x:f>IF(D1555="",MAX(TODAY()-C1555,0),MAX(D1555-C1555,0))</x:f>
        <x:v>0</x:v>
      </x:c>
      <x:c r="S1555" s="13" t="str">
        <x:f>IF(R1555=0,"Em dia",IF(R1555&lt;=15,"1-15 dias",IF(R1555&lt;=30,"16-30 dias",IF(R1555&lt;=60,"31-60 dias","Acima de 60 dias"))))</x:f>
        <x:v>Em dia</x:v>
      </x:c>
    </x:row>
    <x:row r="1556">
      <x:c r="A1556" s="13" t="str">
        <x:v>REC-001555</x:v>
      </x:c>
      <x:c r="B1556" s="23" t="n">
        <x:v>46057</x:v>
      </x:c>
      <x:c r="C1556" s="23" t="n">
        <x:v>46072</x:v>
      </x:c>
      <x:c r="D1556" s="23" t="n">
        <x:v>46069</x:v>
      </x:c>
      <x:c r="E1556" s="13" t="str">
        <x:v>VAL-011</x:v>
      </x:c>
      <x:c r="F1556" s="13" t="str">
        <x:v>Rede Essencial</x:v>
      </x:c>
      <x:c r="G1556" s="13" t="str">
        <x:v>Varejo</x:v>
      </x:c>
      <x:c r="H1556" s="13" t="str">
        <x:v>Médio</x:v>
      </x:c>
      <x:c r="I1556" s="13" t="str">
        <x:v>Performance</x:v>
      </x:c>
      <x:c r="J1556" s="17" t="n">
        <x:v>24481.22</x:v>
      </x:c>
      <x:c r="K1556" s="17" t="n">
        <x:v>327.64</x:v>
      </x:c>
      <x:c r="L1556" s="17" t="n">
        <x:v>0</x:v>
      </x:c>
      <x:c r="M1556" s="13" t="str">
        <x:v>Pago</x:v>
      </x:c>
      <x:c r="N1556" s="13" t="str">
        <x:v>Sem cobrança</x:v>
      </x:c>
      <x:c r="O1556" s="13" t="str">
        <x:v>Escala inteligente</x:v>
      </x:c>
      <x:c r="P1556" s="17" t="n">
        <x:f>IF(D1556="",0,J1556-K1556+L1556)</x:f>
        <x:v>24153.58</x:v>
      </x:c>
      <x:c r="Q1556" s="17" t="n">
        <x:f>MAX(J1556-P1556-K1556,0)</x:f>
        <x:v>0</x:v>
      </x:c>
      <x:c r="R1556" s="13" t="n">
        <x:f>IF(D1556="",MAX(TODAY()-C1556,0),MAX(D1556-C1556,0))</x:f>
        <x:v>0</x:v>
      </x:c>
      <x:c r="S1556" s="13" t="str">
        <x:f>IF(R1556=0,"Em dia",IF(R1556&lt;=15,"1-15 dias",IF(R1556&lt;=30,"16-30 dias",IF(R1556&lt;=60,"31-60 dias","Acima de 60 dias"))))</x:f>
        <x:v>Em dia</x:v>
      </x:c>
    </x:row>
    <x:row r="1557">
      <x:c r="A1557" s="13" t="str">
        <x:v>REC-001556</x:v>
      </x:c>
      <x:c r="B1557" s="23" t="n">
        <x:v>46054</x:v>
      </x:c>
      <x:c r="C1557" s="23" t="n">
        <x:v>46082</x:v>
      </x:c>
      <x:c r="D1557" s="23" t="n">
        <x:v>46082</x:v>
      </x:c>
      <x:c r="E1557" s="13" t="str">
        <x:v>VAL-007</x:v>
      </x:c>
      <x:c r="F1557" s="13" t="str">
        <x:v>Loja Prisma Online</x:v>
      </x:c>
      <x:c r="G1557" s="13" t="str">
        <x:v>E-commerce</x:v>
      </x:c>
      <x:c r="H1557" s="13" t="str">
        <x:v>Médio</x:v>
      </x:c>
      <x:c r="I1557" s="13" t="str">
        <x:v>Performance</x:v>
      </x:c>
      <x:c r="J1557" s="17" t="n">
        <x:v>25123.35</x:v>
      </x:c>
      <x:c r="K1557" s="17" t="n">
        <x:v>0</x:v>
      </x:c>
      <x:c r="L1557" s="17" t="n">
        <x:v>0</x:v>
      </x:c>
      <x:c r="M1557" s="13" t="str">
        <x:v>Pago</x:v>
      </x:c>
      <x:c r="N1557" s="13" t="str">
        <x:v>Sem cobrança</x:v>
      </x:c>
      <x:c r="O1557" s="13" t="str">
        <x:v>Escala inteligente</x:v>
      </x:c>
      <x:c r="P1557" s="17" t="n">
        <x:f>IF(D1557="",0,J1557-K1557+L1557)</x:f>
        <x:v>25123.35</x:v>
      </x:c>
      <x:c r="Q1557" s="17" t="n">
        <x:f>MAX(J1557-P1557-K1557,0)</x:f>
        <x:v>0</x:v>
      </x:c>
      <x:c r="R1557" s="13" t="n">
        <x:f>IF(D1557="",MAX(TODAY()-C1557,0),MAX(D1557-C1557,0))</x:f>
        <x:v>0</x:v>
      </x:c>
      <x:c r="S1557" s="13" t="str">
        <x:f>IF(R1557=0,"Em dia",IF(R1557&lt;=15,"1-15 dias",IF(R1557&lt;=30,"16-30 dias",IF(R1557&lt;=60,"31-60 dias","Acima de 60 dias"))))</x:f>
        <x:v>Em dia</x:v>
      </x:c>
    </x:row>
    <x:row r="1558">
      <x:c r="A1558" s="13" t="str">
        <x:v>REC-001557</x:v>
      </x:c>
      <x:c r="B1558" s="23" t="n">
        <x:v>46054</x:v>
      </x:c>
      <x:c r="C1558" s="23" t="n">
        <x:v>46069</x:v>
      </x:c>
      <x:c r="D1558" s="23" t="n">
        <x:v>46065</x:v>
      </x:c>
      <x:c r="E1558" s="13" t="str">
        <x:v>VAL-020</x:v>
      </x:c>
      <x:c r="F1558" s="13" t="str">
        <x:v>Corelink Digital</x:v>
      </x:c>
      <x:c r="G1558" s="13" t="str">
        <x:v>Tecnologia</x:v>
      </x:c>
      <x:c r="H1558" s="13" t="str">
        <x:v>Baixo</x:v>
      </x:c>
      <x:c r="I1558" s="13" t="str">
        <x:v>Enterprise</x:v>
      </x:c>
      <x:c r="J1558" s="17" t="n">
        <x:v>19232.12</x:v>
      </x:c>
      <x:c r="K1558" s="17" t="n">
        <x:v>0</x:v>
      </x:c>
      <x:c r="L1558" s="17" t="n">
        <x:v>0</x:v>
      </x:c>
      <x:c r="M1558" s="13" t="str">
        <x:v>Pago</x:v>
      </x:c>
      <x:c r="N1558" s="13" t="str">
        <x:v>Sem cobrança</x:v>
      </x:c>
      <x:c r="O1558" s="13" t="str">
        <x:v>Escala inteligente</x:v>
      </x:c>
      <x:c r="P1558" s="17" t="n">
        <x:f>IF(D1558="",0,J1558-K1558+L1558)</x:f>
        <x:v>19232.12</x:v>
      </x:c>
      <x:c r="Q1558" s="17" t="n">
        <x:f>MAX(J1558-P1558-K1558,0)</x:f>
        <x:v>0</x:v>
      </x:c>
      <x:c r="R1558" s="13" t="n">
        <x:f>IF(D1558="",MAX(TODAY()-C1558,0),MAX(D1558-C1558,0))</x:f>
        <x:v>0</x:v>
      </x:c>
      <x:c r="S1558" s="13" t="str">
        <x:f>IF(R1558=0,"Em dia",IF(R1558&lt;=15,"1-15 dias",IF(R1558&lt;=30,"16-30 dias",IF(R1558&lt;=60,"31-60 dias","Acima de 60 dias"))))</x:f>
        <x:v>Em dia</x:v>
      </x:c>
    </x:row>
    <x:row r="1559">
      <x:c r="A1559" s="13" t="str">
        <x:v>REC-001558</x:v>
      </x:c>
      <x:c r="B1559" s="23" t="n">
        <x:v>46071</x:v>
      </x:c>
      <x:c r="C1559" s="23" t="n">
        <x:v>46099</x:v>
      </x:c>
      <x:c r="D1559" s="23" t="n">
        <x:v>46098</x:v>
      </x:c>
      <x:c r="E1559" s="13" t="str">
        <x:v>VAL-013</x:v>
      </x:c>
      <x:c r="F1559" s="13" t="str">
        <x:v>Engenharia Vértice</x:v>
      </x:c>
      <x:c r="G1559" s="13" t="str">
        <x:v>Construção</x:v>
      </x:c>
      <x:c r="H1559" s="13" t="str">
        <x:v>Baixo</x:v>
      </x:c>
      <x:c r="I1559" s="13" t="str">
        <x:v>Essencial</x:v>
      </x:c>
      <x:c r="J1559" s="17" t="n">
        <x:v>15696.03</x:v>
      </x:c>
      <x:c r="K1559" s="17" t="n">
        <x:v>0</x:v>
      </x:c>
      <x:c r="L1559" s="17" t="n">
        <x:v>0</x:v>
      </x:c>
      <x:c r="M1559" s="13" t="str">
        <x:v>Pago</x:v>
      </x:c>
      <x:c r="N1559" s="13" t="str">
        <x:v>Sem cobrança</x:v>
      </x:c>
      <x:c r="O1559" s="13" t="str">
        <x:v>Escala inteligente</x:v>
      </x:c>
      <x:c r="P1559" s="17" t="n">
        <x:f>IF(D1559="",0,J1559-K1559+L1559)</x:f>
        <x:v>15696.03</x:v>
      </x:c>
      <x:c r="Q1559" s="17" t="n">
        <x:f>MAX(J1559-P1559-K1559,0)</x:f>
        <x:v>0</x:v>
      </x:c>
      <x:c r="R1559" s="13" t="n">
        <x:f>IF(D1559="",MAX(TODAY()-C1559,0),MAX(D1559-C1559,0))</x:f>
        <x:v>0</x:v>
      </x:c>
      <x:c r="S1559" s="13" t="str">
        <x:f>IF(R1559=0,"Em dia",IF(R1559&lt;=15,"1-15 dias",IF(R1559&lt;=30,"16-30 dias",IF(R1559&lt;=60,"31-60 dias","Acima de 60 dias"))))</x:f>
        <x:v>Em dia</x:v>
      </x:c>
    </x:row>
    <x:row r="1560">
      <x:c r="A1560" s="13" t="str">
        <x:v>REC-001559</x:v>
      </x:c>
      <x:c r="B1560" s="23" t="n">
        <x:v>46072</x:v>
      </x:c>
      <x:c r="C1560" s="23" t="n">
        <x:v>46087</x:v>
      </x:c>
      <x:c r="D1560" s="23" t="n">
        <x:v>46085</x:v>
      </x:c>
      <x:c r="E1560" s="13" t="str">
        <x:v>VAL-016</x:v>
      </x:c>
      <x:c r="F1560" s="13" t="str">
        <x:v>Lumina Embalagens</x:v>
      </x:c>
      <x:c r="G1560" s="13" t="str">
        <x:v>Indústria Leve</x:v>
      </x:c>
      <x:c r="H1560" s="13" t="str">
        <x:v>Baixo</x:v>
      </x:c>
      <x:c r="I1560" s="13" t="str">
        <x:v>Enterprise</x:v>
      </x:c>
      <x:c r="J1560" s="17" t="n">
        <x:v>28700.71</x:v>
      </x:c>
      <x:c r="K1560" s="17" t="n">
        <x:v>0</x:v>
      </x:c>
      <x:c r="L1560" s="17" t="n">
        <x:v>0</x:v>
      </x:c>
      <x:c r="M1560" s="13" t="str">
        <x:v>Pago</x:v>
      </x:c>
      <x:c r="N1560" s="13" t="str">
        <x:v>Sem cobrança</x:v>
      </x:c>
      <x:c r="O1560" s="13" t="str">
        <x:v>Escala inteligente</x:v>
      </x:c>
      <x:c r="P1560" s="17" t="n">
        <x:f>IF(D1560="",0,J1560-K1560+L1560)</x:f>
        <x:v>28700.71</x:v>
      </x:c>
      <x:c r="Q1560" s="17" t="n">
        <x:f>MAX(J1560-P1560-K1560,0)</x:f>
        <x:v>0</x:v>
      </x:c>
      <x:c r="R1560" s="13" t="n">
        <x:f>IF(D1560="",MAX(TODAY()-C1560,0),MAX(D1560-C1560,0))</x:f>
        <x:v>0</x:v>
      </x:c>
      <x:c r="S1560" s="13" t="str">
        <x:f>IF(R1560=0,"Em dia",IF(R1560&lt;=15,"1-15 dias",IF(R1560&lt;=30,"16-30 dias",IF(R1560&lt;=60,"31-60 dias","Acima de 60 dias"))))</x:f>
        <x:v>Em dia</x:v>
      </x:c>
    </x:row>
    <x:row r="1561">
      <x:c r="A1561" s="13" t="str">
        <x:v>REC-001560</x:v>
      </x:c>
      <x:c r="B1561" s="23" t="n">
        <x:v>46068</x:v>
      </x:c>
      <x:c r="C1561" s="23" t="n">
        <x:v>46096</x:v>
      </x:c>
      <x:c r="D1561" s="23" t="n">
        <x:v>46094</x:v>
      </x:c>
      <x:c r="E1561" s="13" t="str">
        <x:v>VAL-007</x:v>
      </x:c>
      <x:c r="F1561" s="13" t="str">
        <x:v>Loja Prisma Online</x:v>
      </x:c>
      <x:c r="G1561" s="13" t="str">
        <x:v>E-commerce</x:v>
      </x:c>
      <x:c r="H1561" s="13" t="str">
        <x:v>Médio</x:v>
      </x:c>
      <x:c r="I1561" s="13" t="str">
        <x:v>Performance</x:v>
      </x:c>
      <x:c r="J1561" s="17" t="n">
        <x:v>7817.47</x:v>
      </x:c>
      <x:c r="K1561" s="17" t="n">
        <x:v>0</x:v>
      </x:c>
      <x:c r="L1561" s="17" t="n">
        <x:v>0</x:v>
      </x:c>
      <x:c r="M1561" s="13" t="str">
        <x:v>Pago</x:v>
      </x:c>
      <x:c r="N1561" s="13" t="str">
        <x:v>Sem cobrança</x:v>
      </x:c>
      <x:c r="O1561" s="13" t="str">
        <x:v>Escala inteligente</x:v>
      </x:c>
      <x:c r="P1561" s="17" t="n">
        <x:f>IF(D1561="",0,J1561-K1561+L1561)</x:f>
        <x:v>7817.47</x:v>
      </x:c>
      <x:c r="Q1561" s="17" t="n">
        <x:f>MAX(J1561-P1561-K1561,0)</x:f>
        <x:v>0</x:v>
      </x:c>
      <x:c r="R1561" s="13" t="n">
        <x:f>IF(D1561="",MAX(TODAY()-C1561,0),MAX(D1561-C1561,0))</x:f>
        <x:v>0</x:v>
      </x:c>
      <x:c r="S1561" s="13" t="str">
        <x:f>IF(R1561=0,"Em dia",IF(R1561&lt;=15,"1-15 dias",IF(R1561&lt;=30,"16-30 dias",IF(R1561&lt;=60,"31-60 dias","Acima de 60 dias"))))</x:f>
        <x:v>Em dia</x:v>
      </x:c>
    </x:row>
    <x:row r="1562">
      <x:c r="A1562" s="13" t="str">
        <x:v>REC-001561</x:v>
      </x:c>
      <x:c r="B1562" s="23" t="n">
        <x:v>46091</x:v>
      </x:c>
      <x:c r="C1562" s="23" t="n">
        <x:v>46121</x:v>
      </x:c>
      <x:c r="D1562" s="23" t="n">
        <x:v>46138</x:v>
      </x:c>
      <x:c r="E1562" s="13" t="str">
        <x:v>VAL-024</x:v>
      </x:c>
      <x:c r="F1562" s="13" t="str">
        <x:v>NovaForma Móveis</x:v>
      </x:c>
      <x:c r="G1562" s="13" t="str">
        <x:v>Indústria Leve</x:v>
      </x:c>
      <x:c r="H1562" s="13" t="str">
        <x:v>Baixo</x:v>
      </x:c>
      <x:c r="I1562" s="13" t="str">
        <x:v>Enterprise</x:v>
      </x:c>
      <x:c r="J1562" s="17" t="n">
        <x:v>23624</x:v>
      </x:c>
      <x:c r="K1562" s="17" t="n">
        <x:v>0</x:v>
      </x:c>
      <x:c r="L1562" s="17" t="n">
        <x:v>261.05</x:v>
      </x:c>
      <x:c r="M1562" s="13" t="str">
        <x:v>Pago com atraso</x:v>
      </x:c>
      <x:c r="N1562" s="13" t="str">
        <x:v>Régua automática</x:v>
      </x:c>
      <x:c r="O1562" s="13" t="str">
        <x:v>Escala inteligente</x:v>
      </x:c>
      <x:c r="P1562" s="17" t="n">
        <x:f>IF(D1562="",0,J1562-K1562+L1562)</x:f>
        <x:v>23885.05</x:v>
      </x:c>
      <x:c r="Q1562" s="17" t="n">
        <x:f>MAX(J1562-P1562-K1562,0)</x:f>
        <x:v>0</x:v>
      </x:c>
      <x:c r="R1562" s="13" t="n">
        <x:f>IF(D1562="",MAX(TODAY()-C1562,0),MAX(D1562-C1562,0))</x:f>
        <x:v>17</x:v>
      </x:c>
      <x:c r="S1562" s="13" t="str">
        <x:f>IF(R1562=0,"Em dia",IF(R1562&lt;=15,"1-15 dias",IF(R1562&lt;=30,"16-30 dias",IF(R1562&lt;=60,"31-60 dias","Acima de 60 dias"))))</x:f>
        <x:v>16-30 dias</x:v>
      </x:c>
    </x:row>
    <x:row r="1563">
      <x:c r="A1563" s="13" t="str">
        <x:v>REC-001562</x:v>
      </x:c>
      <x:c r="B1563" s="23" t="n">
        <x:v>46085</x:v>
      </x:c>
      <x:c r="C1563" s="23" t="n">
        <x:v>46106</x:v>
      </x:c>
      <x:c r="D1563" s="23" t="n">
        <x:v>46106</x:v>
      </x:c>
      <x:c r="E1563" s="13" t="str">
        <x:v>VAL-024</x:v>
      </x:c>
      <x:c r="F1563" s="13" t="str">
        <x:v>NovaForma Móveis</x:v>
      </x:c>
      <x:c r="G1563" s="13" t="str">
        <x:v>Indústria Leve</x:v>
      </x:c>
      <x:c r="H1563" s="13" t="str">
        <x:v>Baixo</x:v>
      </x:c>
      <x:c r="I1563" s="13" t="str">
        <x:v>Enterprise</x:v>
      </x:c>
      <x:c r="J1563" s="17" t="n">
        <x:v>31103.44</x:v>
      </x:c>
      <x:c r="K1563" s="17" t="n">
        <x:v>263.55</x:v>
      </x:c>
      <x:c r="L1563" s="17" t="n">
        <x:v>0</x:v>
      </x:c>
      <x:c r="M1563" s="13" t="str">
        <x:v>Pago</x:v>
      </x:c>
      <x:c r="N1563" s="13" t="str">
        <x:v>Sem cobrança</x:v>
      </x:c>
      <x:c r="O1563" s="13" t="str">
        <x:v>Escala inteligente</x:v>
      </x:c>
      <x:c r="P1563" s="17" t="n">
        <x:f>IF(D1563="",0,J1563-K1563+L1563)</x:f>
        <x:v>30839.89</x:v>
      </x:c>
      <x:c r="Q1563" s="17" t="n">
        <x:f>MAX(J1563-P1563-K1563,0)</x:f>
        <x:v>0</x:v>
      </x:c>
      <x:c r="R1563" s="13" t="n">
        <x:f>IF(D1563="",MAX(TODAY()-C1563,0),MAX(D1563-C1563,0))</x:f>
        <x:v>0</x:v>
      </x:c>
      <x:c r="S1563" s="13" t="str">
        <x:f>IF(R1563=0,"Em dia",IF(R1563&lt;=15,"1-15 dias",IF(R1563&lt;=30,"16-30 dias",IF(R1563&lt;=60,"31-60 dias","Acima de 60 dias"))))</x:f>
        <x:v>Em dia</x:v>
      </x:c>
    </x:row>
    <x:row r="1564">
      <x:c r="A1564" s="13" t="str">
        <x:v>REC-001563</x:v>
      </x:c>
      <x:c r="B1564" s="23" t="n">
        <x:v>46098</x:v>
      </x:c>
      <x:c r="C1564" s="23" t="n">
        <x:v>46126</x:v>
      </x:c>
      <x:c r="D1564" s="23" t="n">
        <x:v>46125</x:v>
      </x:c>
      <x:c r="E1564" s="13" t="str">
        <x:v>VAL-022</x:v>
      </x:c>
      <x:c r="F1564" s="13" t="str">
        <x:v>Academia Evoluir</x:v>
      </x:c>
      <x:c r="G1564" s="13" t="str">
        <x:v>Educação</x:v>
      </x:c>
      <x:c r="H1564" s="13" t="str">
        <x:v>Alto</x:v>
      </x:c>
      <x:c r="I1564" s="13" t="str">
        <x:v>Gestão</x:v>
      </x:c>
      <x:c r="J1564" s="17" t="n">
        <x:v>1107.81</x:v>
      </x:c>
      <x:c r="K1564" s="17" t="n">
        <x:v>0</x:v>
      </x:c>
      <x:c r="L1564" s="17" t="n">
        <x:v>0</x:v>
      </x:c>
      <x:c r="M1564" s="13" t="str">
        <x:v>Pago</x:v>
      </x:c>
      <x:c r="N1564" s="13" t="str">
        <x:v>Sem cobrança</x:v>
      </x:c>
      <x:c r="O1564" s="13" t="str">
        <x:v>Escala inteligente</x:v>
      </x:c>
      <x:c r="P1564" s="17" t="n">
        <x:f>IF(D1564="",0,J1564-K1564+L1564)</x:f>
        <x:v>1107.81</x:v>
      </x:c>
      <x:c r="Q1564" s="17" t="n">
        <x:f>MAX(J1564-P1564-K1564,0)</x:f>
        <x:v>0</x:v>
      </x:c>
      <x:c r="R1564" s="13" t="n">
        <x:f>IF(D1564="",MAX(TODAY()-C1564,0),MAX(D1564-C1564,0))</x:f>
        <x:v>0</x:v>
      </x:c>
      <x:c r="S1564" s="13" t="str">
        <x:f>IF(R1564=0,"Em dia",IF(R1564&lt;=15,"1-15 dias",IF(R1564&lt;=30,"16-30 dias",IF(R1564&lt;=60,"31-60 dias","Acima de 60 dias"))))</x:f>
        <x:v>Em dia</x:v>
      </x:c>
    </x:row>
    <x:row r="1565">
      <x:c r="A1565" s="13" t="str">
        <x:v>REC-001564</x:v>
      </x:c>
      <x:c r="B1565" s="23" t="n">
        <x:v>46090</x:v>
      </x:c>
      <x:c r="C1565" s="23" t="n">
        <x:v>46111</x:v>
      </x:c>
      <x:c r="D1565" s="23" t="n">
        <x:v>46107</x:v>
      </x:c>
      <x:c r="E1565" s="13" t="str">
        <x:v>VAL-025</x:v>
      </x:c>
      <x:c r="F1565" s="13" t="str">
        <x:v>Bem-Estar Terapias</x:v>
      </x:c>
      <x:c r="G1565" s="13" t="str">
        <x:v>Clínicas e Saúde</x:v>
      </x:c>
      <x:c r="H1565" s="13" t="str">
        <x:v>Baixo</x:v>
      </x:c>
      <x:c r="I1565" s="13" t="str">
        <x:v>Essencial</x:v>
      </x:c>
      <x:c r="J1565" s="17" t="n">
        <x:v>1142.55</x:v>
      </x:c>
      <x:c r="K1565" s="17" t="n">
        <x:v>0</x:v>
      </x:c>
      <x:c r="L1565" s="17" t="n">
        <x:v>0</x:v>
      </x:c>
      <x:c r="M1565" s="13" t="str">
        <x:v>Pago</x:v>
      </x:c>
      <x:c r="N1565" s="13" t="str">
        <x:v>Sem cobrança</x:v>
      </x:c>
      <x:c r="O1565" s="13" t="str">
        <x:v>Escala inteligente</x:v>
      </x:c>
      <x:c r="P1565" s="17" t="n">
        <x:f>IF(D1565="",0,J1565-K1565+L1565)</x:f>
        <x:v>1142.55</x:v>
      </x:c>
      <x:c r="Q1565" s="17" t="n">
        <x:f>MAX(J1565-P1565-K1565,0)</x:f>
        <x:v>0</x:v>
      </x:c>
      <x:c r="R1565" s="13" t="n">
        <x:f>IF(D1565="",MAX(TODAY()-C1565,0),MAX(D1565-C1565,0))</x:f>
        <x:v>0</x:v>
      </x:c>
      <x:c r="S1565" s="13" t="str">
        <x:f>IF(R1565=0,"Em dia",IF(R1565&lt;=15,"1-15 dias",IF(R1565&lt;=30,"16-30 dias",IF(R1565&lt;=60,"31-60 dias","Acima de 60 dias"))))</x:f>
        <x:v>Em dia</x:v>
      </x:c>
    </x:row>
    <x:row r="1566">
      <x:c r="A1566" s="13" t="str">
        <x:v>REC-001565</x:v>
      </x:c>
      <x:c r="B1566" s="23" t="n">
        <x:v>46088</x:v>
      </x:c>
      <x:c r="C1566" s="23" t="n">
        <x:v>46095</x:v>
      </x:c>
      <x:c r="D1566" s="23" t="n">
        <x:v>46094</x:v>
      </x:c>
      <x:c r="E1566" s="13" t="str">
        <x:v>VAL-016</x:v>
      </x:c>
      <x:c r="F1566" s="13" t="str">
        <x:v>Lumina Embalagens</x:v>
      </x:c>
      <x:c r="G1566" s="13" t="str">
        <x:v>Indústria Leve</x:v>
      </x:c>
      <x:c r="H1566" s="13" t="str">
        <x:v>Baixo</x:v>
      </x:c>
      <x:c r="I1566" s="13" t="str">
        <x:v>Enterprise</x:v>
      </x:c>
      <x:c r="J1566" s="17" t="n">
        <x:v>13265.73</x:v>
      </x:c>
      <x:c r="K1566" s="17" t="n">
        <x:v>0</x:v>
      </x:c>
      <x:c r="L1566" s="17" t="n">
        <x:v>0</x:v>
      </x:c>
      <x:c r="M1566" s="13" t="str">
        <x:v>Pago</x:v>
      </x:c>
      <x:c r="N1566" s="13" t="str">
        <x:v>Sem cobrança</x:v>
      </x:c>
      <x:c r="O1566" s="13" t="str">
        <x:v>Escala inteligente</x:v>
      </x:c>
      <x:c r="P1566" s="17" t="n">
        <x:f>IF(D1566="",0,J1566-K1566+L1566)</x:f>
        <x:v>13265.73</x:v>
      </x:c>
      <x:c r="Q1566" s="17" t="n">
        <x:f>MAX(J1566-P1566-K1566,0)</x:f>
        <x:v>0</x:v>
      </x:c>
      <x:c r="R1566" s="13" t="n">
        <x:f>IF(D1566="",MAX(TODAY()-C1566,0),MAX(D1566-C1566,0))</x:f>
        <x:v>0</x:v>
      </x:c>
      <x:c r="S1566" s="13" t="str">
        <x:f>IF(R1566=0,"Em dia",IF(R1566&lt;=15,"1-15 dias",IF(R1566&lt;=30,"16-30 dias",IF(R1566&lt;=60,"31-60 dias","Acima de 60 dias"))))</x:f>
        <x:v>Em dia</x:v>
      </x:c>
    </x:row>
    <x:row r="1567">
      <x:c r="A1567" s="13" t="str">
        <x:v>REC-001566</x:v>
      </x:c>
      <x:c r="B1567" s="23" t="n">
        <x:v>46091</x:v>
      </x:c>
      <x:c r="C1567" s="23" t="n">
        <x:v>46106</x:v>
      </x:c>
      <x:c r="D1567" s="23" t="n">
        <x:v>46102</x:v>
      </x:c>
      <x:c r="E1567" s="13" t="str">
        <x:v>VAL-006</x:v>
      </x:c>
      <x:c r="F1567" s="13" t="str">
        <x:v>Instituto Saber Mais</x:v>
      </x:c>
      <x:c r="G1567" s="13" t="str">
        <x:v>Educação</x:v>
      </x:c>
      <x:c r="H1567" s="13" t="str">
        <x:v>Médio</x:v>
      </x:c>
      <x:c r="I1567" s="13" t="str">
        <x:v>Gestão</x:v>
      </x:c>
      <x:c r="J1567" s="17" t="n">
        <x:v>26418.07</x:v>
      </x:c>
      <x:c r="K1567" s="17" t="n">
        <x:v>219.03</x:v>
      </x:c>
      <x:c r="L1567" s="17" t="n">
        <x:v>0</x:v>
      </x:c>
      <x:c r="M1567" s="13" t="str">
        <x:v>Pago</x:v>
      </x:c>
      <x:c r="N1567" s="13" t="str">
        <x:v>Sem cobrança</x:v>
      </x:c>
      <x:c r="O1567" s="13" t="str">
        <x:v>Escala inteligente</x:v>
      </x:c>
      <x:c r="P1567" s="17" t="n">
        <x:f>IF(D1567="",0,J1567-K1567+L1567)</x:f>
        <x:v>26199.04</x:v>
      </x:c>
      <x:c r="Q1567" s="17" t="n">
        <x:f>MAX(J1567-P1567-K1567,0)</x:f>
        <x:v>0</x:v>
      </x:c>
      <x:c r="R1567" s="13" t="n">
        <x:f>IF(D1567="",MAX(TODAY()-C1567,0),MAX(D1567-C1567,0))</x:f>
        <x:v>0</x:v>
      </x:c>
      <x:c r="S1567" s="13" t="str">
        <x:f>IF(R1567=0,"Em dia",IF(R1567&lt;=15,"1-15 dias",IF(R1567&lt;=30,"16-30 dias",IF(R1567&lt;=60,"31-60 dias","Acima de 60 dias"))))</x:f>
        <x:v>Em dia</x:v>
      </x:c>
    </x:row>
    <x:row r="1568">
      <x:c r="A1568" s="13" t="str">
        <x:v>REC-001567</x:v>
      </x:c>
      <x:c r="B1568" s="23" t="n">
        <x:v>46101</x:v>
      </x:c>
      <x:c r="C1568" s="23" t="n">
        <x:v>46131</x:v>
      </x:c>
      <x:c r="D1568" s="23" t="n">
        <x:v>46128</x:v>
      </x:c>
      <x:c r="E1568" s="13" t="str">
        <x:v>VAL-005</x:v>
      </x:c>
      <x:c r="F1568" s="13" t="str">
        <x:v>Construtora Alameda</x:v>
      </x:c>
      <x:c r="G1568" s="13" t="str">
        <x:v>Construção</x:v>
      </x:c>
      <x:c r="H1568" s="13" t="str">
        <x:v>Médio</x:v>
      </x:c>
      <x:c r="I1568" s="13" t="str">
        <x:v>Essencial</x:v>
      </x:c>
      <x:c r="J1568" s="17" t="n">
        <x:v>20861.94</x:v>
      </x:c>
      <x:c r="K1568" s="17" t="n">
        <x:v>0</x:v>
      </x:c>
      <x:c r="L1568" s="17" t="n">
        <x:v>0</x:v>
      </x:c>
      <x:c r="M1568" s="13" t="str">
        <x:v>Pago</x:v>
      </x:c>
      <x:c r="N1568" s="13" t="str">
        <x:v>Sem cobrança</x:v>
      </x:c>
      <x:c r="O1568" s="13" t="str">
        <x:v>Escala inteligente</x:v>
      </x:c>
      <x:c r="P1568" s="17" t="n">
        <x:f>IF(D1568="",0,J1568-K1568+L1568)</x:f>
        <x:v>20861.94</x:v>
      </x:c>
      <x:c r="Q1568" s="17" t="n">
        <x:f>MAX(J1568-P1568-K1568,0)</x:f>
        <x:v>0</x:v>
      </x:c>
      <x:c r="R1568" s="13" t="n">
        <x:f>IF(D1568="",MAX(TODAY()-C1568,0),MAX(D1568-C1568,0))</x:f>
        <x:v>0</x:v>
      </x:c>
      <x:c r="S1568" s="13" t="str">
        <x:f>IF(R1568=0,"Em dia",IF(R1568&lt;=15,"1-15 dias",IF(R1568&lt;=30,"16-30 dias",IF(R1568&lt;=60,"31-60 dias","Acima de 60 dias"))))</x:f>
        <x:v>Em dia</x:v>
      </x:c>
    </x:row>
    <x:row r="1569">
      <x:c r="A1569" s="13" t="str">
        <x:v>REC-001568</x:v>
      </x:c>
      <x:c r="B1569" s="23" t="n">
        <x:v>46094</x:v>
      </x:c>
      <x:c r="C1569" s="23" t="n">
        <x:v>46124</x:v>
      </x:c>
      <x:c r="D1569" s="23" t="n">
        <x:v>46123</x:v>
      </x:c>
      <x:c r="E1569" s="13" t="str">
        <x:v>VAL-014</x:v>
      </x:c>
      <x:c r="F1569" s="13" t="str">
        <x:v>Colégio Caminhos</x:v>
      </x:c>
      <x:c r="G1569" s="13" t="str">
        <x:v>Educação</x:v>
      </x:c>
      <x:c r="H1569" s="13" t="str">
        <x:v>Médio</x:v>
      </x:c>
      <x:c r="I1569" s="13" t="str">
        <x:v>Gestão</x:v>
      </x:c>
      <x:c r="J1569" s="17" t="n">
        <x:v>15933.78</x:v>
      </x:c>
      <x:c r="K1569" s="17" t="n">
        <x:v>0</x:v>
      </x:c>
      <x:c r="L1569" s="17" t="n">
        <x:v>0</x:v>
      </x:c>
      <x:c r="M1569" s="13" t="str">
        <x:v>Pago</x:v>
      </x:c>
      <x:c r="N1569" s="13" t="str">
        <x:v>Sem cobrança</x:v>
      </x:c>
      <x:c r="O1569" s="13" t="str">
        <x:v>Escala inteligente</x:v>
      </x:c>
      <x:c r="P1569" s="17" t="n">
        <x:f>IF(D1569="",0,J1569-K1569+L1569)</x:f>
        <x:v>15933.78</x:v>
      </x:c>
      <x:c r="Q1569" s="17" t="n">
        <x:f>MAX(J1569-P1569-K1569,0)</x:f>
        <x:v>0</x:v>
      </x:c>
      <x:c r="R1569" s="13" t="n">
        <x:f>IF(D1569="",MAX(TODAY()-C1569,0),MAX(D1569-C1569,0))</x:f>
        <x:v>0</x:v>
      </x:c>
      <x:c r="S1569" s="13" t="str">
        <x:f>IF(R1569=0,"Em dia",IF(R1569&lt;=15,"1-15 dias",IF(R1569&lt;=30,"16-30 dias",IF(R1569&lt;=60,"31-60 dias","Acima de 60 dias"))))</x:f>
        <x:v>Em dia</x:v>
      </x:c>
    </x:row>
    <x:row r="1570">
      <x:c r="A1570" s="13" t="str">
        <x:v>REC-001569</x:v>
      </x:c>
      <x:c r="B1570" s="23" t="n">
        <x:v>46091</x:v>
      </x:c>
      <x:c r="C1570" s="23" t="n">
        <x:v>46121</x:v>
      </x:c>
      <x:c r="D1570" s="23" t="n">
        <x:v>46118</x:v>
      </x:c>
      <x:c r="E1570" s="13" t="str">
        <x:v>VAL-016</x:v>
      </x:c>
      <x:c r="F1570" s="13" t="str">
        <x:v>Lumina Embalagens</x:v>
      </x:c>
      <x:c r="G1570" s="13" t="str">
        <x:v>Indústria Leve</x:v>
      </x:c>
      <x:c r="H1570" s="13" t="str">
        <x:v>Baixo</x:v>
      </x:c>
      <x:c r="I1570" s="13" t="str">
        <x:v>Enterprise</x:v>
      </x:c>
      <x:c r="J1570" s="17" t="n">
        <x:v>23313.15</x:v>
      </x:c>
      <x:c r="K1570" s="17" t="n">
        <x:v>0</x:v>
      </x:c>
      <x:c r="L1570" s="17" t="n">
        <x:v>0</x:v>
      </x:c>
      <x:c r="M1570" s="13" t="str">
        <x:v>Pago</x:v>
      </x:c>
      <x:c r="N1570" s="13" t="str">
        <x:v>Sem cobrança</x:v>
      </x:c>
      <x:c r="O1570" s="13" t="str">
        <x:v>Escala inteligente</x:v>
      </x:c>
      <x:c r="P1570" s="17" t="n">
        <x:f>IF(D1570="",0,J1570-K1570+L1570)</x:f>
        <x:v>23313.15</x:v>
      </x:c>
      <x:c r="Q1570" s="17" t="n">
        <x:f>MAX(J1570-P1570-K1570,0)</x:f>
        <x:v>0</x:v>
      </x:c>
      <x:c r="R1570" s="13" t="n">
        <x:f>IF(D1570="",MAX(TODAY()-C1570,0),MAX(D1570-C1570,0))</x:f>
        <x:v>0</x:v>
      </x:c>
      <x:c r="S1570" s="13" t="str">
        <x:f>IF(R1570=0,"Em dia",IF(R1570&lt;=15,"1-15 dias",IF(R1570&lt;=30,"16-30 dias",IF(R1570&lt;=60,"31-60 dias","Acima de 60 dias"))))</x:f>
        <x:v>Em dia</x:v>
      </x:c>
    </x:row>
    <x:row r="1571">
      <x:c r="A1571" s="13" t="str">
        <x:v>REC-001570</x:v>
      </x:c>
      <x:c r="B1571" s="23" t="n">
        <x:v>46088</x:v>
      </x:c>
      <x:c r="C1571" s="23" t="n">
        <x:v>46095</x:v>
      </x:c>
      <x:c r="D1571" s="23" t="n">
        <x:v>46091</x:v>
      </x:c>
      <x:c r="E1571" s="13" t="str">
        <x:v>VAL-029</x:v>
      </x:c>
      <x:c r="F1571" s="13" t="str">
        <x:v>Planobra Serviços</x:v>
      </x:c>
      <x:c r="G1571" s="13" t="str">
        <x:v>Construção</x:v>
      </x:c>
      <x:c r="H1571" s="13" t="str">
        <x:v>Baixo</x:v>
      </x:c>
      <x:c r="I1571" s="13" t="str">
        <x:v>Essencial</x:v>
      </x:c>
      <x:c r="J1571" s="17" t="n">
        <x:v>2761.9</x:v>
      </x:c>
      <x:c r="K1571" s="17" t="n">
        <x:v>0</x:v>
      </x:c>
      <x:c r="L1571" s="17" t="n">
        <x:v>0</x:v>
      </x:c>
      <x:c r="M1571" s="13" t="str">
        <x:v>Pago</x:v>
      </x:c>
      <x:c r="N1571" s="13" t="str">
        <x:v>Sem cobrança</x:v>
      </x:c>
      <x:c r="O1571" s="13" t="str">
        <x:v>Escala inteligente</x:v>
      </x:c>
      <x:c r="P1571" s="17" t="n">
        <x:f>IF(D1571="",0,J1571-K1571+L1571)</x:f>
        <x:v>2761.9</x:v>
      </x:c>
      <x:c r="Q1571" s="17" t="n">
        <x:f>MAX(J1571-P1571-K1571,0)</x:f>
        <x:v>0</x:v>
      </x:c>
      <x:c r="R1571" s="13" t="n">
        <x:f>IF(D1571="",MAX(TODAY()-C1571,0),MAX(D1571-C1571,0))</x:f>
        <x:v>0</x:v>
      </x:c>
      <x:c r="S1571" s="13" t="str">
        <x:f>IF(R1571=0,"Em dia",IF(R1571&lt;=15,"1-15 dias",IF(R1571&lt;=30,"16-30 dias",IF(R1571&lt;=60,"31-60 dias","Acima de 60 dias"))))</x:f>
        <x:v>Em dia</x:v>
      </x:c>
    </x:row>
    <x:row r="1572">
      <x:c r="A1572" s="13" t="str">
        <x:v>REC-001571</x:v>
      </x:c>
      <x:c r="B1572" s="23" t="n">
        <x:v>46085</x:v>
      </x:c>
      <x:c r="C1572" s="23" t="n">
        <x:v>46100</x:v>
      </x:c>
      <x:c r="D1572" s="23" t="n">
        <x:v>46098</x:v>
      </x:c>
      <x:c r="E1572" s="13" t="str">
        <x:v>VAL-029</x:v>
      </x:c>
      <x:c r="F1572" s="13" t="str">
        <x:v>Planobra Serviços</x:v>
      </x:c>
      <x:c r="G1572" s="13" t="str">
        <x:v>Construção</x:v>
      </x:c>
      <x:c r="H1572" s="13" t="str">
        <x:v>Baixo</x:v>
      </x:c>
      <x:c r="I1572" s="13" t="str">
        <x:v>Essencial</x:v>
      </x:c>
      <x:c r="J1572" s="17" t="n">
        <x:v>19514.26</x:v>
      </x:c>
      <x:c r="K1572" s="17" t="n">
        <x:v>0</x:v>
      </x:c>
      <x:c r="L1572" s="17" t="n">
        <x:v>0</x:v>
      </x:c>
      <x:c r="M1572" s="13" t="str">
        <x:v>Pago</x:v>
      </x:c>
      <x:c r="N1572" s="13" t="str">
        <x:v>Sem cobrança</x:v>
      </x:c>
      <x:c r="O1572" s="13" t="str">
        <x:v>Escala inteligente</x:v>
      </x:c>
      <x:c r="P1572" s="17" t="n">
        <x:f>IF(D1572="",0,J1572-K1572+L1572)</x:f>
        <x:v>19514.26</x:v>
      </x:c>
      <x:c r="Q1572" s="17" t="n">
        <x:f>MAX(J1572-P1572-K1572,0)</x:f>
        <x:v>0</x:v>
      </x:c>
      <x:c r="R1572" s="13" t="n">
        <x:f>IF(D1572="",MAX(TODAY()-C1572,0),MAX(D1572-C1572,0))</x:f>
        <x:v>0</x:v>
      </x:c>
      <x:c r="S1572" s="13" t="str">
        <x:f>IF(R1572=0,"Em dia",IF(R1572&lt;=15,"1-15 dias",IF(R1572&lt;=30,"16-30 dias",IF(R1572&lt;=60,"31-60 dias","Acima de 60 dias"))))</x:f>
        <x:v>Em dia</x:v>
      </x:c>
    </x:row>
    <x:row r="1573">
      <x:c r="A1573" s="13" t="str">
        <x:v>REC-001572</x:v>
      </x:c>
      <x:c r="B1573" s="23" t="n">
        <x:v>46083</x:v>
      </x:c>
      <x:c r="C1573" s="23" t="n">
        <x:v>46111</x:v>
      </x:c>
      <x:c r="D1573" s="23" t="n">
        <x:v>46111</x:v>
      </x:c>
      <x:c r="E1573" s="13" t="str">
        <x:v>VAL-018</x:v>
      </x:c>
      <x:c r="F1573" s="13" t="str">
        <x:v>Ponto Legal Advocacia</x:v>
      </x:c>
      <x:c r="G1573" s="13" t="str">
        <x:v>Serviços Profissionais</x:v>
      </x:c>
      <x:c r="H1573" s="13" t="str">
        <x:v>Baixo</x:v>
      </x:c>
      <x:c r="I1573" s="13" t="str">
        <x:v>Gestão</x:v>
      </x:c>
      <x:c r="J1573" s="17" t="n">
        <x:v>16662.95</x:v>
      </x:c>
      <x:c r="K1573" s="17" t="n">
        <x:v>0</x:v>
      </x:c>
      <x:c r="L1573" s="17" t="n">
        <x:v>0</x:v>
      </x:c>
      <x:c r="M1573" s="13" t="str">
        <x:v>Pago</x:v>
      </x:c>
      <x:c r="N1573" s="13" t="str">
        <x:v>Sem cobrança</x:v>
      </x:c>
      <x:c r="O1573" s="13" t="str">
        <x:v>Escala inteligente</x:v>
      </x:c>
      <x:c r="P1573" s="17" t="n">
        <x:f>IF(D1573="",0,J1573-K1573+L1573)</x:f>
        <x:v>16662.95</x:v>
      </x:c>
      <x:c r="Q1573" s="17" t="n">
        <x:f>MAX(J1573-P1573-K1573,0)</x:f>
        <x:v>0</x:v>
      </x:c>
      <x:c r="R1573" s="13" t="n">
        <x:f>IF(D1573="",MAX(TODAY()-C1573,0),MAX(D1573-C1573,0))</x:f>
        <x:v>0</x:v>
      </x:c>
      <x:c r="S1573" s="13" t="str">
        <x:f>IF(R1573=0,"Em dia",IF(R1573&lt;=15,"1-15 dias",IF(R1573&lt;=30,"16-30 dias",IF(R1573&lt;=60,"31-60 dias","Acima de 60 dias"))))</x:f>
        <x:v>Em dia</x:v>
      </x:c>
    </x:row>
    <x:row r="1574">
      <x:c r="A1574" s="13" t="str">
        <x:v>REC-001573</x:v>
      </x:c>
      <x:c r="B1574" s="23" t="n">
        <x:v>46087</x:v>
      </x:c>
      <x:c r="C1574" s="23" t="n">
        <x:v>46117</x:v>
      </x:c>
      <x:c r="D1574" s="23" t="n">
        <x:v>46113</x:v>
      </x:c>
      <x:c r="E1574" s="13" t="str">
        <x:v>VAL-014</x:v>
      </x:c>
      <x:c r="F1574" s="13" t="str">
        <x:v>Colégio Caminhos</x:v>
      </x:c>
      <x:c r="G1574" s="13" t="str">
        <x:v>Educação</x:v>
      </x:c>
      <x:c r="H1574" s="13" t="str">
        <x:v>Médio</x:v>
      </x:c>
      <x:c r="I1574" s="13" t="str">
        <x:v>Gestão</x:v>
      </x:c>
      <x:c r="J1574" s="17" t="n">
        <x:v>9046.51</x:v>
      </x:c>
      <x:c r="K1574" s="17" t="n">
        <x:v>0</x:v>
      </x:c>
      <x:c r="L1574" s="17" t="n">
        <x:v>0</x:v>
      </x:c>
      <x:c r="M1574" s="13" t="str">
        <x:v>Pago</x:v>
      </x:c>
      <x:c r="N1574" s="13" t="str">
        <x:v>Sem cobrança</x:v>
      </x:c>
      <x:c r="O1574" s="13" t="str">
        <x:v>Escala inteligente</x:v>
      </x:c>
      <x:c r="P1574" s="17" t="n">
        <x:f>IF(D1574="",0,J1574-K1574+L1574)</x:f>
        <x:v>9046.51</x:v>
      </x:c>
      <x:c r="Q1574" s="17" t="n">
        <x:f>MAX(J1574-P1574-K1574,0)</x:f>
        <x:v>0</x:v>
      </x:c>
      <x:c r="R1574" s="13" t="n">
        <x:f>IF(D1574="",MAX(TODAY()-C1574,0),MAX(D1574-C1574,0))</x:f>
        <x:v>0</x:v>
      </x:c>
      <x:c r="S1574" s="13" t="str">
        <x:f>IF(R1574=0,"Em dia",IF(R1574&lt;=15,"1-15 dias",IF(R1574&lt;=30,"16-30 dias",IF(R1574&lt;=60,"31-60 dias","Acima de 60 dias"))))</x:f>
        <x:v>Em dia</x:v>
      </x:c>
    </x:row>
    <x:row r="1575">
      <x:c r="A1575" s="13" t="str">
        <x:v>REC-001574</x:v>
      </x:c>
      <x:c r="B1575" s="23" t="n">
        <x:v>46084</x:v>
      </x:c>
      <x:c r="C1575" s="23" t="n">
        <x:v>46114</x:v>
      </x:c>
      <x:c r="D1575" s="23" t="n">
        <x:v>46113</x:v>
      </x:c>
      <x:c r="E1575" s="13" t="str">
        <x:v>VAL-001</x:v>
      </x:c>
      <x:c r="F1575" s="13" t="str">
        <x:v>Clínica Horizonte</x:v>
      </x:c>
      <x:c r="G1575" s="13" t="str">
        <x:v>Clínicas e Saúde</x:v>
      </x:c>
      <x:c r="H1575" s="13" t="str">
        <x:v>Baixo</x:v>
      </x:c>
      <x:c r="I1575" s="13" t="str">
        <x:v>Essencial</x:v>
      </x:c>
      <x:c r="J1575" s="17" t="n">
        <x:v>20247.95</x:v>
      </x:c>
      <x:c r="K1575" s="17" t="n">
        <x:v>0</x:v>
      </x:c>
      <x:c r="L1575" s="17" t="n">
        <x:v>0</x:v>
      </x:c>
      <x:c r="M1575" s="13" t="str">
        <x:v>Pago</x:v>
      </x:c>
      <x:c r="N1575" s="13" t="str">
        <x:v>Sem cobrança</x:v>
      </x:c>
      <x:c r="O1575" s="13" t="str">
        <x:v>Escala inteligente</x:v>
      </x:c>
      <x:c r="P1575" s="17" t="n">
        <x:f>IF(D1575="",0,J1575-K1575+L1575)</x:f>
        <x:v>20247.95</x:v>
      </x:c>
      <x:c r="Q1575" s="17" t="n">
        <x:f>MAX(J1575-P1575-K1575,0)</x:f>
        <x:v>0</x:v>
      </x:c>
      <x:c r="R1575" s="13" t="n">
        <x:f>IF(D1575="",MAX(TODAY()-C1575,0),MAX(D1575-C1575,0))</x:f>
        <x:v>0</x:v>
      </x:c>
      <x:c r="S1575" s="13" t="str">
        <x:f>IF(R1575=0,"Em dia",IF(R1575&lt;=15,"1-15 dias",IF(R1575&lt;=30,"16-30 dias",IF(R1575&lt;=60,"31-60 dias","Acima de 60 dias"))))</x:f>
        <x:v>Em dia</x:v>
      </x:c>
    </x:row>
    <x:row r="1576">
      <x:c r="A1576" s="13" t="str">
        <x:v>REC-001575</x:v>
      </x:c>
      <x:c r="B1576" s="23" t="n">
        <x:v>46097</x:v>
      </x:c>
      <x:c r="C1576" s="23" t="n">
        <x:v>46118</x:v>
      </x:c>
      <x:c r="D1576" s="23" t="n">
        <x:v>46114</x:v>
      </x:c>
      <x:c r="E1576" s="13" t="str">
        <x:v>VAL-026</x:v>
      </x:c>
      <x:c r="F1576" s="13" t="str">
        <x:v>Ribeiro Arquitetura</x:v>
      </x:c>
      <x:c r="G1576" s="13" t="str">
        <x:v>Serviços Profissionais</x:v>
      </x:c>
      <x:c r="H1576" s="13" t="str">
        <x:v>Baixo</x:v>
      </x:c>
      <x:c r="I1576" s="13" t="str">
        <x:v>Gestão</x:v>
      </x:c>
      <x:c r="J1576" s="17" t="n">
        <x:v>19498.75</x:v>
      </x:c>
      <x:c r="K1576" s="17" t="n">
        <x:v>0</x:v>
      </x:c>
      <x:c r="L1576" s="17" t="n">
        <x:v>0</x:v>
      </x:c>
      <x:c r="M1576" s="13" t="str">
        <x:v>Pago</x:v>
      </x:c>
      <x:c r="N1576" s="13" t="str">
        <x:v>Sem cobrança</x:v>
      </x:c>
      <x:c r="O1576" s="13" t="str">
        <x:v>Escala inteligente</x:v>
      </x:c>
      <x:c r="P1576" s="17" t="n">
        <x:f>IF(D1576="",0,J1576-K1576+L1576)</x:f>
        <x:v>19498.75</x:v>
      </x:c>
      <x:c r="Q1576" s="17" t="n">
        <x:f>MAX(J1576-P1576-K1576,0)</x:f>
        <x:v>0</x:v>
      </x:c>
      <x:c r="R1576" s="13" t="n">
        <x:f>IF(D1576="",MAX(TODAY()-C1576,0),MAX(D1576-C1576,0))</x:f>
        <x:v>0</x:v>
      </x:c>
      <x:c r="S1576" s="13" t="str">
        <x:f>IF(R1576=0,"Em dia",IF(R1576&lt;=15,"1-15 dias",IF(R1576&lt;=30,"16-30 dias",IF(R1576&lt;=60,"31-60 dias","Acima de 60 dias"))))</x:f>
        <x:v>Em dia</x:v>
      </x:c>
    </x:row>
    <x:row r="1577">
      <x:c r="A1577" s="13" t="str">
        <x:v>REC-001576</x:v>
      </x:c>
      <x:c r="B1577" s="23" t="n">
        <x:v>46086</x:v>
      </x:c>
      <x:c r="C1577" s="23" t="n">
        <x:v>46114</x:v>
      </x:c>
      <x:c r="D1577" s="23" t="n">
        <x:v>46111</x:v>
      </x:c>
      <x:c r="E1577" s="13" t="str">
        <x:v>VAL-020</x:v>
      </x:c>
      <x:c r="F1577" s="13" t="str">
        <x:v>Corelink Digital</x:v>
      </x:c>
      <x:c r="G1577" s="13" t="str">
        <x:v>Tecnologia</x:v>
      </x:c>
      <x:c r="H1577" s="13" t="str">
        <x:v>Baixo</x:v>
      </x:c>
      <x:c r="I1577" s="13" t="str">
        <x:v>Enterprise</x:v>
      </x:c>
      <x:c r="J1577" s="17" t="n">
        <x:v>5974.27</x:v>
      </x:c>
      <x:c r="K1577" s="17" t="n">
        <x:v>0</x:v>
      </x:c>
      <x:c r="L1577" s="17" t="n">
        <x:v>0</x:v>
      </x:c>
      <x:c r="M1577" s="13" t="str">
        <x:v>Pago</x:v>
      </x:c>
      <x:c r="N1577" s="13" t="str">
        <x:v>Sem cobrança</x:v>
      </x:c>
      <x:c r="O1577" s="13" t="str">
        <x:v>Escala inteligente</x:v>
      </x:c>
      <x:c r="P1577" s="17" t="n">
        <x:f>IF(D1577="",0,J1577-K1577+L1577)</x:f>
        <x:v>5974.27</x:v>
      </x:c>
      <x:c r="Q1577" s="17" t="n">
        <x:f>MAX(J1577-P1577-K1577,0)</x:f>
        <x:v>0</x:v>
      </x:c>
      <x:c r="R1577" s="13" t="n">
        <x:f>IF(D1577="",MAX(TODAY()-C1577,0),MAX(D1577-C1577,0))</x:f>
        <x:v>0</x:v>
      </x:c>
      <x:c r="S1577" s="13" t="str">
        <x:f>IF(R1577=0,"Em dia",IF(R1577&lt;=15,"1-15 dias",IF(R1577&lt;=30,"16-30 dias",IF(R1577&lt;=60,"31-60 dias","Acima de 60 dias"))))</x:f>
        <x:v>Em dia</x:v>
      </x:c>
    </x:row>
    <x:row r="1578">
      <x:c r="A1578" s="13" t="str">
        <x:v>REC-001577</x:v>
      </x:c>
      <x:c r="B1578" s="23" t="n">
        <x:v>46085</x:v>
      </x:c>
      <x:c r="C1578" s="23" t="n">
        <x:v>46092</x:v>
      </x:c>
      <x:c r="D1578" s="23" t="n">
        <x:v>46092</x:v>
      </x:c>
      <x:c r="E1578" s="13" t="str">
        <x:v>VAL-002</x:v>
      </x:c>
      <x:c r="F1578" s="13" t="str">
        <x:v>Mendes &amp; Prado Consultoria</x:v>
      </x:c>
      <x:c r="G1578" s="13" t="str">
        <x:v>Serviços Profissionais</x:v>
      </x:c>
      <x:c r="H1578" s="13" t="str">
        <x:v>Baixo</x:v>
      </x:c>
      <x:c r="I1578" s="13" t="str">
        <x:v>Gestão</x:v>
      </x:c>
      <x:c r="J1578" s="17" t="n">
        <x:v>7318.93</x:v>
      </x:c>
      <x:c r="K1578" s="17" t="n">
        <x:v>0</x:v>
      </x:c>
      <x:c r="L1578" s="17" t="n">
        <x:v>0</x:v>
      </x:c>
      <x:c r="M1578" s="13" t="str">
        <x:v>Pago</x:v>
      </x:c>
      <x:c r="N1578" s="13" t="str">
        <x:v>Sem cobrança</x:v>
      </x:c>
      <x:c r="O1578" s="13" t="str">
        <x:v>Escala inteligente</x:v>
      </x:c>
      <x:c r="P1578" s="17" t="n">
        <x:f>IF(D1578="",0,J1578-K1578+L1578)</x:f>
        <x:v>7318.93</x:v>
      </x:c>
      <x:c r="Q1578" s="17" t="n">
        <x:f>MAX(J1578-P1578-K1578,0)</x:f>
        <x:v>0</x:v>
      </x:c>
      <x:c r="R1578" s="13" t="n">
        <x:f>IF(D1578="",MAX(TODAY()-C1578,0),MAX(D1578-C1578,0))</x:f>
        <x:v>0</x:v>
      </x:c>
      <x:c r="S1578" s="13" t="str">
        <x:f>IF(R1578=0,"Em dia",IF(R1578&lt;=15,"1-15 dias",IF(R1578&lt;=30,"16-30 dias",IF(R1578&lt;=60,"31-60 dias","Acima de 60 dias"))))</x:f>
        <x:v>Em dia</x:v>
      </x:c>
    </x:row>
    <x:row r="1579">
      <x:c r="A1579" s="13" t="str">
        <x:v>REC-001578</x:v>
      </x:c>
      <x:c r="B1579" s="23" t="n">
        <x:v>46083</x:v>
      </x:c>
      <x:c r="C1579" s="23" t="n">
        <x:v>46098</x:v>
      </x:c>
      <x:c r="D1579" s="23" t="n">
        <x:v>46097</x:v>
      </x:c>
      <x:c r="E1579" s="13" t="str">
        <x:v>VAL-027</x:v>
      </x:c>
      <x:c r="F1579" s="13" t="str">
        <x:v>Mais Lar Utilidades</x:v>
      </x:c>
      <x:c r="G1579" s="13" t="str">
        <x:v>Varejo</x:v>
      </x:c>
      <x:c r="H1579" s="13" t="str">
        <x:v>Baixo</x:v>
      </x:c>
      <x:c r="I1579" s="13" t="str">
        <x:v>Performance</x:v>
      </x:c>
      <x:c r="J1579" s="17" t="n">
        <x:v>14647.4</x:v>
      </x:c>
      <x:c r="K1579" s="17" t="n">
        <x:v>0</x:v>
      </x:c>
      <x:c r="L1579" s="17" t="n">
        <x:v>0</x:v>
      </x:c>
      <x:c r="M1579" s="13" t="str">
        <x:v>Pago</x:v>
      </x:c>
      <x:c r="N1579" s="13" t="str">
        <x:v>Sem cobrança</x:v>
      </x:c>
      <x:c r="O1579" s="13" t="str">
        <x:v>Escala inteligente</x:v>
      </x:c>
      <x:c r="P1579" s="17" t="n">
        <x:f>IF(D1579="",0,J1579-K1579+L1579)</x:f>
        <x:v>14647.4</x:v>
      </x:c>
      <x:c r="Q1579" s="17" t="n">
        <x:f>MAX(J1579-P1579-K1579,0)</x:f>
        <x:v>0</x:v>
      </x:c>
      <x:c r="R1579" s="13" t="n">
        <x:f>IF(D1579="",MAX(TODAY()-C1579,0),MAX(D1579-C1579,0))</x:f>
        <x:v>0</x:v>
      </x:c>
      <x:c r="S1579" s="13" t="str">
        <x:f>IF(R1579=0,"Em dia",IF(R1579&lt;=15,"1-15 dias",IF(R1579&lt;=30,"16-30 dias",IF(R1579&lt;=60,"31-60 dias","Acima de 60 dias"))))</x:f>
        <x:v>Em dia</x:v>
      </x:c>
    </x:row>
    <x:row r="1580">
      <x:c r="A1580" s="13" t="str">
        <x:v>REC-001579</x:v>
      </x:c>
      <x:c r="B1580" s="23" t="n">
        <x:v>46101</x:v>
      </x:c>
      <x:c r="C1580" s="23" t="n">
        <x:v>46122</x:v>
      </x:c>
      <x:c r="D1580" s="23" t="n">
        <x:v>46120</x:v>
      </x:c>
      <x:c r="E1580" s="13" t="str">
        <x:v>VAL-007</x:v>
      </x:c>
      <x:c r="F1580" s="13" t="str">
        <x:v>Loja Prisma Online</x:v>
      </x:c>
      <x:c r="G1580" s="13" t="str">
        <x:v>E-commerce</x:v>
      </x:c>
      <x:c r="H1580" s="13" t="str">
        <x:v>Médio</x:v>
      </x:c>
      <x:c r="I1580" s="13" t="str">
        <x:v>Performance</x:v>
      </x:c>
      <x:c r="J1580" s="17" t="n">
        <x:v>3759.8</x:v>
      </x:c>
      <x:c r="K1580" s="17" t="n">
        <x:v>0</x:v>
      </x:c>
      <x:c r="L1580" s="17" t="n">
        <x:v>0</x:v>
      </x:c>
      <x:c r="M1580" s="13" t="str">
        <x:v>Pago</x:v>
      </x:c>
      <x:c r="N1580" s="13" t="str">
        <x:v>Sem cobrança</x:v>
      </x:c>
      <x:c r="O1580" s="13" t="str">
        <x:v>Escala inteligente</x:v>
      </x:c>
      <x:c r="P1580" s="17" t="n">
        <x:f>IF(D1580="",0,J1580-K1580+L1580)</x:f>
        <x:v>3759.8</x:v>
      </x:c>
      <x:c r="Q1580" s="17" t="n">
        <x:f>MAX(J1580-P1580-K1580,0)</x:f>
        <x:v>0</x:v>
      </x:c>
      <x:c r="R1580" s="13" t="n">
        <x:f>IF(D1580="",MAX(TODAY()-C1580,0),MAX(D1580-C1580,0))</x:f>
        <x:v>0</x:v>
      </x:c>
      <x:c r="S1580" s="13" t="str">
        <x:f>IF(R1580=0,"Em dia",IF(R1580&lt;=15,"1-15 dias",IF(R1580&lt;=30,"16-30 dias",IF(R1580&lt;=60,"31-60 dias","Acima de 60 dias"))))</x:f>
        <x:v>Em dia</x:v>
      </x:c>
    </x:row>
    <x:row r="1581">
      <x:c r="A1581" s="13" t="str">
        <x:v>REC-001580</x:v>
      </x:c>
      <x:c r="B1581" s="23" t="n">
        <x:v>46097</x:v>
      </x:c>
      <x:c r="C1581" s="23" t="n">
        <x:v>46118</x:v>
      </x:c>
      <x:c r="D1581" s="23" t="n">
        <x:v>46114</x:v>
      </x:c>
      <x:c r="E1581" s="13" t="str">
        <x:v>VAL-012</x:v>
      </x:c>
      <x:c r="F1581" s="13" t="str">
        <x:v>DataFlow Sistemas</x:v>
      </x:c>
      <x:c r="G1581" s="13" t="str">
        <x:v>Tecnologia</x:v>
      </x:c>
      <x:c r="H1581" s="13" t="str">
        <x:v>Médio</x:v>
      </x:c>
      <x:c r="I1581" s="13" t="str">
        <x:v>Enterprise</x:v>
      </x:c>
      <x:c r="J1581" s="17" t="n">
        <x:v>23553.48</x:v>
      </x:c>
      <x:c r="K1581" s="17" t="n">
        <x:v>0</x:v>
      </x:c>
      <x:c r="L1581" s="17" t="n">
        <x:v>0</x:v>
      </x:c>
      <x:c r="M1581" s="13" t="str">
        <x:v>Pago</x:v>
      </x:c>
      <x:c r="N1581" s="13" t="str">
        <x:v>Sem cobrança</x:v>
      </x:c>
      <x:c r="O1581" s="13" t="str">
        <x:v>Escala inteligente</x:v>
      </x:c>
      <x:c r="P1581" s="17" t="n">
        <x:f>IF(D1581="",0,J1581-K1581+L1581)</x:f>
        <x:v>23553.48</x:v>
      </x:c>
      <x:c r="Q1581" s="17" t="n">
        <x:f>MAX(J1581-P1581-K1581,0)</x:f>
        <x:v>0</x:v>
      </x:c>
      <x:c r="R1581" s="13" t="n">
        <x:f>IF(D1581="",MAX(TODAY()-C1581,0),MAX(D1581-C1581,0))</x:f>
        <x:v>0</x:v>
      </x:c>
      <x:c r="S1581" s="13" t="str">
        <x:f>IF(R1581=0,"Em dia",IF(R1581&lt;=15,"1-15 dias",IF(R1581&lt;=30,"16-30 dias",IF(R1581&lt;=60,"31-60 dias","Acima de 60 dias"))))</x:f>
        <x:v>Em dia</x:v>
      </x:c>
    </x:row>
    <x:row r="1582">
      <x:c r="A1582" s="13" t="str">
        <x:v>REC-001581</x:v>
      </x:c>
      <x:c r="B1582" s="23" t="n">
        <x:v>46088</x:v>
      </x:c>
      <x:c r="C1582" s="23" t="n">
        <x:v>46109</x:v>
      </x:c>
      <x:c r="D1582" s="23" t="n">
        <x:v>46105</x:v>
      </x:c>
      <x:c r="E1582" s="13" t="str">
        <x:v>VAL-028</x:v>
      </x:c>
      <x:c r="F1582" s="13" t="str">
        <x:v>Pixel Norte</x:v>
      </x:c>
      <x:c r="G1582" s="13" t="str">
        <x:v>Tecnologia</x:v>
      </x:c>
      <x:c r="H1582" s="13" t="str">
        <x:v>Alto</x:v>
      </x:c>
      <x:c r="I1582" s="13" t="str">
        <x:v>Enterprise</x:v>
      </x:c>
      <x:c r="J1582" s="17" t="n">
        <x:v>28088.6</x:v>
      </x:c>
      <x:c r="K1582" s="17" t="n">
        <x:v>436.67</x:v>
      </x:c>
      <x:c r="L1582" s="17" t="n">
        <x:v>0</x:v>
      </x:c>
      <x:c r="M1582" s="13" t="str">
        <x:v>Pago</x:v>
      </x:c>
      <x:c r="N1582" s="13" t="str">
        <x:v>Sem cobrança</x:v>
      </x:c>
      <x:c r="O1582" s="13" t="str">
        <x:v>Escala inteligente</x:v>
      </x:c>
      <x:c r="P1582" s="17" t="n">
        <x:f>IF(D1582="",0,J1582-K1582+L1582)</x:f>
        <x:v>27651.93</x:v>
      </x:c>
      <x:c r="Q1582" s="17" t="n">
        <x:f>MAX(J1582-P1582-K1582,0)</x:f>
        <x:v>0</x:v>
      </x:c>
      <x:c r="R1582" s="13" t="n">
        <x:f>IF(D1582="",MAX(TODAY()-C1582,0),MAX(D1582-C1582,0))</x:f>
        <x:v>0</x:v>
      </x:c>
      <x:c r="S1582" s="13" t="str">
        <x:f>IF(R1582=0,"Em dia",IF(R1582&lt;=15,"1-15 dias",IF(R1582&lt;=30,"16-30 dias",IF(R1582&lt;=60,"31-60 dias","Acima de 60 dias"))))</x:f>
        <x:v>Em dia</x:v>
      </x:c>
    </x:row>
    <x:row r="1583">
      <x:c r="A1583" s="13" t="str">
        <x:v>REC-001582</x:v>
      </x:c>
      <x:c r="B1583" s="23" t="n">
        <x:v>46093</x:v>
      </x:c>
      <x:c r="C1583" s="23" t="n">
        <x:v>46114</x:v>
      </x:c>
      <x:c r="D1583" s="23" t="n">
        <x:v>46112</x:v>
      </x:c>
      <x:c r="E1583" s="13" t="str">
        <x:v>VAL-029</x:v>
      </x:c>
      <x:c r="F1583" s="13" t="str">
        <x:v>Planobra Serviços</x:v>
      </x:c>
      <x:c r="G1583" s="13" t="str">
        <x:v>Construção</x:v>
      </x:c>
      <x:c r="H1583" s="13" t="str">
        <x:v>Baixo</x:v>
      </x:c>
      <x:c r="I1583" s="13" t="str">
        <x:v>Essencial</x:v>
      </x:c>
      <x:c r="J1583" s="17" t="n">
        <x:v>6205.83</x:v>
      </x:c>
      <x:c r="K1583" s="17" t="n">
        <x:v>0</x:v>
      </x:c>
      <x:c r="L1583" s="17" t="n">
        <x:v>0</x:v>
      </x:c>
      <x:c r="M1583" s="13" t="str">
        <x:v>Pago</x:v>
      </x:c>
      <x:c r="N1583" s="13" t="str">
        <x:v>Sem cobrança</x:v>
      </x:c>
      <x:c r="O1583" s="13" t="str">
        <x:v>Escala inteligente</x:v>
      </x:c>
      <x:c r="P1583" s="17" t="n">
        <x:f>IF(D1583="",0,J1583-K1583+L1583)</x:f>
        <x:v>6205.83</x:v>
      </x:c>
      <x:c r="Q1583" s="17" t="n">
        <x:f>MAX(J1583-P1583-K1583,0)</x:f>
        <x:v>0</x:v>
      </x:c>
      <x:c r="R1583" s="13" t="n">
        <x:f>IF(D1583="",MAX(TODAY()-C1583,0),MAX(D1583-C1583,0))</x:f>
        <x:v>0</x:v>
      </x:c>
      <x:c r="S1583" s="13" t="str">
        <x:f>IF(R1583=0,"Em dia",IF(R1583&lt;=15,"1-15 dias",IF(R1583&lt;=30,"16-30 dias",IF(R1583&lt;=60,"31-60 dias","Acima de 60 dias"))))</x:f>
        <x:v>Em dia</x:v>
      </x:c>
    </x:row>
    <x:row r="1584">
      <x:c r="A1584" s="13" t="str">
        <x:v>REC-001583</x:v>
      </x:c>
      <x:c r="B1584" s="23" t="n">
        <x:v>46100</x:v>
      </x:c>
      <x:c r="C1584" s="23" t="n">
        <x:v>46107</x:v>
      </x:c>
      <x:c r="D1584" s="23" t="n">
        <x:v>46105</x:v>
      </x:c>
      <x:c r="E1584" s="13" t="str">
        <x:v>VAL-026</x:v>
      </x:c>
      <x:c r="F1584" s="13" t="str">
        <x:v>Ribeiro Arquitetura</x:v>
      </x:c>
      <x:c r="G1584" s="13" t="str">
        <x:v>Serviços Profissionais</x:v>
      </x:c>
      <x:c r="H1584" s="13" t="str">
        <x:v>Baixo</x:v>
      </x:c>
      <x:c r="I1584" s="13" t="str">
        <x:v>Gestão</x:v>
      </x:c>
      <x:c r="J1584" s="17" t="n">
        <x:v>21369.59</x:v>
      </x:c>
      <x:c r="K1584" s="17" t="n">
        <x:v>0</x:v>
      </x:c>
      <x:c r="L1584" s="17" t="n">
        <x:v>0</x:v>
      </x:c>
      <x:c r="M1584" s="13" t="str">
        <x:v>Pago</x:v>
      </x:c>
      <x:c r="N1584" s="13" t="str">
        <x:v>Sem cobrança</x:v>
      </x:c>
      <x:c r="O1584" s="13" t="str">
        <x:v>Escala inteligente</x:v>
      </x:c>
      <x:c r="P1584" s="17" t="n">
        <x:f>IF(D1584="",0,J1584-K1584+L1584)</x:f>
        <x:v>21369.59</x:v>
      </x:c>
      <x:c r="Q1584" s="17" t="n">
        <x:f>MAX(J1584-P1584-K1584,0)</x:f>
        <x:v>0</x:v>
      </x:c>
      <x:c r="R1584" s="13" t="n">
        <x:f>IF(D1584="",MAX(TODAY()-C1584,0),MAX(D1584-C1584,0))</x:f>
        <x:v>0</x:v>
      </x:c>
      <x:c r="S1584" s="13" t="str">
        <x:f>IF(R1584=0,"Em dia",IF(R1584&lt;=15,"1-15 dias",IF(R1584&lt;=30,"16-30 dias",IF(R1584&lt;=60,"31-60 dias","Acima de 60 dias"))))</x:f>
        <x:v>Em dia</x:v>
      </x:c>
    </x:row>
    <x:row r="1585">
      <x:c r="A1585" s="13" t="str">
        <x:v>REC-001584</x:v>
      </x:c>
      <x:c r="B1585" s="23" t="n">
        <x:v>46087</x:v>
      </x:c>
      <x:c r="C1585" s="23" t="n">
        <x:v>46115</x:v>
      </x:c>
      <x:c r="D1585" s="23" t="n">
        <x:v>46114</x:v>
      </x:c>
      <x:c r="E1585" s="13" t="str">
        <x:v>VAL-020</x:v>
      </x:c>
      <x:c r="F1585" s="13" t="str">
        <x:v>Corelink Digital</x:v>
      </x:c>
      <x:c r="G1585" s="13" t="str">
        <x:v>Tecnologia</x:v>
      </x:c>
      <x:c r="H1585" s="13" t="str">
        <x:v>Baixo</x:v>
      </x:c>
      <x:c r="I1585" s="13" t="str">
        <x:v>Enterprise</x:v>
      </x:c>
      <x:c r="J1585" s="17" t="n">
        <x:v>19730.73</x:v>
      </x:c>
      <x:c r="K1585" s="17" t="n">
        <x:v>0</x:v>
      </x:c>
      <x:c r="L1585" s="17" t="n">
        <x:v>0</x:v>
      </x:c>
      <x:c r="M1585" s="13" t="str">
        <x:v>Pago</x:v>
      </x:c>
      <x:c r="N1585" s="13" t="str">
        <x:v>Sem cobrança</x:v>
      </x:c>
      <x:c r="O1585" s="13" t="str">
        <x:v>Escala inteligente</x:v>
      </x:c>
      <x:c r="P1585" s="17" t="n">
        <x:f>IF(D1585="",0,J1585-K1585+L1585)</x:f>
        <x:v>19730.73</x:v>
      </x:c>
      <x:c r="Q1585" s="17" t="n">
        <x:f>MAX(J1585-P1585-K1585,0)</x:f>
        <x:v>0</x:v>
      </x:c>
      <x:c r="R1585" s="13" t="n">
        <x:f>IF(D1585="",MAX(TODAY()-C1585,0),MAX(D1585-C1585,0))</x:f>
        <x:v>0</x:v>
      </x:c>
      <x:c r="S1585" s="13" t="str">
        <x:f>IF(R1585=0,"Em dia",IF(R1585&lt;=15,"1-15 dias",IF(R1585&lt;=30,"16-30 dias",IF(R1585&lt;=60,"31-60 dias","Acima de 60 dias"))))</x:f>
        <x:v>Em dia</x:v>
      </x:c>
    </x:row>
    <x:row r="1586">
      <x:c r="A1586" s="13" t="str">
        <x:v>REC-001585</x:v>
      </x:c>
      <x:c r="B1586" s="23" t="n">
        <x:v>46090</x:v>
      </x:c>
      <x:c r="C1586" s="23" t="n">
        <x:v>46111</x:v>
      </x:c>
      <x:c r="D1586" s="23" t="n">
        <x:v>46107</x:v>
      </x:c>
      <x:c r="E1586" s="13" t="str">
        <x:v>VAL-027</x:v>
      </x:c>
      <x:c r="F1586" s="13" t="str">
        <x:v>Mais Lar Utilidades</x:v>
      </x:c>
      <x:c r="G1586" s="13" t="str">
        <x:v>Varejo</x:v>
      </x:c>
      <x:c r="H1586" s="13" t="str">
        <x:v>Baixo</x:v>
      </x:c>
      <x:c r="I1586" s="13" t="str">
        <x:v>Performance</x:v>
      </x:c>
      <x:c r="J1586" s="17" t="n">
        <x:v>26099.82</x:v>
      </x:c>
      <x:c r="K1586" s="17" t="n">
        <x:v>0</x:v>
      </x:c>
      <x:c r="L1586" s="17" t="n">
        <x:v>0</x:v>
      </x:c>
      <x:c r="M1586" s="13" t="str">
        <x:v>Pago</x:v>
      </x:c>
      <x:c r="N1586" s="13" t="str">
        <x:v>Sem cobrança</x:v>
      </x:c>
      <x:c r="O1586" s="13" t="str">
        <x:v>Escala inteligente</x:v>
      </x:c>
      <x:c r="P1586" s="17" t="n">
        <x:f>IF(D1586="",0,J1586-K1586+L1586)</x:f>
        <x:v>26099.82</x:v>
      </x:c>
      <x:c r="Q1586" s="17" t="n">
        <x:f>MAX(J1586-P1586-K1586,0)</x:f>
        <x:v>0</x:v>
      </x:c>
      <x:c r="R1586" s="13" t="n">
        <x:f>IF(D1586="",MAX(TODAY()-C1586,0),MAX(D1586-C1586,0))</x:f>
        <x:v>0</x:v>
      </x:c>
      <x:c r="S1586" s="13" t="str">
        <x:f>IF(R1586=0,"Em dia",IF(R1586&lt;=15,"1-15 dias",IF(R1586&lt;=30,"16-30 dias",IF(R1586&lt;=60,"31-60 dias","Acima de 60 dias"))))</x:f>
        <x:v>Em dia</x:v>
      </x:c>
    </x:row>
    <x:row r="1587">
      <x:c r="A1587" s="13" t="str">
        <x:v>REC-001586</x:v>
      </x:c>
      <x:c r="B1587" s="23" t="n">
        <x:v>46099</x:v>
      </x:c>
      <x:c r="C1587" s="23" t="n">
        <x:v>46127</x:v>
      </x:c>
      <x:c r="D1587" s="23" t="n">
        <x:v>46139</x:v>
      </x:c>
      <x:c r="E1587" s="13" t="str">
        <x:v>VAL-004</x:v>
      </x:c>
      <x:c r="F1587" s="13" t="str">
        <x:v>NuvemBase Tecnologia</x:v>
      </x:c>
      <x:c r="G1587" s="13" t="str">
        <x:v>Tecnologia</x:v>
      </x:c>
      <x:c r="H1587" s="13" t="str">
        <x:v>Baixo</x:v>
      </x:c>
      <x:c r="I1587" s="13" t="str">
        <x:v>Enterprise</x:v>
      </x:c>
      <x:c r="J1587" s="17" t="n">
        <x:v>10952.53</x:v>
      </x:c>
      <x:c r="K1587" s="17" t="n">
        <x:v>0</x:v>
      </x:c>
      <x:c r="L1587" s="17" t="n">
        <x:v>85.43</x:v>
      </x:c>
      <x:c r="M1587" s="13" t="str">
        <x:v>Pago com atraso</x:v>
      </x:c>
      <x:c r="N1587" s="13" t="str">
        <x:v>Telefone</x:v>
      </x:c>
      <x:c r="O1587" s="13" t="str">
        <x:v>Escala inteligente</x:v>
      </x:c>
      <x:c r="P1587" s="17" t="n">
        <x:f>IF(D1587="",0,J1587-K1587+L1587)</x:f>
        <x:v>11037.960000000001</x:v>
      </x:c>
      <x:c r="Q1587" s="17" t="n">
        <x:f>MAX(J1587-P1587-K1587,0)</x:f>
        <x:v>0</x:v>
      </x:c>
      <x:c r="R1587" s="13" t="n">
        <x:f>IF(D1587="",MAX(TODAY()-C1587,0),MAX(D1587-C1587,0))</x:f>
        <x:v>12</x:v>
      </x:c>
      <x:c r="S1587" s="13" t="str">
        <x:f>IF(R1587=0,"Em dia",IF(R1587&lt;=15,"1-15 dias",IF(R1587&lt;=30,"16-30 dias",IF(R1587&lt;=60,"31-60 dias","Acima de 60 dias"))))</x:f>
        <x:v>1-15 dias</x:v>
      </x:c>
    </x:row>
    <x:row r="1588">
      <x:c r="A1588" s="13" t="str">
        <x:v>REC-001587</x:v>
      </x:c>
      <x:c r="B1588" s="23" t="n">
        <x:v>46092</x:v>
      </x:c>
      <x:c r="C1588" s="23" t="n">
        <x:v>46113</x:v>
      </x:c>
      <x:c r="D1588" s="23" t="n">
        <x:v>46115</x:v>
      </x:c>
      <x:c r="E1588" s="13" t="str">
        <x:v>VAL-017</x:v>
      </x:c>
      <x:c r="F1588" s="13" t="str">
        <x:v>Centro Médico Vida</x:v>
      </x:c>
      <x:c r="G1588" s="13" t="str">
        <x:v>Clínicas e Saúde</x:v>
      </x:c>
      <x:c r="H1588" s="13" t="str">
        <x:v>Baixo</x:v>
      </x:c>
      <x:c r="I1588" s="13" t="str">
        <x:v>Essencial</x:v>
      </x:c>
      <x:c r="J1588" s="17" t="n">
        <x:v>5808.49</x:v>
      </x:c>
      <x:c r="K1588" s="17" t="n">
        <x:v>0</x:v>
      </x:c>
      <x:c r="L1588" s="17" t="n">
        <x:v>7.55</x:v>
      </x:c>
      <x:c r="M1588" s="13" t="str">
        <x:v>Pago com atraso</x:v>
      </x:c>
      <x:c r="N1588" s="13" t="str">
        <x:v>Régua automática</x:v>
      </x:c>
      <x:c r="O1588" s="13" t="str">
        <x:v>Escala inteligente</x:v>
      </x:c>
      <x:c r="P1588" s="17" t="n">
        <x:f>IF(D1588="",0,J1588-K1588+L1588)</x:f>
        <x:v>5816.04</x:v>
      </x:c>
      <x:c r="Q1588" s="17" t="n">
        <x:f>MAX(J1588-P1588-K1588,0)</x:f>
        <x:v>0</x:v>
      </x:c>
      <x:c r="R1588" s="13" t="n">
        <x:f>IF(D1588="",MAX(TODAY()-C1588,0),MAX(D1588-C1588,0))</x:f>
        <x:v>2</x:v>
      </x:c>
      <x:c r="S1588" s="13" t="str">
        <x:f>IF(R1588=0,"Em dia",IF(R1588&lt;=15,"1-15 dias",IF(R1588&lt;=30,"16-30 dias",IF(R1588&lt;=60,"31-60 dias","Acima de 60 dias"))))</x:f>
        <x:v>1-15 dias</x:v>
      </x:c>
    </x:row>
    <x:row r="1589">
      <x:c r="A1589" s="13" t="str">
        <x:v>REC-001588</x:v>
      </x:c>
      <x:c r="B1589" s="23" t="n">
        <x:v>46101</x:v>
      </x:c>
      <x:c r="C1589" s="23" t="n">
        <x:v>46108</x:v>
      </x:c>
      <x:c r="D1589" s="23" t="n">
        <x:v>46108</x:v>
      </x:c>
      <x:c r="E1589" s="13" t="str">
        <x:v>VAL-014</x:v>
      </x:c>
      <x:c r="F1589" s="13" t="str">
        <x:v>Colégio Caminhos</x:v>
      </x:c>
      <x:c r="G1589" s="13" t="str">
        <x:v>Educação</x:v>
      </x:c>
      <x:c r="H1589" s="13" t="str">
        <x:v>Médio</x:v>
      </x:c>
      <x:c r="I1589" s="13" t="str">
        <x:v>Gestão</x:v>
      </x:c>
      <x:c r="J1589" s="17" t="n">
        <x:v>3708.57</x:v>
      </x:c>
      <x:c r="K1589" s="17" t="n">
        <x:v>0</x:v>
      </x:c>
      <x:c r="L1589" s="17" t="n">
        <x:v>0</x:v>
      </x:c>
      <x:c r="M1589" s="13" t="str">
        <x:v>Pago</x:v>
      </x:c>
      <x:c r="N1589" s="13" t="str">
        <x:v>Sem cobrança</x:v>
      </x:c>
      <x:c r="O1589" s="13" t="str">
        <x:v>Escala inteligente</x:v>
      </x:c>
      <x:c r="P1589" s="17" t="n">
        <x:f>IF(D1589="",0,J1589-K1589+L1589)</x:f>
        <x:v>3708.57</x:v>
      </x:c>
      <x:c r="Q1589" s="17" t="n">
        <x:f>MAX(J1589-P1589-K1589,0)</x:f>
        <x:v>0</x:v>
      </x:c>
      <x:c r="R1589" s="13" t="n">
        <x:f>IF(D1589="",MAX(TODAY()-C1589,0),MAX(D1589-C1589,0))</x:f>
        <x:v>0</x:v>
      </x:c>
      <x:c r="S1589" s="13" t="str">
        <x:f>IF(R1589=0,"Em dia",IF(R1589&lt;=15,"1-15 dias",IF(R1589&lt;=30,"16-30 dias",IF(R1589&lt;=60,"31-60 dias","Acima de 60 dias"))))</x:f>
        <x:v>Em dia</x:v>
      </x:c>
    </x:row>
    <x:row r="1590">
      <x:c r="A1590" s="13" t="str">
        <x:v>REC-001589</x:v>
      </x:c>
      <x:c r="B1590" s="23" t="n">
        <x:v>46089</x:v>
      </x:c>
      <x:c r="C1590" s="23" t="n">
        <x:v>46119</x:v>
      </x:c>
      <x:c r="D1590" s="23"/>
      <x:c r="E1590" s="13" t="str">
        <x:v>VAL-009</x:v>
      </x:c>
      <x:c r="F1590" s="13" t="str">
        <x:v>Odonto Prime</x:v>
      </x:c>
      <x:c r="G1590" s="13" t="str">
        <x:v>Clínicas e Saúde</x:v>
      </x:c>
      <x:c r="H1590" s="13" t="str">
        <x:v>Médio</x:v>
      </x:c>
      <x:c r="I1590" s="13" t="str">
        <x:v>Essencial</x:v>
      </x:c>
      <x:c r="J1590" s="17" t="n">
        <x:v>16607.58</x:v>
      </x:c>
      <x:c r="K1590" s="17" t="n">
        <x:v>0</x:v>
      </x:c>
      <x:c r="L1590" s="17" t="n">
        <x:v>0</x:v>
      </x:c>
      <x:c r="M1590" s="13" t="str">
        <x:v>Em aberto</x:v>
      </x:c>
      <x:c r="N1590" s="13" t="str">
        <x:v>WhatsApp</x:v>
      </x:c>
      <x:c r="O1590" s="13" t="str">
        <x:v>Escala inteligente</x:v>
      </x:c>
      <x:c r="P1590" s="17" t="n">
        <x:f>IF(D1590="",0,J1590-K1590+L1590)</x:f>
        <x:v>0</x:v>
      </x:c>
      <x:c r="Q1590" s="17" t="n">
        <x:f>MAX(J1590-P1590-K1590,0)</x:f>
        <x:v>16607.58</x:v>
      </x:c>
      <x:c r="R1590" s="13" t="n">
        <x:f>IF(D1590="",MAX(TODAY()-C1590,0),MAX(D1590-C1590,0))</x:f>
        <x:v>94</x:v>
      </x:c>
      <x:c r="S1590" s="13" t="str">
        <x:f>IF(R1590=0,"Em dia",IF(R1590&lt;=15,"1-15 dias",IF(R1590&lt;=30,"16-30 dias",IF(R1590&lt;=60,"31-60 dias","Acima de 60 dias"))))</x:f>
        <x:v>Acima de 60 dias</x:v>
      </x:c>
    </x:row>
    <x:row r="1591">
      <x:c r="A1591" s="13" t="str">
        <x:v>REC-001590</x:v>
      </x:c>
      <x:c r="B1591" s="23" t="n">
        <x:v>46089</x:v>
      </x:c>
      <x:c r="C1591" s="23" t="n">
        <x:v>46104</x:v>
      </x:c>
      <x:c r="D1591" s="23" t="n">
        <x:v>46102</x:v>
      </x:c>
      <x:c r="E1591" s="13" t="str">
        <x:v>VAL-011</x:v>
      </x:c>
      <x:c r="F1591" s="13" t="str">
        <x:v>Rede Essencial</x:v>
      </x:c>
      <x:c r="G1591" s="13" t="str">
        <x:v>Varejo</x:v>
      </x:c>
      <x:c r="H1591" s="13" t="str">
        <x:v>Médio</x:v>
      </x:c>
      <x:c r="I1591" s="13" t="str">
        <x:v>Performance</x:v>
      </x:c>
      <x:c r="J1591" s="17" t="n">
        <x:v>21081.78</x:v>
      </x:c>
      <x:c r="K1591" s="17" t="n">
        <x:v>0</x:v>
      </x:c>
      <x:c r="L1591" s="17" t="n">
        <x:v>0</x:v>
      </x:c>
      <x:c r="M1591" s="13" t="str">
        <x:v>Pago</x:v>
      </x:c>
      <x:c r="N1591" s="13" t="str">
        <x:v>Sem cobrança</x:v>
      </x:c>
      <x:c r="O1591" s="13" t="str">
        <x:v>Escala inteligente</x:v>
      </x:c>
      <x:c r="P1591" s="17" t="n">
        <x:f>IF(D1591="",0,J1591-K1591+L1591)</x:f>
        <x:v>21081.78</x:v>
      </x:c>
      <x:c r="Q1591" s="17" t="n">
        <x:f>MAX(J1591-P1591-K1591,0)</x:f>
        <x:v>0</x:v>
      </x:c>
      <x:c r="R1591" s="13" t="n">
        <x:f>IF(D1591="",MAX(TODAY()-C1591,0),MAX(D1591-C1591,0))</x:f>
        <x:v>0</x:v>
      </x:c>
      <x:c r="S1591" s="13" t="str">
        <x:f>IF(R1591=0,"Em dia",IF(R1591&lt;=15,"1-15 dias",IF(R1591&lt;=30,"16-30 dias",IF(R1591&lt;=60,"31-60 dias","Acima de 60 dias"))))</x:f>
        <x:v>Em dia</x:v>
      </x:c>
    </x:row>
    <x:row r="1592">
      <x:c r="A1592" s="13" t="str">
        <x:v>REC-001591</x:v>
      </x:c>
      <x:c r="B1592" s="23" t="n">
        <x:v>46099</x:v>
      </x:c>
      <x:c r="C1592" s="23" t="n">
        <x:v>46120</x:v>
      </x:c>
      <x:c r="D1592" s="23" t="n">
        <x:v>46119</x:v>
      </x:c>
      <x:c r="E1592" s="13" t="str">
        <x:v>VAL-003</x:v>
      </x:c>
      <x:c r="F1592" s="13" t="str">
        <x:v>Casa Nova Varejo</x:v>
      </x:c>
      <x:c r="G1592" s="13" t="str">
        <x:v>Varejo</x:v>
      </x:c>
      <x:c r="H1592" s="13" t="str">
        <x:v>Baixo</x:v>
      </x:c>
      <x:c r="I1592" s="13" t="str">
        <x:v>Performance</x:v>
      </x:c>
      <x:c r="J1592" s="17" t="n">
        <x:v>20002</x:v>
      </x:c>
      <x:c r="K1592" s="17" t="n">
        <x:v>208.9</x:v>
      </x:c>
      <x:c r="L1592" s="17" t="n">
        <x:v>0</x:v>
      </x:c>
      <x:c r="M1592" s="13" t="str">
        <x:v>Pago</x:v>
      </x:c>
      <x:c r="N1592" s="13" t="str">
        <x:v>Sem cobrança</x:v>
      </x:c>
      <x:c r="O1592" s="13" t="str">
        <x:v>Escala inteligente</x:v>
      </x:c>
      <x:c r="P1592" s="17" t="n">
        <x:f>IF(D1592="",0,J1592-K1592+L1592)</x:f>
        <x:v>19793.1</x:v>
      </x:c>
      <x:c r="Q1592" s="17" t="n">
        <x:f>MAX(J1592-P1592-K1592,0)</x:f>
        <x:v>1.4495071809506044e-12</x:v>
      </x:c>
      <x:c r="R1592" s="13" t="n">
        <x:f>IF(D1592="",MAX(TODAY()-C1592,0),MAX(D1592-C1592,0))</x:f>
        <x:v>0</x:v>
      </x:c>
      <x:c r="S1592" s="13" t="str">
        <x:f>IF(R1592=0,"Em dia",IF(R1592&lt;=15,"1-15 dias",IF(R1592&lt;=30,"16-30 dias",IF(R1592&lt;=60,"31-60 dias","Acima de 60 dias"))))</x:f>
        <x:v>Em dia</x:v>
      </x:c>
    </x:row>
    <x:row r="1593">
      <x:c r="A1593" s="13" t="str">
        <x:v>REC-001592</x:v>
      </x:c>
      <x:c r="B1593" s="23" t="n">
        <x:v>46084</x:v>
      </x:c>
      <x:c r="C1593" s="23" t="n">
        <x:v>46105</x:v>
      </x:c>
      <x:c r="D1593" s="23" t="n">
        <x:v>46103</x:v>
      </x:c>
      <x:c r="E1593" s="13" t="str">
        <x:v>VAL-010</x:v>
      </x:c>
      <x:c r="F1593" s="13" t="str">
        <x:v>Atlas Contabilidade</x:v>
      </x:c>
      <x:c r="G1593" s="13" t="str">
        <x:v>Serviços Profissionais</x:v>
      </x:c>
      <x:c r="H1593" s="13" t="str">
        <x:v>Baixo</x:v>
      </x:c>
      <x:c r="I1593" s="13" t="str">
        <x:v>Gestão</x:v>
      </x:c>
      <x:c r="J1593" s="17" t="n">
        <x:v>24079.92</x:v>
      </x:c>
      <x:c r="K1593" s="17" t="n">
        <x:v>0</x:v>
      </x:c>
      <x:c r="L1593" s="17" t="n">
        <x:v>0</x:v>
      </x:c>
      <x:c r="M1593" s="13" t="str">
        <x:v>Pago</x:v>
      </x:c>
      <x:c r="N1593" s="13" t="str">
        <x:v>Sem cobrança</x:v>
      </x:c>
      <x:c r="O1593" s="13" t="str">
        <x:v>Escala inteligente</x:v>
      </x:c>
      <x:c r="P1593" s="17" t="n">
        <x:f>IF(D1593="",0,J1593-K1593+L1593)</x:f>
        <x:v>24079.92</x:v>
      </x:c>
      <x:c r="Q1593" s="17" t="n">
        <x:f>MAX(J1593-P1593-K1593,0)</x:f>
        <x:v>0</x:v>
      </x:c>
      <x:c r="R1593" s="13" t="n">
        <x:f>IF(D1593="",MAX(TODAY()-C1593,0),MAX(D1593-C1593,0))</x:f>
        <x:v>0</x:v>
      </x:c>
      <x:c r="S1593" s="13" t="str">
        <x:f>IF(R1593=0,"Em dia",IF(R1593&lt;=15,"1-15 dias",IF(R1593&lt;=30,"16-30 dias",IF(R1593&lt;=60,"31-60 dias","Acima de 60 dias"))))</x:f>
        <x:v>Em dia</x:v>
      </x:c>
    </x:row>
    <x:row r="1594">
      <x:c r="A1594" s="13" t="str">
        <x:v>REC-001593</x:v>
      </x:c>
      <x:c r="B1594" s="23" t="n">
        <x:v>46092</x:v>
      </x:c>
      <x:c r="C1594" s="23" t="n">
        <x:v>46099</x:v>
      </x:c>
      <x:c r="D1594" s="23" t="n">
        <x:v>46096</x:v>
      </x:c>
      <x:c r="E1594" s="13" t="str">
        <x:v>VAL-009</x:v>
      </x:c>
      <x:c r="F1594" s="13" t="str">
        <x:v>Odonto Prime</x:v>
      </x:c>
      <x:c r="G1594" s="13" t="str">
        <x:v>Clínicas e Saúde</x:v>
      </x:c>
      <x:c r="H1594" s="13" t="str">
        <x:v>Médio</x:v>
      </x:c>
      <x:c r="I1594" s="13" t="str">
        <x:v>Essencial</x:v>
      </x:c>
      <x:c r="J1594" s="17" t="n">
        <x:v>14907.68</x:v>
      </x:c>
      <x:c r="K1594" s="17" t="n">
        <x:v>0</x:v>
      </x:c>
      <x:c r="L1594" s="17" t="n">
        <x:v>0</x:v>
      </x:c>
      <x:c r="M1594" s="13" t="str">
        <x:v>Pago</x:v>
      </x:c>
      <x:c r="N1594" s="13" t="str">
        <x:v>Sem cobrança</x:v>
      </x:c>
      <x:c r="O1594" s="13" t="str">
        <x:v>Escala inteligente</x:v>
      </x:c>
      <x:c r="P1594" s="17" t="n">
        <x:f>IF(D1594="",0,J1594-K1594+L1594)</x:f>
        <x:v>14907.68</x:v>
      </x:c>
      <x:c r="Q1594" s="17" t="n">
        <x:f>MAX(J1594-P1594-K1594,0)</x:f>
        <x:v>0</x:v>
      </x:c>
      <x:c r="R1594" s="13" t="n">
        <x:f>IF(D1594="",MAX(TODAY()-C1594,0),MAX(D1594-C1594,0))</x:f>
        <x:v>0</x:v>
      </x:c>
      <x:c r="S1594" s="13" t="str">
        <x:f>IF(R1594=0,"Em dia",IF(R1594&lt;=15,"1-15 dias",IF(R1594&lt;=30,"16-30 dias",IF(R1594&lt;=60,"31-60 dias","Acima de 60 dias"))))</x:f>
        <x:v>Em dia</x:v>
      </x:c>
    </x:row>
    <x:row r="1595">
      <x:c r="A1595" s="13" t="str">
        <x:v>REC-001594</x:v>
      </x:c>
      <x:c r="B1595" s="23" t="n">
        <x:v>46088</x:v>
      </x:c>
      <x:c r="C1595" s="23" t="n">
        <x:v>46109</x:v>
      </x:c>
      <x:c r="D1595" s="23" t="n">
        <x:v>46107</x:v>
      </x:c>
      <x:c r="E1595" s="13" t="str">
        <x:v>VAL-005</x:v>
      </x:c>
      <x:c r="F1595" s="13" t="str">
        <x:v>Construtora Alameda</x:v>
      </x:c>
      <x:c r="G1595" s="13" t="str">
        <x:v>Construção</x:v>
      </x:c>
      <x:c r="H1595" s="13" t="str">
        <x:v>Médio</x:v>
      </x:c>
      <x:c r="I1595" s="13" t="str">
        <x:v>Essencial</x:v>
      </x:c>
      <x:c r="J1595" s="17" t="n">
        <x:v>21697.48</x:v>
      </x:c>
      <x:c r="K1595" s="17" t="n">
        <x:v>0</x:v>
      </x:c>
      <x:c r="L1595" s="17" t="n">
        <x:v>0</x:v>
      </x:c>
      <x:c r="M1595" s="13" t="str">
        <x:v>Pago</x:v>
      </x:c>
      <x:c r="N1595" s="13" t="str">
        <x:v>Sem cobrança</x:v>
      </x:c>
      <x:c r="O1595" s="13" t="str">
        <x:v>Escala inteligente</x:v>
      </x:c>
      <x:c r="P1595" s="17" t="n">
        <x:f>IF(D1595="",0,J1595-K1595+L1595)</x:f>
        <x:v>21697.48</x:v>
      </x:c>
      <x:c r="Q1595" s="17" t="n">
        <x:f>MAX(J1595-P1595-K1595,0)</x:f>
        <x:v>0</x:v>
      </x:c>
      <x:c r="R1595" s="13" t="n">
        <x:f>IF(D1595="",MAX(TODAY()-C1595,0),MAX(D1595-C1595,0))</x:f>
        <x:v>0</x:v>
      </x:c>
      <x:c r="S1595" s="13" t="str">
        <x:f>IF(R1595=0,"Em dia",IF(R1595&lt;=15,"1-15 dias",IF(R1595&lt;=30,"16-30 dias",IF(R1595&lt;=60,"31-60 dias","Acima de 60 dias"))))</x:f>
        <x:v>Em dia</x:v>
      </x:c>
    </x:row>
    <x:row r="1596">
      <x:c r="A1596" s="13" t="str">
        <x:v>REC-001595</x:v>
      </x:c>
      <x:c r="B1596" s="23" t="n">
        <x:v>46083</x:v>
      </x:c>
      <x:c r="C1596" s="23" t="n">
        <x:v>46113</x:v>
      </x:c>
      <x:c r="D1596" s="23" t="n">
        <x:v>46109</x:v>
      </x:c>
      <x:c r="E1596" s="13" t="str">
        <x:v>VAL-021</x:v>
      </x:c>
      <x:c r="F1596" s="13" t="str">
        <x:v>Base Forte Obras</x:v>
      </x:c>
      <x:c r="G1596" s="13" t="str">
        <x:v>Construção</x:v>
      </x:c>
      <x:c r="H1596" s="13" t="str">
        <x:v>Médio</x:v>
      </x:c>
      <x:c r="I1596" s="13" t="str">
        <x:v>Essencial</x:v>
      </x:c>
      <x:c r="J1596" s="17" t="n">
        <x:v>27847.72</x:v>
      </x:c>
      <x:c r="K1596" s="17" t="n">
        <x:v>0</x:v>
      </x:c>
      <x:c r="L1596" s="17" t="n">
        <x:v>0</x:v>
      </x:c>
      <x:c r="M1596" s="13" t="str">
        <x:v>Pago</x:v>
      </x:c>
      <x:c r="N1596" s="13" t="str">
        <x:v>Sem cobrança</x:v>
      </x:c>
      <x:c r="O1596" s="13" t="str">
        <x:v>Escala inteligente</x:v>
      </x:c>
      <x:c r="P1596" s="17" t="n">
        <x:f>IF(D1596="",0,J1596-K1596+L1596)</x:f>
        <x:v>27847.72</x:v>
      </x:c>
      <x:c r="Q1596" s="17" t="n">
        <x:f>MAX(J1596-P1596-K1596,0)</x:f>
        <x:v>0</x:v>
      </x:c>
      <x:c r="R1596" s="13" t="n">
        <x:f>IF(D1596="",MAX(TODAY()-C1596,0),MAX(D1596-C1596,0))</x:f>
        <x:v>0</x:v>
      </x:c>
      <x:c r="S1596" s="13" t="str">
        <x:f>IF(R1596=0,"Em dia",IF(R1596&lt;=15,"1-15 dias",IF(R1596&lt;=30,"16-30 dias",IF(R1596&lt;=60,"31-60 dias","Acima de 60 dias"))))</x:f>
        <x:v>Em dia</x:v>
      </x:c>
    </x:row>
    <x:row r="1597">
      <x:c r="A1597" s="13" t="str">
        <x:v>REC-001596</x:v>
      </x:c>
      <x:c r="B1597" s="23" t="n">
        <x:v>46083</x:v>
      </x:c>
      <x:c r="C1597" s="23" t="n">
        <x:v>46104</x:v>
      </x:c>
      <x:c r="D1597" s="23" t="n">
        <x:v>46102</x:v>
      </x:c>
      <x:c r="E1597" s="13" t="str">
        <x:v>VAL-018</x:v>
      </x:c>
      <x:c r="F1597" s="13" t="str">
        <x:v>Ponto Legal Advocacia</x:v>
      </x:c>
      <x:c r="G1597" s="13" t="str">
        <x:v>Serviços Profissionais</x:v>
      </x:c>
      <x:c r="H1597" s="13" t="str">
        <x:v>Baixo</x:v>
      </x:c>
      <x:c r="I1597" s="13" t="str">
        <x:v>Gestão</x:v>
      </x:c>
      <x:c r="J1597" s="17" t="n">
        <x:v>17238.89</x:v>
      </x:c>
      <x:c r="K1597" s="17" t="n">
        <x:v>0</x:v>
      </x:c>
      <x:c r="L1597" s="17" t="n">
        <x:v>0</x:v>
      </x:c>
      <x:c r="M1597" s="13" t="str">
        <x:v>Pago</x:v>
      </x:c>
      <x:c r="N1597" s="13" t="str">
        <x:v>Sem cobrança</x:v>
      </x:c>
      <x:c r="O1597" s="13" t="str">
        <x:v>Escala inteligente</x:v>
      </x:c>
      <x:c r="P1597" s="17" t="n">
        <x:f>IF(D1597="",0,J1597-K1597+L1597)</x:f>
        <x:v>17238.89</x:v>
      </x:c>
      <x:c r="Q1597" s="17" t="n">
        <x:f>MAX(J1597-P1597-K1597,0)</x:f>
        <x:v>0</x:v>
      </x:c>
      <x:c r="R1597" s="13" t="n">
        <x:f>IF(D1597="",MAX(TODAY()-C1597,0),MAX(D1597-C1597,0))</x:f>
        <x:v>0</x:v>
      </x:c>
      <x:c r="S1597" s="13" t="str">
        <x:f>IF(R1597=0,"Em dia",IF(R1597&lt;=15,"1-15 dias",IF(R1597&lt;=30,"16-30 dias",IF(R1597&lt;=60,"31-60 dias","Acima de 60 dias"))))</x:f>
        <x:v>Em dia</x:v>
      </x:c>
    </x:row>
    <x:row r="1598">
      <x:c r="A1598" s="13" t="str">
        <x:v>REC-001597</x:v>
      </x:c>
      <x:c r="B1598" s="23" t="n">
        <x:v>46094</x:v>
      </x:c>
      <x:c r="C1598" s="23" t="n">
        <x:v>46109</x:v>
      </x:c>
      <x:c r="D1598" s="23" t="n">
        <x:v>46107</x:v>
      </x:c>
      <x:c r="E1598" s="13" t="str">
        <x:v>VAL-022</x:v>
      </x:c>
      <x:c r="F1598" s="13" t="str">
        <x:v>Academia Evoluir</x:v>
      </x:c>
      <x:c r="G1598" s="13" t="str">
        <x:v>Educação</x:v>
      </x:c>
      <x:c r="H1598" s="13" t="str">
        <x:v>Alto</x:v>
      </x:c>
      <x:c r="I1598" s="13" t="str">
        <x:v>Gestão</x:v>
      </x:c>
      <x:c r="J1598" s="17" t="n">
        <x:v>5866.88</x:v>
      </x:c>
      <x:c r="K1598" s="17" t="n">
        <x:v>0</x:v>
      </x:c>
      <x:c r="L1598" s="17" t="n">
        <x:v>0</x:v>
      </x:c>
      <x:c r="M1598" s="13" t="str">
        <x:v>Pago</x:v>
      </x:c>
      <x:c r="N1598" s="13" t="str">
        <x:v>Sem cobrança</x:v>
      </x:c>
      <x:c r="O1598" s="13" t="str">
        <x:v>Escala inteligente</x:v>
      </x:c>
      <x:c r="P1598" s="17" t="n">
        <x:f>IF(D1598="",0,J1598-K1598+L1598)</x:f>
        <x:v>5866.88</x:v>
      </x:c>
      <x:c r="Q1598" s="17" t="n">
        <x:f>MAX(J1598-P1598-K1598,0)</x:f>
        <x:v>0</x:v>
      </x:c>
      <x:c r="R1598" s="13" t="n">
        <x:f>IF(D1598="",MAX(TODAY()-C1598,0),MAX(D1598-C1598,0))</x:f>
        <x:v>0</x:v>
      </x:c>
      <x:c r="S1598" s="13" t="str">
        <x:f>IF(R1598=0,"Em dia",IF(R1598&lt;=15,"1-15 dias",IF(R1598&lt;=30,"16-30 dias",IF(R1598&lt;=60,"31-60 dias","Acima de 60 dias"))))</x:f>
        <x:v>Em dia</x:v>
      </x:c>
    </x:row>
    <x:row r="1599">
      <x:c r="A1599" s="13" t="str">
        <x:v>REC-001598</x:v>
      </x:c>
      <x:c r="B1599" s="23" t="n">
        <x:v>46091</x:v>
      </x:c>
      <x:c r="C1599" s="23" t="n">
        <x:v>46098</x:v>
      </x:c>
      <x:c r="D1599" s="23" t="n">
        <x:v>46097</x:v>
      </x:c>
      <x:c r="E1599" s="13" t="str">
        <x:v>VAL-005</x:v>
      </x:c>
      <x:c r="F1599" s="13" t="str">
        <x:v>Construtora Alameda</x:v>
      </x:c>
      <x:c r="G1599" s="13" t="str">
        <x:v>Construção</x:v>
      </x:c>
      <x:c r="H1599" s="13" t="str">
        <x:v>Médio</x:v>
      </x:c>
      <x:c r="I1599" s="13" t="str">
        <x:v>Essencial</x:v>
      </x:c>
      <x:c r="J1599" s="17" t="n">
        <x:v>19176.92</x:v>
      </x:c>
      <x:c r="K1599" s="17" t="n">
        <x:v>0</x:v>
      </x:c>
      <x:c r="L1599" s="17" t="n">
        <x:v>0</x:v>
      </x:c>
      <x:c r="M1599" s="13" t="str">
        <x:v>Pago</x:v>
      </x:c>
      <x:c r="N1599" s="13" t="str">
        <x:v>Sem cobrança</x:v>
      </x:c>
      <x:c r="O1599" s="13" t="str">
        <x:v>Escala inteligente</x:v>
      </x:c>
      <x:c r="P1599" s="17" t="n">
        <x:f>IF(D1599="",0,J1599-K1599+L1599)</x:f>
        <x:v>19176.92</x:v>
      </x:c>
      <x:c r="Q1599" s="17" t="n">
        <x:f>MAX(J1599-P1599-K1599,0)</x:f>
        <x:v>0</x:v>
      </x:c>
      <x:c r="R1599" s="13" t="n">
        <x:f>IF(D1599="",MAX(TODAY()-C1599,0),MAX(D1599-C1599,0))</x:f>
        <x:v>0</x:v>
      </x:c>
      <x:c r="S1599" s="13" t="str">
        <x:f>IF(R1599=0,"Em dia",IF(R1599&lt;=15,"1-15 dias",IF(R1599&lt;=30,"16-30 dias",IF(R1599&lt;=60,"31-60 dias","Acima de 60 dias"))))</x:f>
        <x:v>Em dia</x:v>
      </x:c>
    </x:row>
    <x:row r="1600">
      <x:c r="A1600" s="13" t="str">
        <x:v>REC-001599</x:v>
      </x:c>
      <x:c r="B1600" s="23" t="n">
        <x:v>46100</x:v>
      </x:c>
      <x:c r="C1600" s="23" t="n">
        <x:v>46130</x:v>
      </x:c>
      <x:c r="D1600" s="23" t="n">
        <x:v>46130</x:v>
      </x:c>
      <x:c r="E1600" s="13" t="str">
        <x:v>VAL-011</x:v>
      </x:c>
      <x:c r="F1600" s="13" t="str">
        <x:v>Rede Essencial</x:v>
      </x:c>
      <x:c r="G1600" s="13" t="str">
        <x:v>Varejo</x:v>
      </x:c>
      <x:c r="H1600" s="13" t="str">
        <x:v>Médio</x:v>
      </x:c>
      <x:c r="I1600" s="13" t="str">
        <x:v>Performance</x:v>
      </x:c>
      <x:c r="J1600" s="17" t="n">
        <x:v>15662.04</x:v>
      </x:c>
      <x:c r="K1600" s="17" t="n">
        <x:v>0</x:v>
      </x:c>
      <x:c r="L1600" s="17" t="n">
        <x:v>0</x:v>
      </x:c>
      <x:c r="M1600" s="13" t="str">
        <x:v>Pago</x:v>
      </x:c>
      <x:c r="N1600" s="13" t="str">
        <x:v>Sem cobrança</x:v>
      </x:c>
      <x:c r="O1600" s="13" t="str">
        <x:v>Escala inteligente</x:v>
      </x:c>
      <x:c r="P1600" s="17" t="n">
        <x:f>IF(D1600="",0,J1600-K1600+L1600)</x:f>
        <x:v>15662.04</x:v>
      </x:c>
      <x:c r="Q1600" s="17" t="n">
        <x:f>MAX(J1600-P1600-K1600,0)</x:f>
        <x:v>0</x:v>
      </x:c>
      <x:c r="R1600" s="13" t="n">
        <x:f>IF(D1600="",MAX(TODAY()-C1600,0),MAX(D1600-C1600,0))</x:f>
        <x:v>0</x:v>
      </x:c>
      <x:c r="S1600" s="13" t="str">
        <x:f>IF(R1600=0,"Em dia",IF(R1600&lt;=15,"1-15 dias",IF(R1600&lt;=30,"16-30 dias",IF(R1600&lt;=60,"31-60 dias","Acima de 60 dias"))))</x:f>
        <x:v>Em dia</x:v>
      </x:c>
    </x:row>
    <x:row r="1601">
      <x:c r="A1601" s="13" t="str">
        <x:v>REC-001600</x:v>
      </x:c>
      <x:c r="B1601" s="23" t="n">
        <x:v>46086</x:v>
      </x:c>
      <x:c r="C1601" s="23" t="n">
        <x:v>46107</x:v>
      </x:c>
      <x:c r="D1601" s="23" t="n">
        <x:v>46107</x:v>
      </x:c>
      <x:c r="E1601" s="13" t="str">
        <x:v>VAL-017</x:v>
      </x:c>
      <x:c r="F1601" s="13" t="str">
        <x:v>Centro Médico Vida</x:v>
      </x:c>
      <x:c r="G1601" s="13" t="str">
        <x:v>Clínicas e Saúde</x:v>
      </x:c>
      <x:c r="H1601" s="13" t="str">
        <x:v>Baixo</x:v>
      </x:c>
      <x:c r="I1601" s="13" t="str">
        <x:v>Essencial</x:v>
      </x:c>
      <x:c r="J1601" s="17" t="n">
        <x:v>20857.78</x:v>
      </x:c>
      <x:c r="K1601" s="17" t="n">
        <x:v>0</x:v>
      </x:c>
      <x:c r="L1601" s="17" t="n">
        <x:v>0</x:v>
      </x:c>
      <x:c r="M1601" s="13" t="str">
        <x:v>Pago</x:v>
      </x:c>
      <x:c r="N1601" s="13" t="str">
        <x:v>Sem cobrança</x:v>
      </x:c>
      <x:c r="O1601" s="13" t="str">
        <x:v>Escala inteligente</x:v>
      </x:c>
      <x:c r="P1601" s="17" t="n">
        <x:f>IF(D1601="",0,J1601-K1601+L1601)</x:f>
        <x:v>20857.78</x:v>
      </x:c>
      <x:c r="Q1601" s="17" t="n">
        <x:f>MAX(J1601-P1601-K1601,0)</x:f>
        <x:v>0</x:v>
      </x:c>
      <x:c r="R1601" s="13" t="n">
        <x:f>IF(D1601="",MAX(TODAY()-C1601,0),MAX(D1601-C1601,0))</x:f>
        <x:v>0</x:v>
      </x:c>
      <x:c r="S1601" s="13" t="str">
        <x:f>IF(R1601=0,"Em dia",IF(R1601&lt;=15,"1-15 dias",IF(R1601&lt;=30,"16-30 dias",IF(R1601&lt;=60,"31-60 dias","Acima de 60 dias"))))</x:f>
        <x:v>Em dia</x:v>
      </x:c>
    </x:row>
    <x:row r="1602">
      <x:c r="A1602" s="13" t="str">
        <x:v>REC-001601</x:v>
      </x:c>
      <x:c r="B1602" s="23" t="n">
        <x:v>46083</x:v>
      </x:c>
      <x:c r="C1602" s="23" t="n">
        <x:v>46104</x:v>
      </x:c>
      <x:c r="D1602" s="23" t="n">
        <x:v>46103</x:v>
      </x:c>
      <x:c r="E1602" s="13" t="str">
        <x:v>VAL-013</x:v>
      </x:c>
      <x:c r="F1602" s="13" t="str">
        <x:v>Engenharia Vértice</x:v>
      </x:c>
      <x:c r="G1602" s="13" t="str">
        <x:v>Construção</x:v>
      </x:c>
      <x:c r="H1602" s="13" t="str">
        <x:v>Baixo</x:v>
      </x:c>
      <x:c r="I1602" s="13" t="str">
        <x:v>Essencial</x:v>
      </x:c>
      <x:c r="J1602" s="17" t="n">
        <x:v>8769.76</x:v>
      </x:c>
      <x:c r="K1602" s="17" t="n">
        <x:v>0</x:v>
      </x:c>
      <x:c r="L1602" s="17" t="n">
        <x:v>0</x:v>
      </x:c>
      <x:c r="M1602" s="13" t="str">
        <x:v>Pago</x:v>
      </x:c>
      <x:c r="N1602" s="13" t="str">
        <x:v>Sem cobrança</x:v>
      </x:c>
      <x:c r="O1602" s="13" t="str">
        <x:v>Escala inteligente</x:v>
      </x:c>
      <x:c r="P1602" s="17" t="n">
        <x:f>IF(D1602="",0,J1602-K1602+L1602)</x:f>
        <x:v>8769.76</x:v>
      </x:c>
      <x:c r="Q1602" s="17" t="n">
        <x:f>MAX(J1602-P1602-K1602,0)</x:f>
        <x:v>0</x:v>
      </x:c>
      <x:c r="R1602" s="13" t="n">
        <x:f>IF(D1602="",MAX(TODAY()-C1602,0),MAX(D1602-C1602,0))</x:f>
        <x:v>0</x:v>
      </x:c>
      <x:c r="S1602" s="13" t="str">
        <x:f>IF(R1602=0,"Em dia",IF(R1602&lt;=15,"1-15 dias",IF(R1602&lt;=30,"16-30 dias",IF(R1602&lt;=60,"31-60 dias","Acima de 60 dias"))))</x:f>
        <x:v>Em dia</x:v>
      </x:c>
    </x:row>
    <x:row r="1603">
      <x:c r="A1603" s="13" t="str">
        <x:v>REC-001602</x:v>
      </x:c>
      <x:c r="B1603" s="23" t="n">
        <x:v>46098</x:v>
      </x:c>
      <x:c r="C1603" s="23" t="n">
        <x:v>46113</x:v>
      </x:c>
      <x:c r="D1603" s="23" t="n">
        <x:v>46110</x:v>
      </x:c>
      <x:c r="E1603" s="13" t="str">
        <x:v>VAL-025</x:v>
      </x:c>
      <x:c r="F1603" s="13" t="str">
        <x:v>Bem-Estar Terapias</x:v>
      </x:c>
      <x:c r="G1603" s="13" t="str">
        <x:v>Clínicas e Saúde</x:v>
      </x:c>
      <x:c r="H1603" s="13" t="str">
        <x:v>Baixo</x:v>
      </x:c>
      <x:c r="I1603" s="13" t="str">
        <x:v>Essencial</x:v>
      </x:c>
      <x:c r="J1603" s="17" t="n">
        <x:v>25618.24</x:v>
      </x:c>
      <x:c r="K1603" s="17" t="n">
        <x:v>0</x:v>
      </x:c>
      <x:c r="L1603" s="17" t="n">
        <x:v>0</x:v>
      </x:c>
      <x:c r="M1603" s="13" t="str">
        <x:v>Pago</x:v>
      </x:c>
      <x:c r="N1603" s="13" t="str">
        <x:v>Sem cobrança</x:v>
      </x:c>
      <x:c r="O1603" s="13" t="str">
        <x:v>Escala inteligente</x:v>
      </x:c>
      <x:c r="P1603" s="17" t="n">
        <x:f>IF(D1603="",0,J1603-K1603+L1603)</x:f>
        <x:v>25618.24</x:v>
      </x:c>
      <x:c r="Q1603" s="17" t="n">
        <x:f>MAX(J1603-P1603-K1603,0)</x:f>
        <x:v>0</x:v>
      </x:c>
      <x:c r="R1603" s="13" t="n">
        <x:f>IF(D1603="",MAX(TODAY()-C1603,0),MAX(D1603-C1603,0))</x:f>
        <x:v>0</x:v>
      </x:c>
      <x:c r="S1603" s="13" t="str">
        <x:f>IF(R1603=0,"Em dia",IF(R1603&lt;=15,"1-15 dias",IF(R1603&lt;=30,"16-30 dias",IF(R1603&lt;=60,"31-60 dias","Acima de 60 dias"))))</x:f>
        <x:v>Em dia</x:v>
      </x:c>
    </x:row>
    <x:row r="1604">
      <x:c r="A1604" s="13" t="str">
        <x:v>REC-001603</x:v>
      </x:c>
      <x:c r="B1604" s="23" t="n">
        <x:v>46094</x:v>
      </x:c>
      <x:c r="C1604" s="23" t="n">
        <x:v>46122</x:v>
      </x:c>
      <x:c r="D1604" s="23" t="n">
        <x:v>46120</x:v>
      </x:c>
      <x:c r="E1604" s="13" t="str">
        <x:v>VAL-027</x:v>
      </x:c>
      <x:c r="F1604" s="13" t="str">
        <x:v>Mais Lar Utilidades</x:v>
      </x:c>
      <x:c r="G1604" s="13" t="str">
        <x:v>Varejo</x:v>
      </x:c>
      <x:c r="H1604" s="13" t="str">
        <x:v>Baixo</x:v>
      </x:c>
      <x:c r="I1604" s="13" t="str">
        <x:v>Performance</x:v>
      </x:c>
      <x:c r="J1604" s="17" t="n">
        <x:v>24290.24</x:v>
      </x:c>
      <x:c r="K1604" s="17" t="n">
        <x:v>0</x:v>
      </x:c>
      <x:c r="L1604" s="17" t="n">
        <x:v>0</x:v>
      </x:c>
      <x:c r="M1604" s="13" t="str">
        <x:v>Pago</x:v>
      </x:c>
      <x:c r="N1604" s="13" t="str">
        <x:v>Sem cobrança</x:v>
      </x:c>
      <x:c r="O1604" s="13" t="str">
        <x:v>Escala inteligente</x:v>
      </x:c>
      <x:c r="P1604" s="17" t="n">
        <x:f>IF(D1604="",0,J1604-K1604+L1604)</x:f>
        <x:v>24290.24</x:v>
      </x:c>
      <x:c r="Q1604" s="17" t="n">
        <x:f>MAX(J1604-P1604-K1604,0)</x:f>
        <x:v>0</x:v>
      </x:c>
      <x:c r="R1604" s="13" t="n">
        <x:f>IF(D1604="",MAX(TODAY()-C1604,0),MAX(D1604-C1604,0))</x:f>
        <x:v>0</x:v>
      </x:c>
      <x:c r="S1604" s="13" t="str">
        <x:f>IF(R1604=0,"Em dia",IF(R1604&lt;=15,"1-15 dias",IF(R1604&lt;=30,"16-30 dias",IF(R1604&lt;=60,"31-60 dias","Acima de 60 dias"))))</x:f>
        <x:v>Em dia</x:v>
      </x:c>
    </x:row>
    <x:row r="1605">
      <x:c r="A1605" s="13" t="str">
        <x:v>REC-001604</x:v>
      </x:c>
      <x:c r="B1605" s="23" t="n">
        <x:v>46085</x:v>
      </x:c>
      <x:c r="C1605" s="23" t="n">
        <x:v>46106</x:v>
      </x:c>
      <x:c r="D1605" s="23" t="n">
        <x:v>46105</x:v>
      </x:c>
      <x:c r="E1605" s="13" t="str">
        <x:v>VAL-005</x:v>
      </x:c>
      <x:c r="F1605" s="13" t="str">
        <x:v>Construtora Alameda</x:v>
      </x:c>
      <x:c r="G1605" s="13" t="str">
        <x:v>Construção</x:v>
      </x:c>
      <x:c r="H1605" s="13" t="str">
        <x:v>Médio</x:v>
      </x:c>
      <x:c r="I1605" s="13" t="str">
        <x:v>Essencial</x:v>
      </x:c>
      <x:c r="J1605" s="17" t="n">
        <x:v>17574.16</x:v>
      </x:c>
      <x:c r="K1605" s="17" t="n">
        <x:v>0</x:v>
      </x:c>
      <x:c r="L1605" s="17" t="n">
        <x:v>0</x:v>
      </x:c>
      <x:c r="M1605" s="13" t="str">
        <x:v>Pago</x:v>
      </x:c>
      <x:c r="N1605" s="13" t="str">
        <x:v>Sem cobrança</x:v>
      </x:c>
      <x:c r="O1605" s="13" t="str">
        <x:v>Escala inteligente</x:v>
      </x:c>
      <x:c r="P1605" s="17" t="n">
        <x:f>IF(D1605="",0,J1605-K1605+L1605)</x:f>
        <x:v>17574.16</x:v>
      </x:c>
      <x:c r="Q1605" s="17" t="n">
        <x:f>MAX(J1605-P1605-K1605,0)</x:f>
        <x:v>0</x:v>
      </x:c>
      <x:c r="R1605" s="13" t="n">
        <x:f>IF(D1605="",MAX(TODAY()-C1605,0),MAX(D1605-C1605,0))</x:f>
        <x:v>0</x:v>
      </x:c>
      <x:c r="S1605" s="13" t="str">
        <x:f>IF(R1605=0,"Em dia",IF(R1605&lt;=15,"1-15 dias",IF(R1605&lt;=30,"16-30 dias",IF(R1605&lt;=60,"31-60 dias","Acima de 60 dias"))))</x:f>
        <x:v>Em dia</x:v>
      </x:c>
    </x:row>
    <x:row r="1606">
      <x:c r="A1606" s="13" t="str">
        <x:v>REC-001605</x:v>
      </x:c>
      <x:c r="B1606" s="23" t="n">
        <x:v>46092</x:v>
      </x:c>
      <x:c r="C1606" s="23" t="n">
        <x:v>46120</x:v>
      </x:c>
      <x:c r="D1606" s="23" t="n">
        <x:v>46116</x:v>
      </x:c>
      <x:c r="E1606" s="13" t="str">
        <x:v>VAL-025</x:v>
      </x:c>
      <x:c r="F1606" s="13" t="str">
        <x:v>Bem-Estar Terapias</x:v>
      </x:c>
      <x:c r="G1606" s="13" t="str">
        <x:v>Clínicas e Saúde</x:v>
      </x:c>
      <x:c r="H1606" s="13" t="str">
        <x:v>Baixo</x:v>
      </x:c>
      <x:c r="I1606" s="13" t="str">
        <x:v>Essencial</x:v>
      </x:c>
      <x:c r="J1606" s="17" t="n">
        <x:v>22110.36</x:v>
      </x:c>
      <x:c r="K1606" s="17" t="n">
        <x:v>0</x:v>
      </x:c>
      <x:c r="L1606" s="17" t="n">
        <x:v>0</x:v>
      </x:c>
      <x:c r="M1606" s="13" t="str">
        <x:v>Pago</x:v>
      </x:c>
      <x:c r="N1606" s="13" t="str">
        <x:v>Sem cobrança</x:v>
      </x:c>
      <x:c r="O1606" s="13" t="str">
        <x:v>Escala inteligente</x:v>
      </x:c>
      <x:c r="P1606" s="17" t="n">
        <x:f>IF(D1606="",0,J1606-K1606+L1606)</x:f>
        <x:v>22110.36</x:v>
      </x:c>
      <x:c r="Q1606" s="17" t="n">
        <x:f>MAX(J1606-P1606-K1606,0)</x:f>
        <x:v>0</x:v>
      </x:c>
      <x:c r="R1606" s="13" t="n">
        <x:f>IF(D1606="",MAX(TODAY()-C1606,0),MAX(D1606-C1606,0))</x:f>
        <x:v>0</x:v>
      </x:c>
      <x:c r="S1606" s="13" t="str">
        <x:f>IF(R1606=0,"Em dia",IF(R1606&lt;=15,"1-15 dias",IF(R1606&lt;=30,"16-30 dias",IF(R1606&lt;=60,"31-60 dias","Acima de 60 dias"))))</x:f>
        <x:v>Em dia</x:v>
      </x:c>
    </x:row>
    <x:row r="1607">
      <x:c r="A1607" s="13" t="str">
        <x:v>REC-001606</x:v>
      </x:c>
      <x:c r="B1607" s="23" t="n">
        <x:v>46088</x:v>
      </x:c>
      <x:c r="C1607" s="23" t="n">
        <x:v>46116</x:v>
      </x:c>
      <x:c r="D1607" s="23" t="n">
        <x:v>46116</x:v>
      </x:c>
      <x:c r="E1607" s="13" t="str">
        <x:v>VAL-007</x:v>
      </x:c>
      <x:c r="F1607" s="13" t="str">
        <x:v>Loja Prisma Online</x:v>
      </x:c>
      <x:c r="G1607" s="13" t="str">
        <x:v>E-commerce</x:v>
      </x:c>
      <x:c r="H1607" s="13" t="str">
        <x:v>Médio</x:v>
      </x:c>
      <x:c r="I1607" s="13" t="str">
        <x:v>Performance</x:v>
      </x:c>
      <x:c r="J1607" s="17" t="n">
        <x:v>30939.64</x:v>
      </x:c>
      <x:c r="K1607" s="17" t="n">
        <x:v>0</x:v>
      </x:c>
      <x:c r="L1607" s="17" t="n">
        <x:v>0</x:v>
      </x:c>
      <x:c r="M1607" s="13" t="str">
        <x:v>Pago</x:v>
      </x:c>
      <x:c r="N1607" s="13" t="str">
        <x:v>Sem cobrança</x:v>
      </x:c>
      <x:c r="O1607" s="13" t="str">
        <x:v>Escala inteligente</x:v>
      </x:c>
      <x:c r="P1607" s="17" t="n">
        <x:f>IF(D1607="",0,J1607-K1607+L1607)</x:f>
        <x:v>30939.64</x:v>
      </x:c>
      <x:c r="Q1607" s="17" t="n">
        <x:f>MAX(J1607-P1607-K1607,0)</x:f>
        <x:v>0</x:v>
      </x:c>
      <x:c r="R1607" s="13" t="n">
        <x:f>IF(D1607="",MAX(TODAY()-C1607,0),MAX(D1607-C1607,0))</x:f>
        <x:v>0</x:v>
      </x:c>
      <x:c r="S1607" s="13" t="str">
        <x:f>IF(R1607=0,"Em dia",IF(R1607&lt;=15,"1-15 dias",IF(R1607&lt;=30,"16-30 dias",IF(R1607&lt;=60,"31-60 dias","Acima de 60 dias"))))</x:f>
        <x:v>Em dia</x:v>
      </x:c>
    </x:row>
    <x:row r="1608">
      <x:c r="A1608" s="13" t="str">
        <x:v>REC-001607</x:v>
      </x:c>
      <x:c r="B1608" s="23" t="n">
        <x:v>46093</x:v>
      </x:c>
      <x:c r="C1608" s="23" t="n">
        <x:v>46121</x:v>
      </x:c>
      <x:c r="D1608" s="23" t="n">
        <x:v>46117</x:v>
      </x:c>
      <x:c r="E1608" s="13" t="str">
        <x:v>VAL-021</x:v>
      </x:c>
      <x:c r="F1608" s="13" t="str">
        <x:v>Base Forte Obras</x:v>
      </x:c>
      <x:c r="G1608" s="13" t="str">
        <x:v>Construção</x:v>
      </x:c>
      <x:c r="H1608" s="13" t="str">
        <x:v>Médio</x:v>
      </x:c>
      <x:c r="I1608" s="13" t="str">
        <x:v>Essencial</x:v>
      </x:c>
      <x:c r="J1608" s="17" t="n">
        <x:v>17950.06</x:v>
      </x:c>
      <x:c r="K1608" s="17" t="n">
        <x:v>0</x:v>
      </x:c>
      <x:c r="L1608" s="17" t="n">
        <x:v>0</x:v>
      </x:c>
      <x:c r="M1608" s="13" t="str">
        <x:v>Pago</x:v>
      </x:c>
      <x:c r="N1608" s="13" t="str">
        <x:v>Sem cobrança</x:v>
      </x:c>
      <x:c r="O1608" s="13" t="str">
        <x:v>Escala inteligente</x:v>
      </x:c>
      <x:c r="P1608" s="17" t="n">
        <x:f>IF(D1608="",0,J1608-K1608+L1608)</x:f>
        <x:v>17950.06</x:v>
      </x:c>
      <x:c r="Q1608" s="17" t="n">
        <x:f>MAX(J1608-P1608-K1608,0)</x:f>
        <x:v>0</x:v>
      </x:c>
      <x:c r="R1608" s="13" t="n">
        <x:f>IF(D1608="",MAX(TODAY()-C1608,0),MAX(D1608-C1608,0))</x:f>
        <x:v>0</x:v>
      </x:c>
      <x:c r="S1608" s="13" t="str">
        <x:f>IF(R1608=0,"Em dia",IF(R1608&lt;=15,"1-15 dias",IF(R1608&lt;=30,"16-30 dias",IF(R1608&lt;=60,"31-60 dias","Acima de 60 dias"))))</x:f>
        <x:v>Em dia</x:v>
      </x:c>
    </x:row>
    <x:row r="1609">
      <x:c r="A1609" s="13" t="str">
        <x:v>REC-001608</x:v>
      </x:c>
      <x:c r="B1609" s="23" t="n">
        <x:v>46082</x:v>
      </x:c>
      <x:c r="C1609" s="23" t="n">
        <x:v>46097</x:v>
      </x:c>
      <x:c r="D1609" s="23" t="n">
        <x:v>46093</x:v>
      </x:c>
      <x:c r="E1609" s="13" t="str">
        <x:v>VAL-025</x:v>
      </x:c>
      <x:c r="F1609" s="13" t="str">
        <x:v>Bem-Estar Terapias</x:v>
      </x:c>
      <x:c r="G1609" s="13" t="str">
        <x:v>Clínicas e Saúde</x:v>
      </x:c>
      <x:c r="H1609" s="13" t="str">
        <x:v>Baixo</x:v>
      </x:c>
      <x:c r="I1609" s="13" t="str">
        <x:v>Essencial</x:v>
      </x:c>
      <x:c r="J1609" s="17" t="n">
        <x:v>14278.75</x:v>
      </x:c>
      <x:c r="K1609" s="17" t="n">
        <x:v>149.34</x:v>
      </x:c>
      <x:c r="L1609" s="17" t="n">
        <x:v>0</x:v>
      </x:c>
      <x:c r="M1609" s="13" t="str">
        <x:v>Pago</x:v>
      </x:c>
      <x:c r="N1609" s="13" t="str">
        <x:v>Sem cobrança</x:v>
      </x:c>
      <x:c r="O1609" s="13" t="str">
        <x:v>Escala inteligente</x:v>
      </x:c>
      <x:c r="P1609" s="17" t="n">
        <x:f>IF(D1609="",0,J1609-K1609+L1609)</x:f>
        <x:v>14129.41</x:v>
      </x:c>
      <x:c r="Q1609" s="17" t="n">
        <x:f>MAX(J1609-P1609-K1609,0)</x:f>
        <x:v>1.4210854715202004e-13</x:v>
      </x:c>
      <x:c r="R1609" s="13" t="n">
        <x:f>IF(D1609="",MAX(TODAY()-C1609,0),MAX(D1609-C1609,0))</x:f>
        <x:v>0</x:v>
      </x:c>
      <x:c r="S1609" s="13" t="str">
        <x:f>IF(R1609=0,"Em dia",IF(R1609&lt;=15,"1-15 dias",IF(R1609&lt;=30,"16-30 dias",IF(R1609&lt;=60,"31-60 dias","Acima de 60 dias"))))</x:f>
        <x:v>Em dia</x:v>
      </x:c>
    </x:row>
    <x:row r="1610">
      <x:c r="A1610" s="13" t="str">
        <x:v>REC-001609</x:v>
      </x:c>
      <x:c r="B1610" s="23" t="n">
        <x:v>46100</x:v>
      </x:c>
      <x:c r="C1610" s="23" t="n">
        <x:v>46107</x:v>
      </x:c>
      <x:c r="D1610" s="23" t="n">
        <x:v>46103</x:v>
      </x:c>
      <x:c r="E1610" s="13" t="str">
        <x:v>VAL-022</x:v>
      </x:c>
      <x:c r="F1610" s="13" t="str">
        <x:v>Academia Evoluir</x:v>
      </x:c>
      <x:c r="G1610" s="13" t="str">
        <x:v>Educação</x:v>
      </x:c>
      <x:c r="H1610" s="13" t="str">
        <x:v>Alto</x:v>
      </x:c>
      <x:c r="I1610" s="13" t="str">
        <x:v>Gestão</x:v>
      </x:c>
      <x:c r="J1610" s="17" t="n">
        <x:v>7544.26</x:v>
      </x:c>
      <x:c r="K1610" s="17" t="n">
        <x:v>0</x:v>
      </x:c>
      <x:c r="L1610" s="17" t="n">
        <x:v>0</x:v>
      </x:c>
      <x:c r="M1610" s="13" t="str">
        <x:v>Pago</x:v>
      </x:c>
      <x:c r="N1610" s="13" t="str">
        <x:v>Sem cobrança</x:v>
      </x:c>
      <x:c r="O1610" s="13" t="str">
        <x:v>Escala inteligente</x:v>
      </x:c>
      <x:c r="P1610" s="17" t="n">
        <x:f>IF(D1610="",0,J1610-K1610+L1610)</x:f>
        <x:v>7544.26</x:v>
      </x:c>
      <x:c r="Q1610" s="17" t="n">
        <x:f>MAX(J1610-P1610-K1610,0)</x:f>
        <x:v>0</x:v>
      </x:c>
      <x:c r="R1610" s="13" t="n">
        <x:f>IF(D1610="",MAX(TODAY()-C1610,0),MAX(D1610-C1610,0))</x:f>
        <x:v>0</x:v>
      </x:c>
      <x:c r="S1610" s="13" t="str">
        <x:f>IF(R1610=0,"Em dia",IF(R1610&lt;=15,"1-15 dias",IF(R1610&lt;=30,"16-30 dias",IF(R1610&lt;=60,"31-60 dias","Acima de 60 dias"))))</x:f>
        <x:v>Em dia</x:v>
      </x:c>
    </x:row>
    <x:row r="1611">
      <x:c r="A1611" s="13" t="str">
        <x:v>REC-001610</x:v>
      </x:c>
      <x:c r="B1611" s="23" t="n">
        <x:v>46085</x:v>
      </x:c>
      <x:c r="C1611" s="23" t="n">
        <x:v>46100</x:v>
      </x:c>
      <x:c r="D1611" s="23" t="n">
        <x:v>46097</x:v>
      </x:c>
      <x:c r="E1611" s="13" t="str">
        <x:v>VAL-030</x:v>
      </x:c>
      <x:c r="F1611" s="13" t="str">
        <x:v>Mundo Kids Cursos</x:v>
      </x:c>
      <x:c r="G1611" s="13" t="str">
        <x:v>Educação</x:v>
      </x:c>
      <x:c r="H1611" s="13" t="str">
        <x:v>Alto</x:v>
      </x:c>
      <x:c r="I1611" s="13" t="str">
        <x:v>Gestão</x:v>
      </x:c>
      <x:c r="J1611" s="17" t="n">
        <x:v>12781.32</x:v>
      </x:c>
      <x:c r="K1611" s="17" t="n">
        <x:v>0</x:v>
      </x:c>
      <x:c r="L1611" s="17" t="n">
        <x:v>0</x:v>
      </x:c>
      <x:c r="M1611" s="13" t="str">
        <x:v>Pago</x:v>
      </x:c>
      <x:c r="N1611" s="13" t="str">
        <x:v>Sem cobrança</x:v>
      </x:c>
      <x:c r="O1611" s="13" t="str">
        <x:v>Escala inteligente</x:v>
      </x:c>
      <x:c r="P1611" s="17" t="n">
        <x:f>IF(D1611="",0,J1611-K1611+L1611)</x:f>
        <x:v>12781.32</x:v>
      </x:c>
      <x:c r="Q1611" s="17" t="n">
        <x:f>MAX(J1611-P1611-K1611,0)</x:f>
        <x:v>0</x:v>
      </x:c>
      <x:c r="R1611" s="13" t="n">
        <x:f>IF(D1611="",MAX(TODAY()-C1611,0),MAX(D1611-C1611,0))</x:f>
        <x:v>0</x:v>
      </x:c>
      <x:c r="S1611" s="13" t="str">
        <x:f>IF(R1611=0,"Em dia",IF(R1611&lt;=15,"1-15 dias",IF(R1611&lt;=30,"16-30 dias",IF(R1611&lt;=60,"31-60 dias","Acima de 60 dias"))))</x:f>
        <x:v>Em dia</x:v>
      </x:c>
    </x:row>
    <x:row r="1612">
      <x:c r="A1612" s="13" t="str">
        <x:v>REC-001611</x:v>
      </x:c>
      <x:c r="B1612" s="23" t="n">
        <x:v>46096</x:v>
      </x:c>
      <x:c r="C1612" s="23" t="n">
        <x:v>46103</x:v>
      </x:c>
      <x:c r="D1612" s="23" t="n">
        <x:v>46102</x:v>
      </x:c>
      <x:c r="E1612" s="13" t="str">
        <x:v>VAL-012</x:v>
      </x:c>
      <x:c r="F1612" s="13" t="str">
        <x:v>DataFlow Sistemas</x:v>
      </x:c>
      <x:c r="G1612" s="13" t="str">
        <x:v>Tecnologia</x:v>
      </x:c>
      <x:c r="H1612" s="13" t="str">
        <x:v>Médio</x:v>
      </x:c>
      <x:c r="I1612" s="13" t="str">
        <x:v>Enterprise</x:v>
      </x:c>
      <x:c r="J1612" s="17" t="n">
        <x:v>5667.88</x:v>
      </x:c>
      <x:c r="K1612" s="17" t="n">
        <x:v>0</x:v>
      </x:c>
      <x:c r="L1612" s="17" t="n">
        <x:v>0</x:v>
      </x:c>
      <x:c r="M1612" s="13" t="str">
        <x:v>Pago</x:v>
      </x:c>
      <x:c r="N1612" s="13" t="str">
        <x:v>Sem cobrança</x:v>
      </x:c>
      <x:c r="O1612" s="13" t="str">
        <x:v>Escala inteligente</x:v>
      </x:c>
      <x:c r="P1612" s="17" t="n">
        <x:f>IF(D1612="",0,J1612-K1612+L1612)</x:f>
        <x:v>5667.88</x:v>
      </x:c>
      <x:c r="Q1612" s="17" t="n">
        <x:f>MAX(J1612-P1612-K1612,0)</x:f>
        <x:v>0</x:v>
      </x:c>
      <x:c r="R1612" s="13" t="n">
        <x:f>IF(D1612="",MAX(TODAY()-C1612,0),MAX(D1612-C1612,0))</x:f>
        <x:v>0</x:v>
      </x:c>
      <x:c r="S1612" s="13" t="str">
        <x:f>IF(R1612=0,"Em dia",IF(R1612&lt;=15,"1-15 dias",IF(R1612&lt;=30,"16-30 dias",IF(R1612&lt;=60,"31-60 dias","Acima de 60 dias"))))</x:f>
        <x:v>Em dia</x:v>
      </x:c>
    </x:row>
    <x:row r="1613">
      <x:c r="A1613" s="13" t="str">
        <x:v>REC-001612</x:v>
      </x:c>
      <x:c r="B1613" s="23" t="n">
        <x:v>46084</x:v>
      </x:c>
      <x:c r="C1613" s="23" t="n">
        <x:v>46112</x:v>
      </x:c>
      <x:c r="D1613" s="23" t="n">
        <x:v>46112</x:v>
      </x:c>
      <x:c r="E1613" s="13" t="str">
        <x:v>VAL-025</x:v>
      </x:c>
      <x:c r="F1613" s="13" t="str">
        <x:v>Bem-Estar Terapias</x:v>
      </x:c>
      <x:c r="G1613" s="13" t="str">
        <x:v>Clínicas e Saúde</x:v>
      </x:c>
      <x:c r="H1613" s="13" t="str">
        <x:v>Baixo</x:v>
      </x:c>
      <x:c r="I1613" s="13" t="str">
        <x:v>Essencial</x:v>
      </x:c>
      <x:c r="J1613" s="17" t="n">
        <x:v>26069.94</x:v>
      </x:c>
      <x:c r="K1613" s="17" t="n">
        <x:v>0</x:v>
      </x:c>
      <x:c r="L1613" s="17" t="n">
        <x:v>0</x:v>
      </x:c>
      <x:c r="M1613" s="13" t="str">
        <x:v>Pago</x:v>
      </x:c>
      <x:c r="N1613" s="13" t="str">
        <x:v>Sem cobrança</x:v>
      </x:c>
      <x:c r="O1613" s="13" t="str">
        <x:v>Escala inteligente</x:v>
      </x:c>
      <x:c r="P1613" s="17" t="n">
        <x:f>IF(D1613="",0,J1613-K1613+L1613)</x:f>
        <x:v>26069.94</x:v>
      </x:c>
      <x:c r="Q1613" s="17" t="n">
        <x:f>MAX(J1613-P1613-K1613,0)</x:f>
        <x:v>0</x:v>
      </x:c>
      <x:c r="R1613" s="13" t="n">
        <x:f>IF(D1613="",MAX(TODAY()-C1613,0),MAX(D1613-C1613,0))</x:f>
        <x:v>0</x:v>
      </x:c>
      <x:c r="S1613" s="13" t="str">
        <x:f>IF(R1613=0,"Em dia",IF(R1613&lt;=15,"1-15 dias",IF(R1613&lt;=30,"16-30 dias",IF(R1613&lt;=60,"31-60 dias","Acima de 60 dias"))))</x:f>
        <x:v>Em dia</x:v>
      </x:c>
    </x:row>
    <x:row r="1614">
      <x:c r="A1614" s="13" t="str">
        <x:v>REC-001613</x:v>
      </x:c>
      <x:c r="B1614" s="23" t="n">
        <x:v>46085</x:v>
      </x:c>
      <x:c r="C1614" s="23" t="n">
        <x:v>46115</x:v>
      </x:c>
      <x:c r="D1614" s="23" t="n">
        <x:v>46112</x:v>
      </x:c>
      <x:c r="E1614" s="13" t="str">
        <x:v>VAL-020</x:v>
      </x:c>
      <x:c r="F1614" s="13" t="str">
        <x:v>Corelink Digital</x:v>
      </x:c>
      <x:c r="G1614" s="13" t="str">
        <x:v>Tecnologia</x:v>
      </x:c>
      <x:c r="H1614" s="13" t="str">
        <x:v>Baixo</x:v>
      </x:c>
      <x:c r="I1614" s="13" t="str">
        <x:v>Enterprise</x:v>
      </x:c>
      <x:c r="J1614" s="17" t="n">
        <x:v>27592.07</x:v>
      </x:c>
      <x:c r="K1614" s="17" t="n">
        <x:v>0</x:v>
      </x:c>
      <x:c r="L1614" s="17" t="n">
        <x:v>0</x:v>
      </x:c>
      <x:c r="M1614" s="13" t="str">
        <x:v>Pago</x:v>
      </x:c>
      <x:c r="N1614" s="13" t="str">
        <x:v>Sem cobrança</x:v>
      </x:c>
      <x:c r="O1614" s="13" t="str">
        <x:v>Escala inteligente</x:v>
      </x:c>
      <x:c r="P1614" s="17" t="n">
        <x:f>IF(D1614="",0,J1614-K1614+L1614)</x:f>
        <x:v>27592.07</x:v>
      </x:c>
      <x:c r="Q1614" s="17" t="n">
        <x:f>MAX(J1614-P1614-K1614,0)</x:f>
        <x:v>0</x:v>
      </x:c>
      <x:c r="R1614" s="13" t="n">
        <x:f>IF(D1614="",MAX(TODAY()-C1614,0),MAX(D1614-C1614,0))</x:f>
        <x:v>0</x:v>
      </x:c>
      <x:c r="S1614" s="13" t="str">
        <x:f>IF(R1614=0,"Em dia",IF(R1614&lt;=15,"1-15 dias",IF(R1614&lt;=30,"16-30 dias",IF(R1614&lt;=60,"31-60 dias","Acima de 60 dias"))))</x:f>
        <x:v>Em dia</x:v>
      </x:c>
    </x:row>
    <x:row r="1615">
      <x:c r="A1615" s="13" t="str">
        <x:v>REC-001614</x:v>
      </x:c>
      <x:c r="B1615" s="23" t="n">
        <x:v>46100</x:v>
      </x:c>
      <x:c r="C1615" s="23" t="n">
        <x:v>46121</x:v>
      </x:c>
      <x:c r="D1615" s="23" t="n">
        <x:v>46118</x:v>
      </x:c>
      <x:c r="E1615" s="13" t="str">
        <x:v>VAL-027</x:v>
      </x:c>
      <x:c r="F1615" s="13" t="str">
        <x:v>Mais Lar Utilidades</x:v>
      </x:c>
      <x:c r="G1615" s="13" t="str">
        <x:v>Varejo</x:v>
      </x:c>
      <x:c r="H1615" s="13" t="str">
        <x:v>Baixo</x:v>
      </x:c>
      <x:c r="I1615" s="13" t="str">
        <x:v>Performance</x:v>
      </x:c>
      <x:c r="J1615" s="17" t="n">
        <x:v>25616.17</x:v>
      </x:c>
      <x:c r="K1615" s="17" t="n">
        <x:v>0</x:v>
      </x:c>
      <x:c r="L1615" s="17" t="n">
        <x:v>0</x:v>
      </x:c>
      <x:c r="M1615" s="13" t="str">
        <x:v>Pago</x:v>
      </x:c>
      <x:c r="N1615" s="13" t="str">
        <x:v>Sem cobrança</x:v>
      </x:c>
      <x:c r="O1615" s="13" t="str">
        <x:v>Escala inteligente</x:v>
      </x:c>
      <x:c r="P1615" s="17" t="n">
        <x:f>IF(D1615="",0,J1615-K1615+L1615)</x:f>
        <x:v>25616.17</x:v>
      </x:c>
      <x:c r="Q1615" s="17" t="n">
        <x:f>MAX(J1615-P1615-K1615,0)</x:f>
        <x:v>0</x:v>
      </x:c>
      <x:c r="R1615" s="13" t="n">
        <x:f>IF(D1615="",MAX(TODAY()-C1615,0),MAX(D1615-C1615,0))</x:f>
        <x:v>0</x:v>
      </x:c>
      <x:c r="S1615" s="13" t="str">
        <x:f>IF(R1615=0,"Em dia",IF(R1615&lt;=15,"1-15 dias",IF(R1615&lt;=30,"16-30 dias",IF(R1615&lt;=60,"31-60 dias","Acima de 60 dias"))))</x:f>
        <x:v>Em dia</x:v>
      </x:c>
    </x:row>
    <x:row r="1616">
      <x:c r="A1616" s="13" t="str">
        <x:v>REC-001615</x:v>
      </x:c>
      <x:c r="B1616" s="23" t="n">
        <x:v>46088</x:v>
      </x:c>
      <x:c r="C1616" s="23" t="n">
        <x:v>46109</x:v>
      </x:c>
      <x:c r="D1616" s="23" t="n">
        <x:v>46105</x:v>
      </x:c>
      <x:c r="E1616" s="13" t="str">
        <x:v>VAL-021</x:v>
      </x:c>
      <x:c r="F1616" s="13" t="str">
        <x:v>Base Forte Obras</x:v>
      </x:c>
      <x:c r="G1616" s="13" t="str">
        <x:v>Construção</x:v>
      </x:c>
      <x:c r="H1616" s="13" t="str">
        <x:v>Médio</x:v>
      </x:c>
      <x:c r="I1616" s="13" t="str">
        <x:v>Essencial</x:v>
      </x:c>
      <x:c r="J1616" s="17" t="n">
        <x:v>22382.65</x:v>
      </x:c>
      <x:c r="K1616" s="17" t="n">
        <x:v>228.55</x:v>
      </x:c>
      <x:c r="L1616" s="17" t="n">
        <x:v>0</x:v>
      </x:c>
      <x:c r="M1616" s="13" t="str">
        <x:v>Pago</x:v>
      </x:c>
      <x:c r="N1616" s="13" t="str">
        <x:v>Sem cobrança</x:v>
      </x:c>
      <x:c r="O1616" s="13" t="str">
        <x:v>Escala inteligente</x:v>
      </x:c>
      <x:c r="P1616" s="17" t="n">
        <x:f>IF(D1616="",0,J1616-K1616+L1616)</x:f>
        <x:v>22154.100000000002</x:v>
      </x:c>
      <x:c r="Q1616" s="17" t="n">
        <x:f>MAX(J1616-P1616-K1616,0)</x:f>
        <x:v>0</x:v>
      </x:c>
      <x:c r="R1616" s="13" t="n">
        <x:f>IF(D1616="",MAX(TODAY()-C1616,0),MAX(D1616-C1616,0))</x:f>
        <x:v>0</x:v>
      </x:c>
      <x:c r="S1616" s="13" t="str">
        <x:f>IF(R1616=0,"Em dia",IF(R1616&lt;=15,"1-15 dias",IF(R1616&lt;=30,"16-30 dias",IF(R1616&lt;=60,"31-60 dias","Acima de 60 dias"))))</x:f>
        <x:v>Em dia</x:v>
      </x:c>
    </x:row>
    <x:row r="1617">
      <x:c r="A1617" s="13" t="str">
        <x:v>REC-001616</x:v>
      </x:c>
      <x:c r="B1617" s="23" t="n">
        <x:v>46097</x:v>
      </x:c>
      <x:c r="C1617" s="23" t="n">
        <x:v>46125</x:v>
      </x:c>
      <x:c r="D1617" s="23" t="n">
        <x:v>46123</x:v>
      </x:c>
      <x:c r="E1617" s="13" t="str">
        <x:v>VAL-005</x:v>
      </x:c>
      <x:c r="F1617" s="13" t="str">
        <x:v>Construtora Alameda</x:v>
      </x:c>
      <x:c r="G1617" s="13" t="str">
        <x:v>Construção</x:v>
      </x:c>
      <x:c r="H1617" s="13" t="str">
        <x:v>Médio</x:v>
      </x:c>
      <x:c r="I1617" s="13" t="str">
        <x:v>Essencial</x:v>
      </x:c>
      <x:c r="J1617" s="17" t="n">
        <x:v>19301.71</x:v>
      </x:c>
      <x:c r="K1617" s="17" t="n">
        <x:v>0</x:v>
      </x:c>
      <x:c r="L1617" s="17" t="n">
        <x:v>0</x:v>
      </x:c>
      <x:c r="M1617" s="13" t="str">
        <x:v>Pago</x:v>
      </x:c>
      <x:c r="N1617" s="13" t="str">
        <x:v>Sem cobrança</x:v>
      </x:c>
      <x:c r="O1617" s="13" t="str">
        <x:v>Escala inteligente</x:v>
      </x:c>
      <x:c r="P1617" s="17" t="n">
        <x:f>IF(D1617="",0,J1617-K1617+L1617)</x:f>
        <x:v>19301.71</x:v>
      </x:c>
      <x:c r="Q1617" s="17" t="n">
        <x:f>MAX(J1617-P1617-K1617,0)</x:f>
        <x:v>0</x:v>
      </x:c>
      <x:c r="R1617" s="13" t="n">
        <x:f>IF(D1617="",MAX(TODAY()-C1617,0),MAX(D1617-C1617,0))</x:f>
        <x:v>0</x:v>
      </x:c>
      <x:c r="S1617" s="13" t="str">
        <x:f>IF(R1617=0,"Em dia",IF(R1617&lt;=15,"1-15 dias",IF(R1617&lt;=30,"16-30 dias",IF(R1617&lt;=60,"31-60 dias","Acima de 60 dias"))))</x:f>
        <x:v>Em dia</x:v>
      </x:c>
    </x:row>
    <x:row r="1618">
      <x:c r="A1618" s="13" t="str">
        <x:v>REC-001617</x:v>
      </x:c>
      <x:c r="B1618" s="23" t="n">
        <x:v>46096</x:v>
      </x:c>
      <x:c r="C1618" s="23" t="n">
        <x:v>46124</x:v>
      </x:c>
      <x:c r="D1618" s="23" t="n">
        <x:v>46123</x:v>
      </x:c>
      <x:c r="E1618" s="13" t="str">
        <x:v>VAL-010</x:v>
      </x:c>
      <x:c r="F1618" s="13" t="str">
        <x:v>Atlas Contabilidade</x:v>
      </x:c>
      <x:c r="G1618" s="13" t="str">
        <x:v>Serviços Profissionais</x:v>
      </x:c>
      <x:c r="H1618" s="13" t="str">
        <x:v>Baixo</x:v>
      </x:c>
      <x:c r="I1618" s="13" t="str">
        <x:v>Gestão</x:v>
      </x:c>
      <x:c r="J1618" s="17" t="n">
        <x:v>6750.25</x:v>
      </x:c>
      <x:c r="K1618" s="17" t="n">
        <x:v>0</x:v>
      </x:c>
      <x:c r="L1618" s="17" t="n">
        <x:v>0</x:v>
      </x:c>
      <x:c r="M1618" s="13" t="str">
        <x:v>Pago</x:v>
      </x:c>
      <x:c r="N1618" s="13" t="str">
        <x:v>Sem cobrança</x:v>
      </x:c>
      <x:c r="O1618" s="13" t="str">
        <x:v>Escala inteligente</x:v>
      </x:c>
      <x:c r="P1618" s="17" t="n">
        <x:f>IF(D1618="",0,J1618-K1618+L1618)</x:f>
        <x:v>6750.25</x:v>
      </x:c>
      <x:c r="Q1618" s="17" t="n">
        <x:f>MAX(J1618-P1618-K1618,0)</x:f>
        <x:v>0</x:v>
      </x:c>
      <x:c r="R1618" s="13" t="n">
        <x:f>IF(D1618="",MAX(TODAY()-C1618,0),MAX(D1618-C1618,0))</x:f>
        <x:v>0</x:v>
      </x:c>
      <x:c r="S1618" s="13" t="str">
        <x:f>IF(R1618=0,"Em dia",IF(R1618&lt;=15,"1-15 dias",IF(R1618&lt;=30,"16-30 dias",IF(R1618&lt;=60,"31-60 dias","Acima de 60 dias"))))</x:f>
        <x:v>Em dia</x:v>
      </x:c>
    </x:row>
    <x:row r="1619">
      <x:c r="A1619" s="13" t="str">
        <x:v>REC-001618</x:v>
      </x:c>
      <x:c r="B1619" s="23" t="n">
        <x:v>46090</x:v>
      </x:c>
      <x:c r="C1619" s="23" t="n">
        <x:v>46120</x:v>
      </x:c>
      <x:c r="D1619" s="23" t="n">
        <x:v>46117</x:v>
      </x:c>
      <x:c r="E1619" s="13" t="str">
        <x:v>VAL-006</x:v>
      </x:c>
      <x:c r="F1619" s="13" t="str">
        <x:v>Instituto Saber Mais</x:v>
      </x:c>
      <x:c r="G1619" s="13" t="str">
        <x:v>Educação</x:v>
      </x:c>
      <x:c r="H1619" s="13" t="str">
        <x:v>Médio</x:v>
      </x:c>
      <x:c r="I1619" s="13" t="str">
        <x:v>Gestão</x:v>
      </x:c>
      <x:c r="J1619" s="17" t="n">
        <x:v>7863.39</x:v>
      </x:c>
      <x:c r="K1619" s="17" t="n">
        <x:v>0</x:v>
      </x:c>
      <x:c r="L1619" s="17" t="n">
        <x:v>0</x:v>
      </x:c>
      <x:c r="M1619" s="13" t="str">
        <x:v>Pago</x:v>
      </x:c>
      <x:c r="N1619" s="13" t="str">
        <x:v>Sem cobrança</x:v>
      </x:c>
      <x:c r="O1619" s="13" t="str">
        <x:v>Escala inteligente</x:v>
      </x:c>
      <x:c r="P1619" s="17" t="n">
        <x:f>IF(D1619="",0,J1619-K1619+L1619)</x:f>
        <x:v>7863.39</x:v>
      </x:c>
      <x:c r="Q1619" s="17" t="n">
        <x:f>MAX(J1619-P1619-K1619,0)</x:f>
        <x:v>0</x:v>
      </x:c>
      <x:c r="R1619" s="13" t="n">
        <x:f>IF(D1619="",MAX(TODAY()-C1619,0),MAX(D1619-C1619,0))</x:f>
        <x:v>0</x:v>
      </x:c>
      <x:c r="S1619" s="13" t="str">
        <x:f>IF(R1619=0,"Em dia",IF(R1619&lt;=15,"1-15 dias",IF(R1619&lt;=30,"16-30 dias",IF(R1619&lt;=60,"31-60 dias","Acima de 60 dias"))))</x:f>
        <x:v>Em dia</x:v>
      </x:c>
    </x:row>
    <x:row r="1620">
      <x:c r="A1620" s="13" t="str">
        <x:v>REC-001619</x:v>
      </x:c>
      <x:c r="B1620" s="23" t="n">
        <x:v>46082</x:v>
      </x:c>
      <x:c r="C1620" s="23" t="n">
        <x:v>46110</x:v>
      </x:c>
      <x:c r="D1620" s="23" t="n">
        <x:v>46108</x:v>
      </x:c>
      <x:c r="E1620" s="13" t="str">
        <x:v>VAL-007</x:v>
      </x:c>
      <x:c r="F1620" s="13" t="str">
        <x:v>Loja Prisma Online</x:v>
      </x:c>
      <x:c r="G1620" s="13" t="str">
        <x:v>E-commerce</x:v>
      </x:c>
      <x:c r="H1620" s="13" t="str">
        <x:v>Médio</x:v>
      </x:c>
      <x:c r="I1620" s="13" t="str">
        <x:v>Performance</x:v>
      </x:c>
      <x:c r="J1620" s="17" t="n">
        <x:v>33986.69</x:v>
      </x:c>
      <x:c r="K1620" s="17" t="n">
        <x:v>0</x:v>
      </x:c>
      <x:c r="L1620" s="17" t="n">
        <x:v>0</x:v>
      </x:c>
      <x:c r="M1620" s="13" t="str">
        <x:v>Pago</x:v>
      </x:c>
      <x:c r="N1620" s="13" t="str">
        <x:v>Sem cobrança</x:v>
      </x:c>
      <x:c r="O1620" s="13" t="str">
        <x:v>Escala inteligente</x:v>
      </x:c>
      <x:c r="P1620" s="17" t="n">
        <x:f>IF(D1620="",0,J1620-K1620+L1620)</x:f>
        <x:v>33986.69</x:v>
      </x:c>
      <x:c r="Q1620" s="17" t="n">
        <x:f>MAX(J1620-P1620-K1620,0)</x:f>
        <x:v>0</x:v>
      </x:c>
      <x:c r="R1620" s="13" t="n">
        <x:f>IF(D1620="",MAX(TODAY()-C1620,0),MAX(D1620-C1620,0))</x:f>
        <x:v>0</x:v>
      </x:c>
      <x:c r="S1620" s="13" t="str">
        <x:f>IF(R1620=0,"Em dia",IF(R1620&lt;=15,"1-15 dias",IF(R1620&lt;=30,"16-30 dias",IF(R1620&lt;=60,"31-60 dias","Acima de 60 dias"))))</x:f>
        <x:v>Em dia</x:v>
      </x:c>
    </x:row>
    <x:row r="1621">
      <x:c r="A1621" s="13" t="str">
        <x:v>REC-001620</x:v>
      </x:c>
      <x:c r="B1621" s="23" t="n">
        <x:v>46088</x:v>
      </x:c>
      <x:c r="C1621" s="23" t="n">
        <x:v>46109</x:v>
      </x:c>
      <x:c r="D1621" s="23" t="n">
        <x:v>46109</x:v>
      </x:c>
      <x:c r="E1621" s="13" t="str">
        <x:v>VAL-026</x:v>
      </x:c>
      <x:c r="F1621" s="13" t="str">
        <x:v>Ribeiro Arquitetura</x:v>
      </x:c>
      <x:c r="G1621" s="13" t="str">
        <x:v>Serviços Profissionais</x:v>
      </x:c>
      <x:c r="H1621" s="13" t="str">
        <x:v>Baixo</x:v>
      </x:c>
      <x:c r="I1621" s="13" t="str">
        <x:v>Gestão</x:v>
      </x:c>
      <x:c r="J1621" s="17" t="n">
        <x:v>14180.23</x:v>
      </x:c>
      <x:c r="K1621" s="17" t="n">
        <x:v>196.32</x:v>
      </x:c>
      <x:c r="L1621" s="17" t="n">
        <x:v>0</x:v>
      </x:c>
      <x:c r="M1621" s="13" t="str">
        <x:v>Pago</x:v>
      </x:c>
      <x:c r="N1621" s="13" t="str">
        <x:v>Sem cobrança</x:v>
      </x:c>
      <x:c r="O1621" s="13" t="str">
        <x:v>Escala inteligente</x:v>
      </x:c>
      <x:c r="P1621" s="17" t="n">
        <x:f>IF(D1621="",0,J1621-K1621+L1621)</x:f>
        <x:v>13983.91</x:v>
      </x:c>
      <x:c r="Q1621" s="17" t="n">
        <x:f>MAX(J1621-P1621-K1621,0)</x:f>
        <x:v>0</x:v>
      </x:c>
      <x:c r="R1621" s="13" t="n">
        <x:f>IF(D1621="",MAX(TODAY()-C1621,0),MAX(D1621-C1621,0))</x:f>
        <x:v>0</x:v>
      </x:c>
      <x:c r="S1621" s="13" t="str">
        <x:f>IF(R1621=0,"Em dia",IF(R1621&lt;=15,"1-15 dias",IF(R1621&lt;=30,"16-30 dias",IF(R1621&lt;=60,"31-60 dias","Acima de 60 dias"))))</x:f>
        <x:v>Em dia</x:v>
      </x:c>
    </x:row>
    <x:row r="1622">
      <x:c r="A1622" s="13" t="str">
        <x:v>REC-001621</x:v>
      </x:c>
      <x:c r="B1622" s="23" t="n">
        <x:v>46120</x:v>
      </x:c>
      <x:c r="C1622" s="23" t="n">
        <x:v>46135</x:v>
      </x:c>
      <x:c r="D1622" s="23" t="n">
        <x:v>46132</x:v>
      </x:c>
      <x:c r="E1622" s="13" t="str">
        <x:v>VAL-009</x:v>
      </x:c>
      <x:c r="F1622" s="13" t="str">
        <x:v>Odonto Prime</x:v>
      </x:c>
      <x:c r="G1622" s="13" t="str">
        <x:v>Clínicas e Saúde</x:v>
      </x:c>
      <x:c r="H1622" s="13" t="str">
        <x:v>Médio</x:v>
      </x:c>
      <x:c r="I1622" s="13" t="str">
        <x:v>Essencial</x:v>
      </x:c>
      <x:c r="J1622" s="17" t="n">
        <x:v>2073.85</x:v>
      </x:c>
      <x:c r="K1622" s="17" t="n">
        <x:v>18.25</x:v>
      </x:c>
      <x:c r="L1622" s="17" t="n">
        <x:v>0</x:v>
      </x:c>
      <x:c r="M1622" s="13" t="str">
        <x:v>Pago</x:v>
      </x:c>
      <x:c r="N1622" s="13" t="str">
        <x:v>Sem cobrança</x:v>
      </x:c>
      <x:c r="O1622" s="13" t="str">
        <x:v>Escala inteligente</x:v>
      </x:c>
      <x:c r="P1622" s="17" t="n">
        <x:f>IF(D1622="",0,J1622-K1622+L1622)</x:f>
        <x:v>2055.6</x:v>
      </x:c>
      <x:c r="Q1622" s="17" t="n">
        <x:f>MAX(J1622-P1622-K1622,0)</x:f>
        <x:v>0</x:v>
      </x:c>
      <x:c r="R1622" s="13" t="n">
        <x:f>IF(D1622="",MAX(TODAY()-C1622,0),MAX(D1622-C1622,0))</x:f>
        <x:v>0</x:v>
      </x:c>
      <x:c r="S1622" s="13" t="str">
        <x:f>IF(R1622=0,"Em dia",IF(R1622&lt;=15,"1-15 dias",IF(R1622&lt;=30,"16-30 dias",IF(R1622&lt;=60,"31-60 dias","Acima de 60 dias"))))</x:f>
        <x:v>Em dia</x:v>
      </x:c>
    </x:row>
    <x:row r="1623">
      <x:c r="A1623" s="13" t="str">
        <x:v>REC-001622</x:v>
      </x:c>
      <x:c r="B1623" s="23" t="n">
        <x:v>46120</x:v>
      </x:c>
      <x:c r="C1623" s="23" t="n">
        <x:v>46141</x:v>
      </x:c>
      <x:c r="D1623" s="23" t="n">
        <x:v>46140</x:v>
      </x:c>
      <x:c r="E1623" s="13" t="str">
        <x:v>VAL-017</x:v>
      </x:c>
      <x:c r="F1623" s="13" t="str">
        <x:v>Centro Médico Vida</x:v>
      </x:c>
      <x:c r="G1623" s="13" t="str">
        <x:v>Clínicas e Saúde</x:v>
      </x:c>
      <x:c r="H1623" s="13" t="str">
        <x:v>Baixo</x:v>
      </x:c>
      <x:c r="I1623" s="13" t="str">
        <x:v>Essencial</x:v>
      </x:c>
      <x:c r="J1623" s="17" t="n">
        <x:v>20256.45</x:v>
      </x:c>
      <x:c r="K1623" s="17" t="n">
        <x:v>0</x:v>
      </x:c>
      <x:c r="L1623" s="17" t="n">
        <x:v>0</x:v>
      </x:c>
      <x:c r="M1623" s="13" t="str">
        <x:v>Pago</x:v>
      </x:c>
      <x:c r="N1623" s="13" t="str">
        <x:v>Sem cobrança</x:v>
      </x:c>
      <x:c r="O1623" s="13" t="str">
        <x:v>Escala inteligente</x:v>
      </x:c>
      <x:c r="P1623" s="17" t="n">
        <x:f>IF(D1623="",0,J1623-K1623+L1623)</x:f>
        <x:v>20256.45</x:v>
      </x:c>
      <x:c r="Q1623" s="17" t="n">
        <x:f>MAX(J1623-P1623-K1623,0)</x:f>
        <x:v>0</x:v>
      </x:c>
      <x:c r="R1623" s="13" t="n">
        <x:f>IF(D1623="",MAX(TODAY()-C1623,0),MAX(D1623-C1623,0))</x:f>
        <x:v>0</x:v>
      </x:c>
      <x:c r="S1623" s="13" t="str">
        <x:f>IF(R1623=0,"Em dia",IF(R1623&lt;=15,"1-15 dias",IF(R1623&lt;=30,"16-30 dias",IF(R1623&lt;=60,"31-60 dias","Acima de 60 dias"))))</x:f>
        <x:v>Em dia</x:v>
      </x:c>
    </x:row>
    <x:row r="1624">
      <x:c r="A1624" s="13" t="str">
        <x:v>REC-001623</x:v>
      </x:c>
      <x:c r="B1624" s="23" t="n">
        <x:v>46123</x:v>
      </x:c>
      <x:c r="C1624" s="23" t="n">
        <x:v>46138</x:v>
      </x:c>
      <x:c r="D1624" s="23" t="n">
        <x:v>46138</x:v>
      </x:c>
      <x:c r="E1624" s="13" t="str">
        <x:v>VAL-013</x:v>
      </x:c>
      <x:c r="F1624" s="13" t="str">
        <x:v>Engenharia Vértice</x:v>
      </x:c>
      <x:c r="G1624" s="13" t="str">
        <x:v>Construção</x:v>
      </x:c>
      <x:c r="H1624" s="13" t="str">
        <x:v>Baixo</x:v>
      </x:c>
      <x:c r="I1624" s="13" t="str">
        <x:v>Essencial</x:v>
      </x:c>
      <x:c r="J1624" s="17" t="n">
        <x:v>24877.74</x:v>
      </x:c>
      <x:c r="K1624" s="17" t="n">
        <x:v>0</x:v>
      </x:c>
      <x:c r="L1624" s="17" t="n">
        <x:v>0</x:v>
      </x:c>
      <x:c r="M1624" s="13" t="str">
        <x:v>Pago</x:v>
      </x:c>
      <x:c r="N1624" s="13" t="str">
        <x:v>Sem cobrança</x:v>
      </x:c>
      <x:c r="O1624" s="13" t="str">
        <x:v>Escala inteligente</x:v>
      </x:c>
      <x:c r="P1624" s="17" t="n">
        <x:f>IF(D1624="",0,J1624-K1624+L1624)</x:f>
        <x:v>24877.74</x:v>
      </x:c>
      <x:c r="Q1624" s="17" t="n">
        <x:f>MAX(J1624-P1624-K1624,0)</x:f>
        <x:v>0</x:v>
      </x:c>
      <x:c r="R1624" s="13" t="n">
        <x:f>IF(D1624="",MAX(TODAY()-C1624,0),MAX(D1624-C1624,0))</x:f>
        <x:v>0</x:v>
      </x:c>
      <x:c r="S1624" s="13" t="str">
        <x:f>IF(R1624=0,"Em dia",IF(R1624&lt;=15,"1-15 dias",IF(R1624&lt;=30,"16-30 dias",IF(R1624&lt;=60,"31-60 dias","Acima de 60 dias"))))</x:f>
        <x:v>Em dia</x:v>
      </x:c>
    </x:row>
    <x:row r="1625">
      <x:c r="A1625" s="13" t="str">
        <x:v>REC-001624</x:v>
      </x:c>
      <x:c r="B1625" s="23" t="n">
        <x:v>46132</x:v>
      </x:c>
      <x:c r="C1625" s="23" t="n">
        <x:v>46160</x:v>
      </x:c>
      <x:c r="D1625" s="23" t="n">
        <x:v>46156</x:v>
      </x:c>
      <x:c r="E1625" s="13" t="str">
        <x:v>VAL-007</x:v>
      </x:c>
      <x:c r="F1625" s="13" t="str">
        <x:v>Loja Prisma Online</x:v>
      </x:c>
      <x:c r="G1625" s="13" t="str">
        <x:v>E-commerce</x:v>
      </x:c>
      <x:c r="H1625" s="13" t="str">
        <x:v>Médio</x:v>
      </x:c>
      <x:c r="I1625" s="13" t="str">
        <x:v>Performance</x:v>
      </x:c>
      <x:c r="J1625" s="17" t="n">
        <x:v>31197.25</x:v>
      </x:c>
      <x:c r="K1625" s="17" t="n">
        <x:v>540.25</x:v>
      </x:c>
      <x:c r="L1625" s="17" t="n">
        <x:v>0</x:v>
      </x:c>
      <x:c r="M1625" s="13" t="str">
        <x:v>Pago</x:v>
      </x:c>
      <x:c r="N1625" s="13" t="str">
        <x:v>Sem cobrança</x:v>
      </x:c>
      <x:c r="O1625" s="13" t="str">
        <x:v>Escala inteligente</x:v>
      </x:c>
      <x:c r="P1625" s="17" t="n">
        <x:f>IF(D1625="",0,J1625-K1625+L1625)</x:f>
        <x:v>30657</x:v>
      </x:c>
      <x:c r="Q1625" s="17" t="n">
        <x:f>MAX(J1625-P1625-K1625,0)</x:f>
        <x:v>0</x:v>
      </x:c>
      <x:c r="R1625" s="13" t="n">
        <x:f>IF(D1625="",MAX(TODAY()-C1625,0),MAX(D1625-C1625,0))</x:f>
        <x:v>0</x:v>
      </x:c>
      <x:c r="S1625" s="13" t="str">
        <x:f>IF(R1625=0,"Em dia",IF(R1625&lt;=15,"1-15 dias",IF(R1625&lt;=30,"16-30 dias",IF(R1625&lt;=60,"31-60 dias","Acima de 60 dias"))))</x:f>
        <x:v>Em dia</x:v>
      </x:c>
    </x:row>
    <x:row r="1626">
      <x:c r="A1626" s="13" t="str">
        <x:v>REC-001625</x:v>
      </x:c>
      <x:c r="B1626" s="23" t="n">
        <x:v>46113</x:v>
      </x:c>
      <x:c r="C1626" s="23" t="n">
        <x:v>46134</x:v>
      </x:c>
      <x:c r="D1626" s="23" t="n">
        <x:v>46131</x:v>
      </x:c>
      <x:c r="E1626" s="13" t="str">
        <x:v>VAL-022</x:v>
      </x:c>
      <x:c r="F1626" s="13" t="str">
        <x:v>Academia Evoluir</x:v>
      </x:c>
      <x:c r="G1626" s="13" t="str">
        <x:v>Educação</x:v>
      </x:c>
      <x:c r="H1626" s="13" t="str">
        <x:v>Alto</x:v>
      </x:c>
      <x:c r="I1626" s="13" t="str">
        <x:v>Gestão</x:v>
      </x:c>
      <x:c r="J1626" s="17" t="n">
        <x:v>4869.23</x:v>
      </x:c>
      <x:c r="K1626" s="17" t="n">
        <x:v>0</x:v>
      </x:c>
      <x:c r="L1626" s="17" t="n">
        <x:v>0</x:v>
      </x:c>
      <x:c r="M1626" s="13" t="str">
        <x:v>Pago</x:v>
      </x:c>
      <x:c r="N1626" s="13" t="str">
        <x:v>Sem cobrança</x:v>
      </x:c>
      <x:c r="O1626" s="13" t="str">
        <x:v>Escala inteligente</x:v>
      </x:c>
      <x:c r="P1626" s="17" t="n">
        <x:f>IF(D1626="",0,J1626-K1626+L1626)</x:f>
        <x:v>4869.23</x:v>
      </x:c>
      <x:c r="Q1626" s="17" t="n">
        <x:f>MAX(J1626-P1626-K1626,0)</x:f>
        <x:v>0</x:v>
      </x:c>
      <x:c r="R1626" s="13" t="n">
        <x:f>IF(D1626="",MAX(TODAY()-C1626,0),MAX(D1626-C1626,0))</x:f>
        <x:v>0</x:v>
      </x:c>
      <x:c r="S1626" s="13" t="str">
        <x:f>IF(R1626=0,"Em dia",IF(R1626&lt;=15,"1-15 dias",IF(R1626&lt;=30,"16-30 dias",IF(R1626&lt;=60,"31-60 dias","Acima de 60 dias"))))</x:f>
        <x:v>Em dia</x:v>
      </x:c>
    </x:row>
    <x:row r="1627">
      <x:c r="A1627" s="13" t="str">
        <x:v>REC-001626</x:v>
      </x:c>
      <x:c r="B1627" s="23" t="n">
        <x:v>46126</x:v>
      </x:c>
      <x:c r="C1627" s="23" t="n">
        <x:v>46147</x:v>
      </x:c>
      <x:c r="D1627" s="23" t="n">
        <x:v>46151</x:v>
      </x:c>
      <x:c r="E1627" s="13" t="str">
        <x:v>VAL-030</x:v>
      </x:c>
      <x:c r="F1627" s="13" t="str">
        <x:v>Mundo Kids Cursos</x:v>
      </x:c>
      <x:c r="G1627" s="13" t="str">
        <x:v>Educação</x:v>
      </x:c>
      <x:c r="H1627" s="13" t="str">
        <x:v>Alto</x:v>
      </x:c>
      <x:c r="I1627" s="13" t="str">
        <x:v>Gestão</x:v>
      </x:c>
      <x:c r="J1627" s="17" t="n">
        <x:v>13939.24</x:v>
      </x:c>
      <x:c r="K1627" s="17" t="n">
        <x:v>0</x:v>
      </x:c>
      <x:c r="L1627" s="17" t="n">
        <x:v>36.24</x:v>
      </x:c>
      <x:c r="M1627" s="13" t="str">
        <x:v>Pago com atraso</x:v>
      </x:c>
      <x:c r="N1627" s="13" t="str">
        <x:v>Régua automática</x:v>
      </x:c>
      <x:c r="O1627" s="13" t="str">
        <x:v>Escala inteligente</x:v>
      </x:c>
      <x:c r="P1627" s="17" t="n">
        <x:f>IF(D1627="",0,J1627-K1627+L1627)</x:f>
        <x:v>13975.48</x:v>
      </x:c>
      <x:c r="Q1627" s="17" t="n">
        <x:f>MAX(J1627-P1627-K1627,0)</x:f>
        <x:v>0</x:v>
      </x:c>
      <x:c r="R1627" s="13" t="n">
        <x:f>IF(D1627="",MAX(TODAY()-C1627,0),MAX(D1627-C1627,0))</x:f>
        <x:v>4</x:v>
      </x:c>
      <x:c r="S1627" s="13" t="str">
        <x:f>IF(R1627=0,"Em dia",IF(R1627&lt;=15,"1-15 dias",IF(R1627&lt;=30,"16-30 dias",IF(R1627&lt;=60,"31-60 dias","Acima de 60 dias"))))</x:f>
        <x:v>1-15 dias</x:v>
      </x:c>
    </x:row>
    <x:row r="1628">
      <x:c r="A1628" s="13" t="str">
        <x:v>REC-001627</x:v>
      </x:c>
      <x:c r="B1628" s="23" t="n">
        <x:v>46116</x:v>
      </x:c>
      <x:c r="C1628" s="23" t="n">
        <x:v>46137</x:v>
      </x:c>
      <x:c r="D1628" s="23" t="n">
        <x:v>46134</x:v>
      </x:c>
      <x:c r="E1628" s="13" t="str">
        <x:v>VAL-024</x:v>
      </x:c>
      <x:c r="F1628" s="13" t="str">
        <x:v>NovaForma Móveis</x:v>
      </x:c>
      <x:c r="G1628" s="13" t="str">
        <x:v>Indústria Leve</x:v>
      </x:c>
      <x:c r="H1628" s="13" t="str">
        <x:v>Baixo</x:v>
      </x:c>
      <x:c r="I1628" s="13" t="str">
        <x:v>Enterprise</x:v>
      </x:c>
      <x:c r="J1628" s="17" t="n">
        <x:v>11596.32</x:v>
      </x:c>
      <x:c r="K1628" s="17" t="n">
        <x:v>0</x:v>
      </x:c>
      <x:c r="L1628" s="17" t="n">
        <x:v>0</x:v>
      </x:c>
      <x:c r="M1628" s="13" t="str">
        <x:v>Pago</x:v>
      </x:c>
      <x:c r="N1628" s="13" t="str">
        <x:v>Sem cobrança</x:v>
      </x:c>
      <x:c r="O1628" s="13" t="str">
        <x:v>Escala inteligente</x:v>
      </x:c>
      <x:c r="P1628" s="17" t="n">
        <x:f>IF(D1628="",0,J1628-K1628+L1628)</x:f>
        <x:v>11596.32</x:v>
      </x:c>
      <x:c r="Q1628" s="17" t="n">
        <x:f>MAX(J1628-P1628-K1628,0)</x:f>
        <x:v>0</x:v>
      </x:c>
      <x:c r="R1628" s="13" t="n">
        <x:f>IF(D1628="",MAX(TODAY()-C1628,0),MAX(D1628-C1628,0))</x:f>
        <x:v>0</x:v>
      </x:c>
      <x:c r="S1628" s="13" t="str">
        <x:f>IF(R1628=0,"Em dia",IF(R1628&lt;=15,"1-15 dias",IF(R1628&lt;=30,"16-30 dias",IF(R1628&lt;=60,"31-60 dias","Acima de 60 dias"))))</x:f>
        <x:v>Em dia</x:v>
      </x:c>
    </x:row>
    <x:row r="1629">
      <x:c r="A1629" s="13" t="str">
        <x:v>REC-001628</x:v>
      </x:c>
      <x:c r="B1629" s="23" t="n">
        <x:v>46132</x:v>
      </x:c>
      <x:c r="C1629" s="23" t="n">
        <x:v>46147</x:v>
      </x:c>
      <x:c r="D1629" s="23" t="n">
        <x:v>46143</x:v>
      </x:c>
      <x:c r="E1629" s="13" t="str">
        <x:v>VAL-028</x:v>
      </x:c>
      <x:c r="F1629" s="13" t="str">
        <x:v>Pixel Norte</x:v>
      </x:c>
      <x:c r="G1629" s="13" t="str">
        <x:v>Tecnologia</x:v>
      </x:c>
      <x:c r="H1629" s="13" t="str">
        <x:v>Alto</x:v>
      </x:c>
      <x:c r="I1629" s="13" t="str">
        <x:v>Enterprise</x:v>
      </x:c>
      <x:c r="J1629" s="17" t="n">
        <x:v>7318.42</x:v>
      </x:c>
      <x:c r="K1629" s="17" t="n">
        <x:v>0</x:v>
      </x:c>
      <x:c r="L1629" s="17" t="n">
        <x:v>0</x:v>
      </x:c>
      <x:c r="M1629" s="13" t="str">
        <x:v>Pago</x:v>
      </x:c>
      <x:c r="N1629" s="13" t="str">
        <x:v>Sem cobrança</x:v>
      </x:c>
      <x:c r="O1629" s="13" t="str">
        <x:v>Escala inteligente</x:v>
      </x:c>
      <x:c r="P1629" s="17" t="n">
        <x:f>IF(D1629="",0,J1629-K1629+L1629)</x:f>
        <x:v>7318.42</x:v>
      </x:c>
      <x:c r="Q1629" s="17" t="n">
        <x:f>MAX(J1629-P1629-K1629,0)</x:f>
        <x:v>0</x:v>
      </x:c>
      <x:c r="R1629" s="13" t="n">
        <x:f>IF(D1629="",MAX(TODAY()-C1629,0),MAX(D1629-C1629,0))</x:f>
        <x:v>0</x:v>
      </x:c>
      <x:c r="S1629" s="13" t="str">
        <x:f>IF(R1629=0,"Em dia",IF(R1629&lt;=15,"1-15 dias",IF(R1629&lt;=30,"16-30 dias",IF(R1629&lt;=60,"31-60 dias","Acima de 60 dias"))))</x:f>
        <x:v>Em dia</x:v>
      </x:c>
    </x:row>
    <x:row r="1630">
      <x:c r="A1630" s="13" t="str">
        <x:v>REC-001629</x:v>
      </x:c>
      <x:c r="B1630" s="23" t="n">
        <x:v>46117</x:v>
      </x:c>
      <x:c r="C1630" s="23" t="n">
        <x:v>46138</x:v>
      </x:c>
      <x:c r="D1630" s="23" t="n">
        <x:v>46142</x:v>
      </x:c>
      <x:c r="E1630" s="13" t="str">
        <x:v>VAL-005</x:v>
      </x:c>
      <x:c r="F1630" s="13" t="str">
        <x:v>Construtora Alameda</x:v>
      </x:c>
      <x:c r="G1630" s="13" t="str">
        <x:v>Construção</x:v>
      </x:c>
      <x:c r="H1630" s="13" t="str">
        <x:v>Médio</x:v>
      </x:c>
      <x:c r="I1630" s="13" t="str">
        <x:v>Essencial</x:v>
      </x:c>
      <x:c r="J1630" s="17" t="n">
        <x:v>1692.86</x:v>
      </x:c>
      <x:c r="K1630" s="17" t="n">
        <x:v>0</x:v>
      </x:c>
      <x:c r="L1630" s="17" t="n">
        <x:v>4.4</x:v>
      </x:c>
      <x:c r="M1630" s="13" t="str">
        <x:v>Pago com atraso</x:v>
      </x:c>
      <x:c r="N1630" s="13" t="str">
        <x:v>Régua automática</x:v>
      </x:c>
      <x:c r="O1630" s="13" t="str">
        <x:v>Escala inteligente</x:v>
      </x:c>
      <x:c r="P1630" s="17" t="n">
        <x:f>IF(D1630="",0,J1630-K1630+L1630)</x:f>
        <x:v>1697.26</x:v>
      </x:c>
      <x:c r="Q1630" s="17" t="n">
        <x:f>MAX(J1630-P1630-K1630,0)</x:f>
        <x:v>0</x:v>
      </x:c>
      <x:c r="R1630" s="13" t="n">
        <x:f>IF(D1630="",MAX(TODAY()-C1630,0),MAX(D1630-C1630,0))</x:f>
        <x:v>4</x:v>
      </x:c>
      <x:c r="S1630" s="13" t="str">
        <x:f>IF(R1630=0,"Em dia",IF(R1630&lt;=15,"1-15 dias",IF(R1630&lt;=30,"16-30 dias",IF(R1630&lt;=60,"31-60 dias","Acima de 60 dias"))))</x:f>
        <x:v>1-15 dias</x:v>
      </x:c>
    </x:row>
    <x:row r="1631">
      <x:c r="A1631" s="13" t="str">
        <x:v>REC-001630</x:v>
      </x:c>
      <x:c r="B1631" s="23" t="n">
        <x:v>46119</x:v>
      </x:c>
      <x:c r="C1631" s="23" t="n">
        <x:v>46140</x:v>
      </x:c>
      <x:c r="D1631" s="23" t="n">
        <x:v>46152</x:v>
      </x:c>
      <x:c r="E1631" s="13" t="str">
        <x:v>VAL-027</x:v>
      </x:c>
      <x:c r="F1631" s="13" t="str">
        <x:v>Mais Lar Utilidades</x:v>
      </x:c>
      <x:c r="G1631" s="13" t="str">
        <x:v>Varejo</x:v>
      </x:c>
      <x:c r="H1631" s="13" t="str">
        <x:v>Baixo</x:v>
      </x:c>
      <x:c r="I1631" s="13" t="str">
        <x:v>Performance</x:v>
      </x:c>
      <x:c r="J1631" s="17" t="n">
        <x:v>29801.17</x:v>
      </x:c>
      <x:c r="K1631" s="17" t="n">
        <x:v>0</x:v>
      </x:c>
      <x:c r="L1631" s="17" t="n">
        <x:v>232.45</x:v>
      </x:c>
      <x:c r="M1631" s="13" t="str">
        <x:v>Pago com atraso</x:v>
      </x:c>
      <x:c r="N1631" s="13" t="str">
        <x:v>WhatsApp</x:v>
      </x:c>
      <x:c r="O1631" s="13" t="str">
        <x:v>Escala inteligente</x:v>
      </x:c>
      <x:c r="P1631" s="17" t="n">
        <x:f>IF(D1631="",0,J1631-K1631+L1631)</x:f>
        <x:v>30033.62</x:v>
      </x:c>
      <x:c r="Q1631" s="17" t="n">
        <x:f>MAX(J1631-P1631-K1631,0)</x:f>
        <x:v>0</x:v>
      </x:c>
      <x:c r="R1631" s="13" t="n">
        <x:f>IF(D1631="",MAX(TODAY()-C1631,0),MAX(D1631-C1631,0))</x:f>
        <x:v>12</x:v>
      </x:c>
      <x:c r="S1631" s="13" t="str">
        <x:f>IF(R1631=0,"Em dia",IF(R1631&lt;=15,"1-15 dias",IF(R1631&lt;=30,"16-30 dias",IF(R1631&lt;=60,"31-60 dias","Acima de 60 dias"))))</x:f>
        <x:v>1-15 dias</x:v>
      </x:c>
    </x:row>
    <x:row r="1632">
      <x:c r="A1632" s="13" t="str">
        <x:v>REC-001631</x:v>
      </x:c>
      <x:c r="B1632" s="23" t="n">
        <x:v>46114</x:v>
      </x:c>
      <x:c r="C1632" s="23" t="n">
        <x:v>46135</x:v>
      </x:c>
      <x:c r="D1632" s="23" t="n">
        <x:v>46135</x:v>
      </x:c>
      <x:c r="E1632" s="13" t="str">
        <x:v>VAL-030</x:v>
      </x:c>
      <x:c r="F1632" s="13" t="str">
        <x:v>Mundo Kids Cursos</x:v>
      </x:c>
      <x:c r="G1632" s="13" t="str">
        <x:v>Educação</x:v>
      </x:c>
      <x:c r="H1632" s="13" t="str">
        <x:v>Alto</x:v>
      </x:c>
      <x:c r="I1632" s="13" t="str">
        <x:v>Gestão</x:v>
      </x:c>
      <x:c r="J1632" s="17" t="n">
        <x:v>4903.39</x:v>
      </x:c>
      <x:c r="K1632" s="17" t="n">
        <x:v>37.56</x:v>
      </x:c>
      <x:c r="L1632" s="17" t="n">
        <x:v>0</x:v>
      </x:c>
      <x:c r="M1632" s="13" t="str">
        <x:v>Pago</x:v>
      </x:c>
      <x:c r="N1632" s="13" t="str">
        <x:v>Sem cobrança</x:v>
      </x:c>
      <x:c r="O1632" s="13" t="str">
        <x:v>Escala inteligente</x:v>
      </x:c>
      <x:c r="P1632" s="17" t="n">
        <x:f>IF(D1632="",0,J1632-K1632+L1632)</x:f>
        <x:v>4865.83</x:v>
      </x:c>
      <x:c r="Q1632" s="17" t="n">
        <x:f>MAX(J1632-P1632-K1632,0)</x:f>
        <x:v>3.979039320256561e-13</x:v>
      </x:c>
      <x:c r="R1632" s="13" t="n">
        <x:f>IF(D1632="",MAX(TODAY()-C1632,0),MAX(D1632-C1632,0))</x:f>
        <x:v>0</x:v>
      </x:c>
      <x:c r="S1632" s="13" t="str">
        <x:f>IF(R1632=0,"Em dia",IF(R1632&lt;=15,"1-15 dias",IF(R1632&lt;=30,"16-30 dias",IF(R1632&lt;=60,"31-60 dias","Acima de 60 dias"))))</x:f>
        <x:v>Em dia</x:v>
      </x:c>
    </x:row>
    <x:row r="1633">
      <x:c r="A1633" s="13" t="str">
        <x:v>REC-001632</x:v>
      </x:c>
      <x:c r="B1633" s="23" t="n">
        <x:v>46123</x:v>
      </x:c>
      <x:c r="C1633" s="23" t="n">
        <x:v>46138</x:v>
      </x:c>
      <x:c r="D1633" s="23" t="n">
        <x:v>46134</x:v>
      </x:c>
      <x:c r="E1633" s="13" t="str">
        <x:v>VAL-025</x:v>
      </x:c>
      <x:c r="F1633" s="13" t="str">
        <x:v>Bem-Estar Terapias</x:v>
      </x:c>
      <x:c r="G1633" s="13" t="str">
        <x:v>Clínicas e Saúde</x:v>
      </x:c>
      <x:c r="H1633" s="13" t="str">
        <x:v>Baixo</x:v>
      </x:c>
      <x:c r="I1633" s="13" t="str">
        <x:v>Essencial</x:v>
      </x:c>
      <x:c r="J1633" s="17" t="n">
        <x:v>21662.29</x:v>
      </x:c>
      <x:c r="K1633" s="17" t="n">
        <x:v>0</x:v>
      </x:c>
      <x:c r="L1633" s="17" t="n">
        <x:v>0</x:v>
      </x:c>
      <x:c r="M1633" s="13" t="str">
        <x:v>Pago</x:v>
      </x:c>
      <x:c r="N1633" s="13" t="str">
        <x:v>Sem cobrança</x:v>
      </x:c>
      <x:c r="O1633" s="13" t="str">
        <x:v>Escala inteligente</x:v>
      </x:c>
      <x:c r="P1633" s="17" t="n">
        <x:f>IF(D1633="",0,J1633-K1633+L1633)</x:f>
        <x:v>21662.29</x:v>
      </x:c>
      <x:c r="Q1633" s="17" t="n">
        <x:f>MAX(J1633-P1633-K1633,0)</x:f>
        <x:v>0</x:v>
      </x:c>
      <x:c r="R1633" s="13" t="n">
        <x:f>IF(D1633="",MAX(TODAY()-C1633,0),MAX(D1633-C1633,0))</x:f>
        <x:v>0</x:v>
      </x:c>
      <x:c r="S1633" s="13" t="str">
        <x:f>IF(R1633=0,"Em dia",IF(R1633&lt;=15,"1-15 dias",IF(R1633&lt;=30,"16-30 dias",IF(R1633&lt;=60,"31-60 dias","Acima de 60 dias"))))</x:f>
        <x:v>Em dia</x:v>
      </x:c>
    </x:row>
    <x:row r="1634">
      <x:c r="A1634" s="13" t="str">
        <x:v>REC-001633</x:v>
      </x:c>
      <x:c r="B1634" s="23" t="n">
        <x:v>46118</x:v>
      </x:c>
      <x:c r="C1634" s="23" t="n">
        <x:v>46139</x:v>
      </x:c>
      <x:c r="D1634" s="23" t="n">
        <x:v>46135</x:v>
      </x:c>
      <x:c r="E1634" s="13" t="str">
        <x:v>VAL-027</x:v>
      </x:c>
      <x:c r="F1634" s="13" t="str">
        <x:v>Mais Lar Utilidades</x:v>
      </x:c>
      <x:c r="G1634" s="13" t="str">
        <x:v>Varejo</x:v>
      </x:c>
      <x:c r="H1634" s="13" t="str">
        <x:v>Baixo</x:v>
      </x:c>
      <x:c r="I1634" s="13" t="str">
        <x:v>Performance</x:v>
      </x:c>
      <x:c r="J1634" s="17" t="n">
        <x:v>5968.93</x:v>
      </x:c>
      <x:c r="K1634" s="17" t="n">
        <x:v>0</x:v>
      </x:c>
      <x:c r="L1634" s="17" t="n">
        <x:v>0</x:v>
      </x:c>
      <x:c r="M1634" s="13" t="str">
        <x:v>Pago</x:v>
      </x:c>
      <x:c r="N1634" s="13" t="str">
        <x:v>Sem cobrança</x:v>
      </x:c>
      <x:c r="O1634" s="13" t="str">
        <x:v>Escala inteligente</x:v>
      </x:c>
      <x:c r="P1634" s="17" t="n">
        <x:f>IF(D1634="",0,J1634-K1634+L1634)</x:f>
        <x:v>5968.93</x:v>
      </x:c>
      <x:c r="Q1634" s="17" t="n">
        <x:f>MAX(J1634-P1634-K1634,0)</x:f>
        <x:v>0</x:v>
      </x:c>
      <x:c r="R1634" s="13" t="n">
        <x:f>IF(D1634="",MAX(TODAY()-C1634,0),MAX(D1634-C1634,0))</x:f>
        <x:v>0</x:v>
      </x:c>
      <x:c r="S1634" s="13" t="str">
        <x:f>IF(R1634=0,"Em dia",IF(R1634&lt;=15,"1-15 dias",IF(R1634&lt;=30,"16-30 dias",IF(R1634&lt;=60,"31-60 dias","Acima de 60 dias"))))</x:f>
        <x:v>Em dia</x:v>
      </x:c>
    </x:row>
    <x:row r="1635">
      <x:c r="A1635" s="13" t="str">
        <x:v>REC-001634</x:v>
      </x:c>
      <x:c r="B1635" s="23" t="n">
        <x:v>46125</x:v>
      </x:c>
      <x:c r="C1635" s="23" t="n">
        <x:v>46140</x:v>
      </x:c>
      <x:c r="D1635" s="23" t="n">
        <x:v>46140</x:v>
      </x:c>
      <x:c r="E1635" s="13" t="str">
        <x:v>VAL-002</x:v>
      </x:c>
      <x:c r="F1635" s="13" t="str">
        <x:v>Mendes &amp; Prado Consultoria</x:v>
      </x:c>
      <x:c r="G1635" s="13" t="str">
        <x:v>Serviços Profissionais</x:v>
      </x:c>
      <x:c r="H1635" s="13" t="str">
        <x:v>Baixo</x:v>
      </x:c>
      <x:c r="I1635" s="13" t="str">
        <x:v>Gestão</x:v>
      </x:c>
      <x:c r="J1635" s="17" t="n">
        <x:v>3674.33</x:v>
      </x:c>
      <x:c r="K1635" s="17" t="n">
        <x:v>0</x:v>
      </x:c>
      <x:c r="L1635" s="17" t="n">
        <x:v>0</x:v>
      </x:c>
      <x:c r="M1635" s="13" t="str">
        <x:v>Pago</x:v>
      </x:c>
      <x:c r="N1635" s="13" t="str">
        <x:v>Sem cobrança</x:v>
      </x:c>
      <x:c r="O1635" s="13" t="str">
        <x:v>Escala inteligente</x:v>
      </x:c>
      <x:c r="P1635" s="17" t="n">
        <x:f>IF(D1635="",0,J1635-K1635+L1635)</x:f>
        <x:v>3674.33</x:v>
      </x:c>
      <x:c r="Q1635" s="17" t="n">
        <x:f>MAX(J1635-P1635-K1635,0)</x:f>
        <x:v>0</x:v>
      </x:c>
      <x:c r="R1635" s="13" t="n">
        <x:f>IF(D1635="",MAX(TODAY()-C1635,0),MAX(D1635-C1635,0))</x:f>
        <x:v>0</x:v>
      </x:c>
      <x:c r="S1635" s="13" t="str">
        <x:f>IF(R1635=0,"Em dia",IF(R1635&lt;=15,"1-15 dias",IF(R1635&lt;=30,"16-30 dias",IF(R1635&lt;=60,"31-60 dias","Acima de 60 dias"))))</x:f>
        <x:v>Em dia</x:v>
      </x:c>
    </x:row>
    <x:row r="1636">
      <x:c r="A1636" s="13" t="str">
        <x:v>REC-001635</x:v>
      </x:c>
      <x:c r="B1636" s="23" t="n">
        <x:v>46126</x:v>
      </x:c>
      <x:c r="C1636" s="23" t="n">
        <x:v>46141</x:v>
      </x:c>
      <x:c r="D1636" s="23" t="n">
        <x:v>46139</x:v>
      </x:c>
      <x:c r="E1636" s="13" t="str">
        <x:v>VAL-015</x:v>
      </x:c>
      <x:c r="F1636" s="13" t="str">
        <x:v>Mercado Click</x:v>
      </x:c>
      <x:c r="G1636" s="13" t="str">
        <x:v>E-commerce</x:v>
      </x:c>
      <x:c r="H1636" s="13" t="str">
        <x:v>Baixo</x:v>
      </x:c>
      <x:c r="I1636" s="13" t="str">
        <x:v>Performance</x:v>
      </x:c>
      <x:c r="J1636" s="17" t="n">
        <x:v>34324.42</x:v>
      </x:c>
      <x:c r="K1636" s="17" t="n">
        <x:v>0</x:v>
      </x:c>
      <x:c r="L1636" s="17" t="n">
        <x:v>0</x:v>
      </x:c>
      <x:c r="M1636" s="13" t="str">
        <x:v>Pago</x:v>
      </x:c>
      <x:c r="N1636" s="13" t="str">
        <x:v>Sem cobrança</x:v>
      </x:c>
      <x:c r="O1636" s="13" t="str">
        <x:v>Escala inteligente</x:v>
      </x:c>
      <x:c r="P1636" s="17" t="n">
        <x:f>IF(D1636="",0,J1636-K1636+L1636)</x:f>
        <x:v>34324.42</x:v>
      </x:c>
      <x:c r="Q1636" s="17" t="n">
        <x:f>MAX(J1636-P1636-K1636,0)</x:f>
        <x:v>0</x:v>
      </x:c>
      <x:c r="R1636" s="13" t="n">
        <x:f>IF(D1636="",MAX(TODAY()-C1636,0),MAX(D1636-C1636,0))</x:f>
        <x:v>0</x:v>
      </x:c>
      <x:c r="S1636" s="13" t="str">
        <x:f>IF(R1636=0,"Em dia",IF(R1636&lt;=15,"1-15 dias",IF(R1636&lt;=30,"16-30 dias",IF(R1636&lt;=60,"31-60 dias","Acima de 60 dias"))))</x:f>
        <x:v>Em dia</x:v>
      </x:c>
    </x:row>
    <x:row r="1637">
      <x:c r="A1637" s="13" t="str">
        <x:v>REC-001636</x:v>
      </x:c>
      <x:c r="B1637" s="23" t="n">
        <x:v>46125</x:v>
      </x:c>
      <x:c r="C1637" s="23" t="n">
        <x:v>46132</x:v>
      </x:c>
      <x:c r="D1637" s="23" t="n">
        <x:v>46132</x:v>
      </x:c>
      <x:c r="E1637" s="13" t="str">
        <x:v>VAL-020</x:v>
      </x:c>
      <x:c r="F1637" s="13" t="str">
        <x:v>Corelink Digital</x:v>
      </x:c>
      <x:c r="G1637" s="13" t="str">
        <x:v>Tecnologia</x:v>
      </x:c>
      <x:c r="H1637" s="13" t="str">
        <x:v>Baixo</x:v>
      </x:c>
      <x:c r="I1637" s="13" t="str">
        <x:v>Enterprise</x:v>
      </x:c>
      <x:c r="J1637" s="17" t="n">
        <x:v>21865.11</x:v>
      </x:c>
      <x:c r="K1637" s="17" t="n">
        <x:v>156.61</x:v>
      </x:c>
      <x:c r="L1637" s="17" t="n">
        <x:v>0</x:v>
      </x:c>
      <x:c r="M1637" s="13" t="str">
        <x:v>Pago</x:v>
      </x:c>
      <x:c r="N1637" s="13" t="str">
        <x:v>Sem cobrança</x:v>
      </x:c>
      <x:c r="O1637" s="13" t="str">
        <x:v>Escala inteligente</x:v>
      </x:c>
      <x:c r="P1637" s="17" t="n">
        <x:f>IF(D1637="",0,J1637-K1637+L1637)</x:f>
        <x:v>21708.5</x:v>
      </x:c>
      <x:c r="Q1637" s="17" t="n">
        <x:f>MAX(J1637-P1637-K1637,0)</x:f>
        <x:v>5.684341886080801e-13</x:v>
      </x:c>
      <x:c r="R1637" s="13" t="n">
        <x:f>IF(D1637="",MAX(TODAY()-C1637,0),MAX(D1637-C1637,0))</x:f>
        <x:v>0</x:v>
      </x:c>
      <x:c r="S1637" s="13" t="str">
        <x:f>IF(R1637=0,"Em dia",IF(R1637&lt;=15,"1-15 dias",IF(R1637&lt;=30,"16-30 dias",IF(R1637&lt;=60,"31-60 dias","Acima de 60 dias"))))</x:f>
        <x:v>Em dia</x:v>
      </x:c>
    </x:row>
    <x:row r="1638">
      <x:c r="A1638" s="13" t="str">
        <x:v>REC-001637</x:v>
      </x:c>
      <x:c r="B1638" s="23" t="n">
        <x:v>46119</x:v>
      </x:c>
      <x:c r="C1638" s="23" t="n">
        <x:v>46140</x:v>
      </x:c>
      <x:c r="D1638" s="23" t="n">
        <x:v>46139</x:v>
      </x:c>
      <x:c r="E1638" s="13" t="str">
        <x:v>VAL-023</x:v>
      </x:c>
      <x:c r="F1638" s="13" t="str">
        <x:v>ShopMix Brasil</x:v>
      </x:c>
      <x:c r="G1638" s="13" t="str">
        <x:v>E-commerce</x:v>
      </x:c>
      <x:c r="H1638" s="13" t="str">
        <x:v>Baixo</x:v>
      </x:c>
      <x:c r="I1638" s="13" t="str">
        <x:v>Performance</x:v>
      </x:c>
      <x:c r="J1638" s="17" t="n">
        <x:v>14859.13</x:v>
      </x:c>
      <x:c r="K1638" s="17" t="n">
        <x:v>0</x:v>
      </x:c>
      <x:c r="L1638" s="17" t="n">
        <x:v>0</x:v>
      </x:c>
      <x:c r="M1638" s="13" t="str">
        <x:v>Pago</x:v>
      </x:c>
      <x:c r="N1638" s="13" t="str">
        <x:v>Sem cobrança</x:v>
      </x:c>
      <x:c r="O1638" s="13" t="str">
        <x:v>Escala inteligente</x:v>
      </x:c>
      <x:c r="P1638" s="17" t="n">
        <x:f>IF(D1638="",0,J1638-K1638+L1638)</x:f>
        <x:v>14859.13</x:v>
      </x:c>
      <x:c r="Q1638" s="17" t="n">
        <x:f>MAX(J1638-P1638-K1638,0)</x:f>
        <x:v>0</x:v>
      </x:c>
      <x:c r="R1638" s="13" t="n">
        <x:f>IF(D1638="",MAX(TODAY()-C1638,0),MAX(D1638-C1638,0))</x:f>
        <x:v>0</x:v>
      </x:c>
      <x:c r="S1638" s="13" t="str">
        <x:f>IF(R1638=0,"Em dia",IF(R1638&lt;=15,"1-15 dias",IF(R1638&lt;=30,"16-30 dias",IF(R1638&lt;=60,"31-60 dias","Acima de 60 dias"))))</x:f>
        <x:v>Em dia</x:v>
      </x:c>
    </x:row>
    <x:row r="1639">
      <x:c r="A1639" s="13" t="str">
        <x:v>REC-001638</x:v>
      </x:c>
      <x:c r="B1639" s="23" t="n">
        <x:v>46123</x:v>
      </x:c>
      <x:c r="C1639" s="23" t="n">
        <x:v>46153</x:v>
      </x:c>
      <x:c r="D1639" s="23" t="n">
        <x:v>46149</x:v>
      </x:c>
      <x:c r="E1639" s="13" t="str">
        <x:v>VAL-010</x:v>
      </x:c>
      <x:c r="F1639" s="13" t="str">
        <x:v>Atlas Contabilidade</x:v>
      </x:c>
      <x:c r="G1639" s="13" t="str">
        <x:v>Serviços Profissionais</x:v>
      </x:c>
      <x:c r="H1639" s="13" t="str">
        <x:v>Baixo</x:v>
      </x:c>
      <x:c r="I1639" s="13" t="str">
        <x:v>Gestão</x:v>
      </x:c>
      <x:c r="J1639" s="17" t="n">
        <x:v>4947.65</x:v>
      </x:c>
      <x:c r="K1639" s="17" t="n">
        <x:v>0</x:v>
      </x:c>
      <x:c r="L1639" s="17" t="n">
        <x:v>0</x:v>
      </x:c>
      <x:c r="M1639" s="13" t="str">
        <x:v>Pago</x:v>
      </x:c>
      <x:c r="N1639" s="13" t="str">
        <x:v>Sem cobrança</x:v>
      </x:c>
      <x:c r="O1639" s="13" t="str">
        <x:v>Escala inteligente</x:v>
      </x:c>
      <x:c r="P1639" s="17" t="n">
        <x:f>IF(D1639="",0,J1639-K1639+L1639)</x:f>
        <x:v>4947.65</x:v>
      </x:c>
      <x:c r="Q1639" s="17" t="n">
        <x:f>MAX(J1639-P1639-K1639,0)</x:f>
        <x:v>0</x:v>
      </x:c>
      <x:c r="R1639" s="13" t="n">
        <x:f>IF(D1639="",MAX(TODAY()-C1639,0),MAX(D1639-C1639,0))</x:f>
        <x:v>0</x:v>
      </x:c>
      <x:c r="S1639" s="13" t="str">
        <x:f>IF(R1639=0,"Em dia",IF(R1639&lt;=15,"1-15 dias",IF(R1639&lt;=30,"16-30 dias",IF(R1639&lt;=60,"31-60 dias","Acima de 60 dias"))))</x:f>
        <x:v>Em dia</x:v>
      </x:c>
    </x:row>
    <x:row r="1640">
      <x:c r="A1640" s="13" t="str">
        <x:v>REC-001639</x:v>
      </x:c>
      <x:c r="B1640" s="23" t="n">
        <x:v>46124</x:v>
      </x:c>
      <x:c r="C1640" s="23" t="n">
        <x:v>46139</x:v>
      </x:c>
      <x:c r="D1640" s="23" t="n">
        <x:v>46137</x:v>
      </x:c>
      <x:c r="E1640" s="13" t="str">
        <x:v>VAL-026</x:v>
      </x:c>
      <x:c r="F1640" s="13" t="str">
        <x:v>Ribeiro Arquitetura</x:v>
      </x:c>
      <x:c r="G1640" s="13" t="str">
        <x:v>Serviços Profissionais</x:v>
      </x:c>
      <x:c r="H1640" s="13" t="str">
        <x:v>Baixo</x:v>
      </x:c>
      <x:c r="I1640" s="13" t="str">
        <x:v>Gestão</x:v>
      </x:c>
      <x:c r="J1640" s="17" t="n">
        <x:v>19788.15</x:v>
      </x:c>
      <x:c r="K1640" s="17" t="n">
        <x:v>0</x:v>
      </x:c>
      <x:c r="L1640" s="17" t="n">
        <x:v>0</x:v>
      </x:c>
      <x:c r="M1640" s="13" t="str">
        <x:v>Pago</x:v>
      </x:c>
      <x:c r="N1640" s="13" t="str">
        <x:v>Sem cobrança</x:v>
      </x:c>
      <x:c r="O1640" s="13" t="str">
        <x:v>Escala inteligente</x:v>
      </x:c>
      <x:c r="P1640" s="17" t="n">
        <x:f>IF(D1640="",0,J1640-K1640+L1640)</x:f>
        <x:v>19788.15</x:v>
      </x:c>
      <x:c r="Q1640" s="17" t="n">
        <x:f>MAX(J1640-P1640-K1640,0)</x:f>
        <x:v>0</x:v>
      </x:c>
      <x:c r="R1640" s="13" t="n">
        <x:f>IF(D1640="",MAX(TODAY()-C1640,0),MAX(D1640-C1640,0))</x:f>
        <x:v>0</x:v>
      </x:c>
      <x:c r="S1640" s="13" t="str">
        <x:f>IF(R1640=0,"Em dia",IF(R1640&lt;=15,"1-15 dias",IF(R1640&lt;=30,"16-30 dias",IF(R1640&lt;=60,"31-60 dias","Acima de 60 dias"))))</x:f>
        <x:v>Em dia</x:v>
      </x:c>
    </x:row>
    <x:row r="1641">
      <x:c r="A1641" s="13" t="str">
        <x:v>REC-001640</x:v>
      </x:c>
      <x:c r="B1641" s="23" t="n">
        <x:v>46122</x:v>
      </x:c>
      <x:c r="C1641" s="23" t="n">
        <x:v>46152</x:v>
      </x:c>
      <x:c r="D1641" s="23" t="n">
        <x:v>46148</x:v>
      </x:c>
      <x:c r="E1641" s="13" t="str">
        <x:v>VAL-023</x:v>
      </x:c>
      <x:c r="F1641" s="13" t="str">
        <x:v>ShopMix Brasil</x:v>
      </x:c>
      <x:c r="G1641" s="13" t="str">
        <x:v>E-commerce</x:v>
      </x:c>
      <x:c r="H1641" s="13" t="str">
        <x:v>Baixo</x:v>
      </x:c>
      <x:c r="I1641" s="13" t="str">
        <x:v>Performance</x:v>
      </x:c>
      <x:c r="J1641" s="17" t="n">
        <x:v>34029.4</x:v>
      </x:c>
      <x:c r="K1641" s="17" t="n">
        <x:v>0</x:v>
      </x:c>
      <x:c r="L1641" s="17" t="n">
        <x:v>0</x:v>
      </x:c>
      <x:c r="M1641" s="13" t="str">
        <x:v>Pago</x:v>
      </x:c>
      <x:c r="N1641" s="13" t="str">
        <x:v>Sem cobrança</x:v>
      </x:c>
      <x:c r="O1641" s="13" t="str">
        <x:v>Escala inteligente</x:v>
      </x:c>
      <x:c r="P1641" s="17" t="n">
        <x:f>IF(D1641="",0,J1641-K1641+L1641)</x:f>
        <x:v>34029.4</x:v>
      </x:c>
      <x:c r="Q1641" s="17" t="n">
        <x:f>MAX(J1641-P1641-K1641,0)</x:f>
        <x:v>0</x:v>
      </x:c>
      <x:c r="R1641" s="13" t="n">
        <x:f>IF(D1641="",MAX(TODAY()-C1641,0),MAX(D1641-C1641,0))</x:f>
        <x:v>0</x:v>
      </x:c>
      <x:c r="S1641" s="13" t="str">
        <x:f>IF(R1641=0,"Em dia",IF(R1641&lt;=15,"1-15 dias",IF(R1641&lt;=30,"16-30 dias",IF(R1641&lt;=60,"31-60 dias","Acima de 60 dias"))))</x:f>
        <x:v>Em dia</x:v>
      </x:c>
    </x:row>
    <x:row r="1642">
      <x:c r="A1642" s="13" t="str">
        <x:v>REC-001641</x:v>
      </x:c>
      <x:c r="B1642" s="23" t="n">
        <x:v>46132</x:v>
      </x:c>
      <x:c r="C1642" s="23" t="n">
        <x:v>46160</x:v>
      </x:c>
      <x:c r="D1642" s="23" t="n">
        <x:v>46160</x:v>
      </x:c>
      <x:c r="E1642" s="13" t="str">
        <x:v>VAL-005</x:v>
      </x:c>
      <x:c r="F1642" s="13" t="str">
        <x:v>Construtora Alameda</x:v>
      </x:c>
      <x:c r="G1642" s="13" t="str">
        <x:v>Construção</x:v>
      </x:c>
      <x:c r="H1642" s="13" t="str">
        <x:v>Médio</x:v>
      </x:c>
      <x:c r="I1642" s="13" t="str">
        <x:v>Essencial</x:v>
      </x:c>
      <x:c r="J1642" s="17" t="n">
        <x:v>9126.84</x:v>
      </x:c>
      <x:c r="K1642" s="17" t="n">
        <x:v>0</x:v>
      </x:c>
      <x:c r="L1642" s="17" t="n">
        <x:v>0</x:v>
      </x:c>
      <x:c r="M1642" s="13" t="str">
        <x:v>Pago</x:v>
      </x:c>
      <x:c r="N1642" s="13" t="str">
        <x:v>Sem cobrança</x:v>
      </x:c>
      <x:c r="O1642" s="13" t="str">
        <x:v>Escala inteligente</x:v>
      </x:c>
      <x:c r="P1642" s="17" t="n">
        <x:f>IF(D1642="",0,J1642-K1642+L1642)</x:f>
        <x:v>9126.84</x:v>
      </x:c>
      <x:c r="Q1642" s="17" t="n">
        <x:f>MAX(J1642-P1642-K1642,0)</x:f>
        <x:v>0</x:v>
      </x:c>
      <x:c r="R1642" s="13" t="n">
        <x:f>IF(D1642="",MAX(TODAY()-C1642,0),MAX(D1642-C1642,0))</x:f>
        <x:v>0</x:v>
      </x:c>
      <x:c r="S1642" s="13" t="str">
        <x:f>IF(R1642=0,"Em dia",IF(R1642&lt;=15,"1-15 dias",IF(R1642&lt;=30,"16-30 dias",IF(R1642&lt;=60,"31-60 dias","Acima de 60 dias"))))</x:f>
        <x:v>Em dia</x:v>
      </x:c>
    </x:row>
    <x:row r="1643">
      <x:c r="A1643" s="13" t="str">
        <x:v>REC-001642</x:v>
      </x:c>
      <x:c r="B1643" s="23" t="n">
        <x:v>46119</x:v>
      </x:c>
      <x:c r="C1643" s="23" t="n">
        <x:v>46149</x:v>
      </x:c>
      <x:c r="D1643" s="23" t="n">
        <x:v>46147</x:v>
      </x:c>
      <x:c r="E1643" s="13" t="str">
        <x:v>VAL-009</x:v>
      </x:c>
      <x:c r="F1643" s="13" t="str">
        <x:v>Odonto Prime</x:v>
      </x:c>
      <x:c r="G1643" s="13" t="str">
        <x:v>Clínicas e Saúde</x:v>
      </x:c>
      <x:c r="H1643" s="13" t="str">
        <x:v>Médio</x:v>
      </x:c>
      <x:c r="I1643" s="13" t="str">
        <x:v>Essencial</x:v>
      </x:c>
      <x:c r="J1643" s="17" t="n">
        <x:v>27493.39</x:v>
      </x:c>
      <x:c r="K1643" s="17" t="n">
        <x:v>213.45</x:v>
      </x:c>
      <x:c r="L1643" s="17" t="n">
        <x:v>0</x:v>
      </x:c>
      <x:c r="M1643" s="13" t="str">
        <x:v>Pago</x:v>
      </x:c>
      <x:c r="N1643" s="13" t="str">
        <x:v>Sem cobrança</x:v>
      </x:c>
      <x:c r="O1643" s="13" t="str">
        <x:v>Escala inteligente</x:v>
      </x:c>
      <x:c r="P1643" s="17" t="n">
        <x:f>IF(D1643="",0,J1643-K1643+L1643)</x:f>
        <x:v>27279.94</x:v>
      </x:c>
      <x:c r="Q1643" s="17" t="n">
        <x:f>MAX(J1643-P1643-K1643,0)</x:f>
        <x:v>7.389644451905042e-13</x:v>
      </x:c>
      <x:c r="R1643" s="13" t="n">
        <x:f>IF(D1643="",MAX(TODAY()-C1643,0),MAX(D1643-C1643,0))</x:f>
        <x:v>0</x:v>
      </x:c>
      <x:c r="S1643" s="13" t="str">
        <x:f>IF(R1643=0,"Em dia",IF(R1643&lt;=15,"1-15 dias",IF(R1643&lt;=30,"16-30 dias",IF(R1643&lt;=60,"31-60 dias","Acima de 60 dias"))))</x:f>
        <x:v>Em dia</x:v>
      </x:c>
    </x:row>
    <x:row r="1644">
      <x:c r="A1644" s="13" t="str">
        <x:v>REC-001643</x:v>
      </x:c>
      <x:c r="B1644" s="23" t="n">
        <x:v>46116</x:v>
      </x:c>
      <x:c r="C1644" s="23" t="n">
        <x:v>46146</x:v>
      </x:c>
      <x:c r="D1644" s="23" t="n">
        <x:v>46143</x:v>
      </x:c>
      <x:c r="E1644" s="13" t="str">
        <x:v>VAL-021</x:v>
      </x:c>
      <x:c r="F1644" s="13" t="str">
        <x:v>Base Forte Obras</x:v>
      </x:c>
      <x:c r="G1644" s="13" t="str">
        <x:v>Construção</x:v>
      </x:c>
      <x:c r="H1644" s="13" t="str">
        <x:v>Médio</x:v>
      </x:c>
      <x:c r="I1644" s="13" t="str">
        <x:v>Essencial</x:v>
      </x:c>
      <x:c r="J1644" s="17" t="n">
        <x:v>5121.25</x:v>
      </x:c>
      <x:c r="K1644" s="17" t="n">
        <x:v>0</x:v>
      </x:c>
      <x:c r="L1644" s="17" t="n">
        <x:v>0</x:v>
      </x:c>
      <x:c r="M1644" s="13" t="str">
        <x:v>Pago</x:v>
      </x:c>
      <x:c r="N1644" s="13" t="str">
        <x:v>Sem cobrança</x:v>
      </x:c>
      <x:c r="O1644" s="13" t="str">
        <x:v>Escala inteligente</x:v>
      </x:c>
      <x:c r="P1644" s="17" t="n">
        <x:f>IF(D1644="",0,J1644-K1644+L1644)</x:f>
        <x:v>5121.25</x:v>
      </x:c>
      <x:c r="Q1644" s="17" t="n">
        <x:f>MAX(J1644-P1644-K1644,0)</x:f>
        <x:v>0</x:v>
      </x:c>
      <x:c r="R1644" s="13" t="n">
        <x:f>IF(D1644="",MAX(TODAY()-C1644,0),MAX(D1644-C1644,0))</x:f>
        <x:v>0</x:v>
      </x:c>
      <x:c r="S1644" s="13" t="str">
        <x:f>IF(R1644=0,"Em dia",IF(R1644&lt;=15,"1-15 dias",IF(R1644&lt;=30,"16-30 dias",IF(R1644&lt;=60,"31-60 dias","Acima de 60 dias"))))</x:f>
        <x:v>Em dia</x:v>
      </x:c>
    </x:row>
    <x:row r="1645">
      <x:c r="A1645" s="13" t="str">
        <x:v>REC-001644</x:v>
      </x:c>
      <x:c r="B1645" s="23" t="n">
        <x:v>46120</x:v>
      </x:c>
      <x:c r="C1645" s="23" t="n">
        <x:v>46127</x:v>
      </x:c>
      <x:c r="D1645" s="23" t="n">
        <x:v>46123</x:v>
      </x:c>
      <x:c r="E1645" s="13" t="str">
        <x:v>VAL-026</x:v>
      </x:c>
      <x:c r="F1645" s="13" t="str">
        <x:v>Ribeiro Arquitetura</x:v>
      </x:c>
      <x:c r="G1645" s="13" t="str">
        <x:v>Serviços Profissionais</x:v>
      </x:c>
      <x:c r="H1645" s="13" t="str">
        <x:v>Baixo</x:v>
      </x:c>
      <x:c r="I1645" s="13" t="str">
        <x:v>Gestão</x:v>
      </x:c>
      <x:c r="J1645" s="17" t="n">
        <x:v>10940.13</x:v>
      </x:c>
      <x:c r="K1645" s="17" t="n">
        <x:v>0</x:v>
      </x:c>
      <x:c r="L1645" s="17" t="n">
        <x:v>0</x:v>
      </x:c>
      <x:c r="M1645" s="13" t="str">
        <x:v>Pago</x:v>
      </x:c>
      <x:c r="N1645" s="13" t="str">
        <x:v>Sem cobrança</x:v>
      </x:c>
      <x:c r="O1645" s="13" t="str">
        <x:v>Escala inteligente</x:v>
      </x:c>
      <x:c r="P1645" s="17" t="n">
        <x:f>IF(D1645="",0,J1645-K1645+L1645)</x:f>
        <x:v>10940.13</x:v>
      </x:c>
      <x:c r="Q1645" s="17" t="n">
        <x:f>MAX(J1645-P1645-K1645,0)</x:f>
        <x:v>0</x:v>
      </x:c>
      <x:c r="R1645" s="13" t="n">
        <x:f>IF(D1645="",MAX(TODAY()-C1645,0),MAX(D1645-C1645,0))</x:f>
        <x:v>0</x:v>
      </x:c>
      <x:c r="S1645" s="13" t="str">
        <x:f>IF(R1645=0,"Em dia",IF(R1645&lt;=15,"1-15 dias",IF(R1645&lt;=30,"16-30 dias",IF(R1645&lt;=60,"31-60 dias","Acima de 60 dias"))))</x:f>
        <x:v>Em dia</x:v>
      </x:c>
    </x:row>
    <x:row r="1646">
      <x:c r="A1646" s="13" t="str">
        <x:v>REC-001645</x:v>
      </x:c>
      <x:c r="B1646" s="23" t="n">
        <x:v>46115</x:v>
      </x:c>
      <x:c r="C1646" s="23" t="n">
        <x:v>46136</x:v>
      </x:c>
      <x:c r="D1646" s="23" t="n">
        <x:v>46132</x:v>
      </x:c>
      <x:c r="E1646" s="13" t="str">
        <x:v>VAL-016</x:v>
      </x:c>
      <x:c r="F1646" s="13" t="str">
        <x:v>Lumina Embalagens</x:v>
      </x:c>
      <x:c r="G1646" s="13" t="str">
        <x:v>Indústria Leve</x:v>
      </x:c>
      <x:c r="H1646" s="13" t="str">
        <x:v>Baixo</x:v>
      </x:c>
      <x:c r="I1646" s="13" t="str">
        <x:v>Enterprise</x:v>
      </x:c>
      <x:c r="J1646" s="17" t="n">
        <x:v>4360.39</x:v>
      </x:c>
      <x:c r="K1646" s="17" t="n">
        <x:v>0</x:v>
      </x:c>
      <x:c r="L1646" s="17" t="n">
        <x:v>0</x:v>
      </x:c>
      <x:c r="M1646" s="13" t="str">
        <x:v>Pago</x:v>
      </x:c>
      <x:c r="N1646" s="13" t="str">
        <x:v>Sem cobrança</x:v>
      </x:c>
      <x:c r="O1646" s="13" t="str">
        <x:v>Escala inteligente</x:v>
      </x:c>
      <x:c r="P1646" s="17" t="n">
        <x:f>IF(D1646="",0,J1646-K1646+L1646)</x:f>
        <x:v>4360.39</x:v>
      </x:c>
      <x:c r="Q1646" s="17" t="n">
        <x:f>MAX(J1646-P1646-K1646,0)</x:f>
        <x:v>0</x:v>
      </x:c>
      <x:c r="R1646" s="13" t="n">
        <x:f>IF(D1646="",MAX(TODAY()-C1646,0),MAX(D1646-C1646,0))</x:f>
        <x:v>0</x:v>
      </x:c>
      <x:c r="S1646" s="13" t="str">
        <x:f>IF(R1646=0,"Em dia",IF(R1646&lt;=15,"1-15 dias",IF(R1646&lt;=30,"16-30 dias",IF(R1646&lt;=60,"31-60 dias","Acima de 60 dias"))))</x:f>
        <x:v>Em dia</x:v>
      </x:c>
    </x:row>
    <x:row r="1647">
      <x:c r="A1647" s="13" t="str">
        <x:v>REC-001646</x:v>
      </x:c>
      <x:c r="B1647" s="23" t="n">
        <x:v>46119</x:v>
      </x:c>
      <x:c r="C1647" s="23" t="n">
        <x:v>46149</x:v>
      </x:c>
      <x:c r="D1647" s="23" t="n">
        <x:v>46148</x:v>
      </x:c>
      <x:c r="E1647" s="13" t="str">
        <x:v>VAL-027</x:v>
      </x:c>
      <x:c r="F1647" s="13" t="str">
        <x:v>Mais Lar Utilidades</x:v>
      </x:c>
      <x:c r="G1647" s="13" t="str">
        <x:v>Varejo</x:v>
      </x:c>
      <x:c r="H1647" s="13" t="str">
        <x:v>Baixo</x:v>
      </x:c>
      <x:c r="I1647" s="13" t="str">
        <x:v>Performance</x:v>
      </x:c>
      <x:c r="J1647" s="17" t="n">
        <x:v>7017.17</x:v>
      </x:c>
      <x:c r="K1647" s="17" t="n">
        <x:v>0</x:v>
      </x:c>
      <x:c r="L1647" s="17" t="n">
        <x:v>0</x:v>
      </x:c>
      <x:c r="M1647" s="13" t="str">
        <x:v>Pago</x:v>
      </x:c>
      <x:c r="N1647" s="13" t="str">
        <x:v>Sem cobrança</x:v>
      </x:c>
      <x:c r="O1647" s="13" t="str">
        <x:v>Escala inteligente</x:v>
      </x:c>
      <x:c r="P1647" s="17" t="n">
        <x:f>IF(D1647="",0,J1647-K1647+L1647)</x:f>
        <x:v>7017.17</x:v>
      </x:c>
      <x:c r="Q1647" s="17" t="n">
        <x:f>MAX(J1647-P1647-K1647,0)</x:f>
        <x:v>0</x:v>
      </x:c>
      <x:c r="R1647" s="13" t="n">
        <x:f>IF(D1647="",MAX(TODAY()-C1647,0),MAX(D1647-C1647,0))</x:f>
        <x:v>0</x:v>
      </x:c>
      <x:c r="S1647" s="13" t="str">
        <x:f>IF(R1647=0,"Em dia",IF(R1647&lt;=15,"1-15 dias",IF(R1647&lt;=30,"16-30 dias",IF(R1647&lt;=60,"31-60 dias","Acima de 60 dias"))))</x:f>
        <x:v>Em dia</x:v>
      </x:c>
    </x:row>
    <x:row r="1648">
      <x:c r="A1648" s="13" t="str">
        <x:v>REC-001647</x:v>
      </x:c>
      <x:c r="B1648" s="23" t="n">
        <x:v>46115</x:v>
      </x:c>
      <x:c r="C1648" s="23" t="n">
        <x:v>46143</x:v>
      </x:c>
      <x:c r="D1648" s="23" t="n">
        <x:v>46139</x:v>
      </x:c>
      <x:c r="E1648" s="13" t="str">
        <x:v>VAL-018</x:v>
      </x:c>
      <x:c r="F1648" s="13" t="str">
        <x:v>Ponto Legal Advocacia</x:v>
      </x:c>
      <x:c r="G1648" s="13" t="str">
        <x:v>Serviços Profissionais</x:v>
      </x:c>
      <x:c r="H1648" s="13" t="str">
        <x:v>Baixo</x:v>
      </x:c>
      <x:c r="I1648" s="13" t="str">
        <x:v>Gestão</x:v>
      </x:c>
      <x:c r="J1648" s="17" t="n">
        <x:v>6330.7</x:v>
      </x:c>
      <x:c r="K1648" s="17" t="n">
        <x:v>104.71</x:v>
      </x:c>
      <x:c r="L1648" s="17" t="n">
        <x:v>0</x:v>
      </x:c>
      <x:c r="M1648" s="13" t="str">
        <x:v>Pago</x:v>
      </x:c>
      <x:c r="N1648" s="13" t="str">
        <x:v>Sem cobrança</x:v>
      </x:c>
      <x:c r="O1648" s="13" t="str">
        <x:v>Escala inteligente</x:v>
      </x:c>
      <x:c r="P1648" s="17" t="n">
        <x:f>IF(D1648="",0,J1648-K1648+L1648)</x:f>
        <x:v>6225.99</x:v>
      </x:c>
      <x:c r="Q1648" s="17" t="n">
        <x:f>MAX(J1648-P1648-K1648,0)</x:f>
        <x:v>4.263256414560601e-14</x:v>
      </x:c>
      <x:c r="R1648" s="13" t="n">
        <x:f>IF(D1648="",MAX(TODAY()-C1648,0),MAX(D1648-C1648,0))</x:f>
        <x:v>0</x:v>
      </x:c>
      <x:c r="S1648" s="13" t="str">
        <x:f>IF(R1648=0,"Em dia",IF(R1648&lt;=15,"1-15 dias",IF(R1648&lt;=30,"16-30 dias",IF(R1648&lt;=60,"31-60 dias","Acima de 60 dias"))))</x:f>
        <x:v>Em dia</x:v>
      </x:c>
    </x:row>
    <x:row r="1649">
      <x:c r="A1649" s="13" t="str">
        <x:v>REC-001648</x:v>
      </x:c>
      <x:c r="B1649" s="23" t="n">
        <x:v>46121</x:v>
      </x:c>
      <x:c r="C1649" s="23" t="n">
        <x:v>46151</x:v>
      </x:c>
      <x:c r="D1649" s="23" t="n">
        <x:v>46164</x:v>
      </x:c>
      <x:c r="E1649" s="13" t="str">
        <x:v>VAL-016</x:v>
      </x:c>
      <x:c r="F1649" s="13" t="str">
        <x:v>Lumina Embalagens</x:v>
      </x:c>
      <x:c r="G1649" s="13" t="str">
        <x:v>Indústria Leve</x:v>
      </x:c>
      <x:c r="H1649" s="13" t="str">
        <x:v>Baixo</x:v>
      </x:c>
      <x:c r="I1649" s="13" t="str">
        <x:v>Enterprise</x:v>
      </x:c>
      <x:c r="J1649" s="17" t="n">
        <x:v>31364.95</x:v>
      </x:c>
      <x:c r="K1649" s="17" t="n">
        <x:v>0</x:v>
      </x:c>
      <x:c r="L1649" s="17" t="n">
        <x:v>265.03</x:v>
      </x:c>
      <x:c r="M1649" s="13" t="str">
        <x:v>Pago com atraso</x:v>
      </x:c>
      <x:c r="N1649" s="13" t="str">
        <x:v>Telefone</x:v>
      </x:c>
      <x:c r="O1649" s="13" t="str">
        <x:v>Escala inteligente</x:v>
      </x:c>
      <x:c r="P1649" s="17" t="n">
        <x:f>IF(D1649="",0,J1649-K1649+L1649)</x:f>
        <x:v>31629.98</x:v>
      </x:c>
      <x:c r="Q1649" s="17" t="n">
        <x:f>MAX(J1649-P1649-K1649,0)</x:f>
        <x:v>0</x:v>
      </x:c>
      <x:c r="R1649" s="13" t="n">
        <x:f>IF(D1649="",MAX(TODAY()-C1649,0),MAX(D1649-C1649,0))</x:f>
        <x:v>13</x:v>
      </x:c>
      <x:c r="S1649" s="13" t="str">
        <x:f>IF(R1649=0,"Em dia",IF(R1649&lt;=15,"1-15 dias",IF(R1649&lt;=30,"16-30 dias",IF(R1649&lt;=60,"31-60 dias","Acima de 60 dias"))))</x:f>
        <x:v>1-15 dias</x:v>
      </x:c>
    </x:row>
    <x:row r="1650">
      <x:c r="A1650" s="13" t="str">
        <x:v>REC-001649</x:v>
      </x:c>
      <x:c r="B1650" s="23" t="n">
        <x:v>46123</x:v>
      </x:c>
      <x:c r="C1650" s="23" t="n">
        <x:v>46144</x:v>
      </x:c>
      <x:c r="D1650" s="23" t="n">
        <x:v>46141</x:v>
      </x:c>
      <x:c r="E1650" s="13" t="str">
        <x:v>VAL-010</x:v>
      </x:c>
      <x:c r="F1650" s="13" t="str">
        <x:v>Atlas Contabilidade</x:v>
      </x:c>
      <x:c r="G1650" s="13" t="str">
        <x:v>Serviços Profissionais</x:v>
      </x:c>
      <x:c r="H1650" s="13" t="str">
        <x:v>Baixo</x:v>
      </x:c>
      <x:c r="I1650" s="13" t="str">
        <x:v>Gestão</x:v>
      </x:c>
      <x:c r="J1650" s="17" t="n">
        <x:v>2067.75</x:v>
      </x:c>
      <x:c r="K1650" s="17" t="n">
        <x:v>0</x:v>
      </x:c>
      <x:c r="L1650" s="17" t="n">
        <x:v>0</x:v>
      </x:c>
      <x:c r="M1650" s="13" t="str">
        <x:v>Pago</x:v>
      </x:c>
      <x:c r="N1650" s="13" t="str">
        <x:v>Sem cobrança</x:v>
      </x:c>
      <x:c r="O1650" s="13" t="str">
        <x:v>Escala inteligente</x:v>
      </x:c>
      <x:c r="P1650" s="17" t="n">
        <x:f>IF(D1650="",0,J1650-K1650+L1650)</x:f>
        <x:v>2067.75</x:v>
      </x:c>
      <x:c r="Q1650" s="17" t="n">
        <x:f>MAX(J1650-P1650-K1650,0)</x:f>
        <x:v>0</x:v>
      </x:c>
      <x:c r="R1650" s="13" t="n">
        <x:f>IF(D1650="",MAX(TODAY()-C1650,0),MAX(D1650-C1650,0))</x:f>
        <x:v>0</x:v>
      </x:c>
      <x:c r="S1650" s="13" t="str">
        <x:f>IF(R1650=0,"Em dia",IF(R1650&lt;=15,"1-15 dias",IF(R1650&lt;=30,"16-30 dias",IF(R1650&lt;=60,"31-60 dias","Acima de 60 dias"))))</x:f>
        <x:v>Em dia</x:v>
      </x:c>
    </x:row>
    <x:row r="1651">
      <x:c r="A1651" s="13" t="str">
        <x:v>REC-001650</x:v>
      </x:c>
      <x:c r="B1651" s="23" t="n">
        <x:v>46114</x:v>
      </x:c>
      <x:c r="C1651" s="23" t="n">
        <x:v>46144</x:v>
      </x:c>
      <x:c r="D1651" s="23" t="n">
        <x:v>46142</x:v>
      </x:c>
      <x:c r="E1651" s="13" t="str">
        <x:v>VAL-015</x:v>
      </x:c>
      <x:c r="F1651" s="13" t="str">
        <x:v>Mercado Click</x:v>
      </x:c>
      <x:c r="G1651" s="13" t="str">
        <x:v>E-commerce</x:v>
      </x:c>
      <x:c r="H1651" s="13" t="str">
        <x:v>Baixo</x:v>
      </x:c>
      <x:c r="I1651" s="13" t="str">
        <x:v>Performance</x:v>
      </x:c>
      <x:c r="J1651" s="17" t="n">
        <x:v>24230.55</x:v>
      </x:c>
      <x:c r="K1651" s="17" t="n">
        <x:v>0</x:v>
      </x:c>
      <x:c r="L1651" s="17" t="n">
        <x:v>0</x:v>
      </x:c>
      <x:c r="M1651" s="13" t="str">
        <x:v>Pago</x:v>
      </x:c>
      <x:c r="N1651" s="13" t="str">
        <x:v>Sem cobrança</x:v>
      </x:c>
      <x:c r="O1651" s="13" t="str">
        <x:v>Escala inteligente</x:v>
      </x:c>
      <x:c r="P1651" s="17" t="n">
        <x:f>IF(D1651="",0,J1651-K1651+L1651)</x:f>
        <x:v>24230.55</x:v>
      </x:c>
      <x:c r="Q1651" s="17" t="n">
        <x:f>MAX(J1651-P1651-K1651,0)</x:f>
        <x:v>0</x:v>
      </x:c>
      <x:c r="R1651" s="13" t="n">
        <x:f>IF(D1651="",MAX(TODAY()-C1651,0),MAX(D1651-C1651,0))</x:f>
        <x:v>0</x:v>
      </x:c>
      <x:c r="S1651" s="13" t="str">
        <x:f>IF(R1651=0,"Em dia",IF(R1651&lt;=15,"1-15 dias",IF(R1651&lt;=30,"16-30 dias",IF(R1651&lt;=60,"31-60 dias","Acima de 60 dias"))))</x:f>
        <x:v>Em dia</x:v>
      </x:c>
    </x:row>
    <x:row r="1652">
      <x:c r="A1652" s="13" t="str">
        <x:v>REC-001651</x:v>
      </x:c>
      <x:c r="B1652" s="23" t="n">
        <x:v>46119</x:v>
      </x:c>
      <x:c r="C1652" s="23" t="n">
        <x:v>46147</x:v>
      </x:c>
      <x:c r="D1652" s="23" t="n">
        <x:v>46143</x:v>
      </x:c>
      <x:c r="E1652" s="13" t="str">
        <x:v>VAL-028</x:v>
      </x:c>
      <x:c r="F1652" s="13" t="str">
        <x:v>Pixel Norte</x:v>
      </x:c>
      <x:c r="G1652" s="13" t="str">
        <x:v>Tecnologia</x:v>
      </x:c>
      <x:c r="H1652" s="13" t="str">
        <x:v>Alto</x:v>
      </x:c>
      <x:c r="I1652" s="13" t="str">
        <x:v>Enterprise</x:v>
      </x:c>
      <x:c r="J1652" s="17" t="n">
        <x:v>6274.06</x:v>
      </x:c>
      <x:c r="K1652" s="17" t="n">
        <x:v>53.63</x:v>
      </x:c>
      <x:c r="L1652" s="17" t="n">
        <x:v>0</x:v>
      </x:c>
      <x:c r="M1652" s="13" t="str">
        <x:v>Pago</x:v>
      </x:c>
      <x:c r="N1652" s="13" t="str">
        <x:v>Sem cobrança</x:v>
      </x:c>
      <x:c r="O1652" s="13" t="str">
        <x:v>Escala inteligente</x:v>
      </x:c>
      <x:c r="P1652" s="17" t="n">
        <x:f>IF(D1652="",0,J1652-K1652+L1652)</x:f>
        <x:v>6220.43</x:v>
      </x:c>
      <x:c r="Q1652" s="17" t="n">
        <x:f>MAX(J1652-P1652-K1652,0)</x:f>
        <x:v>1.0658141036401503e-13</x:v>
      </x:c>
      <x:c r="R1652" s="13" t="n">
        <x:f>IF(D1652="",MAX(TODAY()-C1652,0),MAX(D1652-C1652,0))</x:f>
        <x:v>0</x:v>
      </x:c>
      <x:c r="S1652" s="13" t="str">
        <x:f>IF(R1652=0,"Em dia",IF(R1652&lt;=15,"1-15 dias",IF(R1652&lt;=30,"16-30 dias",IF(R1652&lt;=60,"31-60 dias","Acima de 60 dias"))))</x:f>
        <x:v>Em dia</x:v>
      </x:c>
    </x:row>
    <x:row r="1653">
      <x:c r="A1653" s="13" t="str">
        <x:v>REC-001652</x:v>
      </x:c>
      <x:c r="B1653" s="23" t="n">
        <x:v>46120</x:v>
      </x:c>
      <x:c r="C1653" s="23" t="n">
        <x:v>46141</x:v>
      </x:c>
      <x:c r="D1653" s="23" t="n">
        <x:v>46141</x:v>
      </x:c>
      <x:c r="E1653" s="13" t="str">
        <x:v>VAL-013</x:v>
      </x:c>
      <x:c r="F1653" s="13" t="str">
        <x:v>Engenharia Vértice</x:v>
      </x:c>
      <x:c r="G1653" s="13" t="str">
        <x:v>Construção</x:v>
      </x:c>
      <x:c r="H1653" s="13" t="str">
        <x:v>Baixo</x:v>
      </x:c>
      <x:c r="I1653" s="13" t="str">
        <x:v>Essencial</x:v>
      </x:c>
      <x:c r="J1653" s="17" t="n">
        <x:v>23509.85</x:v>
      </x:c>
      <x:c r="K1653" s="17" t="n">
        <x:v>0</x:v>
      </x:c>
      <x:c r="L1653" s="17" t="n">
        <x:v>0</x:v>
      </x:c>
      <x:c r="M1653" s="13" t="str">
        <x:v>Pago</x:v>
      </x:c>
      <x:c r="N1653" s="13" t="str">
        <x:v>Sem cobrança</x:v>
      </x:c>
      <x:c r="O1653" s="13" t="str">
        <x:v>Escala inteligente</x:v>
      </x:c>
      <x:c r="P1653" s="17" t="n">
        <x:f>IF(D1653="",0,J1653-K1653+L1653)</x:f>
        <x:v>23509.85</x:v>
      </x:c>
      <x:c r="Q1653" s="17" t="n">
        <x:f>MAX(J1653-P1653-K1653,0)</x:f>
        <x:v>0</x:v>
      </x:c>
      <x:c r="R1653" s="13" t="n">
        <x:f>IF(D1653="",MAX(TODAY()-C1653,0),MAX(D1653-C1653,0))</x:f>
        <x:v>0</x:v>
      </x:c>
      <x:c r="S1653" s="13" t="str">
        <x:f>IF(R1653=0,"Em dia",IF(R1653&lt;=15,"1-15 dias",IF(R1653&lt;=30,"16-30 dias",IF(R1653&lt;=60,"31-60 dias","Acima de 60 dias"))))</x:f>
        <x:v>Em dia</x:v>
      </x:c>
    </x:row>
    <x:row r="1654">
      <x:c r="A1654" s="13" t="str">
        <x:v>REC-001653</x:v>
      </x:c>
      <x:c r="B1654" s="23" t="n">
        <x:v>46125</x:v>
      </x:c>
      <x:c r="C1654" s="23" t="n">
        <x:v>46155</x:v>
      </x:c>
      <x:c r="D1654" s="23" t="n">
        <x:v>46179</x:v>
      </x:c>
      <x:c r="E1654" s="13" t="str">
        <x:v>VAL-030</x:v>
      </x:c>
      <x:c r="F1654" s="13" t="str">
        <x:v>Mundo Kids Cursos</x:v>
      </x:c>
      <x:c r="G1654" s="13" t="str">
        <x:v>Educação</x:v>
      </x:c>
      <x:c r="H1654" s="13" t="str">
        <x:v>Alto</x:v>
      </x:c>
      <x:c r="I1654" s="13" t="str">
        <x:v>Gestão</x:v>
      </x:c>
      <x:c r="J1654" s="17" t="n">
        <x:v>18701.35</x:v>
      </x:c>
      <x:c r="K1654" s="17" t="n">
        <x:v>0</x:v>
      </x:c>
      <x:c r="L1654" s="17" t="n">
        <x:v>291.74</x:v>
      </x:c>
      <x:c r="M1654" s="13" t="str">
        <x:v>Pago com atraso</x:v>
      </x:c>
      <x:c r="N1654" s="13" t="str">
        <x:v>Telefone</x:v>
      </x:c>
      <x:c r="O1654" s="13" t="str">
        <x:v>Escala inteligente</x:v>
      </x:c>
      <x:c r="P1654" s="17" t="n">
        <x:f>IF(D1654="",0,J1654-K1654+L1654)</x:f>
        <x:v>18993.09</x:v>
      </x:c>
      <x:c r="Q1654" s="17" t="n">
        <x:f>MAX(J1654-P1654-K1654,0)</x:f>
        <x:v>0</x:v>
      </x:c>
      <x:c r="R1654" s="13" t="n">
        <x:f>IF(D1654="",MAX(TODAY()-C1654,0),MAX(D1654-C1654,0))</x:f>
        <x:v>24</x:v>
      </x:c>
      <x:c r="S1654" s="13" t="str">
        <x:f>IF(R1654=0,"Em dia",IF(R1654&lt;=15,"1-15 dias",IF(R1654&lt;=30,"16-30 dias",IF(R1654&lt;=60,"31-60 dias","Acima de 60 dias"))))</x:f>
        <x:v>16-30 dias</x:v>
      </x:c>
    </x:row>
    <x:row r="1655">
      <x:c r="A1655" s="13" t="str">
        <x:v>REC-001654</x:v>
      </x:c>
      <x:c r="B1655" s="23" t="n">
        <x:v>46130</x:v>
      </x:c>
      <x:c r="C1655" s="23" t="n">
        <x:v>46160</x:v>
      </x:c>
      <x:c r="D1655" s="23" t="n">
        <x:v>46160</x:v>
      </x:c>
      <x:c r="E1655" s="13" t="str">
        <x:v>VAL-004</x:v>
      </x:c>
      <x:c r="F1655" s="13" t="str">
        <x:v>NuvemBase Tecnologia</x:v>
      </x:c>
      <x:c r="G1655" s="13" t="str">
        <x:v>Tecnologia</x:v>
      </x:c>
      <x:c r="H1655" s="13" t="str">
        <x:v>Baixo</x:v>
      </x:c>
      <x:c r="I1655" s="13" t="str">
        <x:v>Enterprise</x:v>
      </x:c>
      <x:c r="J1655" s="17" t="n">
        <x:v>24362.84</x:v>
      </x:c>
      <x:c r="K1655" s="17" t="n">
        <x:v>0</x:v>
      </x:c>
      <x:c r="L1655" s="17" t="n">
        <x:v>0</x:v>
      </x:c>
      <x:c r="M1655" s="13" t="str">
        <x:v>Pago</x:v>
      </x:c>
      <x:c r="N1655" s="13" t="str">
        <x:v>Sem cobrança</x:v>
      </x:c>
      <x:c r="O1655" s="13" t="str">
        <x:v>Escala inteligente</x:v>
      </x:c>
      <x:c r="P1655" s="17" t="n">
        <x:f>IF(D1655="",0,J1655-K1655+L1655)</x:f>
        <x:v>24362.84</x:v>
      </x:c>
      <x:c r="Q1655" s="17" t="n">
        <x:f>MAX(J1655-P1655-K1655,0)</x:f>
        <x:v>0</x:v>
      </x:c>
      <x:c r="R1655" s="13" t="n">
        <x:f>IF(D1655="",MAX(TODAY()-C1655,0),MAX(D1655-C1655,0))</x:f>
        <x:v>0</x:v>
      </x:c>
      <x:c r="S1655" s="13" t="str">
        <x:f>IF(R1655=0,"Em dia",IF(R1655&lt;=15,"1-15 dias",IF(R1655&lt;=30,"16-30 dias",IF(R1655&lt;=60,"31-60 dias","Acima de 60 dias"))))</x:f>
        <x:v>Em dia</x:v>
      </x:c>
    </x:row>
    <x:row r="1656">
      <x:c r="A1656" s="13" t="str">
        <x:v>REC-001655</x:v>
      </x:c>
      <x:c r="B1656" s="23" t="n">
        <x:v>46114</x:v>
      </x:c>
      <x:c r="C1656" s="23" t="n">
        <x:v>46135</x:v>
      </x:c>
      <x:c r="D1656" s="23" t="n">
        <x:v>46131</x:v>
      </x:c>
      <x:c r="E1656" s="13" t="str">
        <x:v>VAL-030</x:v>
      </x:c>
      <x:c r="F1656" s="13" t="str">
        <x:v>Mundo Kids Cursos</x:v>
      </x:c>
      <x:c r="G1656" s="13" t="str">
        <x:v>Educação</x:v>
      </x:c>
      <x:c r="H1656" s="13" t="str">
        <x:v>Alto</x:v>
      </x:c>
      <x:c r="I1656" s="13" t="str">
        <x:v>Gestão</x:v>
      </x:c>
      <x:c r="J1656" s="17" t="n">
        <x:v>6395.2</x:v>
      </x:c>
      <x:c r="K1656" s="17" t="n">
        <x:v>0</x:v>
      </x:c>
      <x:c r="L1656" s="17" t="n">
        <x:v>0</x:v>
      </x:c>
      <x:c r="M1656" s="13" t="str">
        <x:v>Pago</x:v>
      </x:c>
      <x:c r="N1656" s="13" t="str">
        <x:v>Sem cobrança</x:v>
      </x:c>
      <x:c r="O1656" s="13" t="str">
        <x:v>Escala inteligente</x:v>
      </x:c>
      <x:c r="P1656" s="17" t="n">
        <x:f>IF(D1656="",0,J1656-K1656+L1656)</x:f>
        <x:v>6395.2</x:v>
      </x:c>
      <x:c r="Q1656" s="17" t="n">
        <x:f>MAX(J1656-P1656-K1656,0)</x:f>
        <x:v>0</x:v>
      </x:c>
      <x:c r="R1656" s="13" t="n">
        <x:f>IF(D1656="",MAX(TODAY()-C1656,0),MAX(D1656-C1656,0))</x:f>
        <x:v>0</x:v>
      </x:c>
      <x:c r="S1656" s="13" t="str">
        <x:f>IF(R1656=0,"Em dia",IF(R1656&lt;=15,"1-15 dias",IF(R1656&lt;=30,"16-30 dias",IF(R1656&lt;=60,"31-60 dias","Acima de 60 dias"))))</x:f>
        <x:v>Em dia</x:v>
      </x:c>
    </x:row>
    <x:row r="1657">
      <x:c r="A1657" s="13" t="str">
        <x:v>REC-001656</x:v>
      </x:c>
      <x:c r="B1657" s="23" t="n">
        <x:v>46126</x:v>
      </x:c>
      <x:c r="C1657" s="23" t="n">
        <x:v>46154</x:v>
      </x:c>
      <x:c r="D1657" s="23" t="n">
        <x:v>46152</x:v>
      </x:c>
      <x:c r="E1657" s="13" t="str">
        <x:v>VAL-010</x:v>
      </x:c>
      <x:c r="F1657" s="13" t="str">
        <x:v>Atlas Contabilidade</x:v>
      </x:c>
      <x:c r="G1657" s="13" t="str">
        <x:v>Serviços Profissionais</x:v>
      </x:c>
      <x:c r="H1657" s="13" t="str">
        <x:v>Baixo</x:v>
      </x:c>
      <x:c r="I1657" s="13" t="str">
        <x:v>Gestão</x:v>
      </x:c>
      <x:c r="J1657" s="17" t="n">
        <x:v>3716.21</x:v>
      </x:c>
      <x:c r="K1657" s="17" t="n">
        <x:v>0</x:v>
      </x:c>
      <x:c r="L1657" s="17" t="n">
        <x:v>0</x:v>
      </x:c>
      <x:c r="M1657" s="13" t="str">
        <x:v>Pago</x:v>
      </x:c>
      <x:c r="N1657" s="13" t="str">
        <x:v>Sem cobrança</x:v>
      </x:c>
      <x:c r="O1657" s="13" t="str">
        <x:v>Escala inteligente</x:v>
      </x:c>
      <x:c r="P1657" s="17" t="n">
        <x:f>IF(D1657="",0,J1657-K1657+L1657)</x:f>
        <x:v>3716.21</x:v>
      </x:c>
      <x:c r="Q1657" s="17" t="n">
        <x:f>MAX(J1657-P1657-K1657,0)</x:f>
        <x:v>0</x:v>
      </x:c>
      <x:c r="R1657" s="13" t="n">
        <x:f>IF(D1657="",MAX(TODAY()-C1657,0),MAX(D1657-C1657,0))</x:f>
        <x:v>0</x:v>
      </x:c>
      <x:c r="S1657" s="13" t="str">
        <x:f>IF(R1657=0,"Em dia",IF(R1657&lt;=15,"1-15 dias",IF(R1657&lt;=30,"16-30 dias",IF(R1657&lt;=60,"31-60 dias","Acima de 60 dias"))))</x:f>
        <x:v>Em dia</x:v>
      </x:c>
    </x:row>
    <x:row r="1658">
      <x:c r="A1658" s="13" t="str">
        <x:v>REC-001657</x:v>
      </x:c>
      <x:c r="B1658" s="23" t="n">
        <x:v>46115</x:v>
      </x:c>
      <x:c r="C1658" s="23" t="n">
        <x:v>46130</x:v>
      </x:c>
      <x:c r="D1658" s="23" t="n">
        <x:v>46130</x:v>
      </x:c>
      <x:c r="E1658" s="13" t="str">
        <x:v>VAL-024</x:v>
      </x:c>
      <x:c r="F1658" s="13" t="str">
        <x:v>NovaForma Móveis</x:v>
      </x:c>
      <x:c r="G1658" s="13" t="str">
        <x:v>Indústria Leve</x:v>
      </x:c>
      <x:c r="H1658" s="13" t="str">
        <x:v>Baixo</x:v>
      </x:c>
      <x:c r="I1658" s="13" t="str">
        <x:v>Enterprise</x:v>
      </x:c>
      <x:c r="J1658" s="17" t="n">
        <x:v>20151.49</x:v>
      </x:c>
      <x:c r="K1658" s="17" t="n">
        <x:v>0</x:v>
      </x:c>
      <x:c r="L1658" s="17" t="n">
        <x:v>0</x:v>
      </x:c>
      <x:c r="M1658" s="13" t="str">
        <x:v>Pago</x:v>
      </x:c>
      <x:c r="N1658" s="13" t="str">
        <x:v>Sem cobrança</x:v>
      </x:c>
      <x:c r="O1658" s="13" t="str">
        <x:v>Escala inteligente</x:v>
      </x:c>
      <x:c r="P1658" s="17" t="n">
        <x:f>IF(D1658="",0,J1658-K1658+L1658)</x:f>
        <x:v>20151.49</x:v>
      </x:c>
      <x:c r="Q1658" s="17" t="n">
        <x:f>MAX(J1658-P1658-K1658,0)</x:f>
        <x:v>0</x:v>
      </x:c>
      <x:c r="R1658" s="13" t="n">
        <x:f>IF(D1658="",MAX(TODAY()-C1658,0),MAX(D1658-C1658,0))</x:f>
        <x:v>0</x:v>
      </x:c>
      <x:c r="S1658" s="13" t="str">
        <x:f>IF(R1658=0,"Em dia",IF(R1658&lt;=15,"1-15 dias",IF(R1658&lt;=30,"16-30 dias",IF(R1658&lt;=60,"31-60 dias","Acima de 60 dias"))))</x:f>
        <x:v>Em dia</x:v>
      </x:c>
    </x:row>
    <x:row r="1659">
      <x:c r="A1659" s="13" t="str">
        <x:v>REC-001658</x:v>
      </x:c>
      <x:c r="B1659" s="23" t="n">
        <x:v>46116</x:v>
      </x:c>
      <x:c r="C1659" s="23" t="n">
        <x:v>46137</x:v>
      </x:c>
      <x:c r="D1659" s="23" t="n">
        <x:v>46137</x:v>
      </x:c>
      <x:c r="E1659" s="13" t="str">
        <x:v>VAL-029</x:v>
      </x:c>
      <x:c r="F1659" s="13" t="str">
        <x:v>Planobra Serviços</x:v>
      </x:c>
      <x:c r="G1659" s="13" t="str">
        <x:v>Construção</x:v>
      </x:c>
      <x:c r="H1659" s="13" t="str">
        <x:v>Baixo</x:v>
      </x:c>
      <x:c r="I1659" s="13" t="str">
        <x:v>Essencial</x:v>
      </x:c>
      <x:c r="J1659" s="17" t="n">
        <x:v>14253.41</x:v>
      </x:c>
      <x:c r="K1659" s="17" t="n">
        <x:v>238.68</x:v>
      </x:c>
      <x:c r="L1659" s="17" t="n">
        <x:v>0</x:v>
      </x:c>
      <x:c r="M1659" s="13" t="str">
        <x:v>Pago</x:v>
      </x:c>
      <x:c r="N1659" s="13" t="str">
        <x:v>Sem cobrança</x:v>
      </x:c>
      <x:c r="O1659" s="13" t="str">
        <x:v>Escala inteligente</x:v>
      </x:c>
      <x:c r="P1659" s="17" t="n">
        <x:f>IF(D1659="",0,J1659-K1659+L1659)</x:f>
        <x:v>14014.73</x:v>
      </x:c>
      <x:c r="Q1659" s="17" t="n">
        <x:f>MAX(J1659-P1659-K1659,0)</x:f>
        <x:v>2.8421709430404007e-13</x:v>
      </x:c>
      <x:c r="R1659" s="13" t="n">
        <x:f>IF(D1659="",MAX(TODAY()-C1659,0),MAX(D1659-C1659,0))</x:f>
        <x:v>0</x:v>
      </x:c>
      <x:c r="S1659" s="13" t="str">
        <x:f>IF(R1659=0,"Em dia",IF(R1659&lt;=15,"1-15 dias",IF(R1659&lt;=30,"16-30 dias",IF(R1659&lt;=60,"31-60 dias","Acima de 60 dias"))))</x:f>
        <x:v>Em dia</x:v>
      </x:c>
    </x:row>
    <x:row r="1660">
      <x:c r="A1660" s="13" t="str">
        <x:v>REC-001659</x:v>
      </x:c>
      <x:c r="B1660" s="23" t="n">
        <x:v>46124</x:v>
      </x:c>
      <x:c r="C1660" s="23" t="n">
        <x:v>46139</x:v>
      </x:c>
      <x:c r="D1660" s="23" t="n">
        <x:v>46136</x:v>
      </x:c>
      <x:c r="E1660" s="13" t="str">
        <x:v>VAL-015</x:v>
      </x:c>
      <x:c r="F1660" s="13" t="str">
        <x:v>Mercado Click</x:v>
      </x:c>
      <x:c r="G1660" s="13" t="str">
        <x:v>E-commerce</x:v>
      </x:c>
      <x:c r="H1660" s="13" t="str">
        <x:v>Baixo</x:v>
      </x:c>
      <x:c r="I1660" s="13" t="str">
        <x:v>Performance</x:v>
      </x:c>
      <x:c r="J1660" s="17" t="n">
        <x:v>3096.64</x:v>
      </x:c>
      <x:c r="K1660" s="17" t="n">
        <x:v>0</x:v>
      </x:c>
      <x:c r="L1660" s="17" t="n">
        <x:v>0</x:v>
      </x:c>
      <x:c r="M1660" s="13" t="str">
        <x:v>Pago</x:v>
      </x:c>
      <x:c r="N1660" s="13" t="str">
        <x:v>Sem cobrança</x:v>
      </x:c>
      <x:c r="O1660" s="13" t="str">
        <x:v>Escala inteligente</x:v>
      </x:c>
      <x:c r="P1660" s="17" t="n">
        <x:f>IF(D1660="",0,J1660-K1660+L1660)</x:f>
        <x:v>3096.64</x:v>
      </x:c>
      <x:c r="Q1660" s="17" t="n">
        <x:f>MAX(J1660-P1660-K1660,0)</x:f>
        <x:v>0</x:v>
      </x:c>
      <x:c r="R1660" s="13" t="n">
        <x:f>IF(D1660="",MAX(TODAY()-C1660,0),MAX(D1660-C1660,0))</x:f>
        <x:v>0</x:v>
      </x:c>
      <x:c r="S1660" s="13" t="str">
        <x:f>IF(R1660=0,"Em dia",IF(R1660&lt;=15,"1-15 dias",IF(R1660&lt;=30,"16-30 dias",IF(R1660&lt;=60,"31-60 dias","Acima de 60 dias"))))</x:f>
        <x:v>Em dia</x:v>
      </x:c>
    </x:row>
    <x:row r="1661">
      <x:c r="A1661" s="13" t="str">
        <x:v>REC-001660</x:v>
      </x:c>
      <x:c r="B1661" s="23" t="n">
        <x:v>46120</x:v>
      </x:c>
      <x:c r="C1661" s="23" t="n">
        <x:v>46150</x:v>
      </x:c>
      <x:c r="D1661" s="23" t="n">
        <x:v>46150</x:v>
      </x:c>
      <x:c r="E1661" s="13" t="str">
        <x:v>VAL-027</x:v>
      </x:c>
      <x:c r="F1661" s="13" t="str">
        <x:v>Mais Lar Utilidades</x:v>
      </x:c>
      <x:c r="G1661" s="13" t="str">
        <x:v>Varejo</x:v>
      </x:c>
      <x:c r="H1661" s="13" t="str">
        <x:v>Baixo</x:v>
      </x:c>
      <x:c r="I1661" s="13" t="str">
        <x:v>Performance</x:v>
      </x:c>
      <x:c r="J1661" s="17" t="n">
        <x:v>31456.3</x:v>
      </x:c>
      <x:c r="K1661" s="17" t="n">
        <x:v>0</x:v>
      </x:c>
      <x:c r="L1661" s="17" t="n">
        <x:v>0</x:v>
      </x:c>
      <x:c r="M1661" s="13" t="str">
        <x:v>Pago</x:v>
      </x:c>
      <x:c r="N1661" s="13" t="str">
        <x:v>Sem cobrança</x:v>
      </x:c>
      <x:c r="O1661" s="13" t="str">
        <x:v>Escala inteligente</x:v>
      </x:c>
      <x:c r="P1661" s="17" t="n">
        <x:f>IF(D1661="",0,J1661-K1661+L1661)</x:f>
        <x:v>31456.3</x:v>
      </x:c>
      <x:c r="Q1661" s="17" t="n">
        <x:f>MAX(J1661-P1661-K1661,0)</x:f>
        <x:v>0</x:v>
      </x:c>
      <x:c r="R1661" s="13" t="n">
        <x:f>IF(D1661="",MAX(TODAY()-C1661,0),MAX(D1661-C1661,0))</x:f>
        <x:v>0</x:v>
      </x:c>
      <x:c r="S1661" s="13" t="str">
        <x:f>IF(R1661=0,"Em dia",IF(R1661&lt;=15,"1-15 dias",IF(R1661&lt;=30,"16-30 dias",IF(R1661&lt;=60,"31-60 dias","Acima de 60 dias"))))</x:f>
        <x:v>Em dia</x:v>
      </x:c>
    </x:row>
    <x:row r="1662">
      <x:c r="A1662" s="13" t="str">
        <x:v>REC-001661</x:v>
      </x:c>
      <x:c r="B1662" s="23" t="n">
        <x:v>46131</x:v>
      </x:c>
      <x:c r="C1662" s="23" t="n">
        <x:v>46146</x:v>
      </x:c>
      <x:c r="D1662" s="23" t="n">
        <x:v>46143</x:v>
      </x:c>
      <x:c r="E1662" s="13" t="str">
        <x:v>VAL-023</x:v>
      </x:c>
      <x:c r="F1662" s="13" t="str">
        <x:v>ShopMix Brasil</x:v>
      </x:c>
      <x:c r="G1662" s="13" t="str">
        <x:v>E-commerce</x:v>
      </x:c>
      <x:c r="H1662" s="13" t="str">
        <x:v>Baixo</x:v>
      </x:c>
      <x:c r="I1662" s="13" t="str">
        <x:v>Performance</x:v>
      </x:c>
      <x:c r="J1662" s="17" t="n">
        <x:v>21637.86</x:v>
      </x:c>
      <x:c r="K1662" s="17" t="n">
        <x:v>0</x:v>
      </x:c>
      <x:c r="L1662" s="17" t="n">
        <x:v>0</x:v>
      </x:c>
      <x:c r="M1662" s="13" t="str">
        <x:v>Pago</x:v>
      </x:c>
      <x:c r="N1662" s="13" t="str">
        <x:v>Sem cobrança</x:v>
      </x:c>
      <x:c r="O1662" s="13" t="str">
        <x:v>Escala inteligente</x:v>
      </x:c>
      <x:c r="P1662" s="17" t="n">
        <x:f>IF(D1662="",0,J1662-K1662+L1662)</x:f>
        <x:v>21637.86</x:v>
      </x:c>
      <x:c r="Q1662" s="17" t="n">
        <x:f>MAX(J1662-P1662-K1662,0)</x:f>
        <x:v>0</x:v>
      </x:c>
      <x:c r="R1662" s="13" t="n">
        <x:f>IF(D1662="",MAX(TODAY()-C1662,0),MAX(D1662-C1662,0))</x:f>
        <x:v>0</x:v>
      </x:c>
      <x:c r="S1662" s="13" t="str">
        <x:f>IF(R1662=0,"Em dia",IF(R1662&lt;=15,"1-15 dias",IF(R1662&lt;=30,"16-30 dias",IF(R1662&lt;=60,"31-60 dias","Acima de 60 dias"))))</x:f>
        <x:v>Em dia</x:v>
      </x:c>
    </x:row>
    <x:row r="1663">
      <x:c r="A1663" s="13" t="str">
        <x:v>REC-001662</x:v>
      </x:c>
      <x:c r="B1663" s="23" t="n">
        <x:v>46129</x:v>
      </x:c>
      <x:c r="C1663" s="23" t="n">
        <x:v>46144</x:v>
      </x:c>
      <x:c r="D1663" s="23" t="n">
        <x:v>46144</x:v>
      </x:c>
      <x:c r="E1663" s="13" t="str">
        <x:v>VAL-014</x:v>
      </x:c>
      <x:c r="F1663" s="13" t="str">
        <x:v>Colégio Caminhos</x:v>
      </x:c>
      <x:c r="G1663" s="13" t="str">
        <x:v>Educação</x:v>
      </x:c>
      <x:c r="H1663" s="13" t="str">
        <x:v>Médio</x:v>
      </x:c>
      <x:c r="I1663" s="13" t="str">
        <x:v>Gestão</x:v>
      </x:c>
      <x:c r="J1663" s="17" t="n">
        <x:v>21188.51</x:v>
      </x:c>
      <x:c r="K1663" s="17" t="n">
        <x:v>0</x:v>
      </x:c>
      <x:c r="L1663" s="17" t="n">
        <x:v>0</x:v>
      </x:c>
      <x:c r="M1663" s="13" t="str">
        <x:v>Pago</x:v>
      </x:c>
      <x:c r="N1663" s="13" t="str">
        <x:v>Sem cobrança</x:v>
      </x:c>
      <x:c r="O1663" s="13" t="str">
        <x:v>Escala inteligente</x:v>
      </x:c>
      <x:c r="P1663" s="17" t="n">
        <x:f>IF(D1663="",0,J1663-K1663+L1663)</x:f>
        <x:v>21188.51</x:v>
      </x:c>
      <x:c r="Q1663" s="17" t="n">
        <x:f>MAX(J1663-P1663-K1663,0)</x:f>
        <x:v>0</x:v>
      </x:c>
      <x:c r="R1663" s="13" t="n">
        <x:f>IF(D1663="",MAX(TODAY()-C1663,0),MAX(D1663-C1663,0))</x:f>
        <x:v>0</x:v>
      </x:c>
      <x:c r="S1663" s="13" t="str">
        <x:f>IF(R1663=0,"Em dia",IF(R1663&lt;=15,"1-15 dias",IF(R1663&lt;=30,"16-30 dias",IF(R1663&lt;=60,"31-60 dias","Acima de 60 dias"))))</x:f>
        <x:v>Em dia</x:v>
      </x:c>
    </x:row>
    <x:row r="1664">
      <x:c r="A1664" s="13" t="str">
        <x:v>REC-001663</x:v>
      </x:c>
      <x:c r="B1664" s="23" t="n">
        <x:v>46131</x:v>
      </x:c>
      <x:c r="C1664" s="23" t="n">
        <x:v>46146</x:v>
      </x:c>
      <x:c r="D1664" s="23" t="n">
        <x:v>46146</x:v>
      </x:c>
      <x:c r="E1664" s="13" t="str">
        <x:v>VAL-016</x:v>
      </x:c>
      <x:c r="F1664" s="13" t="str">
        <x:v>Lumina Embalagens</x:v>
      </x:c>
      <x:c r="G1664" s="13" t="str">
        <x:v>Indústria Leve</x:v>
      </x:c>
      <x:c r="H1664" s="13" t="str">
        <x:v>Baixo</x:v>
      </x:c>
      <x:c r="I1664" s="13" t="str">
        <x:v>Enterprise</x:v>
      </x:c>
      <x:c r="J1664" s="17" t="n">
        <x:v>6946.17</x:v>
      </x:c>
      <x:c r="K1664" s="17" t="n">
        <x:v>0</x:v>
      </x:c>
      <x:c r="L1664" s="17" t="n">
        <x:v>0</x:v>
      </x:c>
      <x:c r="M1664" s="13" t="str">
        <x:v>Pago</x:v>
      </x:c>
      <x:c r="N1664" s="13" t="str">
        <x:v>Sem cobrança</x:v>
      </x:c>
      <x:c r="O1664" s="13" t="str">
        <x:v>Escala inteligente</x:v>
      </x:c>
      <x:c r="P1664" s="17" t="n">
        <x:f>IF(D1664="",0,J1664-K1664+L1664)</x:f>
        <x:v>6946.17</x:v>
      </x:c>
      <x:c r="Q1664" s="17" t="n">
        <x:f>MAX(J1664-P1664-K1664,0)</x:f>
        <x:v>0</x:v>
      </x:c>
      <x:c r="R1664" s="13" t="n">
        <x:f>IF(D1664="",MAX(TODAY()-C1664,0),MAX(D1664-C1664,0))</x:f>
        <x:v>0</x:v>
      </x:c>
      <x:c r="S1664" s="13" t="str">
        <x:f>IF(R1664=0,"Em dia",IF(R1664&lt;=15,"1-15 dias",IF(R1664&lt;=30,"16-30 dias",IF(R1664&lt;=60,"31-60 dias","Acima de 60 dias"))))</x:f>
        <x:v>Em dia</x:v>
      </x:c>
    </x:row>
    <x:row r="1665">
      <x:c r="A1665" s="13" t="str">
        <x:v>REC-001664</x:v>
      </x:c>
      <x:c r="B1665" s="23" t="n">
        <x:v>46130</x:v>
      </x:c>
      <x:c r="C1665" s="23" t="n">
        <x:v>46137</x:v>
      </x:c>
      <x:c r="D1665" s="23" t="n">
        <x:v>46134</x:v>
      </x:c>
      <x:c r="E1665" s="13" t="str">
        <x:v>VAL-018</x:v>
      </x:c>
      <x:c r="F1665" s="13" t="str">
        <x:v>Ponto Legal Advocacia</x:v>
      </x:c>
      <x:c r="G1665" s="13" t="str">
        <x:v>Serviços Profissionais</x:v>
      </x:c>
      <x:c r="H1665" s="13" t="str">
        <x:v>Baixo</x:v>
      </x:c>
      <x:c r="I1665" s="13" t="str">
        <x:v>Gestão</x:v>
      </x:c>
      <x:c r="J1665" s="17" t="n">
        <x:v>22843.68</x:v>
      </x:c>
      <x:c r="K1665" s="17" t="n">
        <x:v>0</x:v>
      </x:c>
      <x:c r="L1665" s="17" t="n">
        <x:v>0</x:v>
      </x:c>
      <x:c r="M1665" s="13" t="str">
        <x:v>Pago</x:v>
      </x:c>
      <x:c r="N1665" s="13" t="str">
        <x:v>Sem cobrança</x:v>
      </x:c>
      <x:c r="O1665" s="13" t="str">
        <x:v>Escala inteligente</x:v>
      </x:c>
      <x:c r="P1665" s="17" t="n">
        <x:f>IF(D1665="",0,J1665-K1665+L1665)</x:f>
        <x:v>22843.68</x:v>
      </x:c>
      <x:c r="Q1665" s="17" t="n">
        <x:f>MAX(J1665-P1665-K1665,0)</x:f>
        <x:v>0</x:v>
      </x:c>
      <x:c r="R1665" s="13" t="n">
        <x:f>IF(D1665="",MAX(TODAY()-C1665,0),MAX(D1665-C1665,0))</x:f>
        <x:v>0</x:v>
      </x:c>
      <x:c r="S1665" s="13" t="str">
        <x:f>IF(R1665=0,"Em dia",IF(R1665&lt;=15,"1-15 dias",IF(R1665&lt;=30,"16-30 dias",IF(R1665&lt;=60,"31-60 dias","Acima de 60 dias"))))</x:f>
        <x:v>Em dia</x:v>
      </x:c>
    </x:row>
    <x:row r="1666">
      <x:c r="A1666" s="13" t="str">
        <x:v>REC-001665</x:v>
      </x:c>
      <x:c r="B1666" s="23" t="n">
        <x:v>46119</x:v>
      </x:c>
      <x:c r="C1666" s="23" t="n">
        <x:v>46134</x:v>
      </x:c>
      <x:c r="D1666" s="23" t="n">
        <x:v>46130</x:v>
      </x:c>
      <x:c r="E1666" s="13" t="str">
        <x:v>VAL-004</x:v>
      </x:c>
      <x:c r="F1666" s="13" t="str">
        <x:v>NuvemBase Tecnologia</x:v>
      </x:c>
      <x:c r="G1666" s="13" t="str">
        <x:v>Tecnologia</x:v>
      </x:c>
      <x:c r="H1666" s="13" t="str">
        <x:v>Baixo</x:v>
      </x:c>
      <x:c r="I1666" s="13" t="str">
        <x:v>Enterprise</x:v>
      </x:c>
      <x:c r="J1666" s="17" t="n">
        <x:v>33878.61</x:v>
      </x:c>
      <x:c r="K1666" s="17" t="n">
        <x:v>0</x:v>
      </x:c>
      <x:c r="L1666" s="17" t="n">
        <x:v>0</x:v>
      </x:c>
      <x:c r="M1666" s="13" t="str">
        <x:v>Pago</x:v>
      </x:c>
      <x:c r="N1666" s="13" t="str">
        <x:v>Sem cobrança</x:v>
      </x:c>
      <x:c r="O1666" s="13" t="str">
        <x:v>Escala inteligente</x:v>
      </x:c>
      <x:c r="P1666" s="17" t="n">
        <x:f>IF(D1666="",0,J1666-K1666+L1666)</x:f>
        <x:v>33878.61</x:v>
      </x:c>
      <x:c r="Q1666" s="17" t="n">
        <x:f>MAX(J1666-P1666-K1666,0)</x:f>
        <x:v>0</x:v>
      </x:c>
      <x:c r="R1666" s="13" t="n">
        <x:f>IF(D1666="",MAX(TODAY()-C1666,0),MAX(D1666-C1666,0))</x:f>
        <x:v>0</x:v>
      </x:c>
      <x:c r="S1666" s="13" t="str">
        <x:f>IF(R1666=0,"Em dia",IF(R1666&lt;=15,"1-15 dias",IF(R1666&lt;=30,"16-30 dias",IF(R1666&lt;=60,"31-60 dias","Acima de 60 dias"))))</x:f>
        <x:v>Em dia</x:v>
      </x:c>
    </x:row>
    <x:row r="1667">
      <x:c r="A1667" s="13" t="str">
        <x:v>REC-001666</x:v>
      </x:c>
      <x:c r="B1667" s="23" t="n">
        <x:v>46117</x:v>
      </x:c>
      <x:c r="C1667" s="23" t="n">
        <x:v>46138</x:v>
      </x:c>
      <x:c r="D1667" s="23" t="n">
        <x:v>46138</x:v>
      </x:c>
      <x:c r="E1667" s="13" t="str">
        <x:v>VAL-026</x:v>
      </x:c>
      <x:c r="F1667" s="13" t="str">
        <x:v>Ribeiro Arquitetura</x:v>
      </x:c>
      <x:c r="G1667" s="13" t="str">
        <x:v>Serviços Profissionais</x:v>
      </x:c>
      <x:c r="H1667" s="13" t="str">
        <x:v>Baixo</x:v>
      </x:c>
      <x:c r="I1667" s="13" t="str">
        <x:v>Gestão</x:v>
      </x:c>
      <x:c r="J1667" s="17" t="n">
        <x:v>13951.14</x:v>
      </x:c>
      <x:c r="K1667" s="17" t="n">
        <x:v>0</x:v>
      </x:c>
      <x:c r="L1667" s="17" t="n">
        <x:v>0</x:v>
      </x:c>
      <x:c r="M1667" s="13" t="str">
        <x:v>Pago</x:v>
      </x:c>
      <x:c r="N1667" s="13" t="str">
        <x:v>Sem cobrança</x:v>
      </x:c>
      <x:c r="O1667" s="13" t="str">
        <x:v>Escala inteligente</x:v>
      </x:c>
      <x:c r="P1667" s="17" t="n">
        <x:f>IF(D1667="",0,J1667-K1667+L1667)</x:f>
        <x:v>13951.14</x:v>
      </x:c>
      <x:c r="Q1667" s="17" t="n">
        <x:f>MAX(J1667-P1667-K1667,0)</x:f>
        <x:v>0</x:v>
      </x:c>
      <x:c r="R1667" s="13" t="n">
        <x:f>IF(D1667="",MAX(TODAY()-C1667,0),MAX(D1667-C1667,0))</x:f>
        <x:v>0</x:v>
      </x:c>
      <x:c r="S1667" s="13" t="str">
        <x:f>IF(R1667=0,"Em dia",IF(R1667&lt;=15,"1-15 dias",IF(R1667&lt;=30,"16-30 dias",IF(R1667&lt;=60,"31-60 dias","Acima de 60 dias"))))</x:f>
        <x:v>Em dia</x:v>
      </x:c>
    </x:row>
    <x:row r="1668">
      <x:c r="A1668" s="13" t="str">
        <x:v>REC-001667</x:v>
      </x:c>
      <x:c r="B1668" s="23" t="n">
        <x:v>46115</x:v>
      </x:c>
      <x:c r="C1668" s="23" t="n">
        <x:v>46130</x:v>
      </x:c>
      <x:c r="D1668" s="23" t="n">
        <x:v>46126</x:v>
      </x:c>
      <x:c r="E1668" s="13" t="str">
        <x:v>VAL-025</x:v>
      </x:c>
      <x:c r="F1668" s="13" t="str">
        <x:v>Bem-Estar Terapias</x:v>
      </x:c>
      <x:c r="G1668" s="13" t="str">
        <x:v>Clínicas e Saúde</x:v>
      </x:c>
      <x:c r="H1668" s="13" t="str">
        <x:v>Baixo</x:v>
      </x:c>
      <x:c r="I1668" s="13" t="str">
        <x:v>Essencial</x:v>
      </x:c>
      <x:c r="J1668" s="17" t="n">
        <x:v>13423.51</x:v>
      </x:c>
      <x:c r="K1668" s="17" t="n">
        <x:v>0</x:v>
      </x:c>
      <x:c r="L1668" s="17" t="n">
        <x:v>0</x:v>
      </x:c>
      <x:c r="M1668" s="13" t="str">
        <x:v>Pago</x:v>
      </x:c>
      <x:c r="N1668" s="13" t="str">
        <x:v>Sem cobrança</x:v>
      </x:c>
      <x:c r="O1668" s="13" t="str">
        <x:v>Escala inteligente</x:v>
      </x:c>
      <x:c r="P1668" s="17" t="n">
        <x:f>IF(D1668="",0,J1668-K1668+L1668)</x:f>
        <x:v>13423.51</x:v>
      </x:c>
      <x:c r="Q1668" s="17" t="n">
        <x:f>MAX(J1668-P1668-K1668,0)</x:f>
        <x:v>0</x:v>
      </x:c>
      <x:c r="R1668" s="13" t="n">
        <x:f>IF(D1668="",MAX(TODAY()-C1668,0),MAX(D1668-C1668,0))</x:f>
        <x:v>0</x:v>
      </x:c>
      <x:c r="S1668" s="13" t="str">
        <x:f>IF(R1668=0,"Em dia",IF(R1668&lt;=15,"1-15 dias",IF(R1668&lt;=30,"16-30 dias",IF(R1668&lt;=60,"31-60 dias","Acima de 60 dias"))))</x:f>
        <x:v>Em dia</x:v>
      </x:c>
    </x:row>
    <x:row r="1669">
      <x:c r="A1669" s="13" t="str">
        <x:v>REC-001668</x:v>
      </x:c>
      <x:c r="B1669" s="23" t="n">
        <x:v>46114</x:v>
      </x:c>
      <x:c r="C1669" s="23" t="n">
        <x:v>46129</x:v>
      </x:c>
      <x:c r="D1669" s="23" t="n">
        <x:v>46129</x:v>
      </x:c>
      <x:c r="E1669" s="13" t="str">
        <x:v>VAL-002</x:v>
      </x:c>
      <x:c r="F1669" s="13" t="str">
        <x:v>Mendes &amp; Prado Consultoria</x:v>
      </x:c>
      <x:c r="G1669" s="13" t="str">
        <x:v>Serviços Profissionais</x:v>
      </x:c>
      <x:c r="H1669" s="13" t="str">
        <x:v>Baixo</x:v>
      </x:c>
      <x:c r="I1669" s="13" t="str">
        <x:v>Gestão</x:v>
      </x:c>
      <x:c r="J1669" s="17" t="n">
        <x:v>4585.81</x:v>
      </x:c>
      <x:c r="K1669" s="17" t="n">
        <x:v>0</x:v>
      </x:c>
      <x:c r="L1669" s="17" t="n">
        <x:v>0</x:v>
      </x:c>
      <x:c r="M1669" s="13" t="str">
        <x:v>Pago</x:v>
      </x:c>
      <x:c r="N1669" s="13" t="str">
        <x:v>Sem cobrança</x:v>
      </x:c>
      <x:c r="O1669" s="13" t="str">
        <x:v>Escala inteligente</x:v>
      </x:c>
      <x:c r="P1669" s="17" t="n">
        <x:f>IF(D1669="",0,J1669-K1669+L1669)</x:f>
        <x:v>4585.81</x:v>
      </x:c>
      <x:c r="Q1669" s="17" t="n">
        <x:f>MAX(J1669-P1669-K1669,0)</x:f>
        <x:v>0</x:v>
      </x:c>
      <x:c r="R1669" s="13" t="n">
        <x:f>IF(D1669="",MAX(TODAY()-C1669,0),MAX(D1669-C1669,0))</x:f>
        <x:v>0</x:v>
      </x:c>
      <x:c r="S1669" s="13" t="str">
        <x:f>IF(R1669=0,"Em dia",IF(R1669&lt;=15,"1-15 dias",IF(R1669&lt;=30,"16-30 dias",IF(R1669&lt;=60,"31-60 dias","Acima de 60 dias"))))</x:f>
        <x:v>Em dia</x:v>
      </x:c>
    </x:row>
    <x:row r="1670">
      <x:c r="A1670" s="13" t="str">
        <x:v>REC-001669</x:v>
      </x:c>
      <x:c r="B1670" s="23" t="n">
        <x:v>46132</x:v>
      </x:c>
      <x:c r="C1670" s="23" t="n">
        <x:v>46153</x:v>
      </x:c>
      <x:c r="D1670" s="23" t="n">
        <x:v>46150</x:v>
      </x:c>
      <x:c r="E1670" s="13" t="str">
        <x:v>VAL-005</x:v>
      </x:c>
      <x:c r="F1670" s="13" t="str">
        <x:v>Construtora Alameda</x:v>
      </x:c>
      <x:c r="G1670" s="13" t="str">
        <x:v>Construção</x:v>
      </x:c>
      <x:c r="H1670" s="13" t="str">
        <x:v>Médio</x:v>
      </x:c>
      <x:c r="I1670" s="13" t="str">
        <x:v>Essencial</x:v>
      </x:c>
      <x:c r="J1670" s="17" t="n">
        <x:v>16577.37</x:v>
      </x:c>
      <x:c r="K1670" s="17" t="n">
        <x:v>0</x:v>
      </x:c>
      <x:c r="L1670" s="17" t="n">
        <x:v>0</x:v>
      </x:c>
      <x:c r="M1670" s="13" t="str">
        <x:v>Pago</x:v>
      </x:c>
      <x:c r="N1670" s="13" t="str">
        <x:v>Sem cobrança</x:v>
      </x:c>
      <x:c r="O1670" s="13" t="str">
        <x:v>Escala inteligente</x:v>
      </x:c>
      <x:c r="P1670" s="17" t="n">
        <x:f>IF(D1670="",0,J1670-K1670+L1670)</x:f>
        <x:v>16577.37</x:v>
      </x:c>
      <x:c r="Q1670" s="17" t="n">
        <x:f>MAX(J1670-P1670-K1670,0)</x:f>
        <x:v>0</x:v>
      </x:c>
      <x:c r="R1670" s="13" t="n">
        <x:f>IF(D1670="",MAX(TODAY()-C1670,0),MAX(D1670-C1670,0))</x:f>
        <x:v>0</x:v>
      </x:c>
      <x:c r="S1670" s="13" t="str">
        <x:f>IF(R1670=0,"Em dia",IF(R1670&lt;=15,"1-15 dias",IF(R1670&lt;=30,"16-30 dias",IF(R1670&lt;=60,"31-60 dias","Acima de 60 dias"))))</x:f>
        <x:v>Em dia</x:v>
      </x:c>
    </x:row>
    <x:row r="1671">
      <x:c r="A1671" s="13" t="str">
        <x:v>REC-001670</x:v>
      </x:c>
      <x:c r="B1671" s="23" t="n">
        <x:v>46116</x:v>
      </x:c>
      <x:c r="C1671" s="23" t="n">
        <x:v>46137</x:v>
      </x:c>
      <x:c r="D1671" s="23" t="n">
        <x:v>46133</x:v>
      </x:c>
      <x:c r="E1671" s="13" t="str">
        <x:v>VAL-006</x:v>
      </x:c>
      <x:c r="F1671" s="13" t="str">
        <x:v>Instituto Saber Mais</x:v>
      </x:c>
      <x:c r="G1671" s="13" t="str">
        <x:v>Educação</x:v>
      </x:c>
      <x:c r="H1671" s="13" t="str">
        <x:v>Médio</x:v>
      </x:c>
      <x:c r="I1671" s="13" t="str">
        <x:v>Gestão</x:v>
      </x:c>
      <x:c r="J1671" s="17" t="n">
        <x:v>11561.56</x:v>
      </x:c>
      <x:c r="K1671" s="17" t="n">
        <x:v>117.21</x:v>
      </x:c>
      <x:c r="L1671" s="17" t="n">
        <x:v>0</x:v>
      </x:c>
      <x:c r="M1671" s="13" t="str">
        <x:v>Pago</x:v>
      </x:c>
      <x:c r="N1671" s="13" t="str">
        <x:v>Sem cobrança</x:v>
      </x:c>
      <x:c r="O1671" s="13" t="str">
        <x:v>Escala inteligente</x:v>
      </x:c>
      <x:c r="P1671" s="17" t="n">
        <x:f>IF(D1671="",0,J1671-K1671+L1671)</x:f>
        <x:v>11444.35</x:v>
      </x:c>
      <x:c r="Q1671" s="17" t="n">
        <x:f>MAX(J1671-P1671-K1671,0)</x:f>
        <x:v>0</x:v>
      </x:c>
      <x:c r="R1671" s="13" t="n">
        <x:f>IF(D1671="",MAX(TODAY()-C1671,0),MAX(D1671-C1671,0))</x:f>
        <x:v>0</x:v>
      </x:c>
      <x:c r="S1671" s="13" t="str">
        <x:f>IF(R1671=0,"Em dia",IF(R1671&lt;=15,"1-15 dias",IF(R1671&lt;=30,"16-30 dias",IF(R1671&lt;=60,"31-60 dias","Acima de 60 dias"))))</x:f>
        <x:v>Em dia</x:v>
      </x:c>
    </x:row>
    <x:row r="1672">
      <x:c r="A1672" s="13" t="str">
        <x:v>REC-001671</x:v>
      </x:c>
      <x:c r="B1672" s="23" t="n">
        <x:v>46119</x:v>
      </x:c>
      <x:c r="C1672" s="23" t="n">
        <x:v>46147</x:v>
      </x:c>
      <x:c r="D1672" s="23" t="n">
        <x:v>46144</x:v>
      </x:c>
      <x:c r="E1672" s="13" t="str">
        <x:v>VAL-030</x:v>
      </x:c>
      <x:c r="F1672" s="13" t="str">
        <x:v>Mundo Kids Cursos</x:v>
      </x:c>
      <x:c r="G1672" s="13" t="str">
        <x:v>Educação</x:v>
      </x:c>
      <x:c r="H1672" s="13" t="str">
        <x:v>Alto</x:v>
      </x:c>
      <x:c r="I1672" s="13" t="str">
        <x:v>Gestão</x:v>
      </x:c>
      <x:c r="J1672" s="17" t="n">
        <x:v>20591</x:v>
      </x:c>
      <x:c r="K1672" s="17" t="n">
        <x:v>0</x:v>
      </x:c>
      <x:c r="L1672" s="17" t="n">
        <x:v>0</x:v>
      </x:c>
      <x:c r="M1672" s="13" t="str">
        <x:v>Pago</x:v>
      </x:c>
      <x:c r="N1672" s="13" t="str">
        <x:v>Sem cobrança</x:v>
      </x:c>
      <x:c r="O1672" s="13" t="str">
        <x:v>Escala inteligente</x:v>
      </x:c>
      <x:c r="P1672" s="17" t="n">
        <x:f>IF(D1672="",0,J1672-K1672+L1672)</x:f>
        <x:v>20591</x:v>
      </x:c>
      <x:c r="Q1672" s="17" t="n">
        <x:f>MAX(J1672-P1672-K1672,0)</x:f>
        <x:v>0</x:v>
      </x:c>
      <x:c r="R1672" s="13" t="n">
        <x:f>IF(D1672="",MAX(TODAY()-C1672,0),MAX(D1672-C1672,0))</x:f>
        <x:v>0</x:v>
      </x:c>
      <x:c r="S1672" s="13" t="str">
        <x:f>IF(R1672=0,"Em dia",IF(R1672&lt;=15,"1-15 dias",IF(R1672&lt;=30,"16-30 dias",IF(R1672&lt;=60,"31-60 dias","Acima de 60 dias"))))</x:f>
        <x:v>Em dia</x:v>
      </x:c>
    </x:row>
    <x:row r="1673">
      <x:c r="A1673" s="13" t="str">
        <x:v>REC-001672</x:v>
      </x:c>
      <x:c r="B1673" s="23" t="n">
        <x:v>46114</x:v>
      </x:c>
      <x:c r="C1673" s="23" t="n">
        <x:v>46144</x:v>
      </x:c>
      <x:c r="D1673" s="23"/>
      <x:c r="E1673" s="13" t="str">
        <x:v>VAL-025</x:v>
      </x:c>
      <x:c r="F1673" s="13" t="str">
        <x:v>Bem-Estar Terapias</x:v>
      </x:c>
      <x:c r="G1673" s="13" t="str">
        <x:v>Clínicas e Saúde</x:v>
      </x:c>
      <x:c r="H1673" s="13" t="str">
        <x:v>Baixo</x:v>
      </x:c>
      <x:c r="I1673" s="13" t="str">
        <x:v>Essencial</x:v>
      </x:c>
      <x:c r="J1673" s="17" t="n">
        <x:v>8519.38</x:v>
      </x:c>
      <x:c r="K1673" s="17" t="n">
        <x:v>0</x:v>
      </x:c>
      <x:c r="L1673" s="17" t="n">
        <x:v>0</x:v>
      </x:c>
      <x:c r="M1673" s="13" t="str">
        <x:v>Em aberto</x:v>
      </x:c>
      <x:c r="N1673" s="13" t="str">
        <x:v>WhatsApp</x:v>
      </x:c>
      <x:c r="O1673" s="13" t="str">
        <x:v>Escala inteligente</x:v>
      </x:c>
      <x:c r="P1673" s="17" t="n">
        <x:f>IF(D1673="",0,J1673-K1673+L1673)</x:f>
        <x:v>0</x:v>
      </x:c>
      <x:c r="Q1673" s="17" t="n">
        <x:f>MAX(J1673-P1673-K1673,0)</x:f>
        <x:v>8519.38</x:v>
      </x:c>
      <x:c r="R1673" s="13" t="n">
        <x:f>IF(D1673="",MAX(TODAY()-C1673,0),MAX(D1673-C1673,0))</x:f>
        <x:v>69</x:v>
      </x:c>
      <x:c r="S1673" s="13" t="str">
        <x:f>IF(R1673=0,"Em dia",IF(R1673&lt;=15,"1-15 dias",IF(R1673&lt;=30,"16-30 dias",IF(R1673&lt;=60,"31-60 dias","Acima de 60 dias"))))</x:f>
        <x:v>Acima de 60 dias</x:v>
      </x:c>
    </x:row>
    <x:row r="1674">
      <x:c r="A1674" s="13" t="str">
        <x:v>REC-001673</x:v>
      </x:c>
      <x:c r="B1674" s="23" t="n">
        <x:v>46113</x:v>
      </x:c>
      <x:c r="C1674" s="23" t="n">
        <x:v>46143</x:v>
      </x:c>
      <x:c r="D1674" s="23" t="n">
        <x:v>46140</x:v>
      </x:c>
      <x:c r="E1674" s="13" t="str">
        <x:v>VAL-012</x:v>
      </x:c>
      <x:c r="F1674" s="13" t="str">
        <x:v>DataFlow Sistemas</x:v>
      </x:c>
      <x:c r="G1674" s="13" t="str">
        <x:v>Tecnologia</x:v>
      </x:c>
      <x:c r="H1674" s="13" t="str">
        <x:v>Médio</x:v>
      </x:c>
      <x:c r="I1674" s="13" t="str">
        <x:v>Enterprise</x:v>
      </x:c>
      <x:c r="J1674" s="17" t="n">
        <x:v>25417.89</x:v>
      </x:c>
      <x:c r="K1674" s="17" t="n">
        <x:v>0</x:v>
      </x:c>
      <x:c r="L1674" s="17" t="n">
        <x:v>0</x:v>
      </x:c>
      <x:c r="M1674" s="13" t="str">
        <x:v>Pago</x:v>
      </x:c>
      <x:c r="N1674" s="13" t="str">
        <x:v>Sem cobrança</x:v>
      </x:c>
      <x:c r="O1674" s="13" t="str">
        <x:v>Escala inteligente</x:v>
      </x:c>
      <x:c r="P1674" s="17" t="n">
        <x:f>IF(D1674="",0,J1674-K1674+L1674)</x:f>
        <x:v>25417.89</x:v>
      </x:c>
      <x:c r="Q1674" s="17" t="n">
        <x:f>MAX(J1674-P1674-K1674,0)</x:f>
        <x:v>0</x:v>
      </x:c>
      <x:c r="R1674" s="13" t="n">
        <x:f>IF(D1674="",MAX(TODAY()-C1674,0),MAX(D1674-C1674,0))</x:f>
        <x:v>0</x:v>
      </x:c>
      <x:c r="S1674" s="13" t="str">
        <x:f>IF(R1674=0,"Em dia",IF(R1674&lt;=15,"1-15 dias",IF(R1674&lt;=30,"16-30 dias",IF(R1674&lt;=60,"31-60 dias","Acima de 60 dias"))))</x:f>
        <x:v>Em dia</x:v>
      </x:c>
    </x:row>
    <x:row r="1675">
      <x:c r="A1675" s="13" t="str">
        <x:v>REC-001674</x:v>
      </x:c>
      <x:c r="B1675" s="23" t="n">
        <x:v>46124</x:v>
      </x:c>
      <x:c r="C1675" s="23" t="n">
        <x:v>46131</x:v>
      </x:c>
      <x:c r="D1675" s="23" t="n">
        <x:v>46129</x:v>
      </x:c>
      <x:c r="E1675" s="13" t="str">
        <x:v>VAL-012</x:v>
      </x:c>
      <x:c r="F1675" s="13" t="str">
        <x:v>DataFlow Sistemas</x:v>
      </x:c>
      <x:c r="G1675" s="13" t="str">
        <x:v>Tecnologia</x:v>
      </x:c>
      <x:c r="H1675" s="13" t="str">
        <x:v>Médio</x:v>
      </x:c>
      <x:c r="I1675" s="13" t="str">
        <x:v>Enterprise</x:v>
      </x:c>
      <x:c r="J1675" s="17" t="n">
        <x:v>10023.37</x:v>
      </x:c>
      <x:c r="K1675" s="17" t="n">
        <x:v>0</x:v>
      </x:c>
      <x:c r="L1675" s="17" t="n">
        <x:v>0</x:v>
      </x:c>
      <x:c r="M1675" s="13" t="str">
        <x:v>Pago</x:v>
      </x:c>
      <x:c r="N1675" s="13" t="str">
        <x:v>Sem cobrança</x:v>
      </x:c>
      <x:c r="O1675" s="13" t="str">
        <x:v>Escala inteligente</x:v>
      </x:c>
      <x:c r="P1675" s="17" t="n">
        <x:f>IF(D1675="",0,J1675-K1675+L1675)</x:f>
        <x:v>10023.37</x:v>
      </x:c>
      <x:c r="Q1675" s="17" t="n">
        <x:f>MAX(J1675-P1675-K1675,0)</x:f>
        <x:v>0</x:v>
      </x:c>
      <x:c r="R1675" s="13" t="n">
        <x:f>IF(D1675="",MAX(TODAY()-C1675,0),MAX(D1675-C1675,0))</x:f>
        <x:v>0</x:v>
      </x:c>
      <x:c r="S1675" s="13" t="str">
        <x:f>IF(R1675=0,"Em dia",IF(R1675&lt;=15,"1-15 dias",IF(R1675&lt;=30,"16-30 dias",IF(R1675&lt;=60,"31-60 dias","Acima de 60 dias"))))</x:f>
        <x:v>Em dia</x:v>
      </x:c>
    </x:row>
    <x:row r="1676">
      <x:c r="A1676" s="13" t="str">
        <x:v>REC-001675</x:v>
      </x:c>
      <x:c r="B1676" s="23" t="n">
        <x:v>46114</x:v>
      </x:c>
      <x:c r="C1676" s="23" t="n">
        <x:v>46129</x:v>
      </x:c>
      <x:c r="D1676" s="23" t="n">
        <x:v>46125</x:v>
      </x:c>
      <x:c r="E1676" s="13" t="str">
        <x:v>VAL-005</x:v>
      </x:c>
      <x:c r="F1676" s="13" t="str">
        <x:v>Construtora Alameda</x:v>
      </x:c>
      <x:c r="G1676" s="13" t="str">
        <x:v>Construção</x:v>
      </x:c>
      <x:c r="H1676" s="13" t="str">
        <x:v>Médio</x:v>
      </x:c>
      <x:c r="I1676" s="13" t="str">
        <x:v>Essencial</x:v>
      </x:c>
      <x:c r="J1676" s="17" t="n">
        <x:v>20817.99</x:v>
      </x:c>
      <x:c r="K1676" s="17" t="n">
        <x:v>0</x:v>
      </x:c>
      <x:c r="L1676" s="17" t="n">
        <x:v>0</x:v>
      </x:c>
      <x:c r="M1676" s="13" t="str">
        <x:v>Pago</x:v>
      </x:c>
      <x:c r="N1676" s="13" t="str">
        <x:v>Sem cobrança</x:v>
      </x:c>
      <x:c r="O1676" s="13" t="str">
        <x:v>Escala inteligente</x:v>
      </x:c>
      <x:c r="P1676" s="17" t="n">
        <x:f>IF(D1676="",0,J1676-K1676+L1676)</x:f>
        <x:v>20817.99</x:v>
      </x:c>
      <x:c r="Q1676" s="17" t="n">
        <x:f>MAX(J1676-P1676-K1676,0)</x:f>
        <x:v>0</x:v>
      </x:c>
      <x:c r="R1676" s="13" t="n">
        <x:f>IF(D1676="",MAX(TODAY()-C1676,0),MAX(D1676-C1676,0))</x:f>
        <x:v>0</x:v>
      </x:c>
      <x:c r="S1676" s="13" t="str">
        <x:f>IF(R1676=0,"Em dia",IF(R1676&lt;=15,"1-15 dias",IF(R1676&lt;=30,"16-30 dias",IF(R1676&lt;=60,"31-60 dias","Acima de 60 dias"))))</x:f>
        <x:v>Em dia</x:v>
      </x:c>
    </x:row>
    <x:row r="1677">
      <x:c r="A1677" s="13" t="str">
        <x:v>REC-001676</x:v>
      </x:c>
      <x:c r="B1677" s="23" t="n">
        <x:v>46124</x:v>
      </x:c>
      <x:c r="C1677" s="23" t="n">
        <x:v>46139</x:v>
      </x:c>
      <x:c r="D1677" s="23" t="n">
        <x:v>46136</x:v>
      </x:c>
      <x:c r="E1677" s="13" t="str">
        <x:v>VAL-016</x:v>
      </x:c>
      <x:c r="F1677" s="13" t="str">
        <x:v>Lumina Embalagens</x:v>
      </x:c>
      <x:c r="G1677" s="13" t="str">
        <x:v>Indústria Leve</x:v>
      </x:c>
      <x:c r="H1677" s="13" t="str">
        <x:v>Baixo</x:v>
      </x:c>
      <x:c r="I1677" s="13" t="str">
        <x:v>Enterprise</x:v>
      </x:c>
      <x:c r="J1677" s="17" t="n">
        <x:v>5739.37</x:v>
      </x:c>
      <x:c r="K1677" s="17" t="n">
        <x:v>0</x:v>
      </x:c>
      <x:c r="L1677" s="17" t="n">
        <x:v>0</x:v>
      </x:c>
      <x:c r="M1677" s="13" t="str">
        <x:v>Pago</x:v>
      </x:c>
      <x:c r="N1677" s="13" t="str">
        <x:v>Sem cobrança</x:v>
      </x:c>
      <x:c r="O1677" s="13" t="str">
        <x:v>Escala inteligente</x:v>
      </x:c>
      <x:c r="P1677" s="17" t="n">
        <x:f>IF(D1677="",0,J1677-K1677+L1677)</x:f>
        <x:v>5739.37</x:v>
      </x:c>
      <x:c r="Q1677" s="17" t="n">
        <x:f>MAX(J1677-P1677-K1677,0)</x:f>
        <x:v>0</x:v>
      </x:c>
      <x:c r="R1677" s="13" t="n">
        <x:f>IF(D1677="",MAX(TODAY()-C1677,0),MAX(D1677-C1677,0))</x:f>
        <x:v>0</x:v>
      </x:c>
      <x:c r="S1677" s="13" t="str">
        <x:f>IF(R1677=0,"Em dia",IF(R1677&lt;=15,"1-15 dias",IF(R1677&lt;=30,"16-30 dias",IF(R1677&lt;=60,"31-60 dias","Acima de 60 dias"))))</x:f>
        <x:v>Em dia</x:v>
      </x:c>
    </x:row>
    <x:row r="1678">
      <x:c r="A1678" s="13" t="str">
        <x:v>REC-001677</x:v>
      </x:c>
      <x:c r="B1678" s="23" t="n">
        <x:v>46114</x:v>
      </x:c>
      <x:c r="C1678" s="23" t="n">
        <x:v>46142</x:v>
      </x:c>
      <x:c r="D1678" s="23" t="n">
        <x:v>46138</x:v>
      </x:c>
      <x:c r="E1678" s="13" t="str">
        <x:v>VAL-018</x:v>
      </x:c>
      <x:c r="F1678" s="13" t="str">
        <x:v>Ponto Legal Advocacia</x:v>
      </x:c>
      <x:c r="G1678" s="13" t="str">
        <x:v>Serviços Profissionais</x:v>
      </x:c>
      <x:c r="H1678" s="13" t="str">
        <x:v>Baixo</x:v>
      </x:c>
      <x:c r="I1678" s="13" t="str">
        <x:v>Gestão</x:v>
      </x:c>
      <x:c r="J1678" s="17" t="n">
        <x:v>18000.43</x:v>
      </x:c>
      <x:c r="K1678" s="17" t="n">
        <x:v>0</x:v>
      </x:c>
      <x:c r="L1678" s="17" t="n">
        <x:v>0</x:v>
      </x:c>
      <x:c r="M1678" s="13" t="str">
        <x:v>Pago</x:v>
      </x:c>
      <x:c r="N1678" s="13" t="str">
        <x:v>Sem cobrança</x:v>
      </x:c>
      <x:c r="O1678" s="13" t="str">
        <x:v>Escala inteligente</x:v>
      </x:c>
      <x:c r="P1678" s="17" t="n">
        <x:f>IF(D1678="",0,J1678-K1678+L1678)</x:f>
        <x:v>18000.43</x:v>
      </x:c>
      <x:c r="Q1678" s="17" t="n">
        <x:f>MAX(J1678-P1678-K1678,0)</x:f>
        <x:v>0</x:v>
      </x:c>
      <x:c r="R1678" s="13" t="n">
        <x:f>IF(D1678="",MAX(TODAY()-C1678,0),MAX(D1678-C1678,0))</x:f>
        <x:v>0</x:v>
      </x:c>
      <x:c r="S1678" s="13" t="str">
        <x:f>IF(R1678=0,"Em dia",IF(R1678&lt;=15,"1-15 dias",IF(R1678&lt;=30,"16-30 dias",IF(R1678&lt;=60,"31-60 dias","Acima de 60 dias"))))</x:f>
        <x:v>Em dia</x:v>
      </x:c>
    </x:row>
    <x:row r="1679">
      <x:c r="A1679" s="13" t="str">
        <x:v>REC-001678</x:v>
      </x:c>
      <x:c r="B1679" s="23" t="n">
        <x:v>46121</x:v>
      </x:c>
      <x:c r="C1679" s="23" t="n">
        <x:v>46149</x:v>
      </x:c>
      <x:c r="D1679" s="23" t="n">
        <x:v>46146</x:v>
      </x:c>
      <x:c r="E1679" s="13" t="str">
        <x:v>VAL-016</x:v>
      </x:c>
      <x:c r="F1679" s="13" t="str">
        <x:v>Lumina Embalagens</x:v>
      </x:c>
      <x:c r="G1679" s="13" t="str">
        <x:v>Indústria Leve</x:v>
      </x:c>
      <x:c r="H1679" s="13" t="str">
        <x:v>Baixo</x:v>
      </x:c>
      <x:c r="I1679" s="13" t="str">
        <x:v>Enterprise</x:v>
      </x:c>
      <x:c r="J1679" s="17" t="n">
        <x:v>13251.55</x:v>
      </x:c>
      <x:c r="K1679" s="17" t="n">
        <x:v>0</x:v>
      </x:c>
      <x:c r="L1679" s="17" t="n">
        <x:v>0</x:v>
      </x:c>
      <x:c r="M1679" s="13" t="str">
        <x:v>Pago</x:v>
      </x:c>
      <x:c r="N1679" s="13" t="str">
        <x:v>Sem cobrança</x:v>
      </x:c>
      <x:c r="O1679" s="13" t="str">
        <x:v>Escala inteligente</x:v>
      </x:c>
      <x:c r="P1679" s="17" t="n">
        <x:f>IF(D1679="",0,J1679-K1679+L1679)</x:f>
        <x:v>13251.55</x:v>
      </x:c>
      <x:c r="Q1679" s="17" t="n">
        <x:f>MAX(J1679-P1679-K1679,0)</x:f>
        <x:v>0</x:v>
      </x:c>
      <x:c r="R1679" s="13" t="n">
        <x:f>IF(D1679="",MAX(TODAY()-C1679,0),MAX(D1679-C1679,0))</x:f>
        <x:v>0</x:v>
      </x:c>
      <x:c r="S1679" s="13" t="str">
        <x:f>IF(R1679=0,"Em dia",IF(R1679&lt;=15,"1-15 dias",IF(R1679&lt;=30,"16-30 dias",IF(R1679&lt;=60,"31-60 dias","Acima de 60 dias"))))</x:f>
        <x:v>Em dia</x:v>
      </x:c>
    </x:row>
    <x:row r="1680">
      <x:c r="A1680" s="13" t="str">
        <x:v>REC-001679</x:v>
      </x:c>
      <x:c r="B1680" s="23" t="n">
        <x:v>46124</x:v>
      </x:c>
      <x:c r="C1680" s="23" t="n">
        <x:v>46139</x:v>
      </x:c>
      <x:c r="D1680" s="23" t="n">
        <x:v>46136</x:v>
      </x:c>
      <x:c r="E1680" s="13" t="str">
        <x:v>VAL-003</x:v>
      </x:c>
      <x:c r="F1680" s="13" t="str">
        <x:v>Casa Nova Varejo</x:v>
      </x:c>
      <x:c r="G1680" s="13" t="str">
        <x:v>Varejo</x:v>
      </x:c>
      <x:c r="H1680" s="13" t="str">
        <x:v>Baixo</x:v>
      </x:c>
      <x:c r="I1680" s="13" t="str">
        <x:v>Performance</x:v>
      </x:c>
      <x:c r="J1680" s="17" t="n">
        <x:v>31738.65</x:v>
      </x:c>
      <x:c r="K1680" s="17" t="n">
        <x:v>0</x:v>
      </x:c>
      <x:c r="L1680" s="17" t="n">
        <x:v>0</x:v>
      </x:c>
      <x:c r="M1680" s="13" t="str">
        <x:v>Pago</x:v>
      </x:c>
      <x:c r="N1680" s="13" t="str">
        <x:v>Sem cobrança</x:v>
      </x:c>
      <x:c r="O1680" s="13" t="str">
        <x:v>Escala inteligente</x:v>
      </x:c>
      <x:c r="P1680" s="17" t="n">
        <x:f>IF(D1680="",0,J1680-K1680+L1680)</x:f>
        <x:v>31738.65</x:v>
      </x:c>
      <x:c r="Q1680" s="17" t="n">
        <x:f>MAX(J1680-P1680-K1680,0)</x:f>
        <x:v>0</x:v>
      </x:c>
      <x:c r="R1680" s="13" t="n">
        <x:f>IF(D1680="",MAX(TODAY()-C1680,0),MAX(D1680-C1680,0))</x:f>
        <x:v>0</x:v>
      </x:c>
      <x:c r="S1680" s="13" t="str">
        <x:f>IF(R1680=0,"Em dia",IF(R1680&lt;=15,"1-15 dias",IF(R1680&lt;=30,"16-30 dias",IF(R1680&lt;=60,"31-60 dias","Acima de 60 dias"))))</x:f>
        <x:v>Em dia</x:v>
      </x:c>
    </x:row>
    <x:row r="1681">
      <x:c r="A1681" s="13" t="str">
        <x:v>REC-001680</x:v>
      </x:c>
      <x:c r="B1681" s="23" t="n">
        <x:v>46129</x:v>
      </x:c>
      <x:c r="C1681" s="23" t="n">
        <x:v>46150</x:v>
      </x:c>
      <x:c r="D1681" s="23" t="n">
        <x:v>46152</x:v>
      </x:c>
      <x:c r="E1681" s="13" t="str">
        <x:v>VAL-005</x:v>
      </x:c>
      <x:c r="F1681" s="13" t="str">
        <x:v>Construtora Alameda</x:v>
      </x:c>
      <x:c r="G1681" s="13" t="str">
        <x:v>Construção</x:v>
      </x:c>
      <x:c r="H1681" s="13" t="str">
        <x:v>Médio</x:v>
      </x:c>
      <x:c r="I1681" s="13" t="str">
        <x:v>Essencial</x:v>
      </x:c>
      <x:c r="J1681" s="17" t="n">
        <x:v>25465</x:v>
      </x:c>
      <x:c r="K1681" s="17" t="n">
        <x:v>0</x:v>
      </x:c>
      <x:c r="L1681" s="17" t="n">
        <x:v>33.1</x:v>
      </x:c>
      <x:c r="M1681" s="13" t="str">
        <x:v>Pago com atraso</x:v>
      </x:c>
      <x:c r="N1681" s="13" t="str">
        <x:v>Telefone</x:v>
      </x:c>
      <x:c r="O1681" s="13" t="str">
        <x:v>Escala inteligente</x:v>
      </x:c>
      <x:c r="P1681" s="17" t="n">
        <x:f>IF(D1681="",0,J1681-K1681+L1681)</x:f>
        <x:v>25498.1</x:v>
      </x:c>
      <x:c r="Q1681" s="17" t="n">
        <x:f>MAX(J1681-P1681-K1681,0)</x:f>
        <x:v>0</x:v>
      </x:c>
      <x:c r="R1681" s="13" t="n">
        <x:f>IF(D1681="",MAX(TODAY()-C1681,0),MAX(D1681-C1681,0))</x:f>
        <x:v>2</x:v>
      </x:c>
      <x:c r="S1681" s="13" t="str">
        <x:f>IF(R1681=0,"Em dia",IF(R1681&lt;=15,"1-15 dias",IF(R1681&lt;=30,"16-30 dias",IF(R1681&lt;=60,"31-60 dias","Acima de 60 dias"))))</x:f>
        <x:v>1-15 dias</x:v>
      </x:c>
    </x:row>
    <x:row r="1682">
      <x:c r="A1682" s="13" t="str">
        <x:v>REC-001681</x:v>
      </x:c>
      <x:c r="B1682" s="23" t="n">
        <x:v>46144</x:v>
      </x:c>
      <x:c r="C1682" s="23" t="n">
        <x:v>46172</x:v>
      </x:c>
      <x:c r="D1682" s="23" t="n">
        <x:v>46172</x:v>
      </x:c>
      <x:c r="E1682" s="13" t="str">
        <x:v>VAL-006</x:v>
      </x:c>
      <x:c r="F1682" s="13" t="str">
        <x:v>Instituto Saber Mais</x:v>
      </x:c>
      <x:c r="G1682" s="13" t="str">
        <x:v>Educação</x:v>
      </x:c>
      <x:c r="H1682" s="13" t="str">
        <x:v>Médio</x:v>
      </x:c>
      <x:c r="I1682" s="13" t="str">
        <x:v>Gestão</x:v>
      </x:c>
      <x:c r="J1682" s="17" t="n">
        <x:v>11808.19</x:v>
      </x:c>
      <x:c r="K1682" s="17" t="n">
        <x:v>0</x:v>
      </x:c>
      <x:c r="L1682" s="17" t="n">
        <x:v>0</x:v>
      </x:c>
      <x:c r="M1682" s="13" t="str">
        <x:v>Pago</x:v>
      </x:c>
      <x:c r="N1682" s="13" t="str">
        <x:v>Sem cobrança</x:v>
      </x:c>
      <x:c r="O1682" s="13" t="str">
        <x:v>Escala inteligente</x:v>
      </x:c>
      <x:c r="P1682" s="17" t="n">
        <x:f>IF(D1682="",0,J1682-K1682+L1682)</x:f>
        <x:v>11808.19</x:v>
      </x:c>
      <x:c r="Q1682" s="17" t="n">
        <x:f>MAX(J1682-P1682-K1682,0)</x:f>
        <x:v>0</x:v>
      </x:c>
      <x:c r="R1682" s="13" t="n">
        <x:f>IF(D1682="",MAX(TODAY()-C1682,0),MAX(D1682-C1682,0))</x:f>
        <x:v>0</x:v>
      </x:c>
      <x:c r="S1682" s="13" t="str">
        <x:f>IF(R1682=0,"Em dia",IF(R1682&lt;=15,"1-15 dias",IF(R1682&lt;=30,"16-30 dias",IF(R1682&lt;=60,"31-60 dias","Acima de 60 dias"))))</x:f>
        <x:v>Em dia</x:v>
      </x:c>
    </x:row>
    <x:row r="1683">
      <x:c r="A1683" s="13" t="str">
        <x:v>REC-001682</x:v>
      </x:c>
      <x:c r="B1683" s="23" t="n">
        <x:v>46160</x:v>
      </x:c>
      <x:c r="C1683" s="23" t="n">
        <x:v>46167</x:v>
      </x:c>
      <x:c r="D1683" s="23" t="n">
        <x:v>46166</x:v>
      </x:c>
      <x:c r="E1683" s="13" t="str">
        <x:v>VAL-004</x:v>
      </x:c>
      <x:c r="F1683" s="13" t="str">
        <x:v>NuvemBase Tecnologia</x:v>
      </x:c>
      <x:c r="G1683" s="13" t="str">
        <x:v>Tecnologia</x:v>
      </x:c>
      <x:c r="H1683" s="13" t="str">
        <x:v>Baixo</x:v>
      </x:c>
      <x:c r="I1683" s="13" t="str">
        <x:v>Enterprise</x:v>
      </x:c>
      <x:c r="J1683" s="17" t="n">
        <x:v>25216.6</x:v>
      </x:c>
      <x:c r="K1683" s="17" t="n">
        <x:v>0</x:v>
      </x:c>
      <x:c r="L1683" s="17" t="n">
        <x:v>0</x:v>
      </x:c>
      <x:c r="M1683" s="13" t="str">
        <x:v>Pago</x:v>
      </x:c>
      <x:c r="N1683" s="13" t="str">
        <x:v>Sem cobrança</x:v>
      </x:c>
      <x:c r="O1683" s="13" t="str">
        <x:v>Escala inteligente</x:v>
      </x:c>
      <x:c r="P1683" s="17" t="n">
        <x:f>IF(D1683="",0,J1683-K1683+L1683)</x:f>
        <x:v>25216.6</x:v>
      </x:c>
      <x:c r="Q1683" s="17" t="n">
        <x:f>MAX(J1683-P1683-K1683,0)</x:f>
        <x:v>0</x:v>
      </x:c>
      <x:c r="R1683" s="13" t="n">
        <x:f>IF(D1683="",MAX(TODAY()-C1683,0),MAX(D1683-C1683,0))</x:f>
        <x:v>0</x:v>
      </x:c>
      <x:c r="S1683" s="13" t="str">
        <x:f>IF(R1683=0,"Em dia",IF(R1683&lt;=15,"1-15 dias",IF(R1683&lt;=30,"16-30 dias",IF(R1683&lt;=60,"31-60 dias","Acima de 60 dias"))))</x:f>
        <x:v>Em dia</x:v>
      </x:c>
    </x:row>
    <x:row r="1684">
      <x:c r="A1684" s="13" t="str">
        <x:v>REC-001683</x:v>
      </x:c>
      <x:c r="B1684" s="23" t="n">
        <x:v>46144</x:v>
      </x:c>
      <x:c r="C1684" s="23" t="n">
        <x:v>46165</x:v>
      </x:c>
      <x:c r="D1684" s="23" t="n">
        <x:v>46164</x:v>
      </x:c>
      <x:c r="E1684" s="13" t="str">
        <x:v>VAL-013</x:v>
      </x:c>
      <x:c r="F1684" s="13" t="str">
        <x:v>Engenharia Vértice</x:v>
      </x:c>
      <x:c r="G1684" s="13" t="str">
        <x:v>Construção</x:v>
      </x:c>
      <x:c r="H1684" s="13" t="str">
        <x:v>Baixo</x:v>
      </x:c>
      <x:c r="I1684" s="13" t="str">
        <x:v>Essencial</x:v>
      </x:c>
      <x:c r="J1684" s="17" t="n">
        <x:v>21184.88</x:v>
      </x:c>
      <x:c r="K1684" s="17" t="n">
        <x:v>0</x:v>
      </x:c>
      <x:c r="L1684" s="17" t="n">
        <x:v>0</x:v>
      </x:c>
      <x:c r="M1684" s="13" t="str">
        <x:v>Pago</x:v>
      </x:c>
      <x:c r="N1684" s="13" t="str">
        <x:v>Sem cobrança</x:v>
      </x:c>
      <x:c r="O1684" s="13" t="str">
        <x:v>Escala inteligente</x:v>
      </x:c>
      <x:c r="P1684" s="17" t="n">
        <x:f>IF(D1684="",0,J1684-K1684+L1684)</x:f>
        <x:v>21184.88</x:v>
      </x:c>
      <x:c r="Q1684" s="17" t="n">
        <x:f>MAX(J1684-P1684-K1684,0)</x:f>
        <x:v>0</x:v>
      </x:c>
      <x:c r="R1684" s="13" t="n">
        <x:f>IF(D1684="",MAX(TODAY()-C1684,0),MAX(D1684-C1684,0))</x:f>
        <x:v>0</x:v>
      </x:c>
      <x:c r="S1684" s="13" t="str">
        <x:f>IF(R1684=0,"Em dia",IF(R1684&lt;=15,"1-15 dias",IF(R1684&lt;=30,"16-30 dias",IF(R1684&lt;=60,"31-60 dias","Acima de 60 dias"))))</x:f>
        <x:v>Em dia</x:v>
      </x:c>
    </x:row>
    <x:row r="1685">
      <x:c r="A1685" s="13" t="str">
        <x:v>REC-001684</x:v>
      </x:c>
      <x:c r="B1685" s="23" t="n">
        <x:v>46156</x:v>
      </x:c>
      <x:c r="C1685" s="23" t="n">
        <x:v>46177</x:v>
      </x:c>
      <x:c r="D1685" s="23" t="n">
        <x:v>46176</x:v>
      </x:c>
      <x:c r="E1685" s="13" t="str">
        <x:v>VAL-005</x:v>
      </x:c>
      <x:c r="F1685" s="13" t="str">
        <x:v>Construtora Alameda</x:v>
      </x:c>
      <x:c r="G1685" s="13" t="str">
        <x:v>Construção</x:v>
      </x:c>
      <x:c r="H1685" s="13" t="str">
        <x:v>Médio</x:v>
      </x:c>
      <x:c r="I1685" s="13" t="str">
        <x:v>Essencial</x:v>
      </x:c>
      <x:c r="J1685" s="17" t="n">
        <x:v>5282.12</x:v>
      </x:c>
      <x:c r="K1685" s="17" t="n">
        <x:v>0</x:v>
      </x:c>
      <x:c r="L1685" s="17" t="n">
        <x:v>0</x:v>
      </x:c>
      <x:c r="M1685" s="13" t="str">
        <x:v>Pago</x:v>
      </x:c>
      <x:c r="N1685" s="13" t="str">
        <x:v>Sem cobrança</x:v>
      </x:c>
      <x:c r="O1685" s="13" t="str">
        <x:v>Escala inteligente</x:v>
      </x:c>
      <x:c r="P1685" s="17" t="n">
        <x:f>IF(D1685="",0,J1685-K1685+L1685)</x:f>
        <x:v>5282.12</x:v>
      </x:c>
      <x:c r="Q1685" s="17" t="n">
        <x:f>MAX(J1685-P1685-K1685,0)</x:f>
        <x:v>0</x:v>
      </x:c>
      <x:c r="R1685" s="13" t="n">
        <x:f>IF(D1685="",MAX(TODAY()-C1685,0),MAX(D1685-C1685,0))</x:f>
        <x:v>0</x:v>
      </x:c>
      <x:c r="S1685" s="13" t="str">
        <x:f>IF(R1685=0,"Em dia",IF(R1685&lt;=15,"1-15 dias",IF(R1685&lt;=30,"16-30 dias",IF(R1685&lt;=60,"31-60 dias","Acima de 60 dias"))))</x:f>
        <x:v>Em dia</x:v>
      </x:c>
    </x:row>
    <x:row r="1686">
      <x:c r="A1686" s="13" t="str">
        <x:v>REC-001685</x:v>
      </x:c>
      <x:c r="B1686" s="23" t="n">
        <x:v>46145</x:v>
      </x:c>
      <x:c r="C1686" s="23" t="n">
        <x:v>46173</x:v>
      </x:c>
      <x:c r="D1686" s="23" t="n">
        <x:v>46173</x:v>
      </x:c>
      <x:c r="E1686" s="13" t="str">
        <x:v>VAL-029</x:v>
      </x:c>
      <x:c r="F1686" s="13" t="str">
        <x:v>Planobra Serviços</x:v>
      </x:c>
      <x:c r="G1686" s="13" t="str">
        <x:v>Construção</x:v>
      </x:c>
      <x:c r="H1686" s="13" t="str">
        <x:v>Baixo</x:v>
      </x:c>
      <x:c r="I1686" s="13" t="str">
        <x:v>Essencial</x:v>
      </x:c>
      <x:c r="J1686" s="17" t="n">
        <x:v>17667.52</x:v>
      </x:c>
      <x:c r="K1686" s="17" t="n">
        <x:v>0</x:v>
      </x:c>
      <x:c r="L1686" s="17" t="n">
        <x:v>0</x:v>
      </x:c>
      <x:c r="M1686" s="13" t="str">
        <x:v>Pago</x:v>
      </x:c>
      <x:c r="N1686" s="13" t="str">
        <x:v>Sem cobrança</x:v>
      </x:c>
      <x:c r="O1686" s="13" t="str">
        <x:v>Escala inteligente</x:v>
      </x:c>
      <x:c r="P1686" s="17" t="n">
        <x:f>IF(D1686="",0,J1686-K1686+L1686)</x:f>
        <x:v>17667.52</x:v>
      </x:c>
      <x:c r="Q1686" s="17" t="n">
        <x:f>MAX(J1686-P1686-K1686,0)</x:f>
        <x:v>0</x:v>
      </x:c>
      <x:c r="R1686" s="13" t="n">
        <x:f>IF(D1686="",MAX(TODAY()-C1686,0),MAX(D1686-C1686,0))</x:f>
        <x:v>0</x:v>
      </x:c>
      <x:c r="S1686" s="13" t="str">
        <x:f>IF(R1686=0,"Em dia",IF(R1686&lt;=15,"1-15 dias",IF(R1686&lt;=30,"16-30 dias",IF(R1686&lt;=60,"31-60 dias","Acima de 60 dias"))))</x:f>
        <x:v>Em dia</x:v>
      </x:c>
    </x:row>
    <x:row r="1687">
      <x:c r="A1687" s="13" t="str">
        <x:v>REC-001686</x:v>
      </x:c>
      <x:c r="B1687" s="23" t="n">
        <x:v>46145</x:v>
      </x:c>
      <x:c r="C1687" s="23" t="n">
        <x:v>46166</x:v>
      </x:c>
      <x:c r="D1687" s="23" t="n">
        <x:v>46162</x:v>
      </x:c>
      <x:c r="E1687" s="13" t="str">
        <x:v>VAL-002</x:v>
      </x:c>
      <x:c r="F1687" s="13" t="str">
        <x:v>Mendes &amp; Prado Consultoria</x:v>
      </x:c>
      <x:c r="G1687" s="13" t="str">
        <x:v>Serviços Profissionais</x:v>
      </x:c>
      <x:c r="H1687" s="13" t="str">
        <x:v>Baixo</x:v>
      </x:c>
      <x:c r="I1687" s="13" t="str">
        <x:v>Gestão</x:v>
      </x:c>
      <x:c r="J1687" s="17" t="n">
        <x:v>21885.24</x:v>
      </x:c>
      <x:c r="K1687" s="17" t="n">
        <x:v>0</x:v>
      </x:c>
      <x:c r="L1687" s="17" t="n">
        <x:v>0</x:v>
      </x:c>
      <x:c r="M1687" s="13" t="str">
        <x:v>Pago</x:v>
      </x:c>
      <x:c r="N1687" s="13" t="str">
        <x:v>Sem cobrança</x:v>
      </x:c>
      <x:c r="O1687" s="13" t="str">
        <x:v>Escala inteligente</x:v>
      </x:c>
      <x:c r="P1687" s="17" t="n">
        <x:f>IF(D1687="",0,J1687-K1687+L1687)</x:f>
        <x:v>21885.24</x:v>
      </x:c>
      <x:c r="Q1687" s="17" t="n">
        <x:f>MAX(J1687-P1687-K1687,0)</x:f>
        <x:v>0</x:v>
      </x:c>
      <x:c r="R1687" s="13" t="n">
        <x:f>IF(D1687="",MAX(TODAY()-C1687,0),MAX(D1687-C1687,0))</x:f>
        <x:v>0</x:v>
      </x:c>
      <x:c r="S1687" s="13" t="str">
        <x:f>IF(R1687=0,"Em dia",IF(R1687&lt;=15,"1-15 dias",IF(R1687&lt;=30,"16-30 dias",IF(R1687&lt;=60,"31-60 dias","Acima de 60 dias"))))</x:f>
        <x:v>Em dia</x:v>
      </x:c>
    </x:row>
    <x:row r="1688">
      <x:c r="A1688" s="13" t="str">
        <x:v>REC-001687</x:v>
      </x:c>
      <x:c r="B1688" s="23" t="n">
        <x:v>46146</x:v>
      </x:c>
      <x:c r="C1688" s="23" t="n">
        <x:v>46174</x:v>
      </x:c>
      <x:c r="D1688" s="23" t="n">
        <x:v>46172</x:v>
      </x:c>
      <x:c r="E1688" s="13" t="str">
        <x:v>VAL-027</x:v>
      </x:c>
      <x:c r="F1688" s="13" t="str">
        <x:v>Mais Lar Utilidades</x:v>
      </x:c>
      <x:c r="G1688" s="13" t="str">
        <x:v>Varejo</x:v>
      </x:c>
      <x:c r="H1688" s="13" t="str">
        <x:v>Baixo</x:v>
      </x:c>
      <x:c r="I1688" s="13" t="str">
        <x:v>Performance</x:v>
      </x:c>
      <x:c r="J1688" s="17" t="n">
        <x:v>18452.12</x:v>
      </x:c>
      <x:c r="K1688" s="17" t="n">
        <x:v>280.36</x:v>
      </x:c>
      <x:c r="L1688" s="17" t="n">
        <x:v>0</x:v>
      </x:c>
      <x:c r="M1688" s="13" t="str">
        <x:v>Pago</x:v>
      </x:c>
      <x:c r="N1688" s="13" t="str">
        <x:v>Sem cobrança</x:v>
      </x:c>
      <x:c r="O1688" s="13" t="str">
        <x:v>Escala inteligente</x:v>
      </x:c>
      <x:c r="P1688" s="17" t="n">
        <x:f>IF(D1688="",0,J1688-K1688+L1688)</x:f>
        <x:v>18171.76</x:v>
      </x:c>
      <x:c r="Q1688" s="17" t="n">
        <x:f>MAX(J1688-P1688-K1688,0)</x:f>
        <x:v>5.684341886080801e-13</x:v>
      </x:c>
      <x:c r="R1688" s="13" t="n">
        <x:f>IF(D1688="",MAX(TODAY()-C1688,0),MAX(D1688-C1688,0))</x:f>
        <x:v>0</x:v>
      </x:c>
      <x:c r="S1688" s="13" t="str">
        <x:f>IF(R1688=0,"Em dia",IF(R1688&lt;=15,"1-15 dias",IF(R1688&lt;=30,"16-30 dias",IF(R1688&lt;=60,"31-60 dias","Acima de 60 dias"))))</x:f>
        <x:v>Em dia</x:v>
      </x:c>
    </x:row>
    <x:row r="1689">
      <x:c r="A1689" s="13" t="str">
        <x:v>REC-001688</x:v>
      </x:c>
      <x:c r="B1689" s="23" t="n">
        <x:v>46148</x:v>
      </x:c>
      <x:c r="C1689" s="23" t="n">
        <x:v>46155</x:v>
      </x:c>
      <x:c r="D1689" s="23" t="n">
        <x:v>46151</x:v>
      </x:c>
      <x:c r="E1689" s="13" t="str">
        <x:v>VAL-023</x:v>
      </x:c>
      <x:c r="F1689" s="13" t="str">
        <x:v>ShopMix Brasil</x:v>
      </x:c>
      <x:c r="G1689" s="13" t="str">
        <x:v>E-commerce</x:v>
      </x:c>
      <x:c r="H1689" s="13" t="str">
        <x:v>Baixo</x:v>
      </x:c>
      <x:c r="I1689" s="13" t="str">
        <x:v>Performance</x:v>
      </x:c>
      <x:c r="J1689" s="17" t="n">
        <x:v>10272.38</x:v>
      </x:c>
      <x:c r="K1689" s="17" t="n">
        <x:v>0</x:v>
      </x:c>
      <x:c r="L1689" s="17" t="n">
        <x:v>0</x:v>
      </x:c>
      <x:c r="M1689" s="13" t="str">
        <x:v>Pago</x:v>
      </x:c>
      <x:c r="N1689" s="13" t="str">
        <x:v>Sem cobrança</x:v>
      </x:c>
      <x:c r="O1689" s="13" t="str">
        <x:v>Escala inteligente</x:v>
      </x:c>
      <x:c r="P1689" s="17" t="n">
        <x:f>IF(D1689="",0,J1689-K1689+L1689)</x:f>
        <x:v>10272.38</x:v>
      </x:c>
      <x:c r="Q1689" s="17" t="n">
        <x:f>MAX(J1689-P1689-K1689,0)</x:f>
        <x:v>0</x:v>
      </x:c>
      <x:c r="R1689" s="13" t="n">
        <x:f>IF(D1689="",MAX(TODAY()-C1689,0),MAX(D1689-C1689,0))</x:f>
        <x:v>0</x:v>
      </x:c>
      <x:c r="S1689" s="13" t="str">
        <x:f>IF(R1689=0,"Em dia",IF(R1689&lt;=15,"1-15 dias",IF(R1689&lt;=30,"16-30 dias",IF(R1689&lt;=60,"31-60 dias","Acima de 60 dias"))))</x:f>
        <x:v>Em dia</x:v>
      </x:c>
    </x:row>
    <x:row r="1690">
      <x:c r="A1690" s="13" t="str">
        <x:v>REC-001689</x:v>
      </x:c>
      <x:c r="B1690" s="23" t="n">
        <x:v>46159</x:v>
      </x:c>
      <x:c r="C1690" s="23" t="n">
        <x:v>46189</x:v>
      </x:c>
      <x:c r="D1690" s="23" t="n">
        <x:v>46186</x:v>
      </x:c>
      <x:c r="E1690" s="13" t="str">
        <x:v>VAL-021</x:v>
      </x:c>
      <x:c r="F1690" s="13" t="str">
        <x:v>Base Forte Obras</x:v>
      </x:c>
      <x:c r="G1690" s="13" t="str">
        <x:v>Construção</x:v>
      </x:c>
      <x:c r="H1690" s="13" t="str">
        <x:v>Médio</x:v>
      </x:c>
      <x:c r="I1690" s="13" t="str">
        <x:v>Essencial</x:v>
      </x:c>
      <x:c r="J1690" s="17" t="n">
        <x:v>9662.08</x:v>
      </x:c>
      <x:c r="K1690" s="17" t="n">
        <x:v>0</x:v>
      </x:c>
      <x:c r="L1690" s="17" t="n">
        <x:v>0</x:v>
      </x:c>
      <x:c r="M1690" s="13" t="str">
        <x:v>Pago</x:v>
      </x:c>
      <x:c r="N1690" s="13" t="str">
        <x:v>Sem cobrança</x:v>
      </x:c>
      <x:c r="O1690" s="13" t="str">
        <x:v>Escala inteligente</x:v>
      </x:c>
      <x:c r="P1690" s="17" t="n">
        <x:f>IF(D1690="",0,J1690-K1690+L1690)</x:f>
        <x:v>9662.08</x:v>
      </x:c>
      <x:c r="Q1690" s="17" t="n">
        <x:f>MAX(J1690-P1690-K1690,0)</x:f>
        <x:v>0</x:v>
      </x:c>
      <x:c r="R1690" s="13" t="n">
        <x:f>IF(D1690="",MAX(TODAY()-C1690,0),MAX(D1690-C1690,0))</x:f>
        <x:v>0</x:v>
      </x:c>
      <x:c r="S1690" s="13" t="str">
        <x:f>IF(R1690=0,"Em dia",IF(R1690&lt;=15,"1-15 dias",IF(R1690&lt;=30,"16-30 dias",IF(R1690&lt;=60,"31-60 dias","Acima de 60 dias"))))</x:f>
        <x:v>Em dia</x:v>
      </x:c>
    </x:row>
    <x:row r="1691">
      <x:c r="A1691" s="13" t="str">
        <x:v>REC-001690</x:v>
      </x:c>
      <x:c r="B1691" s="23" t="n">
        <x:v>46154</x:v>
      </x:c>
      <x:c r="C1691" s="23" t="n">
        <x:v>46175</x:v>
      </x:c>
      <x:c r="D1691" s="23" t="n">
        <x:v>46172</x:v>
      </x:c>
      <x:c r="E1691" s="13" t="str">
        <x:v>VAL-016</x:v>
      </x:c>
      <x:c r="F1691" s="13" t="str">
        <x:v>Lumina Embalagens</x:v>
      </x:c>
      <x:c r="G1691" s="13" t="str">
        <x:v>Indústria Leve</x:v>
      </x:c>
      <x:c r="H1691" s="13" t="str">
        <x:v>Baixo</x:v>
      </x:c>
      <x:c r="I1691" s="13" t="str">
        <x:v>Enterprise</x:v>
      </x:c>
      <x:c r="J1691" s="17" t="n">
        <x:v>12214.28</x:v>
      </x:c>
      <x:c r="K1691" s="17" t="n">
        <x:v>0</x:v>
      </x:c>
      <x:c r="L1691" s="17" t="n">
        <x:v>0</x:v>
      </x:c>
      <x:c r="M1691" s="13" t="str">
        <x:v>Pago</x:v>
      </x:c>
      <x:c r="N1691" s="13" t="str">
        <x:v>Sem cobrança</x:v>
      </x:c>
      <x:c r="O1691" s="13" t="str">
        <x:v>Escala inteligente</x:v>
      </x:c>
      <x:c r="P1691" s="17" t="n">
        <x:f>IF(D1691="",0,J1691-K1691+L1691)</x:f>
        <x:v>12214.28</x:v>
      </x:c>
      <x:c r="Q1691" s="17" t="n">
        <x:f>MAX(J1691-P1691-K1691,0)</x:f>
        <x:v>0</x:v>
      </x:c>
      <x:c r="R1691" s="13" t="n">
        <x:f>IF(D1691="",MAX(TODAY()-C1691,0),MAX(D1691-C1691,0))</x:f>
        <x:v>0</x:v>
      </x:c>
      <x:c r="S1691" s="13" t="str">
        <x:f>IF(R1691=0,"Em dia",IF(R1691&lt;=15,"1-15 dias",IF(R1691&lt;=30,"16-30 dias",IF(R1691&lt;=60,"31-60 dias","Acima de 60 dias"))))</x:f>
        <x:v>Em dia</x:v>
      </x:c>
    </x:row>
    <x:row r="1692">
      <x:c r="A1692" s="13" t="str">
        <x:v>REC-001691</x:v>
      </x:c>
      <x:c r="B1692" s="23" t="n">
        <x:v>46146</x:v>
      </x:c>
      <x:c r="C1692" s="23" t="n">
        <x:v>46167</x:v>
      </x:c>
      <x:c r="D1692" s="23" t="n">
        <x:v>46163</x:v>
      </x:c>
      <x:c r="E1692" s="13" t="str">
        <x:v>VAL-005</x:v>
      </x:c>
      <x:c r="F1692" s="13" t="str">
        <x:v>Construtora Alameda</x:v>
      </x:c>
      <x:c r="G1692" s="13" t="str">
        <x:v>Construção</x:v>
      </x:c>
      <x:c r="H1692" s="13" t="str">
        <x:v>Médio</x:v>
      </x:c>
      <x:c r="I1692" s="13" t="str">
        <x:v>Essencial</x:v>
      </x:c>
      <x:c r="J1692" s="17" t="n">
        <x:v>25487.16</x:v>
      </x:c>
      <x:c r="K1692" s="17" t="n">
        <x:v>0</x:v>
      </x:c>
      <x:c r="L1692" s="17" t="n">
        <x:v>0</x:v>
      </x:c>
      <x:c r="M1692" s="13" t="str">
        <x:v>Pago</x:v>
      </x:c>
      <x:c r="N1692" s="13" t="str">
        <x:v>Sem cobrança</x:v>
      </x:c>
      <x:c r="O1692" s="13" t="str">
        <x:v>Escala inteligente</x:v>
      </x:c>
      <x:c r="P1692" s="17" t="n">
        <x:f>IF(D1692="",0,J1692-K1692+L1692)</x:f>
        <x:v>25487.16</x:v>
      </x:c>
      <x:c r="Q1692" s="17" t="n">
        <x:f>MAX(J1692-P1692-K1692,0)</x:f>
        <x:v>0</x:v>
      </x:c>
      <x:c r="R1692" s="13" t="n">
        <x:f>IF(D1692="",MAX(TODAY()-C1692,0),MAX(D1692-C1692,0))</x:f>
        <x:v>0</x:v>
      </x:c>
      <x:c r="S1692" s="13" t="str">
        <x:f>IF(R1692=0,"Em dia",IF(R1692&lt;=15,"1-15 dias",IF(R1692&lt;=30,"16-30 dias",IF(R1692&lt;=60,"31-60 dias","Acima de 60 dias"))))</x:f>
        <x:v>Em dia</x:v>
      </x:c>
    </x:row>
    <x:row r="1693">
      <x:c r="A1693" s="13" t="str">
        <x:v>REC-001692</x:v>
      </x:c>
      <x:c r="B1693" s="23" t="n">
        <x:v>46153</x:v>
      </x:c>
      <x:c r="C1693" s="23" t="n">
        <x:v>46168</x:v>
      </x:c>
      <x:c r="D1693" s="23" t="n">
        <x:v>46166</x:v>
      </x:c>
      <x:c r="E1693" s="13" t="str">
        <x:v>VAL-010</x:v>
      </x:c>
      <x:c r="F1693" s="13" t="str">
        <x:v>Atlas Contabilidade</x:v>
      </x:c>
      <x:c r="G1693" s="13" t="str">
        <x:v>Serviços Profissionais</x:v>
      </x:c>
      <x:c r="H1693" s="13" t="str">
        <x:v>Baixo</x:v>
      </x:c>
      <x:c r="I1693" s="13" t="str">
        <x:v>Gestão</x:v>
      </x:c>
      <x:c r="J1693" s="17" t="n">
        <x:v>7385.44</x:v>
      </x:c>
      <x:c r="K1693" s="17" t="n">
        <x:v>0</x:v>
      </x:c>
      <x:c r="L1693" s="17" t="n">
        <x:v>0</x:v>
      </x:c>
      <x:c r="M1693" s="13" t="str">
        <x:v>Pago</x:v>
      </x:c>
      <x:c r="N1693" s="13" t="str">
        <x:v>Sem cobrança</x:v>
      </x:c>
      <x:c r="O1693" s="13" t="str">
        <x:v>Escala inteligente</x:v>
      </x:c>
      <x:c r="P1693" s="17" t="n">
        <x:f>IF(D1693="",0,J1693-K1693+L1693)</x:f>
        <x:v>7385.44</x:v>
      </x:c>
      <x:c r="Q1693" s="17" t="n">
        <x:f>MAX(J1693-P1693-K1693,0)</x:f>
        <x:v>0</x:v>
      </x:c>
      <x:c r="R1693" s="13" t="n">
        <x:f>IF(D1693="",MAX(TODAY()-C1693,0),MAX(D1693-C1693,0))</x:f>
        <x:v>0</x:v>
      </x:c>
      <x:c r="S1693" s="13" t="str">
        <x:f>IF(R1693=0,"Em dia",IF(R1693&lt;=15,"1-15 dias",IF(R1693&lt;=30,"16-30 dias",IF(R1693&lt;=60,"31-60 dias","Acima de 60 dias"))))</x:f>
        <x:v>Em dia</x:v>
      </x:c>
    </x:row>
    <x:row r="1694">
      <x:c r="A1694" s="13" t="str">
        <x:v>REC-001693</x:v>
      </x:c>
      <x:c r="B1694" s="23" t="n">
        <x:v>46145</x:v>
      </x:c>
      <x:c r="C1694" s="23" t="n">
        <x:v>46160</x:v>
      </x:c>
      <x:c r="D1694" s="23" t="n">
        <x:v>46160</x:v>
      </x:c>
      <x:c r="E1694" s="13" t="str">
        <x:v>VAL-027</x:v>
      </x:c>
      <x:c r="F1694" s="13" t="str">
        <x:v>Mais Lar Utilidades</x:v>
      </x:c>
      <x:c r="G1694" s="13" t="str">
        <x:v>Varejo</x:v>
      </x:c>
      <x:c r="H1694" s="13" t="str">
        <x:v>Baixo</x:v>
      </x:c>
      <x:c r="I1694" s="13" t="str">
        <x:v>Performance</x:v>
      </x:c>
      <x:c r="J1694" s="17" t="n">
        <x:v>28215.7</x:v>
      </x:c>
      <x:c r="K1694" s="17" t="n">
        <x:v>0</x:v>
      </x:c>
      <x:c r="L1694" s="17" t="n">
        <x:v>0</x:v>
      </x:c>
      <x:c r="M1694" s="13" t="str">
        <x:v>Pago</x:v>
      </x:c>
      <x:c r="N1694" s="13" t="str">
        <x:v>Sem cobrança</x:v>
      </x:c>
      <x:c r="O1694" s="13" t="str">
        <x:v>Escala inteligente</x:v>
      </x:c>
      <x:c r="P1694" s="17" t="n">
        <x:f>IF(D1694="",0,J1694-K1694+L1694)</x:f>
        <x:v>28215.7</x:v>
      </x:c>
      <x:c r="Q1694" s="17" t="n">
        <x:f>MAX(J1694-P1694-K1694,0)</x:f>
        <x:v>0</x:v>
      </x:c>
      <x:c r="R1694" s="13" t="n">
        <x:f>IF(D1694="",MAX(TODAY()-C1694,0),MAX(D1694-C1694,0))</x:f>
        <x:v>0</x:v>
      </x:c>
      <x:c r="S1694" s="13" t="str">
        <x:f>IF(R1694=0,"Em dia",IF(R1694&lt;=15,"1-15 dias",IF(R1694&lt;=30,"16-30 dias",IF(R1694&lt;=60,"31-60 dias","Acima de 60 dias"))))</x:f>
        <x:v>Em dia</x:v>
      </x:c>
    </x:row>
    <x:row r="1695">
      <x:c r="A1695" s="13" t="str">
        <x:v>REC-001694</x:v>
      </x:c>
      <x:c r="B1695" s="23" t="n">
        <x:v>46160</x:v>
      </x:c>
      <x:c r="C1695" s="23" t="n">
        <x:v>46190</x:v>
      </x:c>
      <x:c r="D1695" s="23" t="n">
        <x:v>46187</x:v>
      </x:c>
      <x:c r="E1695" s="13" t="str">
        <x:v>VAL-020</x:v>
      </x:c>
      <x:c r="F1695" s="13" t="str">
        <x:v>Corelink Digital</x:v>
      </x:c>
      <x:c r="G1695" s="13" t="str">
        <x:v>Tecnologia</x:v>
      </x:c>
      <x:c r="H1695" s="13" t="str">
        <x:v>Baixo</x:v>
      </x:c>
      <x:c r="I1695" s="13" t="str">
        <x:v>Enterprise</x:v>
      </x:c>
      <x:c r="J1695" s="17" t="n">
        <x:v>30735.32</x:v>
      </x:c>
      <x:c r="K1695" s="17" t="n">
        <x:v>0</x:v>
      </x:c>
      <x:c r="L1695" s="17" t="n">
        <x:v>0</x:v>
      </x:c>
      <x:c r="M1695" s="13" t="str">
        <x:v>Pago</x:v>
      </x:c>
      <x:c r="N1695" s="13" t="str">
        <x:v>Sem cobrança</x:v>
      </x:c>
      <x:c r="O1695" s="13" t="str">
        <x:v>Escala inteligente</x:v>
      </x:c>
      <x:c r="P1695" s="17" t="n">
        <x:f>IF(D1695="",0,J1695-K1695+L1695)</x:f>
        <x:v>30735.32</x:v>
      </x:c>
      <x:c r="Q1695" s="17" t="n">
        <x:f>MAX(J1695-P1695-K1695,0)</x:f>
        <x:v>0</x:v>
      </x:c>
      <x:c r="R1695" s="13" t="n">
        <x:f>IF(D1695="",MAX(TODAY()-C1695,0),MAX(D1695-C1695,0))</x:f>
        <x:v>0</x:v>
      </x:c>
      <x:c r="S1695" s="13" t="str">
        <x:f>IF(R1695=0,"Em dia",IF(R1695&lt;=15,"1-15 dias",IF(R1695&lt;=30,"16-30 dias",IF(R1695&lt;=60,"31-60 dias","Acima de 60 dias"))))</x:f>
        <x:v>Em dia</x:v>
      </x:c>
    </x:row>
    <x:row r="1696">
      <x:c r="A1696" s="13" t="str">
        <x:v>REC-001695</x:v>
      </x:c>
      <x:c r="B1696" s="23" t="n">
        <x:v>46160</x:v>
      </x:c>
      <x:c r="C1696" s="23" t="n">
        <x:v>46167</x:v>
      </x:c>
      <x:c r="D1696" s="23" t="n">
        <x:v>46163</x:v>
      </x:c>
      <x:c r="E1696" s="13" t="str">
        <x:v>VAL-020</x:v>
      </x:c>
      <x:c r="F1696" s="13" t="str">
        <x:v>Corelink Digital</x:v>
      </x:c>
      <x:c r="G1696" s="13" t="str">
        <x:v>Tecnologia</x:v>
      </x:c>
      <x:c r="H1696" s="13" t="str">
        <x:v>Baixo</x:v>
      </x:c>
      <x:c r="I1696" s="13" t="str">
        <x:v>Enterprise</x:v>
      </x:c>
      <x:c r="J1696" s="17" t="n">
        <x:v>5574.93</x:v>
      </x:c>
      <x:c r="K1696" s="17" t="n">
        <x:v>0</x:v>
      </x:c>
      <x:c r="L1696" s="17" t="n">
        <x:v>0</x:v>
      </x:c>
      <x:c r="M1696" s="13" t="str">
        <x:v>Pago</x:v>
      </x:c>
      <x:c r="N1696" s="13" t="str">
        <x:v>Sem cobrança</x:v>
      </x:c>
      <x:c r="O1696" s="13" t="str">
        <x:v>Escala inteligente</x:v>
      </x:c>
      <x:c r="P1696" s="17" t="n">
        <x:f>IF(D1696="",0,J1696-K1696+L1696)</x:f>
        <x:v>5574.93</x:v>
      </x:c>
      <x:c r="Q1696" s="17" t="n">
        <x:f>MAX(J1696-P1696-K1696,0)</x:f>
        <x:v>0</x:v>
      </x:c>
      <x:c r="R1696" s="13" t="n">
        <x:f>IF(D1696="",MAX(TODAY()-C1696,0),MAX(D1696-C1696,0))</x:f>
        <x:v>0</x:v>
      </x:c>
      <x:c r="S1696" s="13" t="str">
        <x:f>IF(R1696=0,"Em dia",IF(R1696&lt;=15,"1-15 dias",IF(R1696&lt;=30,"16-30 dias",IF(R1696&lt;=60,"31-60 dias","Acima de 60 dias"))))</x:f>
        <x:v>Em dia</x:v>
      </x:c>
    </x:row>
    <x:row r="1697">
      <x:c r="A1697" s="13" t="str">
        <x:v>REC-001696</x:v>
      </x:c>
      <x:c r="B1697" s="23" t="n">
        <x:v>46152</x:v>
      </x:c>
      <x:c r="C1697" s="23" t="n">
        <x:v>46173</x:v>
      </x:c>
      <x:c r="D1697" s="23" t="n">
        <x:v>46171</x:v>
      </x:c>
      <x:c r="E1697" s="13" t="str">
        <x:v>VAL-023</x:v>
      </x:c>
      <x:c r="F1697" s="13" t="str">
        <x:v>ShopMix Brasil</x:v>
      </x:c>
      <x:c r="G1697" s="13" t="str">
        <x:v>E-commerce</x:v>
      </x:c>
      <x:c r="H1697" s="13" t="str">
        <x:v>Baixo</x:v>
      </x:c>
      <x:c r="I1697" s="13" t="str">
        <x:v>Performance</x:v>
      </x:c>
      <x:c r="J1697" s="17" t="n">
        <x:v>20676.56</x:v>
      </x:c>
      <x:c r="K1697" s="17" t="n">
        <x:v>0</x:v>
      </x:c>
      <x:c r="L1697" s="17" t="n">
        <x:v>0</x:v>
      </x:c>
      <x:c r="M1697" s="13" t="str">
        <x:v>Pago</x:v>
      </x:c>
      <x:c r="N1697" s="13" t="str">
        <x:v>Sem cobrança</x:v>
      </x:c>
      <x:c r="O1697" s="13" t="str">
        <x:v>Escala inteligente</x:v>
      </x:c>
      <x:c r="P1697" s="17" t="n">
        <x:f>IF(D1697="",0,J1697-K1697+L1697)</x:f>
        <x:v>20676.56</x:v>
      </x:c>
      <x:c r="Q1697" s="17" t="n">
        <x:f>MAX(J1697-P1697-K1697,0)</x:f>
        <x:v>0</x:v>
      </x:c>
      <x:c r="R1697" s="13" t="n">
        <x:f>IF(D1697="",MAX(TODAY()-C1697,0),MAX(D1697-C1697,0))</x:f>
        <x:v>0</x:v>
      </x:c>
      <x:c r="S1697" s="13" t="str">
        <x:f>IF(R1697=0,"Em dia",IF(R1697&lt;=15,"1-15 dias",IF(R1697&lt;=30,"16-30 dias",IF(R1697&lt;=60,"31-60 dias","Acima de 60 dias"))))</x:f>
        <x:v>Em dia</x:v>
      </x:c>
    </x:row>
    <x:row r="1698">
      <x:c r="A1698" s="13" t="str">
        <x:v>REC-001697</x:v>
      </x:c>
      <x:c r="B1698" s="23" t="n">
        <x:v>46160</x:v>
      </x:c>
      <x:c r="C1698" s="23" t="n">
        <x:v>46181</x:v>
      </x:c>
      <x:c r="D1698" s="23" t="n">
        <x:v>46178</x:v>
      </x:c>
      <x:c r="E1698" s="13" t="str">
        <x:v>VAL-023</x:v>
      </x:c>
      <x:c r="F1698" s="13" t="str">
        <x:v>ShopMix Brasil</x:v>
      </x:c>
      <x:c r="G1698" s="13" t="str">
        <x:v>E-commerce</x:v>
      </x:c>
      <x:c r="H1698" s="13" t="str">
        <x:v>Baixo</x:v>
      </x:c>
      <x:c r="I1698" s="13" t="str">
        <x:v>Performance</x:v>
      </x:c>
      <x:c r="J1698" s="17" t="n">
        <x:v>28146.19</x:v>
      </x:c>
      <x:c r="K1698" s="17" t="n">
        <x:v>383.49</x:v>
      </x:c>
      <x:c r="L1698" s="17" t="n">
        <x:v>0</x:v>
      </x:c>
      <x:c r="M1698" s="13" t="str">
        <x:v>Pago</x:v>
      </x:c>
      <x:c r="N1698" s="13" t="str">
        <x:v>Sem cobrança</x:v>
      </x:c>
      <x:c r="O1698" s="13" t="str">
        <x:v>Escala inteligente</x:v>
      </x:c>
      <x:c r="P1698" s="17" t="n">
        <x:f>IF(D1698="",0,J1698-K1698+L1698)</x:f>
        <x:v>27762.699999999997</x:v>
      </x:c>
      <x:c r="Q1698" s="17" t="n">
        <x:f>MAX(J1698-P1698-K1698,0)</x:f>
        <x:v>1.5916157281026244e-12</x:v>
      </x:c>
      <x:c r="R1698" s="13" t="n">
        <x:f>IF(D1698="",MAX(TODAY()-C1698,0),MAX(D1698-C1698,0))</x:f>
        <x:v>0</x:v>
      </x:c>
      <x:c r="S1698" s="13" t="str">
        <x:f>IF(R1698=0,"Em dia",IF(R1698&lt;=15,"1-15 dias",IF(R1698&lt;=30,"16-30 dias",IF(R1698&lt;=60,"31-60 dias","Acima de 60 dias"))))</x:f>
        <x:v>Em dia</x:v>
      </x:c>
    </x:row>
    <x:row r="1699">
      <x:c r="A1699" s="13" t="str">
        <x:v>REC-001698</x:v>
      </x:c>
      <x:c r="B1699" s="23" t="n">
        <x:v>46146</x:v>
      </x:c>
      <x:c r="C1699" s="23" t="n">
        <x:v>46176</x:v>
      </x:c>
      <x:c r="D1699" s="23" t="n">
        <x:v>46174</x:v>
      </x:c>
      <x:c r="E1699" s="13" t="str">
        <x:v>VAL-012</x:v>
      </x:c>
      <x:c r="F1699" s="13" t="str">
        <x:v>DataFlow Sistemas</x:v>
      </x:c>
      <x:c r="G1699" s="13" t="str">
        <x:v>Tecnologia</x:v>
      </x:c>
      <x:c r="H1699" s="13" t="str">
        <x:v>Médio</x:v>
      </x:c>
      <x:c r="I1699" s="13" t="str">
        <x:v>Enterprise</x:v>
      </x:c>
      <x:c r="J1699" s="17" t="n">
        <x:v>1794.15</x:v>
      </x:c>
      <x:c r="K1699" s="17" t="n">
        <x:v>0</x:v>
      </x:c>
      <x:c r="L1699" s="17" t="n">
        <x:v>0</x:v>
      </x:c>
      <x:c r="M1699" s="13" t="str">
        <x:v>Pago</x:v>
      </x:c>
      <x:c r="N1699" s="13" t="str">
        <x:v>Sem cobrança</x:v>
      </x:c>
      <x:c r="O1699" s="13" t="str">
        <x:v>Escala inteligente</x:v>
      </x:c>
      <x:c r="P1699" s="17" t="n">
        <x:f>IF(D1699="",0,J1699-K1699+L1699)</x:f>
        <x:v>1794.15</x:v>
      </x:c>
      <x:c r="Q1699" s="17" t="n">
        <x:f>MAX(J1699-P1699-K1699,0)</x:f>
        <x:v>0</x:v>
      </x:c>
      <x:c r="R1699" s="13" t="n">
        <x:f>IF(D1699="",MAX(TODAY()-C1699,0),MAX(D1699-C1699,0))</x:f>
        <x:v>0</x:v>
      </x:c>
      <x:c r="S1699" s="13" t="str">
        <x:f>IF(R1699=0,"Em dia",IF(R1699&lt;=15,"1-15 dias",IF(R1699&lt;=30,"16-30 dias",IF(R1699&lt;=60,"31-60 dias","Acima de 60 dias"))))</x:f>
        <x:v>Em dia</x:v>
      </x:c>
    </x:row>
    <x:row r="1700">
      <x:c r="A1700" s="13" t="str">
        <x:v>REC-001699</x:v>
      </x:c>
      <x:c r="B1700" s="23" t="n">
        <x:v>46155</x:v>
      </x:c>
      <x:c r="C1700" s="23" t="n">
        <x:v>46170</x:v>
      </x:c>
      <x:c r="D1700" s="23" t="n">
        <x:v>46170</x:v>
      </x:c>
      <x:c r="E1700" s="13" t="str">
        <x:v>VAL-028</x:v>
      </x:c>
      <x:c r="F1700" s="13" t="str">
        <x:v>Pixel Norte</x:v>
      </x:c>
      <x:c r="G1700" s="13" t="str">
        <x:v>Tecnologia</x:v>
      </x:c>
      <x:c r="H1700" s="13" t="str">
        <x:v>Alto</x:v>
      </x:c>
      <x:c r="I1700" s="13" t="str">
        <x:v>Enterprise</x:v>
      </x:c>
      <x:c r="J1700" s="17" t="n">
        <x:v>30001.54</x:v>
      </x:c>
      <x:c r="K1700" s="17" t="n">
        <x:v>0</x:v>
      </x:c>
      <x:c r="L1700" s="17" t="n">
        <x:v>0</x:v>
      </x:c>
      <x:c r="M1700" s="13" t="str">
        <x:v>Pago</x:v>
      </x:c>
      <x:c r="N1700" s="13" t="str">
        <x:v>Sem cobrança</x:v>
      </x:c>
      <x:c r="O1700" s="13" t="str">
        <x:v>Escala inteligente</x:v>
      </x:c>
      <x:c r="P1700" s="17" t="n">
        <x:f>IF(D1700="",0,J1700-K1700+L1700)</x:f>
        <x:v>30001.54</x:v>
      </x:c>
      <x:c r="Q1700" s="17" t="n">
        <x:f>MAX(J1700-P1700-K1700,0)</x:f>
        <x:v>0</x:v>
      </x:c>
      <x:c r="R1700" s="13" t="n">
        <x:f>IF(D1700="",MAX(TODAY()-C1700,0),MAX(D1700-C1700,0))</x:f>
        <x:v>0</x:v>
      </x:c>
      <x:c r="S1700" s="13" t="str">
        <x:f>IF(R1700=0,"Em dia",IF(R1700&lt;=15,"1-15 dias",IF(R1700&lt;=30,"16-30 dias",IF(R1700&lt;=60,"31-60 dias","Acima de 60 dias"))))</x:f>
        <x:v>Em dia</x:v>
      </x:c>
    </x:row>
    <x:row r="1701">
      <x:c r="A1701" s="13" t="str">
        <x:v>REC-001700</x:v>
      </x:c>
      <x:c r="B1701" s="23" t="n">
        <x:v>46161</x:v>
      </x:c>
      <x:c r="C1701" s="23" t="n">
        <x:v>46176</x:v>
      </x:c>
      <x:c r="D1701" s="23" t="n">
        <x:v>46176</x:v>
      </x:c>
      <x:c r="E1701" s="13" t="str">
        <x:v>VAL-015</x:v>
      </x:c>
      <x:c r="F1701" s="13" t="str">
        <x:v>Mercado Click</x:v>
      </x:c>
      <x:c r="G1701" s="13" t="str">
        <x:v>E-commerce</x:v>
      </x:c>
      <x:c r="H1701" s="13" t="str">
        <x:v>Baixo</x:v>
      </x:c>
      <x:c r="I1701" s="13" t="str">
        <x:v>Performance</x:v>
      </x:c>
      <x:c r="J1701" s="17" t="n">
        <x:v>6704.4</x:v>
      </x:c>
      <x:c r="K1701" s="17" t="n">
        <x:v>34.71</x:v>
      </x:c>
      <x:c r="L1701" s="17" t="n">
        <x:v>0</x:v>
      </x:c>
      <x:c r="M1701" s="13" t="str">
        <x:v>Pago</x:v>
      </x:c>
      <x:c r="N1701" s="13" t="str">
        <x:v>Sem cobrança</x:v>
      </x:c>
      <x:c r="O1701" s="13" t="str">
        <x:v>Escala inteligente</x:v>
      </x:c>
      <x:c r="P1701" s="17" t="n">
        <x:f>IF(D1701="",0,J1701-K1701+L1701)</x:f>
        <x:v>6669.69</x:v>
      </x:c>
      <x:c r="Q1701" s="17" t="n">
        <x:f>MAX(J1701-P1701-K1701,0)</x:f>
        <x:v>3.552713678800501e-14</x:v>
      </x:c>
      <x:c r="R1701" s="13" t="n">
        <x:f>IF(D1701="",MAX(TODAY()-C1701,0),MAX(D1701-C1701,0))</x:f>
        <x:v>0</x:v>
      </x:c>
      <x:c r="S1701" s="13" t="str">
        <x:f>IF(R1701=0,"Em dia",IF(R1701&lt;=15,"1-15 dias",IF(R1701&lt;=30,"16-30 dias",IF(R1701&lt;=60,"31-60 dias","Acima de 60 dias"))))</x:f>
        <x:v>Em dia</x:v>
      </x:c>
    </x:row>
    <x:row r="1702">
      <x:c r="A1702" s="13" t="str">
        <x:v>REC-001701</x:v>
      </x:c>
      <x:c r="B1702" s="23" t="n">
        <x:v>46159</x:v>
      </x:c>
      <x:c r="C1702" s="23" t="n">
        <x:v>46166</x:v>
      </x:c>
      <x:c r="D1702" s="23"/>
      <x:c r="E1702" s="13" t="str">
        <x:v>VAL-020</x:v>
      </x:c>
      <x:c r="F1702" s="13" t="str">
        <x:v>Corelink Digital</x:v>
      </x:c>
      <x:c r="G1702" s="13" t="str">
        <x:v>Tecnologia</x:v>
      </x:c>
      <x:c r="H1702" s="13" t="str">
        <x:v>Baixo</x:v>
      </x:c>
      <x:c r="I1702" s="13" t="str">
        <x:v>Enterprise</x:v>
      </x:c>
      <x:c r="J1702" s="17" t="n">
        <x:v>12978.61</x:v>
      </x:c>
      <x:c r="K1702" s="17" t="n">
        <x:v>0</x:v>
      </x:c>
      <x:c r="L1702" s="17" t="n">
        <x:v>0</x:v>
      </x:c>
      <x:c r="M1702" s="13" t="str">
        <x:v>Em aberto</x:v>
      </x:c>
      <x:c r="N1702" s="13" t="str">
        <x:v>WhatsApp</x:v>
      </x:c>
      <x:c r="O1702" s="13" t="str">
        <x:v>Escala inteligente</x:v>
      </x:c>
      <x:c r="P1702" s="17" t="n">
        <x:f>IF(D1702="",0,J1702-K1702+L1702)</x:f>
        <x:v>0</x:v>
      </x:c>
      <x:c r="Q1702" s="17" t="n">
        <x:f>MAX(J1702-P1702-K1702,0)</x:f>
        <x:v>12978.61</x:v>
      </x:c>
      <x:c r="R1702" s="13" t="n">
        <x:f>IF(D1702="",MAX(TODAY()-C1702,0),MAX(D1702-C1702,0))</x:f>
        <x:v>47</x:v>
      </x:c>
      <x:c r="S1702" s="13" t="str">
        <x:f>IF(R1702=0,"Em dia",IF(R1702&lt;=15,"1-15 dias",IF(R1702&lt;=30,"16-30 dias",IF(R1702&lt;=60,"31-60 dias","Acima de 60 dias"))))</x:f>
        <x:v>31-60 dias</x:v>
      </x:c>
    </x:row>
    <x:row r="1703">
      <x:c r="A1703" s="13" t="str">
        <x:v>REC-001702</x:v>
      </x:c>
      <x:c r="B1703" s="23" t="n">
        <x:v>46152</x:v>
      </x:c>
      <x:c r="C1703" s="23" t="n">
        <x:v>46182</x:v>
      </x:c>
      <x:c r="D1703" s="23" t="n">
        <x:v>46181</x:v>
      </x:c>
      <x:c r="E1703" s="13" t="str">
        <x:v>VAL-003</x:v>
      </x:c>
      <x:c r="F1703" s="13" t="str">
        <x:v>Casa Nova Varejo</x:v>
      </x:c>
      <x:c r="G1703" s="13" t="str">
        <x:v>Varejo</x:v>
      </x:c>
      <x:c r="H1703" s="13" t="str">
        <x:v>Baixo</x:v>
      </x:c>
      <x:c r="I1703" s="13" t="str">
        <x:v>Performance</x:v>
      </x:c>
      <x:c r="J1703" s="17" t="n">
        <x:v>10435.53</x:v>
      </x:c>
      <x:c r="K1703" s="17" t="n">
        <x:v>0</x:v>
      </x:c>
      <x:c r="L1703" s="17" t="n">
        <x:v>0</x:v>
      </x:c>
      <x:c r="M1703" s="13" t="str">
        <x:v>Pago</x:v>
      </x:c>
      <x:c r="N1703" s="13" t="str">
        <x:v>Sem cobrança</x:v>
      </x:c>
      <x:c r="O1703" s="13" t="str">
        <x:v>Escala inteligente</x:v>
      </x:c>
      <x:c r="P1703" s="17" t="n">
        <x:f>IF(D1703="",0,J1703-K1703+L1703)</x:f>
        <x:v>10435.53</x:v>
      </x:c>
      <x:c r="Q1703" s="17" t="n">
        <x:f>MAX(J1703-P1703-K1703,0)</x:f>
        <x:v>0</x:v>
      </x:c>
      <x:c r="R1703" s="13" t="n">
        <x:f>IF(D1703="",MAX(TODAY()-C1703,0),MAX(D1703-C1703,0))</x:f>
        <x:v>0</x:v>
      </x:c>
      <x:c r="S1703" s="13" t="str">
        <x:f>IF(R1703=0,"Em dia",IF(R1703&lt;=15,"1-15 dias",IF(R1703&lt;=30,"16-30 dias",IF(R1703&lt;=60,"31-60 dias","Acima de 60 dias"))))</x:f>
        <x:v>Em dia</x:v>
      </x:c>
    </x:row>
    <x:row r="1704">
      <x:c r="A1704" s="13" t="str">
        <x:v>REC-001703</x:v>
      </x:c>
      <x:c r="B1704" s="23" t="n">
        <x:v>46162</x:v>
      </x:c>
      <x:c r="C1704" s="23" t="n">
        <x:v>46177</x:v>
      </x:c>
      <x:c r="D1704" s="23" t="n">
        <x:v>46174</x:v>
      </x:c>
      <x:c r="E1704" s="13" t="str">
        <x:v>VAL-027</x:v>
      </x:c>
      <x:c r="F1704" s="13" t="str">
        <x:v>Mais Lar Utilidades</x:v>
      </x:c>
      <x:c r="G1704" s="13" t="str">
        <x:v>Varejo</x:v>
      </x:c>
      <x:c r="H1704" s="13" t="str">
        <x:v>Baixo</x:v>
      </x:c>
      <x:c r="I1704" s="13" t="str">
        <x:v>Performance</x:v>
      </x:c>
      <x:c r="J1704" s="17" t="n">
        <x:v>14473.13</x:v>
      </x:c>
      <x:c r="K1704" s="17" t="n">
        <x:v>0</x:v>
      </x:c>
      <x:c r="L1704" s="17" t="n">
        <x:v>0</x:v>
      </x:c>
      <x:c r="M1704" s="13" t="str">
        <x:v>Pago</x:v>
      </x:c>
      <x:c r="N1704" s="13" t="str">
        <x:v>Sem cobrança</x:v>
      </x:c>
      <x:c r="O1704" s="13" t="str">
        <x:v>Escala inteligente</x:v>
      </x:c>
      <x:c r="P1704" s="17" t="n">
        <x:f>IF(D1704="",0,J1704-K1704+L1704)</x:f>
        <x:v>14473.13</x:v>
      </x:c>
      <x:c r="Q1704" s="17" t="n">
        <x:f>MAX(J1704-P1704-K1704,0)</x:f>
        <x:v>0</x:v>
      </x:c>
      <x:c r="R1704" s="13" t="n">
        <x:f>IF(D1704="",MAX(TODAY()-C1704,0),MAX(D1704-C1704,0))</x:f>
        <x:v>0</x:v>
      </x:c>
      <x:c r="S1704" s="13" t="str">
        <x:f>IF(R1704=0,"Em dia",IF(R1704&lt;=15,"1-15 dias",IF(R1704&lt;=30,"16-30 dias",IF(R1704&lt;=60,"31-60 dias","Acima de 60 dias"))))</x:f>
        <x:v>Em dia</x:v>
      </x:c>
    </x:row>
    <x:row r="1705">
      <x:c r="A1705" s="13" t="str">
        <x:v>REC-001704</x:v>
      </x:c>
      <x:c r="B1705" s="23" t="n">
        <x:v>46156</x:v>
      </x:c>
      <x:c r="C1705" s="23" t="n">
        <x:v>46184</x:v>
      </x:c>
      <x:c r="D1705" s="23" t="n">
        <x:v>46184</x:v>
      </x:c>
      <x:c r="E1705" s="13" t="str">
        <x:v>VAL-009</x:v>
      </x:c>
      <x:c r="F1705" s="13" t="str">
        <x:v>Odonto Prime</x:v>
      </x:c>
      <x:c r="G1705" s="13" t="str">
        <x:v>Clínicas e Saúde</x:v>
      </x:c>
      <x:c r="H1705" s="13" t="str">
        <x:v>Médio</x:v>
      </x:c>
      <x:c r="I1705" s="13" t="str">
        <x:v>Essencial</x:v>
      </x:c>
      <x:c r="J1705" s="17" t="n">
        <x:v>8239.22</x:v>
      </x:c>
      <x:c r="K1705" s="17" t="n">
        <x:v>0</x:v>
      </x:c>
      <x:c r="L1705" s="17" t="n">
        <x:v>0</x:v>
      </x:c>
      <x:c r="M1705" s="13" t="str">
        <x:v>Pago</x:v>
      </x:c>
      <x:c r="N1705" s="13" t="str">
        <x:v>Sem cobrança</x:v>
      </x:c>
      <x:c r="O1705" s="13" t="str">
        <x:v>Escala inteligente</x:v>
      </x:c>
      <x:c r="P1705" s="17" t="n">
        <x:f>IF(D1705="",0,J1705-K1705+L1705)</x:f>
        <x:v>8239.22</x:v>
      </x:c>
      <x:c r="Q1705" s="17" t="n">
        <x:f>MAX(J1705-P1705-K1705,0)</x:f>
        <x:v>0</x:v>
      </x:c>
      <x:c r="R1705" s="13" t="n">
        <x:f>IF(D1705="",MAX(TODAY()-C1705,0),MAX(D1705-C1705,0))</x:f>
        <x:v>0</x:v>
      </x:c>
      <x:c r="S1705" s="13" t="str">
        <x:f>IF(R1705=0,"Em dia",IF(R1705&lt;=15,"1-15 dias",IF(R1705&lt;=30,"16-30 dias",IF(R1705&lt;=60,"31-60 dias","Acima de 60 dias"))))</x:f>
        <x:v>Em dia</x:v>
      </x:c>
    </x:row>
    <x:row r="1706">
      <x:c r="A1706" s="13" t="str">
        <x:v>REC-001705</x:v>
      </x:c>
      <x:c r="B1706" s="23" t="n">
        <x:v>46143</x:v>
      </x:c>
      <x:c r="C1706" s="23" t="n">
        <x:v>46164</x:v>
      </x:c>
      <x:c r="D1706" s="23" t="n">
        <x:v>46161</x:v>
      </x:c>
      <x:c r="E1706" s="13" t="str">
        <x:v>VAL-016</x:v>
      </x:c>
      <x:c r="F1706" s="13" t="str">
        <x:v>Lumina Embalagens</x:v>
      </x:c>
      <x:c r="G1706" s="13" t="str">
        <x:v>Indústria Leve</x:v>
      </x:c>
      <x:c r="H1706" s="13" t="str">
        <x:v>Baixo</x:v>
      </x:c>
      <x:c r="I1706" s="13" t="str">
        <x:v>Enterprise</x:v>
      </x:c>
      <x:c r="J1706" s="17" t="n">
        <x:v>24893.27</x:v>
      </x:c>
      <x:c r="K1706" s="17" t="n">
        <x:v>0</x:v>
      </x:c>
      <x:c r="L1706" s="17" t="n">
        <x:v>0</x:v>
      </x:c>
      <x:c r="M1706" s="13" t="str">
        <x:v>Pago</x:v>
      </x:c>
      <x:c r="N1706" s="13" t="str">
        <x:v>Sem cobrança</x:v>
      </x:c>
      <x:c r="O1706" s="13" t="str">
        <x:v>Escala inteligente</x:v>
      </x:c>
      <x:c r="P1706" s="17" t="n">
        <x:f>IF(D1706="",0,J1706-K1706+L1706)</x:f>
        <x:v>24893.27</x:v>
      </x:c>
      <x:c r="Q1706" s="17" t="n">
        <x:f>MAX(J1706-P1706-K1706,0)</x:f>
        <x:v>0</x:v>
      </x:c>
      <x:c r="R1706" s="13" t="n">
        <x:f>IF(D1706="",MAX(TODAY()-C1706,0),MAX(D1706-C1706,0))</x:f>
        <x:v>0</x:v>
      </x:c>
      <x:c r="S1706" s="13" t="str">
        <x:f>IF(R1706=0,"Em dia",IF(R1706&lt;=15,"1-15 dias",IF(R1706&lt;=30,"16-30 dias",IF(R1706&lt;=60,"31-60 dias","Acima de 60 dias"))))</x:f>
        <x:v>Em dia</x:v>
      </x:c>
    </x:row>
    <x:row r="1707">
      <x:c r="A1707" s="13" t="str">
        <x:v>REC-001706</x:v>
      </x:c>
      <x:c r="B1707" s="23" t="n">
        <x:v>46154</x:v>
      </x:c>
      <x:c r="C1707" s="23" t="n">
        <x:v>46182</x:v>
      </x:c>
      <x:c r="D1707" s="23"/>
      <x:c r="E1707" s="13" t="str">
        <x:v>VAL-023</x:v>
      </x:c>
      <x:c r="F1707" s="13" t="str">
        <x:v>ShopMix Brasil</x:v>
      </x:c>
      <x:c r="G1707" s="13" t="str">
        <x:v>E-commerce</x:v>
      </x:c>
      <x:c r="H1707" s="13" t="str">
        <x:v>Baixo</x:v>
      </x:c>
      <x:c r="I1707" s="13" t="str">
        <x:v>Performance</x:v>
      </x:c>
      <x:c r="J1707" s="17" t="n">
        <x:v>11399.48</x:v>
      </x:c>
      <x:c r="K1707" s="17" t="n">
        <x:v>0</x:v>
      </x:c>
      <x:c r="L1707" s="17" t="n">
        <x:v>0</x:v>
      </x:c>
      <x:c r="M1707" s="13" t="str">
        <x:v>Em aberto</x:v>
      </x:c>
      <x:c r="N1707" s="13" t="str">
        <x:v>Negociação</x:v>
      </x:c>
      <x:c r="O1707" s="13" t="str">
        <x:v>Escala inteligente</x:v>
      </x:c>
      <x:c r="P1707" s="17" t="n">
        <x:f>IF(D1707="",0,J1707-K1707+L1707)</x:f>
        <x:v>0</x:v>
      </x:c>
      <x:c r="Q1707" s="17" t="n">
        <x:f>MAX(J1707-P1707-K1707,0)</x:f>
        <x:v>11399.48</x:v>
      </x:c>
      <x:c r="R1707" s="13" t="n">
        <x:f>IF(D1707="",MAX(TODAY()-C1707,0),MAX(D1707-C1707,0))</x:f>
        <x:v>31</x:v>
      </x:c>
      <x:c r="S1707" s="13" t="str">
        <x:f>IF(R1707=0,"Em dia",IF(R1707&lt;=15,"1-15 dias",IF(R1707&lt;=30,"16-30 dias",IF(R1707&lt;=60,"31-60 dias","Acima de 60 dias"))))</x:f>
        <x:v>31-60 dias</x:v>
      </x:c>
    </x:row>
    <x:row r="1708">
      <x:c r="A1708" s="13" t="str">
        <x:v>REC-001707</x:v>
      </x:c>
      <x:c r="B1708" s="23" t="n">
        <x:v>46156</x:v>
      </x:c>
      <x:c r="C1708" s="23" t="n">
        <x:v>46177</x:v>
      </x:c>
      <x:c r="D1708" s="23" t="n">
        <x:v>46175</x:v>
      </x:c>
      <x:c r="E1708" s="13" t="str">
        <x:v>VAL-028</x:v>
      </x:c>
      <x:c r="F1708" s="13" t="str">
        <x:v>Pixel Norte</x:v>
      </x:c>
      <x:c r="G1708" s="13" t="str">
        <x:v>Tecnologia</x:v>
      </x:c>
      <x:c r="H1708" s="13" t="str">
        <x:v>Alto</x:v>
      </x:c>
      <x:c r="I1708" s="13" t="str">
        <x:v>Enterprise</x:v>
      </x:c>
      <x:c r="J1708" s="17" t="n">
        <x:v>3063.81</x:v>
      </x:c>
      <x:c r="K1708" s="17" t="n">
        <x:v>0</x:v>
      </x:c>
      <x:c r="L1708" s="17" t="n">
        <x:v>0</x:v>
      </x:c>
      <x:c r="M1708" s="13" t="str">
        <x:v>Pago</x:v>
      </x:c>
      <x:c r="N1708" s="13" t="str">
        <x:v>Sem cobrança</x:v>
      </x:c>
      <x:c r="O1708" s="13" t="str">
        <x:v>Escala inteligente</x:v>
      </x:c>
      <x:c r="P1708" s="17" t="n">
        <x:f>IF(D1708="",0,J1708-K1708+L1708)</x:f>
        <x:v>3063.81</x:v>
      </x:c>
      <x:c r="Q1708" s="17" t="n">
        <x:f>MAX(J1708-P1708-K1708,0)</x:f>
        <x:v>0</x:v>
      </x:c>
      <x:c r="R1708" s="13" t="n">
        <x:f>IF(D1708="",MAX(TODAY()-C1708,0),MAX(D1708-C1708,0))</x:f>
        <x:v>0</x:v>
      </x:c>
      <x:c r="S1708" s="13" t="str">
        <x:f>IF(R1708=0,"Em dia",IF(R1708&lt;=15,"1-15 dias",IF(R1708&lt;=30,"16-30 dias",IF(R1708&lt;=60,"31-60 dias","Acima de 60 dias"))))</x:f>
        <x:v>Em dia</x:v>
      </x:c>
    </x:row>
    <x:row r="1709">
      <x:c r="A1709" s="13" t="str">
        <x:v>REC-001708</x:v>
      </x:c>
      <x:c r="B1709" s="23" t="n">
        <x:v>46159</x:v>
      </x:c>
      <x:c r="C1709" s="23" t="n">
        <x:v>46180</x:v>
      </x:c>
      <x:c r="D1709" s="23" t="n">
        <x:v>46177</x:v>
      </x:c>
      <x:c r="E1709" s="13" t="str">
        <x:v>VAL-020</x:v>
      </x:c>
      <x:c r="F1709" s="13" t="str">
        <x:v>Corelink Digital</x:v>
      </x:c>
      <x:c r="G1709" s="13" t="str">
        <x:v>Tecnologia</x:v>
      </x:c>
      <x:c r="H1709" s="13" t="str">
        <x:v>Baixo</x:v>
      </x:c>
      <x:c r="I1709" s="13" t="str">
        <x:v>Enterprise</x:v>
      </x:c>
      <x:c r="J1709" s="17" t="n">
        <x:v>1803.97</x:v>
      </x:c>
      <x:c r="K1709" s="17" t="n">
        <x:v>0</x:v>
      </x:c>
      <x:c r="L1709" s="17" t="n">
        <x:v>0</x:v>
      </x:c>
      <x:c r="M1709" s="13" t="str">
        <x:v>Pago</x:v>
      </x:c>
      <x:c r="N1709" s="13" t="str">
        <x:v>Sem cobrança</x:v>
      </x:c>
      <x:c r="O1709" s="13" t="str">
        <x:v>Escala inteligente</x:v>
      </x:c>
      <x:c r="P1709" s="17" t="n">
        <x:f>IF(D1709="",0,J1709-K1709+L1709)</x:f>
        <x:v>1803.97</x:v>
      </x:c>
      <x:c r="Q1709" s="17" t="n">
        <x:f>MAX(J1709-P1709-K1709,0)</x:f>
        <x:v>0</x:v>
      </x:c>
      <x:c r="R1709" s="13" t="n">
        <x:f>IF(D1709="",MAX(TODAY()-C1709,0),MAX(D1709-C1709,0))</x:f>
        <x:v>0</x:v>
      </x:c>
      <x:c r="S1709" s="13" t="str">
        <x:f>IF(R1709=0,"Em dia",IF(R1709&lt;=15,"1-15 dias",IF(R1709&lt;=30,"16-30 dias",IF(R1709&lt;=60,"31-60 dias","Acima de 60 dias"))))</x:f>
        <x:v>Em dia</x:v>
      </x:c>
    </x:row>
    <x:row r="1710">
      <x:c r="A1710" s="13" t="str">
        <x:v>REC-001709</x:v>
      </x:c>
      <x:c r="B1710" s="23" t="n">
        <x:v>46147</x:v>
      </x:c>
      <x:c r="C1710" s="23" t="n">
        <x:v>46175</x:v>
      </x:c>
      <x:c r="D1710" s="23" t="n">
        <x:v>46171</x:v>
      </x:c>
      <x:c r="E1710" s="13" t="str">
        <x:v>VAL-007</x:v>
      </x:c>
      <x:c r="F1710" s="13" t="str">
        <x:v>Loja Prisma Online</x:v>
      </x:c>
      <x:c r="G1710" s="13" t="str">
        <x:v>E-commerce</x:v>
      </x:c>
      <x:c r="H1710" s="13" t="str">
        <x:v>Médio</x:v>
      </x:c>
      <x:c r="I1710" s="13" t="str">
        <x:v>Performance</x:v>
      </x:c>
      <x:c r="J1710" s="17" t="n">
        <x:v>19979.22</x:v>
      </x:c>
      <x:c r="K1710" s="17" t="n">
        <x:v>0</x:v>
      </x:c>
      <x:c r="L1710" s="17" t="n">
        <x:v>0</x:v>
      </x:c>
      <x:c r="M1710" s="13" t="str">
        <x:v>Pago</x:v>
      </x:c>
      <x:c r="N1710" s="13" t="str">
        <x:v>Sem cobrança</x:v>
      </x:c>
      <x:c r="O1710" s="13" t="str">
        <x:v>Escala inteligente</x:v>
      </x:c>
      <x:c r="P1710" s="17" t="n">
        <x:f>IF(D1710="",0,J1710-K1710+L1710)</x:f>
        <x:v>19979.22</x:v>
      </x:c>
      <x:c r="Q1710" s="17" t="n">
        <x:f>MAX(J1710-P1710-K1710,0)</x:f>
        <x:v>0</x:v>
      </x:c>
      <x:c r="R1710" s="13" t="n">
        <x:f>IF(D1710="",MAX(TODAY()-C1710,0),MAX(D1710-C1710,0))</x:f>
        <x:v>0</x:v>
      </x:c>
      <x:c r="S1710" s="13" t="str">
        <x:f>IF(R1710=0,"Em dia",IF(R1710&lt;=15,"1-15 dias",IF(R1710&lt;=30,"16-30 dias",IF(R1710&lt;=60,"31-60 dias","Acima de 60 dias"))))</x:f>
        <x:v>Em dia</x:v>
      </x:c>
    </x:row>
    <x:row r="1711">
      <x:c r="A1711" s="13" t="str">
        <x:v>REC-001710</x:v>
      </x:c>
      <x:c r="B1711" s="23" t="n">
        <x:v>46156</x:v>
      </x:c>
      <x:c r="C1711" s="23" t="n">
        <x:v>46163</x:v>
      </x:c>
      <x:c r="D1711" s="23" t="n">
        <x:v>46159</x:v>
      </x:c>
      <x:c r="E1711" s="13" t="str">
        <x:v>VAL-026</x:v>
      </x:c>
      <x:c r="F1711" s="13" t="str">
        <x:v>Ribeiro Arquitetura</x:v>
      </x:c>
      <x:c r="G1711" s="13" t="str">
        <x:v>Serviços Profissionais</x:v>
      </x:c>
      <x:c r="H1711" s="13" t="str">
        <x:v>Baixo</x:v>
      </x:c>
      <x:c r="I1711" s="13" t="str">
        <x:v>Gestão</x:v>
      </x:c>
      <x:c r="J1711" s="17" t="n">
        <x:v>10738.4</x:v>
      </x:c>
      <x:c r="K1711" s="17" t="n">
        <x:v>0</x:v>
      </x:c>
      <x:c r="L1711" s="17" t="n">
        <x:v>0</x:v>
      </x:c>
      <x:c r="M1711" s="13" t="str">
        <x:v>Pago</x:v>
      </x:c>
      <x:c r="N1711" s="13" t="str">
        <x:v>Sem cobrança</x:v>
      </x:c>
      <x:c r="O1711" s="13" t="str">
        <x:v>Escala inteligente</x:v>
      </x:c>
      <x:c r="P1711" s="17" t="n">
        <x:f>IF(D1711="",0,J1711-K1711+L1711)</x:f>
        <x:v>10738.4</x:v>
      </x:c>
      <x:c r="Q1711" s="17" t="n">
        <x:f>MAX(J1711-P1711-K1711,0)</x:f>
        <x:v>0</x:v>
      </x:c>
      <x:c r="R1711" s="13" t="n">
        <x:f>IF(D1711="",MAX(TODAY()-C1711,0),MAX(D1711-C1711,0))</x:f>
        <x:v>0</x:v>
      </x:c>
      <x:c r="S1711" s="13" t="str">
        <x:f>IF(R1711=0,"Em dia",IF(R1711&lt;=15,"1-15 dias",IF(R1711&lt;=30,"16-30 dias",IF(R1711&lt;=60,"31-60 dias","Acima de 60 dias"))))</x:f>
        <x:v>Em dia</x:v>
      </x:c>
    </x:row>
    <x:row r="1712">
      <x:c r="A1712" s="13" t="str">
        <x:v>REC-001711</x:v>
      </x:c>
      <x:c r="B1712" s="23" t="n">
        <x:v>46143</x:v>
      </x:c>
      <x:c r="C1712" s="23" t="n">
        <x:v>46158</x:v>
      </x:c>
      <x:c r="D1712" s="23" t="n">
        <x:v>46155</x:v>
      </x:c>
      <x:c r="E1712" s="13" t="str">
        <x:v>VAL-023</x:v>
      </x:c>
      <x:c r="F1712" s="13" t="str">
        <x:v>ShopMix Brasil</x:v>
      </x:c>
      <x:c r="G1712" s="13" t="str">
        <x:v>E-commerce</x:v>
      </x:c>
      <x:c r="H1712" s="13" t="str">
        <x:v>Baixo</x:v>
      </x:c>
      <x:c r="I1712" s="13" t="str">
        <x:v>Performance</x:v>
      </x:c>
      <x:c r="J1712" s="17" t="n">
        <x:v>18321.94</x:v>
      </x:c>
      <x:c r="K1712" s="17" t="n">
        <x:v>0</x:v>
      </x:c>
      <x:c r="L1712" s="17" t="n">
        <x:v>0</x:v>
      </x:c>
      <x:c r="M1712" s="13" t="str">
        <x:v>Pago</x:v>
      </x:c>
      <x:c r="N1712" s="13" t="str">
        <x:v>Sem cobrança</x:v>
      </x:c>
      <x:c r="O1712" s="13" t="str">
        <x:v>Escala inteligente</x:v>
      </x:c>
      <x:c r="P1712" s="17" t="n">
        <x:f>IF(D1712="",0,J1712-K1712+L1712)</x:f>
        <x:v>18321.94</x:v>
      </x:c>
      <x:c r="Q1712" s="17" t="n">
        <x:f>MAX(J1712-P1712-K1712,0)</x:f>
        <x:v>0</x:v>
      </x:c>
      <x:c r="R1712" s="13" t="n">
        <x:f>IF(D1712="",MAX(TODAY()-C1712,0),MAX(D1712-C1712,0))</x:f>
        <x:v>0</x:v>
      </x:c>
      <x:c r="S1712" s="13" t="str">
        <x:f>IF(R1712=0,"Em dia",IF(R1712&lt;=15,"1-15 dias",IF(R1712&lt;=30,"16-30 dias",IF(R1712&lt;=60,"31-60 dias","Acima de 60 dias"))))</x:f>
        <x:v>Em dia</x:v>
      </x:c>
    </x:row>
    <x:row r="1713">
      <x:c r="A1713" s="13" t="str">
        <x:v>REC-001712</x:v>
      </x:c>
      <x:c r="B1713" s="23" t="n">
        <x:v>46143</x:v>
      </x:c>
      <x:c r="C1713" s="23" t="n">
        <x:v>46164</x:v>
      </x:c>
      <x:c r="D1713" s="23" t="n">
        <x:v>46164</x:v>
      </x:c>
      <x:c r="E1713" s="13" t="str">
        <x:v>VAL-016</x:v>
      </x:c>
      <x:c r="F1713" s="13" t="str">
        <x:v>Lumina Embalagens</x:v>
      </x:c>
      <x:c r="G1713" s="13" t="str">
        <x:v>Indústria Leve</x:v>
      </x:c>
      <x:c r="H1713" s="13" t="str">
        <x:v>Baixo</x:v>
      </x:c>
      <x:c r="I1713" s="13" t="str">
        <x:v>Enterprise</x:v>
      </x:c>
      <x:c r="J1713" s="17" t="n">
        <x:v>17031.29</x:v>
      </x:c>
      <x:c r="K1713" s="17" t="n">
        <x:v>0</x:v>
      </x:c>
      <x:c r="L1713" s="17" t="n">
        <x:v>0</x:v>
      </x:c>
      <x:c r="M1713" s="13" t="str">
        <x:v>Pago</x:v>
      </x:c>
      <x:c r="N1713" s="13" t="str">
        <x:v>Sem cobrança</x:v>
      </x:c>
      <x:c r="O1713" s="13" t="str">
        <x:v>Escala inteligente</x:v>
      </x:c>
      <x:c r="P1713" s="17" t="n">
        <x:f>IF(D1713="",0,J1713-K1713+L1713)</x:f>
        <x:v>17031.29</x:v>
      </x:c>
      <x:c r="Q1713" s="17" t="n">
        <x:f>MAX(J1713-P1713-K1713,0)</x:f>
        <x:v>0</x:v>
      </x:c>
      <x:c r="R1713" s="13" t="n">
        <x:f>IF(D1713="",MAX(TODAY()-C1713,0),MAX(D1713-C1713,0))</x:f>
        <x:v>0</x:v>
      </x:c>
      <x:c r="S1713" s="13" t="str">
        <x:f>IF(R1713=0,"Em dia",IF(R1713&lt;=15,"1-15 dias",IF(R1713&lt;=30,"16-30 dias",IF(R1713&lt;=60,"31-60 dias","Acima de 60 dias"))))</x:f>
        <x:v>Em dia</x:v>
      </x:c>
    </x:row>
    <x:row r="1714">
      <x:c r="A1714" s="13" t="str">
        <x:v>REC-001713</x:v>
      </x:c>
      <x:c r="B1714" s="23" t="n">
        <x:v>46155</x:v>
      </x:c>
      <x:c r="C1714" s="23" t="n">
        <x:v>46176</x:v>
      </x:c>
      <x:c r="D1714" s="23" t="n">
        <x:v>46176</x:v>
      </x:c>
      <x:c r="E1714" s="13" t="str">
        <x:v>VAL-012</x:v>
      </x:c>
      <x:c r="F1714" s="13" t="str">
        <x:v>DataFlow Sistemas</x:v>
      </x:c>
      <x:c r="G1714" s="13" t="str">
        <x:v>Tecnologia</x:v>
      </x:c>
      <x:c r="H1714" s="13" t="str">
        <x:v>Médio</x:v>
      </x:c>
      <x:c r="I1714" s="13" t="str">
        <x:v>Enterprise</x:v>
      </x:c>
      <x:c r="J1714" s="17" t="n">
        <x:v>7032.9</x:v>
      </x:c>
      <x:c r="K1714" s="17" t="n">
        <x:v>0</x:v>
      </x:c>
      <x:c r="L1714" s="17" t="n">
        <x:v>0</x:v>
      </x:c>
      <x:c r="M1714" s="13" t="str">
        <x:v>Pago</x:v>
      </x:c>
      <x:c r="N1714" s="13" t="str">
        <x:v>Sem cobrança</x:v>
      </x:c>
      <x:c r="O1714" s="13" t="str">
        <x:v>Escala inteligente</x:v>
      </x:c>
      <x:c r="P1714" s="17" t="n">
        <x:f>IF(D1714="",0,J1714-K1714+L1714)</x:f>
        <x:v>7032.9</x:v>
      </x:c>
      <x:c r="Q1714" s="17" t="n">
        <x:f>MAX(J1714-P1714-K1714,0)</x:f>
        <x:v>0</x:v>
      </x:c>
      <x:c r="R1714" s="13" t="n">
        <x:f>IF(D1714="",MAX(TODAY()-C1714,0),MAX(D1714-C1714,0))</x:f>
        <x:v>0</x:v>
      </x:c>
      <x:c r="S1714" s="13" t="str">
        <x:f>IF(R1714=0,"Em dia",IF(R1714&lt;=15,"1-15 dias",IF(R1714&lt;=30,"16-30 dias",IF(R1714&lt;=60,"31-60 dias","Acima de 60 dias"))))</x:f>
        <x:v>Em dia</x:v>
      </x:c>
    </x:row>
    <x:row r="1715">
      <x:c r="A1715" s="13" t="str">
        <x:v>REC-001714</x:v>
      </x:c>
      <x:c r="B1715" s="23" t="n">
        <x:v>46148</x:v>
      </x:c>
      <x:c r="C1715" s="23" t="n">
        <x:v>46163</x:v>
      </x:c>
      <x:c r="D1715" s="23" t="n">
        <x:v>46159</x:v>
      </x:c>
      <x:c r="E1715" s="13" t="str">
        <x:v>VAL-023</x:v>
      </x:c>
      <x:c r="F1715" s="13" t="str">
        <x:v>ShopMix Brasil</x:v>
      </x:c>
      <x:c r="G1715" s="13" t="str">
        <x:v>E-commerce</x:v>
      </x:c>
      <x:c r="H1715" s="13" t="str">
        <x:v>Baixo</x:v>
      </x:c>
      <x:c r="I1715" s="13" t="str">
        <x:v>Performance</x:v>
      </x:c>
      <x:c r="J1715" s="17" t="n">
        <x:v>34847.16</x:v>
      </x:c>
      <x:c r="K1715" s="17" t="n">
        <x:v>0</x:v>
      </x:c>
      <x:c r="L1715" s="17" t="n">
        <x:v>0</x:v>
      </x:c>
      <x:c r="M1715" s="13" t="str">
        <x:v>Pago</x:v>
      </x:c>
      <x:c r="N1715" s="13" t="str">
        <x:v>Sem cobrança</x:v>
      </x:c>
      <x:c r="O1715" s="13" t="str">
        <x:v>Escala inteligente</x:v>
      </x:c>
      <x:c r="P1715" s="17" t="n">
        <x:f>IF(D1715="",0,J1715-K1715+L1715)</x:f>
        <x:v>34847.16</x:v>
      </x:c>
      <x:c r="Q1715" s="17" t="n">
        <x:f>MAX(J1715-P1715-K1715,0)</x:f>
        <x:v>0</x:v>
      </x:c>
      <x:c r="R1715" s="13" t="n">
        <x:f>IF(D1715="",MAX(TODAY()-C1715,0),MAX(D1715-C1715,0))</x:f>
        <x:v>0</x:v>
      </x:c>
      <x:c r="S1715" s="13" t="str">
        <x:f>IF(R1715=0,"Em dia",IF(R1715&lt;=15,"1-15 dias",IF(R1715&lt;=30,"16-30 dias",IF(R1715&lt;=60,"31-60 dias","Acima de 60 dias"))))</x:f>
        <x:v>Em dia</x:v>
      </x:c>
    </x:row>
    <x:row r="1716">
      <x:c r="A1716" s="13" t="str">
        <x:v>REC-001715</x:v>
      </x:c>
      <x:c r="B1716" s="23" t="n">
        <x:v>46144</x:v>
      </x:c>
      <x:c r="C1716" s="23" t="n">
        <x:v>46174</x:v>
      </x:c>
      <x:c r="D1716" s="23" t="n">
        <x:v>46172</x:v>
      </x:c>
      <x:c r="E1716" s="13" t="str">
        <x:v>VAL-011</x:v>
      </x:c>
      <x:c r="F1716" s="13" t="str">
        <x:v>Rede Essencial</x:v>
      </x:c>
      <x:c r="G1716" s="13" t="str">
        <x:v>Varejo</x:v>
      </x:c>
      <x:c r="H1716" s="13" t="str">
        <x:v>Médio</x:v>
      </x:c>
      <x:c r="I1716" s="13" t="str">
        <x:v>Performance</x:v>
      </x:c>
      <x:c r="J1716" s="17" t="n">
        <x:v>27091.33</x:v>
      </x:c>
      <x:c r="K1716" s="17" t="n">
        <x:v>0</x:v>
      </x:c>
      <x:c r="L1716" s="17" t="n">
        <x:v>0</x:v>
      </x:c>
      <x:c r="M1716" s="13" t="str">
        <x:v>Pago</x:v>
      </x:c>
      <x:c r="N1716" s="13" t="str">
        <x:v>Sem cobrança</x:v>
      </x:c>
      <x:c r="O1716" s="13" t="str">
        <x:v>Escala inteligente</x:v>
      </x:c>
      <x:c r="P1716" s="17" t="n">
        <x:f>IF(D1716="",0,J1716-K1716+L1716)</x:f>
        <x:v>27091.33</x:v>
      </x:c>
      <x:c r="Q1716" s="17" t="n">
        <x:f>MAX(J1716-P1716-K1716,0)</x:f>
        <x:v>0</x:v>
      </x:c>
      <x:c r="R1716" s="13" t="n">
        <x:f>IF(D1716="",MAX(TODAY()-C1716,0),MAX(D1716-C1716,0))</x:f>
        <x:v>0</x:v>
      </x:c>
      <x:c r="S1716" s="13" t="str">
        <x:f>IF(R1716=0,"Em dia",IF(R1716&lt;=15,"1-15 dias",IF(R1716&lt;=30,"16-30 dias",IF(R1716&lt;=60,"31-60 dias","Acima de 60 dias"))))</x:f>
        <x:v>Em dia</x:v>
      </x:c>
    </x:row>
    <x:row r="1717">
      <x:c r="A1717" s="13" t="str">
        <x:v>REC-001716</x:v>
      </x:c>
      <x:c r="B1717" s="23" t="n">
        <x:v>46147</x:v>
      </x:c>
      <x:c r="C1717" s="23" t="n">
        <x:v>46154</x:v>
      </x:c>
      <x:c r="D1717" s="23" t="n">
        <x:v>46153</x:v>
      </x:c>
      <x:c r="E1717" s="13" t="str">
        <x:v>VAL-013</x:v>
      </x:c>
      <x:c r="F1717" s="13" t="str">
        <x:v>Engenharia Vértice</x:v>
      </x:c>
      <x:c r="G1717" s="13" t="str">
        <x:v>Construção</x:v>
      </x:c>
      <x:c r="H1717" s="13" t="str">
        <x:v>Baixo</x:v>
      </x:c>
      <x:c r="I1717" s="13" t="str">
        <x:v>Essencial</x:v>
      </x:c>
      <x:c r="J1717" s="17" t="n">
        <x:v>11859.69</x:v>
      </x:c>
      <x:c r="K1717" s="17" t="n">
        <x:v>0</x:v>
      </x:c>
      <x:c r="L1717" s="17" t="n">
        <x:v>0</x:v>
      </x:c>
      <x:c r="M1717" s="13" t="str">
        <x:v>Pago</x:v>
      </x:c>
      <x:c r="N1717" s="13" t="str">
        <x:v>Sem cobrança</x:v>
      </x:c>
      <x:c r="O1717" s="13" t="str">
        <x:v>Escala inteligente</x:v>
      </x:c>
      <x:c r="P1717" s="17" t="n">
        <x:f>IF(D1717="",0,J1717-K1717+L1717)</x:f>
        <x:v>11859.69</x:v>
      </x:c>
      <x:c r="Q1717" s="17" t="n">
        <x:f>MAX(J1717-P1717-K1717,0)</x:f>
        <x:v>0</x:v>
      </x:c>
      <x:c r="R1717" s="13" t="n">
        <x:f>IF(D1717="",MAX(TODAY()-C1717,0),MAX(D1717-C1717,0))</x:f>
        <x:v>0</x:v>
      </x:c>
      <x:c r="S1717" s="13" t="str">
        <x:f>IF(R1717=0,"Em dia",IF(R1717&lt;=15,"1-15 dias",IF(R1717&lt;=30,"16-30 dias",IF(R1717&lt;=60,"31-60 dias","Acima de 60 dias"))))</x:f>
        <x:v>Em dia</x:v>
      </x:c>
    </x:row>
    <x:row r="1718">
      <x:c r="A1718" s="13" t="str">
        <x:v>REC-001717</x:v>
      </x:c>
      <x:c r="B1718" s="23" t="n">
        <x:v>46151</x:v>
      </x:c>
      <x:c r="C1718" s="23" t="n">
        <x:v>46158</x:v>
      </x:c>
      <x:c r="D1718" s="23" t="n">
        <x:v>46158</x:v>
      </x:c>
      <x:c r="E1718" s="13" t="str">
        <x:v>VAL-022</x:v>
      </x:c>
      <x:c r="F1718" s="13" t="str">
        <x:v>Academia Evoluir</x:v>
      </x:c>
      <x:c r="G1718" s="13" t="str">
        <x:v>Educação</x:v>
      </x:c>
      <x:c r="H1718" s="13" t="str">
        <x:v>Alto</x:v>
      </x:c>
      <x:c r="I1718" s="13" t="str">
        <x:v>Gestão</x:v>
      </x:c>
      <x:c r="J1718" s="17" t="n">
        <x:v>11751.84</x:v>
      </x:c>
      <x:c r="K1718" s="17" t="n">
        <x:v>0</x:v>
      </x:c>
      <x:c r="L1718" s="17" t="n">
        <x:v>0</x:v>
      </x:c>
      <x:c r="M1718" s="13" t="str">
        <x:v>Pago</x:v>
      </x:c>
      <x:c r="N1718" s="13" t="str">
        <x:v>Sem cobrança</x:v>
      </x:c>
      <x:c r="O1718" s="13" t="str">
        <x:v>Escala inteligente</x:v>
      </x:c>
      <x:c r="P1718" s="17" t="n">
        <x:f>IF(D1718="",0,J1718-K1718+L1718)</x:f>
        <x:v>11751.84</x:v>
      </x:c>
      <x:c r="Q1718" s="17" t="n">
        <x:f>MAX(J1718-P1718-K1718,0)</x:f>
        <x:v>0</x:v>
      </x:c>
      <x:c r="R1718" s="13" t="n">
        <x:f>IF(D1718="",MAX(TODAY()-C1718,0),MAX(D1718-C1718,0))</x:f>
        <x:v>0</x:v>
      </x:c>
      <x:c r="S1718" s="13" t="str">
        <x:f>IF(R1718=0,"Em dia",IF(R1718&lt;=15,"1-15 dias",IF(R1718&lt;=30,"16-30 dias",IF(R1718&lt;=60,"31-60 dias","Acima de 60 dias"))))</x:f>
        <x:v>Em dia</x:v>
      </x:c>
    </x:row>
    <x:row r="1719">
      <x:c r="A1719" s="13" t="str">
        <x:v>REC-001718</x:v>
      </x:c>
      <x:c r="B1719" s="23" t="n">
        <x:v>46149</x:v>
      </x:c>
      <x:c r="C1719" s="23" t="n">
        <x:v>46156</x:v>
      </x:c>
      <x:c r="D1719" s="23" t="n">
        <x:v>46152</x:v>
      </x:c>
      <x:c r="E1719" s="13" t="str">
        <x:v>VAL-029</x:v>
      </x:c>
      <x:c r="F1719" s="13" t="str">
        <x:v>Planobra Serviços</x:v>
      </x:c>
      <x:c r="G1719" s="13" t="str">
        <x:v>Construção</x:v>
      </x:c>
      <x:c r="H1719" s="13" t="str">
        <x:v>Baixo</x:v>
      </x:c>
      <x:c r="I1719" s="13" t="str">
        <x:v>Essencial</x:v>
      </x:c>
      <x:c r="J1719" s="17" t="n">
        <x:v>17296.52</x:v>
      </x:c>
      <x:c r="K1719" s="17" t="n">
        <x:v>0</x:v>
      </x:c>
      <x:c r="L1719" s="17" t="n">
        <x:v>0</x:v>
      </x:c>
      <x:c r="M1719" s="13" t="str">
        <x:v>Pago</x:v>
      </x:c>
      <x:c r="N1719" s="13" t="str">
        <x:v>Sem cobrança</x:v>
      </x:c>
      <x:c r="O1719" s="13" t="str">
        <x:v>Escala inteligente</x:v>
      </x:c>
      <x:c r="P1719" s="17" t="n">
        <x:f>IF(D1719="",0,J1719-K1719+L1719)</x:f>
        <x:v>17296.52</x:v>
      </x:c>
      <x:c r="Q1719" s="17" t="n">
        <x:f>MAX(J1719-P1719-K1719,0)</x:f>
        <x:v>0</x:v>
      </x:c>
      <x:c r="R1719" s="13" t="n">
        <x:f>IF(D1719="",MAX(TODAY()-C1719,0),MAX(D1719-C1719,0))</x:f>
        <x:v>0</x:v>
      </x:c>
      <x:c r="S1719" s="13" t="str">
        <x:f>IF(R1719=0,"Em dia",IF(R1719&lt;=15,"1-15 dias",IF(R1719&lt;=30,"16-30 dias",IF(R1719&lt;=60,"31-60 dias","Acima de 60 dias"))))</x:f>
        <x:v>Em dia</x:v>
      </x:c>
    </x:row>
    <x:row r="1720">
      <x:c r="A1720" s="13" t="str">
        <x:v>REC-001719</x:v>
      </x:c>
      <x:c r="B1720" s="23" t="n">
        <x:v>46162</x:v>
      </x:c>
      <x:c r="C1720" s="23" t="n">
        <x:v>46169</x:v>
      </x:c>
      <x:c r="D1720" s="23" t="n">
        <x:v>46167</x:v>
      </x:c>
      <x:c r="E1720" s="13" t="str">
        <x:v>VAL-030</x:v>
      </x:c>
      <x:c r="F1720" s="13" t="str">
        <x:v>Mundo Kids Cursos</x:v>
      </x:c>
      <x:c r="G1720" s="13" t="str">
        <x:v>Educação</x:v>
      </x:c>
      <x:c r="H1720" s="13" t="str">
        <x:v>Alto</x:v>
      </x:c>
      <x:c r="I1720" s="13" t="str">
        <x:v>Gestão</x:v>
      </x:c>
      <x:c r="J1720" s="17" t="n">
        <x:v>8675.42</x:v>
      </x:c>
      <x:c r="K1720" s="17" t="n">
        <x:v>0</x:v>
      </x:c>
      <x:c r="L1720" s="17" t="n">
        <x:v>0</x:v>
      </x:c>
      <x:c r="M1720" s="13" t="str">
        <x:v>Pago</x:v>
      </x:c>
      <x:c r="N1720" s="13" t="str">
        <x:v>Sem cobrança</x:v>
      </x:c>
      <x:c r="O1720" s="13" t="str">
        <x:v>Escala inteligente</x:v>
      </x:c>
      <x:c r="P1720" s="17" t="n">
        <x:f>IF(D1720="",0,J1720-K1720+L1720)</x:f>
        <x:v>8675.42</x:v>
      </x:c>
      <x:c r="Q1720" s="17" t="n">
        <x:f>MAX(J1720-P1720-K1720,0)</x:f>
        <x:v>0</x:v>
      </x:c>
      <x:c r="R1720" s="13" t="n">
        <x:f>IF(D1720="",MAX(TODAY()-C1720,0),MAX(D1720-C1720,0))</x:f>
        <x:v>0</x:v>
      </x:c>
      <x:c r="S1720" s="13" t="str">
        <x:f>IF(R1720=0,"Em dia",IF(R1720&lt;=15,"1-15 dias",IF(R1720&lt;=30,"16-30 dias",IF(R1720&lt;=60,"31-60 dias","Acima de 60 dias"))))</x:f>
        <x:v>Em dia</x:v>
      </x:c>
    </x:row>
    <x:row r="1721">
      <x:c r="A1721" s="13" t="str">
        <x:v>REC-001720</x:v>
      </x:c>
      <x:c r="B1721" s="23" t="n">
        <x:v>46158</x:v>
      </x:c>
      <x:c r="C1721" s="23" t="n">
        <x:v>46179</x:v>
      </x:c>
      <x:c r="D1721" s="23" t="n">
        <x:v>46177</x:v>
      </x:c>
      <x:c r="E1721" s="13" t="str">
        <x:v>VAL-004</x:v>
      </x:c>
      <x:c r="F1721" s="13" t="str">
        <x:v>NuvemBase Tecnologia</x:v>
      </x:c>
      <x:c r="G1721" s="13" t="str">
        <x:v>Tecnologia</x:v>
      </x:c>
      <x:c r="H1721" s="13" t="str">
        <x:v>Baixo</x:v>
      </x:c>
      <x:c r="I1721" s="13" t="str">
        <x:v>Enterprise</x:v>
      </x:c>
      <x:c r="J1721" s="17" t="n">
        <x:v>16569.06</x:v>
      </x:c>
      <x:c r="K1721" s="17" t="n">
        <x:v>118.31</x:v>
      </x:c>
      <x:c r="L1721" s="17" t="n">
        <x:v>0</x:v>
      </x:c>
      <x:c r="M1721" s="13" t="str">
        <x:v>Pago</x:v>
      </x:c>
      <x:c r="N1721" s="13" t="str">
        <x:v>Sem cobrança</x:v>
      </x:c>
      <x:c r="O1721" s="13" t="str">
        <x:v>Escala inteligente</x:v>
      </x:c>
      <x:c r="P1721" s="17" t="n">
        <x:f>IF(D1721="",0,J1721-K1721+L1721)</x:f>
        <x:v>16450.75</x:v>
      </x:c>
      <x:c r="Q1721" s="17" t="n">
        <x:f>MAX(J1721-P1721-K1721,0)</x:f>
        <x:v>1.3073986337985843e-12</x:v>
      </x:c>
      <x:c r="R1721" s="13" t="n">
        <x:f>IF(D1721="",MAX(TODAY()-C1721,0),MAX(D1721-C1721,0))</x:f>
        <x:v>0</x:v>
      </x:c>
      <x:c r="S1721" s="13" t="str">
        <x:f>IF(R1721=0,"Em dia",IF(R1721&lt;=15,"1-15 dias",IF(R1721&lt;=30,"16-30 dias",IF(R1721&lt;=60,"31-60 dias","Acima de 60 dias"))))</x:f>
        <x:v>Em dia</x:v>
      </x:c>
    </x:row>
    <x:row r="1722">
      <x:c r="A1722" s="13" t="str">
        <x:v>REC-001721</x:v>
      </x:c>
      <x:c r="B1722" s="23" t="n">
        <x:v>46146</x:v>
      </x:c>
      <x:c r="C1722" s="23" t="n">
        <x:v>46176</x:v>
      </x:c>
      <x:c r="D1722" s="23" t="n">
        <x:v>46172</x:v>
      </x:c>
      <x:c r="E1722" s="13" t="str">
        <x:v>VAL-007</x:v>
      </x:c>
      <x:c r="F1722" s="13" t="str">
        <x:v>Loja Prisma Online</x:v>
      </x:c>
      <x:c r="G1722" s="13" t="str">
        <x:v>E-commerce</x:v>
      </x:c>
      <x:c r="H1722" s="13" t="str">
        <x:v>Médio</x:v>
      </x:c>
      <x:c r="I1722" s="13" t="str">
        <x:v>Performance</x:v>
      </x:c>
      <x:c r="J1722" s="17" t="n">
        <x:v>14736.1</x:v>
      </x:c>
      <x:c r="K1722" s="17" t="n">
        <x:v>0</x:v>
      </x:c>
      <x:c r="L1722" s="17" t="n">
        <x:v>0</x:v>
      </x:c>
      <x:c r="M1722" s="13" t="str">
        <x:v>Pago</x:v>
      </x:c>
      <x:c r="N1722" s="13" t="str">
        <x:v>Sem cobrança</x:v>
      </x:c>
      <x:c r="O1722" s="13" t="str">
        <x:v>Escala inteligente</x:v>
      </x:c>
      <x:c r="P1722" s="17" t="n">
        <x:f>IF(D1722="",0,J1722-K1722+L1722)</x:f>
        <x:v>14736.1</x:v>
      </x:c>
      <x:c r="Q1722" s="17" t="n">
        <x:f>MAX(J1722-P1722-K1722,0)</x:f>
        <x:v>0</x:v>
      </x:c>
      <x:c r="R1722" s="13" t="n">
        <x:f>IF(D1722="",MAX(TODAY()-C1722,0),MAX(D1722-C1722,0))</x:f>
        <x:v>0</x:v>
      </x:c>
      <x:c r="S1722" s="13" t="str">
        <x:f>IF(R1722=0,"Em dia",IF(R1722&lt;=15,"1-15 dias",IF(R1722&lt;=30,"16-30 dias",IF(R1722&lt;=60,"31-60 dias","Acima de 60 dias"))))</x:f>
        <x:v>Em dia</x:v>
      </x:c>
    </x:row>
    <x:row r="1723">
      <x:c r="A1723" s="13" t="str">
        <x:v>REC-001722</x:v>
      </x:c>
      <x:c r="B1723" s="23" t="n">
        <x:v>46152</x:v>
      </x:c>
      <x:c r="C1723" s="23" t="n">
        <x:v>46173</x:v>
      </x:c>
      <x:c r="D1723" s="23" t="n">
        <x:v>46173</x:v>
      </x:c>
      <x:c r="E1723" s="13" t="str">
        <x:v>VAL-022</x:v>
      </x:c>
      <x:c r="F1723" s="13" t="str">
        <x:v>Academia Evoluir</x:v>
      </x:c>
      <x:c r="G1723" s="13" t="str">
        <x:v>Educação</x:v>
      </x:c>
      <x:c r="H1723" s="13" t="str">
        <x:v>Alto</x:v>
      </x:c>
      <x:c r="I1723" s="13" t="str">
        <x:v>Gestão</x:v>
      </x:c>
      <x:c r="J1723" s="17" t="n">
        <x:v>18301.35</x:v>
      </x:c>
      <x:c r="K1723" s="17" t="n">
        <x:v>0</x:v>
      </x:c>
      <x:c r="L1723" s="17" t="n">
        <x:v>0</x:v>
      </x:c>
      <x:c r="M1723" s="13" t="str">
        <x:v>Pago</x:v>
      </x:c>
      <x:c r="N1723" s="13" t="str">
        <x:v>Sem cobrança</x:v>
      </x:c>
      <x:c r="O1723" s="13" t="str">
        <x:v>Escala inteligente</x:v>
      </x:c>
      <x:c r="P1723" s="17" t="n">
        <x:f>IF(D1723="",0,J1723-K1723+L1723)</x:f>
        <x:v>18301.35</x:v>
      </x:c>
      <x:c r="Q1723" s="17" t="n">
        <x:f>MAX(J1723-P1723-K1723,0)</x:f>
        <x:v>0</x:v>
      </x:c>
      <x:c r="R1723" s="13" t="n">
        <x:f>IF(D1723="",MAX(TODAY()-C1723,0),MAX(D1723-C1723,0))</x:f>
        <x:v>0</x:v>
      </x:c>
      <x:c r="S1723" s="13" t="str">
        <x:f>IF(R1723=0,"Em dia",IF(R1723&lt;=15,"1-15 dias",IF(R1723&lt;=30,"16-30 dias",IF(R1723&lt;=60,"31-60 dias","Acima de 60 dias"))))</x:f>
        <x:v>Em dia</x:v>
      </x:c>
    </x:row>
    <x:row r="1724">
      <x:c r="A1724" s="13" t="str">
        <x:v>REC-001723</x:v>
      </x:c>
      <x:c r="B1724" s="23" t="n">
        <x:v>46155</x:v>
      </x:c>
      <x:c r="C1724" s="23" t="n">
        <x:v>46170</x:v>
      </x:c>
      <x:c r="D1724" s="23" t="n">
        <x:v>46167</x:v>
      </x:c>
      <x:c r="E1724" s="13" t="str">
        <x:v>VAL-030</x:v>
      </x:c>
      <x:c r="F1724" s="13" t="str">
        <x:v>Mundo Kids Cursos</x:v>
      </x:c>
      <x:c r="G1724" s="13" t="str">
        <x:v>Educação</x:v>
      </x:c>
      <x:c r="H1724" s="13" t="str">
        <x:v>Alto</x:v>
      </x:c>
      <x:c r="I1724" s="13" t="str">
        <x:v>Gestão</x:v>
      </x:c>
      <x:c r="J1724" s="17" t="n">
        <x:v>2446.65</x:v>
      </x:c>
      <x:c r="K1724" s="17" t="n">
        <x:v>0</x:v>
      </x:c>
      <x:c r="L1724" s="17" t="n">
        <x:v>0</x:v>
      </x:c>
      <x:c r="M1724" s="13" t="str">
        <x:v>Pago</x:v>
      </x:c>
      <x:c r="N1724" s="13" t="str">
        <x:v>Sem cobrança</x:v>
      </x:c>
      <x:c r="O1724" s="13" t="str">
        <x:v>Escala inteligente</x:v>
      </x:c>
      <x:c r="P1724" s="17" t="n">
        <x:f>IF(D1724="",0,J1724-K1724+L1724)</x:f>
        <x:v>2446.65</x:v>
      </x:c>
      <x:c r="Q1724" s="17" t="n">
        <x:f>MAX(J1724-P1724-K1724,0)</x:f>
        <x:v>0</x:v>
      </x:c>
      <x:c r="R1724" s="13" t="n">
        <x:f>IF(D1724="",MAX(TODAY()-C1724,0),MAX(D1724-C1724,0))</x:f>
        <x:v>0</x:v>
      </x:c>
      <x:c r="S1724" s="13" t="str">
        <x:f>IF(R1724=0,"Em dia",IF(R1724&lt;=15,"1-15 dias",IF(R1724&lt;=30,"16-30 dias",IF(R1724&lt;=60,"31-60 dias","Acima de 60 dias"))))</x:f>
        <x:v>Em dia</x:v>
      </x:c>
    </x:row>
    <x:row r="1725">
      <x:c r="A1725" s="13" t="str">
        <x:v>REC-001724</x:v>
      </x:c>
      <x:c r="B1725" s="23" t="n">
        <x:v>46154</x:v>
      </x:c>
      <x:c r="C1725" s="23" t="n">
        <x:v>46161</x:v>
      </x:c>
      <x:c r="D1725" s="23" t="n">
        <x:v>46159</x:v>
      </x:c>
      <x:c r="E1725" s="13" t="str">
        <x:v>VAL-012</x:v>
      </x:c>
      <x:c r="F1725" s="13" t="str">
        <x:v>DataFlow Sistemas</x:v>
      </x:c>
      <x:c r="G1725" s="13" t="str">
        <x:v>Tecnologia</x:v>
      </x:c>
      <x:c r="H1725" s="13" t="str">
        <x:v>Médio</x:v>
      </x:c>
      <x:c r="I1725" s="13" t="str">
        <x:v>Enterprise</x:v>
      </x:c>
      <x:c r="J1725" s="17" t="n">
        <x:v>7507.57</x:v>
      </x:c>
      <x:c r="K1725" s="17" t="n">
        <x:v>0</x:v>
      </x:c>
      <x:c r="L1725" s="17" t="n">
        <x:v>0</x:v>
      </x:c>
      <x:c r="M1725" s="13" t="str">
        <x:v>Pago</x:v>
      </x:c>
      <x:c r="N1725" s="13" t="str">
        <x:v>Sem cobrança</x:v>
      </x:c>
      <x:c r="O1725" s="13" t="str">
        <x:v>Escala inteligente</x:v>
      </x:c>
      <x:c r="P1725" s="17" t="n">
        <x:f>IF(D1725="",0,J1725-K1725+L1725)</x:f>
        <x:v>7507.57</x:v>
      </x:c>
      <x:c r="Q1725" s="17" t="n">
        <x:f>MAX(J1725-P1725-K1725,0)</x:f>
        <x:v>0</x:v>
      </x:c>
      <x:c r="R1725" s="13" t="n">
        <x:f>IF(D1725="",MAX(TODAY()-C1725,0),MAX(D1725-C1725,0))</x:f>
        <x:v>0</x:v>
      </x:c>
      <x:c r="S1725" s="13" t="str">
        <x:f>IF(R1725=0,"Em dia",IF(R1725&lt;=15,"1-15 dias",IF(R1725&lt;=30,"16-30 dias",IF(R1725&lt;=60,"31-60 dias","Acima de 60 dias"))))</x:f>
        <x:v>Em dia</x:v>
      </x:c>
    </x:row>
    <x:row r="1726">
      <x:c r="A1726" s="13" t="str">
        <x:v>REC-001725</x:v>
      </x:c>
      <x:c r="B1726" s="23" t="n">
        <x:v>46143</x:v>
      </x:c>
      <x:c r="C1726" s="23" t="n">
        <x:v>46164</x:v>
      </x:c>
      <x:c r="D1726" s="23" t="n">
        <x:v>46160</x:v>
      </x:c>
      <x:c r="E1726" s="13" t="str">
        <x:v>VAL-023</x:v>
      </x:c>
      <x:c r="F1726" s="13" t="str">
        <x:v>ShopMix Brasil</x:v>
      </x:c>
      <x:c r="G1726" s="13" t="str">
        <x:v>E-commerce</x:v>
      </x:c>
      <x:c r="H1726" s="13" t="str">
        <x:v>Baixo</x:v>
      </x:c>
      <x:c r="I1726" s="13" t="str">
        <x:v>Performance</x:v>
      </x:c>
      <x:c r="J1726" s="17" t="n">
        <x:v>30688.07</x:v>
      </x:c>
      <x:c r="K1726" s="17" t="n">
        <x:v>0</x:v>
      </x:c>
      <x:c r="L1726" s="17" t="n">
        <x:v>0</x:v>
      </x:c>
      <x:c r="M1726" s="13" t="str">
        <x:v>Pago</x:v>
      </x:c>
      <x:c r="N1726" s="13" t="str">
        <x:v>Sem cobrança</x:v>
      </x:c>
      <x:c r="O1726" s="13" t="str">
        <x:v>Escala inteligente</x:v>
      </x:c>
      <x:c r="P1726" s="17" t="n">
        <x:f>IF(D1726="",0,J1726-K1726+L1726)</x:f>
        <x:v>30688.07</x:v>
      </x:c>
      <x:c r="Q1726" s="17" t="n">
        <x:f>MAX(J1726-P1726-K1726,0)</x:f>
        <x:v>0</x:v>
      </x:c>
      <x:c r="R1726" s="13" t="n">
        <x:f>IF(D1726="",MAX(TODAY()-C1726,0),MAX(D1726-C1726,0))</x:f>
        <x:v>0</x:v>
      </x:c>
      <x:c r="S1726" s="13" t="str">
        <x:f>IF(R1726=0,"Em dia",IF(R1726&lt;=15,"1-15 dias",IF(R1726&lt;=30,"16-30 dias",IF(R1726&lt;=60,"31-60 dias","Acima de 60 dias"))))</x:f>
        <x:v>Em dia</x:v>
      </x:c>
    </x:row>
    <x:row r="1727">
      <x:c r="A1727" s="13" t="str">
        <x:v>REC-001726</x:v>
      </x:c>
      <x:c r="B1727" s="23" t="n">
        <x:v>46159</x:v>
      </x:c>
      <x:c r="C1727" s="23" t="n">
        <x:v>46166</x:v>
      </x:c>
      <x:c r="D1727" s="23" t="n">
        <x:v>46164</x:v>
      </x:c>
      <x:c r="E1727" s="13" t="str">
        <x:v>VAL-003</x:v>
      </x:c>
      <x:c r="F1727" s="13" t="str">
        <x:v>Casa Nova Varejo</x:v>
      </x:c>
      <x:c r="G1727" s="13" t="str">
        <x:v>Varejo</x:v>
      </x:c>
      <x:c r="H1727" s="13" t="str">
        <x:v>Baixo</x:v>
      </x:c>
      <x:c r="I1727" s="13" t="str">
        <x:v>Performance</x:v>
      </x:c>
      <x:c r="J1727" s="17" t="n">
        <x:v>23058.24</x:v>
      </x:c>
      <x:c r="K1727" s="17" t="n">
        <x:v>0</x:v>
      </x:c>
      <x:c r="L1727" s="17" t="n">
        <x:v>0</x:v>
      </x:c>
      <x:c r="M1727" s="13" t="str">
        <x:v>Pago</x:v>
      </x:c>
      <x:c r="N1727" s="13" t="str">
        <x:v>Sem cobrança</x:v>
      </x:c>
      <x:c r="O1727" s="13" t="str">
        <x:v>Escala inteligente</x:v>
      </x:c>
      <x:c r="P1727" s="17" t="n">
        <x:f>IF(D1727="",0,J1727-K1727+L1727)</x:f>
        <x:v>23058.24</x:v>
      </x:c>
      <x:c r="Q1727" s="17" t="n">
        <x:f>MAX(J1727-P1727-K1727,0)</x:f>
        <x:v>0</x:v>
      </x:c>
      <x:c r="R1727" s="13" t="n">
        <x:f>IF(D1727="",MAX(TODAY()-C1727,0),MAX(D1727-C1727,0))</x:f>
        <x:v>0</x:v>
      </x:c>
      <x:c r="S1727" s="13" t="str">
        <x:f>IF(R1727=0,"Em dia",IF(R1727&lt;=15,"1-15 dias",IF(R1727&lt;=30,"16-30 dias",IF(R1727&lt;=60,"31-60 dias","Acima de 60 dias"))))</x:f>
        <x:v>Em dia</x:v>
      </x:c>
    </x:row>
    <x:row r="1728">
      <x:c r="A1728" s="13" t="str">
        <x:v>REC-001727</x:v>
      </x:c>
      <x:c r="B1728" s="23" t="n">
        <x:v>46158</x:v>
      </x:c>
      <x:c r="C1728" s="23" t="n">
        <x:v>46165</x:v>
      </x:c>
      <x:c r="D1728" s="23" t="n">
        <x:v>46161</x:v>
      </x:c>
      <x:c r="E1728" s="13" t="str">
        <x:v>VAL-010</x:v>
      </x:c>
      <x:c r="F1728" s="13" t="str">
        <x:v>Atlas Contabilidade</x:v>
      </x:c>
      <x:c r="G1728" s="13" t="str">
        <x:v>Serviços Profissionais</x:v>
      </x:c>
      <x:c r="H1728" s="13" t="str">
        <x:v>Baixo</x:v>
      </x:c>
      <x:c r="I1728" s="13" t="str">
        <x:v>Gestão</x:v>
      </x:c>
      <x:c r="J1728" s="17" t="n">
        <x:v>22641.24</x:v>
      </x:c>
      <x:c r="K1728" s="17" t="n">
        <x:v>0</x:v>
      </x:c>
      <x:c r="L1728" s="17" t="n">
        <x:v>0</x:v>
      </x:c>
      <x:c r="M1728" s="13" t="str">
        <x:v>Pago</x:v>
      </x:c>
      <x:c r="N1728" s="13" t="str">
        <x:v>Sem cobrança</x:v>
      </x:c>
      <x:c r="O1728" s="13" t="str">
        <x:v>Escala inteligente</x:v>
      </x:c>
      <x:c r="P1728" s="17" t="n">
        <x:f>IF(D1728="",0,J1728-K1728+L1728)</x:f>
        <x:v>22641.24</x:v>
      </x:c>
      <x:c r="Q1728" s="17" t="n">
        <x:f>MAX(J1728-P1728-K1728,0)</x:f>
        <x:v>0</x:v>
      </x:c>
      <x:c r="R1728" s="13" t="n">
        <x:f>IF(D1728="",MAX(TODAY()-C1728,0),MAX(D1728-C1728,0))</x:f>
        <x:v>0</x:v>
      </x:c>
      <x:c r="S1728" s="13" t="str">
        <x:f>IF(R1728=0,"Em dia",IF(R1728&lt;=15,"1-15 dias",IF(R1728&lt;=30,"16-30 dias",IF(R1728&lt;=60,"31-60 dias","Acima de 60 dias"))))</x:f>
        <x:v>Em dia</x:v>
      </x:c>
    </x:row>
    <x:row r="1729">
      <x:c r="A1729" s="13" t="str">
        <x:v>REC-001728</x:v>
      </x:c>
      <x:c r="B1729" s="23" t="n">
        <x:v>46156</x:v>
      </x:c>
      <x:c r="C1729" s="23" t="n">
        <x:v>46184</x:v>
      </x:c>
      <x:c r="D1729" s="23" t="n">
        <x:v>46196</x:v>
      </x:c>
      <x:c r="E1729" s="13" t="str">
        <x:v>VAL-030</x:v>
      </x:c>
      <x:c r="F1729" s="13" t="str">
        <x:v>Mundo Kids Cursos</x:v>
      </x:c>
      <x:c r="G1729" s="13" t="str">
        <x:v>Educação</x:v>
      </x:c>
      <x:c r="H1729" s="13" t="str">
        <x:v>Alto</x:v>
      </x:c>
      <x:c r="I1729" s="13" t="str">
        <x:v>Gestão</x:v>
      </x:c>
      <x:c r="J1729" s="17" t="n">
        <x:v>11459.93</x:v>
      </x:c>
      <x:c r="K1729" s="17" t="n">
        <x:v>0</x:v>
      </x:c>
      <x:c r="L1729" s="17" t="n">
        <x:v>89.39</x:v>
      </x:c>
      <x:c r="M1729" s="13" t="str">
        <x:v>Pago com atraso</x:v>
      </x:c>
      <x:c r="N1729" s="13" t="str">
        <x:v>Telefone</x:v>
      </x:c>
      <x:c r="O1729" s="13" t="str">
        <x:v>Escala inteligente</x:v>
      </x:c>
      <x:c r="P1729" s="17" t="n">
        <x:f>IF(D1729="",0,J1729-K1729+L1729)</x:f>
        <x:v>11549.32</x:v>
      </x:c>
      <x:c r="Q1729" s="17" t="n">
        <x:f>MAX(J1729-P1729-K1729,0)</x:f>
        <x:v>0</x:v>
      </x:c>
      <x:c r="R1729" s="13" t="n">
        <x:f>IF(D1729="",MAX(TODAY()-C1729,0),MAX(D1729-C1729,0))</x:f>
        <x:v>12</x:v>
      </x:c>
      <x:c r="S1729" s="13" t="str">
        <x:f>IF(R1729=0,"Em dia",IF(R1729&lt;=15,"1-15 dias",IF(R1729&lt;=30,"16-30 dias",IF(R1729&lt;=60,"31-60 dias","Acima de 60 dias"))))</x:f>
        <x:v>1-15 dias</x:v>
      </x:c>
    </x:row>
    <x:row r="1730">
      <x:c r="A1730" s="13" t="str">
        <x:v>REC-001729</x:v>
      </x:c>
      <x:c r="B1730" s="23" t="n">
        <x:v>46153</x:v>
      </x:c>
      <x:c r="C1730" s="23" t="n">
        <x:v>46174</x:v>
      </x:c>
      <x:c r="D1730" s="23" t="n">
        <x:v>46172</x:v>
      </x:c>
      <x:c r="E1730" s="13" t="str">
        <x:v>VAL-020</x:v>
      </x:c>
      <x:c r="F1730" s="13" t="str">
        <x:v>Corelink Digital</x:v>
      </x:c>
      <x:c r="G1730" s="13" t="str">
        <x:v>Tecnologia</x:v>
      </x:c>
      <x:c r="H1730" s="13" t="str">
        <x:v>Baixo</x:v>
      </x:c>
      <x:c r="I1730" s="13" t="str">
        <x:v>Enterprise</x:v>
      </x:c>
      <x:c r="J1730" s="17" t="n">
        <x:v>13732.83</x:v>
      </x:c>
      <x:c r="K1730" s="17" t="n">
        <x:v>0</x:v>
      </x:c>
      <x:c r="L1730" s="17" t="n">
        <x:v>0</x:v>
      </x:c>
      <x:c r="M1730" s="13" t="str">
        <x:v>Pago</x:v>
      </x:c>
      <x:c r="N1730" s="13" t="str">
        <x:v>Sem cobrança</x:v>
      </x:c>
      <x:c r="O1730" s="13" t="str">
        <x:v>Escala inteligente</x:v>
      </x:c>
      <x:c r="P1730" s="17" t="n">
        <x:f>IF(D1730="",0,J1730-K1730+L1730)</x:f>
        <x:v>13732.83</x:v>
      </x:c>
      <x:c r="Q1730" s="17" t="n">
        <x:f>MAX(J1730-P1730-K1730,0)</x:f>
        <x:v>0</x:v>
      </x:c>
      <x:c r="R1730" s="13" t="n">
        <x:f>IF(D1730="",MAX(TODAY()-C1730,0),MAX(D1730-C1730,0))</x:f>
        <x:v>0</x:v>
      </x:c>
      <x:c r="S1730" s="13" t="str">
        <x:f>IF(R1730=0,"Em dia",IF(R1730&lt;=15,"1-15 dias",IF(R1730&lt;=30,"16-30 dias",IF(R1730&lt;=60,"31-60 dias","Acima de 60 dias"))))</x:f>
        <x:v>Em dia</x:v>
      </x:c>
    </x:row>
    <x:row r="1731">
      <x:c r="A1731" s="13" t="str">
        <x:v>REC-001730</x:v>
      </x:c>
      <x:c r="B1731" s="23" t="n">
        <x:v>46156</x:v>
      </x:c>
      <x:c r="C1731" s="23" t="n">
        <x:v>46171</x:v>
      </x:c>
      <x:c r="D1731" s="23" t="n">
        <x:v>46170</x:v>
      </x:c>
      <x:c r="E1731" s="13" t="str">
        <x:v>VAL-001</x:v>
      </x:c>
      <x:c r="F1731" s="13" t="str">
        <x:v>Clínica Horizonte</x:v>
      </x:c>
      <x:c r="G1731" s="13" t="str">
        <x:v>Clínicas e Saúde</x:v>
      </x:c>
      <x:c r="H1731" s="13" t="str">
        <x:v>Baixo</x:v>
      </x:c>
      <x:c r="I1731" s="13" t="str">
        <x:v>Essencial</x:v>
      </x:c>
      <x:c r="J1731" s="17" t="n">
        <x:v>12552.81</x:v>
      </x:c>
      <x:c r="K1731" s="17" t="n">
        <x:v>0</x:v>
      </x:c>
      <x:c r="L1731" s="17" t="n">
        <x:v>0</x:v>
      </x:c>
      <x:c r="M1731" s="13" t="str">
        <x:v>Pago</x:v>
      </x:c>
      <x:c r="N1731" s="13" t="str">
        <x:v>Sem cobrança</x:v>
      </x:c>
      <x:c r="O1731" s="13" t="str">
        <x:v>Escala inteligente</x:v>
      </x:c>
      <x:c r="P1731" s="17" t="n">
        <x:f>IF(D1731="",0,J1731-K1731+L1731)</x:f>
        <x:v>12552.81</x:v>
      </x:c>
      <x:c r="Q1731" s="17" t="n">
        <x:f>MAX(J1731-P1731-K1731,0)</x:f>
        <x:v>0</x:v>
      </x:c>
      <x:c r="R1731" s="13" t="n">
        <x:f>IF(D1731="",MAX(TODAY()-C1731,0),MAX(D1731-C1731,0))</x:f>
        <x:v>0</x:v>
      </x:c>
      <x:c r="S1731" s="13" t="str">
        <x:f>IF(R1731=0,"Em dia",IF(R1731&lt;=15,"1-15 dias",IF(R1731&lt;=30,"16-30 dias",IF(R1731&lt;=60,"31-60 dias","Acima de 60 dias"))))</x:f>
        <x:v>Em dia</x:v>
      </x:c>
    </x:row>
    <x:row r="1732">
      <x:c r="A1732" s="13" t="str">
        <x:v>REC-001731</x:v>
      </x:c>
      <x:c r="B1732" s="23" t="n">
        <x:v>46144</x:v>
      </x:c>
      <x:c r="C1732" s="23" t="n">
        <x:v>46172</x:v>
      </x:c>
      <x:c r="D1732" s="23" t="n">
        <x:v>46170</x:v>
      </x:c>
      <x:c r="E1732" s="13" t="str">
        <x:v>VAL-025</x:v>
      </x:c>
      <x:c r="F1732" s="13" t="str">
        <x:v>Bem-Estar Terapias</x:v>
      </x:c>
      <x:c r="G1732" s="13" t="str">
        <x:v>Clínicas e Saúde</x:v>
      </x:c>
      <x:c r="H1732" s="13" t="str">
        <x:v>Baixo</x:v>
      </x:c>
      <x:c r="I1732" s="13" t="str">
        <x:v>Essencial</x:v>
      </x:c>
      <x:c r="J1732" s="17" t="n">
        <x:v>7677.01</x:v>
      </x:c>
      <x:c r="K1732" s="17" t="n">
        <x:v>0</x:v>
      </x:c>
      <x:c r="L1732" s="17" t="n">
        <x:v>0</x:v>
      </x:c>
      <x:c r="M1732" s="13" t="str">
        <x:v>Pago</x:v>
      </x:c>
      <x:c r="N1732" s="13" t="str">
        <x:v>Sem cobrança</x:v>
      </x:c>
      <x:c r="O1732" s="13" t="str">
        <x:v>Escala inteligente</x:v>
      </x:c>
      <x:c r="P1732" s="17" t="n">
        <x:f>IF(D1732="",0,J1732-K1732+L1732)</x:f>
        <x:v>7677.01</x:v>
      </x:c>
      <x:c r="Q1732" s="17" t="n">
        <x:f>MAX(J1732-P1732-K1732,0)</x:f>
        <x:v>0</x:v>
      </x:c>
      <x:c r="R1732" s="13" t="n">
        <x:f>IF(D1732="",MAX(TODAY()-C1732,0),MAX(D1732-C1732,0))</x:f>
        <x:v>0</x:v>
      </x:c>
      <x:c r="S1732" s="13" t="str">
        <x:f>IF(R1732=0,"Em dia",IF(R1732&lt;=15,"1-15 dias",IF(R1732&lt;=30,"16-30 dias",IF(R1732&lt;=60,"31-60 dias","Acima de 60 dias"))))</x:f>
        <x:v>Em dia</x:v>
      </x:c>
    </x:row>
    <x:row r="1733">
      <x:c r="A1733" s="13" t="str">
        <x:v>REC-001732</x:v>
      </x:c>
      <x:c r="B1733" s="23" t="n">
        <x:v>46159</x:v>
      </x:c>
      <x:c r="C1733" s="23" t="n">
        <x:v>46166</x:v>
      </x:c>
      <x:c r="D1733" s="23" t="n">
        <x:v>46164</x:v>
      </x:c>
      <x:c r="E1733" s="13" t="str">
        <x:v>VAL-013</x:v>
      </x:c>
      <x:c r="F1733" s="13" t="str">
        <x:v>Engenharia Vértice</x:v>
      </x:c>
      <x:c r="G1733" s="13" t="str">
        <x:v>Construção</x:v>
      </x:c>
      <x:c r="H1733" s="13" t="str">
        <x:v>Baixo</x:v>
      </x:c>
      <x:c r="I1733" s="13" t="str">
        <x:v>Essencial</x:v>
      </x:c>
      <x:c r="J1733" s="17" t="n">
        <x:v>22302.42</x:v>
      </x:c>
      <x:c r="K1733" s="17" t="n">
        <x:v>238.51</x:v>
      </x:c>
      <x:c r="L1733" s="17" t="n">
        <x:v>0</x:v>
      </x:c>
      <x:c r="M1733" s="13" t="str">
        <x:v>Pago</x:v>
      </x:c>
      <x:c r="N1733" s="13" t="str">
        <x:v>Sem cobrança</x:v>
      </x:c>
      <x:c r="O1733" s="13" t="str">
        <x:v>Escala inteligente</x:v>
      </x:c>
      <x:c r="P1733" s="17" t="n">
        <x:f>IF(D1733="",0,J1733-K1733+L1733)</x:f>
        <x:v>22063.91</x:v>
      </x:c>
      <x:c r="Q1733" s="17" t="n">
        <x:f>MAX(J1733-P1733-K1733,0)</x:f>
        <x:v>0</x:v>
      </x:c>
      <x:c r="R1733" s="13" t="n">
        <x:f>IF(D1733="",MAX(TODAY()-C1733,0),MAX(D1733-C1733,0))</x:f>
        <x:v>0</x:v>
      </x:c>
      <x:c r="S1733" s="13" t="str">
        <x:f>IF(R1733=0,"Em dia",IF(R1733&lt;=15,"1-15 dias",IF(R1733&lt;=30,"16-30 dias",IF(R1733&lt;=60,"31-60 dias","Acima de 60 dias"))))</x:f>
        <x:v>Em dia</x:v>
      </x:c>
    </x:row>
    <x:row r="1734">
      <x:c r="A1734" s="13" t="str">
        <x:v>REC-001733</x:v>
      </x:c>
      <x:c r="B1734" s="23" t="n">
        <x:v>46144</x:v>
      </x:c>
      <x:c r="C1734" s="23" t="n">
        <x:v>46172</x:v>
      </x:c>
      <x:c r="D1734" s="23" t="n">
        <x:v>46170</x:v>
      </x:c>
      <x:c r="E1734" s="13" t="str">
        <x:v>VAL-017</x:v>
      </x:c>
      <x:c r="F1734" s="13" t="str">
        <x:v>Centro Médico Vida</x:v>
      </x:c>
      <x:c r="G1734" s="13" t="str">
        <x:v>Clínicas e Saúde</x:v>
      </x:c>
      <x:c r="H1734" s="13" t="str">
        <x:v>Baixo</x:v>
      </x:c>
      <x:c r="I1734" s="13" t="str">
        <x:v>Essencial</x:v>
      </x:c>
      <x:c r="J1734" s="17" t="n">
        <x:v>9482.3</x:v>
      </x:c>
      <x:c r="K1734" s="17" t="n">
        <x:v>0</x:v>
      </x:c>
      <x:c r="L1734" s="17" t="n">
        <x:v>0</x:v>
      </x:c>
      <x:c r="M1734" s="13" t="str">
        <x:v>Pago</x:v>
      </x:c>
      <x:c r="N1734" s="13" t="str">
        <x:v>Sem cobrança</x:v>
      </x:c>
      <x:c r="O1734" s="13" t="str">
        <x:v>Escala inteligente</x:v>
      </x:c>
      <x:c r="P1734" s="17" t="n">
        <x:f>IF(D1734="",0,J1734-K1734+L1734)</x:f>
        <x:v>9482.3</x:v>
      </x:c>
      <x:c r="Q1734" s="17" t="n">
        <x:f>MAX(J1734-P1734-K1734,0)</x:f>
        <x:v>0</x:v>
      </x:c>
      <x:c r="R1734" s="13" t="n">
        <x:f>IF(D1734="",MAX(TODAY()-C1734,0),MAX(D1734-C1734,0))</x:f>
        <x:v>0</x:v>
      </x:c>
      <x:c r="S1734" s="13" t="str">
        <x:f>IF(R1734=0,"Em dia",IF(R1734&lt;=15,"1-15 dias",IF(R1734&lt;=30,"16-30 dias",IF(R1734&lt;=60,"31-60 dias","Acima de 60 dias"))))</x:f>
        <x:v>Em dia</x:v>
      </x:c>
    </x:row>
    <x:row r="1735">
      <x:c r="A1735" s="13" t="str">
        <x:v>REC-001734</x:v>
      </x:c>
      <x:c r="B1735" s="23" t="n">
        <x:v>46155</x:v>
      </x:c>
      <x:c r="C1735" s="23" t="n">
        <x:v>46185</x:v>
      </x:c>
      <x:c r="D1735" s="23" t="n">
        <x:v>46181</x:v>
      </x:c>
      <x:c r="E1735" s="13" t="str">
        <x:v>VAL-022</x:v>
      </x:c>
      <x:c r="F1735" s="13" t="str">
        <x:v>Academia Evoluir</x:v>
      </x:c>
      <x:c r="G1735" s="13" t="str">
        <x:v>Educação</x:v>
      </x:c>
      <x:c r="H1735" s="13" t="str">
        <x:v>Alto</x:v>
      </x:c>
      <x:c r="I1735" s="13" t="str">
        <x:v>Gestão</x:v>
      </x:c>
      <x:c r="J1735" s="17" t="n">
        <x:v>11352.3</x:v>
      </x:c>
      <x:c r="K1735" s="17" t="n">
        <x:v>0</x:v>
      </x:c>
      <x:c r="L1735" s="17" t="n">
        <x:v>0</x:v>
      </x:c>
      <x:c r="M1735" s="13" t="str">
        <x:v>Pago</x:v>
      </x:c>
      <x:c r="N1735" s="13" t="str">
        <x:v>Sem cobrança</x:v>
      </x:c>
      <x:c r="O1735" s="13" t="str">
        <x:v>Escala inteligente</x:v>
      </x:c>
      <x:c r="P1735" s="17" t="n">
        <x:f>IF(D1735="",0,J1735-K1735+L1735)</x:f>
        <x:v>11352.3</x:v>
      </x:c>
      <x:c r="Q1735" s="17" t="n">
        <x:f>MAX(J1735-P1735-K1735,0)</x:f>
        <x:v>0</x:v>
      </x:c>
      <x:c r="R1735" s="13" t="n">
        <x:f>IF(D1735="",MAX(TODAY()-C1735,0),MAX(D1735-C1735,0))</x:f>
        <x:v>0</x:v>
      </x:c>
      <x:c r="S1735" s="13" t="str">
        <x:f>IF(R1735=0,"Em dia",IF(R1735&lt;=15,"1-15 dias",IF(R1735&lt;=30,"16-30 dias",IF(R1735&lt;=60,"31-60 dias","Acima de 60 dias"))))</x:f>
        <x:v>Em dia</x:v>
      </x:c>
    </x:row>
    <x:row r="1736">
      <x:c r="A1736" s="13" t="str">
        <x:v>REC-001735</x:v>
      </x:c>
      <x:c r="B1736" s="23" t="n">
        <x:v>46145</x:v>
      </x:c>
      <x:c r="C1736" s="23" t="n">
        <x:v>46160</x:v>
      </x:c>
      <x:c r="D1736" s="23" t="n">
        <x:v>46158</x:v>
      </x:c>
      <x:c r="E1736" s="13" t="str">
        <x:v>VAL-013</x:v>
      </x:c>
      <x:c r="F1736" s="13" t="str">
        <x:v>Engenharia Vértice</x:v>
      </x:c>
      <x:c r="G1736" s="13" t="str">
        <x:v>Construção</x:v>
      </x:c>
      <x:c r="H1736" s="13" t="str">
        <x:v>Baixo</x:v>
      </x:c>
      <x:c r="I1736" s="13" t="str">
        <x:v>Essencial</x:v>
      </x:c>
      <x:c r="J1736" s="17" t="n">
        <x:v>25114.63</x:v>
      </x:c>
      <x:c r="K1736" s="17" t="n">
        <x:v>329.89</x:v>
      </x:c>
      <x:c r="L1736" s="17" t="n">
        <x:v>0</x:v>
      </x:c>
      <x:c r="M1736" s="13" t="str">
        <x:v>Pago</x:v>
      </x:c>
      <x:c r="N1736" s="13" t="str">
        <x:v>Sem cobrança</x:v>
      </x:c>
      <x:c r="O1736" s="13" t="str">
        <x:v>Escala inteligente</x:v>
      </x:c>
      <x:c r="P1736" s="17" t="n">
        <x:f>IF(D1736="",0,J1736-K1736+L1736)</x:f>
        <x:v>24784.74</x:v>
      </x:c>
      <x:c r="Q1736" s="17" t="n">
        <x:f>MAX(J1736-P1736-K1736,0)</x:f>
        <x:v>0</x:v>
      </x:c>
      <x:c r="R1736" s="13" t="n">
        <x:f>IF(D1736="",MAX(TODAY()-C1736,0),MAX(D1736-C1736,0))</x:f>
        <x:v>0</x:v>
      </x:c>
      <x:c r="S1736" s="13" t="str">
        <x:f>IF(R1736=0,"Em dia",IF(R1736&lt;=15,"1-15 dias",IF(R1736&lt;=30,"16-30 dias",IF(R1736&lt;=60,"31-60 dias","Acima de 60 dias"))))</x:f>
        <x:v>Em dia</x:v>
      </x:c>
    </x:row>
    <x:row r="1737">
      <x:c r="A1737" s="13" t="str">
        <x:v>REC-001736</x:v>
      </x:c>
      <x:c r="B1737" s="23" t="n">
        <x:v>46159</x:v>
      </x:c>
      <x:c r="C1737" s="23" t="n">
        <x:v>46189</x:v>
      </x:c>
      <x:c r="D1737" s="23" t="n">
        <x:v>46189</x:v>
      </x:c>
      <x:c r="E1737" s="13" t="str">
        <x:v>VAL-017</x:v>
      </x:c>
      <x:c r="F1737" s="13" t="str">
        <x:v>Centro Médico Vida</x:v>
      </x:c>
      <x:c r="G1737" s="13" t="str">
        <x:v>Clínicas e Saúde</x:v>
      </x:c>
      <x:c r="H1737" s="13" t="str">
        <x:v>Baixo</x:v>
      </x:c>
      <x:c r="I1737" s="13" t="str">
        <x:v>Essencial</x:v>
      </x:c>
      <x:c r="J1737" s="17" t="n">
        <x:v>9974.64</x:v>
      </x:c>
      <x:c r="K1737" s="17" t="n">
        <x:v>0</x:v>
      </x:c>
      <x:c r="L1737" s="17" t="n">
        <x:v>0</x:v>
      </x:c>
      <x:c r="M1737" s="13" t="str">
        <x:v>Pago</x:v>
      </x:c>
      <x:c r="N1737" s="13" t="str">
        <x:v>Sem cobrança</x:v>
      </x:c>
      <x:c r="O1737" s="13" t="str">
        <x:v>Escala inteligente</x:v>
      </x:c>
      <x:c r="P1737" s="17" t="n">
        <x:f>IF(D1737="",0,J1737-K1737+L1737)</x:f>
        <x:v>9974.64</x:v>
      </x:c>
      <x:c r="Q1737" s="17" t="n">
        <x:f>MAX(J1737-P1737-K1737,0)</x:f>
        <x:v>0</x:v>
      </x:c>
      <x:c r="R1737" s="13" t="n">
        <x:f>IF(D1737="",MAX(TODAY()-C1737,0),MAX(D1737-C1737,0))</x:f>
        <x:v>0</x:v>
      </x:c>
      <x:c r="S1737" s="13" t="str">
        <x:f>IF(R1737=0,"Em dia",IF(R1737&lt;=15,"1-15 dias",IF(R1737&lt;=30,"16-30 dias",IF(R1737&lt;=60,"31-60 dias","Acima de 60 dias"))))</x:f>
        <x:v>Em dia</x:v>
      </x:c>
    </x:row>
    <x:row r="1738">
      <x:c r="A1738" s="13" t="str">
        <x:v>REC-001737</x:v>
      </x:c>
      <x:c r="B1738" s="23" t="n">
        <x:v>46157</x:v>
      </x:c>
      <x:c r="C1738" s="23" t="n">
        <x:v>46164</x:v>
      </x:c>
      <x:c r="D1738" s="23" t="n">
        <x:v>46163</x:v>
      </x:c>
      <x:c r="E1738" s="13" t="str">
        <x:v>VAL-029</x:v>
      </x:c>
      <x:c r="F1738" s="13" t="str">
        <x:v>Planobra Serviços</x:v>
      </x:c>
      <x:c r="G1738" s="13" t="str">
        <x:v>Construção</x:v>
      </x:c>
      <x:c r="H1738" s="13" t="str">
        <x:v>Baixo</x:v>
      </x:c>
      <x:c r="I1738" s="13" t="str">
        <x:v>Essencial</x:v>
      </x:c>
      <x:c r="J1738" s="17" t="n">
        <x:v>10055.45</x:v>
      </x:c>
      <x:c r="K1738" s="17" t="n">
        <x:v>0</x:v>
      </x:c>
      <x:c r="L1738" s="17" t="n">
        <x:v>0</x:v>
      </x:c>
      <x:c r="M1738" s="13" t="str">
        <x:v>Pago</x:v>
      </x:c>
      <x:c r="N1738" s="13" t="str">
        <x:v>Sem cobrança</x:v>
      </x:c>
      <x:c r="O1738" s="13" t="str">
        <x:v>Escala inteligente</x:v>
      </x:c>
      <x:c r="P1738" s="17" t="n">
        <x:f>IF(D1738="",0,J1738-K1738+L1738)</x:f>
        <x:v>10055.45</x:v>
      </x:c>
      <x:c r="Q1738" s="17" t="n">
        <x:f>MAX(J1738-P1738-K1738,0)</x:f>
        <x:v>0</x:v>
      </x:c>
      <x:c r="R1738" s="13" t="n">
        <x:f>IF(D1738="",MAX(TODAY()-C1738,0),MAX(D1738-C1738,0))</x:f>
        <x:v>0</x:v>
      </x:c>
      <x:c r="S1738" s="13" t="str">
        <x:f>IF(R1738=0,"Em dia",IF(R1738&lt;=15,"1-15 dias",IF(R1738&lt;=30,"16-30 dias",IF(R1738&lt;=60,"31-60 dias","Acima de 60 dias"))))</x:f>
        <x:v>Em dia</x:v>
      </x:c>
    </x:row>
    <x:row r="1739">
      <x:c r="A1739" s="13" t="str">
        <x:v>REC-001738</x:v>
      </x:c>
      <x:c r="B1739" s="23" t="n">
        <x:v>46156</x:v>
      </x:c>
      <x:c r="C1739" s="23" t="n">
        <x:v>46186</x:v>
      </x:c>
      <x:c r="D1739" s="23" t="n">
        <x:v>46183</x:v>
      </x:c>
      <x:c r="E1739" s="13" t="str">
        <x:v>VAL-001</x:v>
      </x:c>
      <x:c r="F1739" s="13" t="str">
        <x:v>Clínica Horizonte</x:v>
      </x:c>
      <x:c r="G1739" s="13" t="str">
        <x:v>Clínicas e Saúde</x:v>
      </x:c>
      <x:c r="H1739" s="13" t="str">
        <x:v>Baixo</x:v>
      </x:c>
      <x:c r="I1739" s="13" t="str">
        <x:v>Essencial</x:v>
      </x:c>
      <x:c r="J1739" s="17" t="n">
        <x:v>13067.37</x:v>
      </x:c>
      <x:c r="K1739" s="17" t="n">
        <x:v>0</x:v>
      </x:c>
      <x:c r="L1739" s="17" t="n">
        <x:v>0</x:v>
      </x:c>
      <x:c r="M1739" s="13" t="str">
        <x:v>Pago</x:v>
      </x:c>
      <x:c r="N1739" s="13" t="str">
        <x:v>Sem cobrança</x:v>
      </x:c>
      <x:c r="O1739" s="13" t="str">
        <x:v>Escala inteligente</x:v>
      </x:c>
      <x:c r="P1739" s="17" t="n">
        <x:f>IF(D1739="",0,J1739-K1739+L1739)</x:f>
        <x:v>13067.37</x:v>
      </x:c>
      <x:c r="Q1739" s="17" t="n">
        <x:f>MAX(J1739-P1739-K1739,0)</x:f>
        <x:v>0</x:v>
      </x:c>
      <x:c r="R1739" s="13" t="n">
        <x:f>IF(D1739="",MAX(TODAY()-C1739,0),MAX(D1739-C1739,0))</x:f>
        <x:v>0</x:v>
      </x:c>
      <x:c r="S1739" s="13" t="str">
        <x:f>IF(R1739=0,"Em dia",IF(R1739&lt;=15,"1-15 dias",IF(R1739&lt;=30,"16-30 dias",IF(R1739&lt;=60,"31-60 dias","Acima de 60 dias"))))</x:f>
        <x:v>Em dia</x:v>
      </x:c>
    </x:row>
    <x:row r="1740">
      <x:c r="A1740" s="13" t="str">
        <x:v>REC-001739</x:v>
      </x:c>
      <x:c r="B1740" s="23" t="n">
        <x:v>46155</x:v>
      </x:c>
      <x:c r="C1740" s="23" t="n">
        <x:v>46176</x:v>
      </x:c>
      <x:c r="D1740" s="23" t="n">
        <x:v>46173</x:v>
      </x:c>
      <x:c r="E1740" s="13" t="str">
        <x:v>VAL-007</x:v>
      </x:c>
      <x:c r="F1740" s="13" t="str">
        <x:v>Loja Prisma Online</x:v>
      </x:c>
      <x:c r="G1740" s="13" t="str">
        <x:v>E-commerce</x:v>
      </x:c>
      <x:c r="H1740" s="13" t="str">
        <x:v>Médio</x:v>
      </x:c>
      <x:c r="I1740" s="13" t="str">
        <x:v>Performance</x:v>
      </x:c>
      <x:c r="J1740" s="17" t="n">
        <x:v>22912.07</x:v>
      </x:c>
      <x:c r="K1740" s="17" t="n">
        <x:v>0</x:v>
      </x:c>
      <x:c r="L1740" s="17" t="n">
        <x:v>0</x:v>
      </x:c>
      <x:c r="M1740" s="13" t="str">
        <x:v>Pago</x:v>
      </x:c>
      <x:c r="N1740" s="13" t="str">
        <x:v>Sem cobrança</x:v>
      </x:c>
      <x:c r="O1740" s="13" t="str">
        <x:v>Escala inteligente</x:v>
      </x:c>
      <x:c r="P1740" s="17" t="n">
        <x:f>IF(D1740="",0,J1740-K1740+L1740)</x:f>
        <x:v>22912.07</x:v>
      </x:c>
      <x:c r="Q1740" s="17" t="n">
        <x:f>MAX(J1740-P1740-K1740,0)</x:f>
        <x:v>0</x:v>
      </x:c>
      <x:c r="R1740" s="13" t="n">
        <x:f>IF(D1740="",MAX(TODAY()-C1740,0),MAX(D1740-C1740,0))</x:f>
        <x:v>0</x:v>
      </x:c>
      <x:c r="S1740" s="13" t="str">
        <x:f>IF(R1740=0,"Em dia",IF(R1740&lt;=15,"1-15 dias",IF(R1740&lt;=30,"16-30 dias",IF(R1740&lt;=60,"31-60 dias","Acima de 60 dias"))))</x:f>
        <x:v>Em dia</x:v>
      </x:c>
    </x:row>
    <x:row r="1741">
      <x:c r="A1741" s="13" t="str">
        <x:v>REC-001740</x:v>
      </x:c>
      <x:c r="B1741" s="23" t="n">
        <x:v>46159</x:v>
      </x:c>
      <x:c r="C1741" s="23" t="n">
        <x:v>46174</x:v>
      </x:c>
      <x:c r="D1741" s="23" t="n">
        <x:v>46173</x:v>
      </x:c>
      <x:c r="E1741" s="13" t="str">
        <x:v>VAL-030</x:v>
      </x:c>
      <x:c r="F1741" s="13" t="str">
        <x:v>Mundo Kids Cursos</x:v>
      </x:c>
      <x:c r="G1741" s="13" t="str">
        <x:v>Educação</x:v>
      </x:c>
      <x:c r="H1741" s="13" t="str">
        <x:v>Alto</x:v>
      </x:c>
      <x:c r="I1741" s="13" t="str">
        <x:v>Gestão</x:v>
      </x:c>
      <x:c r="J1741" s="17" t="n">
        <x:v>4908.87</x:v>
      </x:c>
      <x:c r="K1741" s="17" t="n">
        <x:v>38.84</x:v>
      </x:c>
      <x:c r="L1741" s="17" t="n">
        <x:v>0</x:v>
      </x:c>
      <x:c r="M1741" s="13" t="str">
        <x:v>Pago</x:v>
      </x:c>
      <x:c r="N1741" s="13" t="str">
        <x:v>Sem cobrança</x:v>
      </x:c>
      <x:c r="O1741" s="13" t="str">
        <x:v>Escala inteligente</x:v>
      </x:c>
      <x:c r="P1741" s="17" t="n">
        <x:f>IF(D1741="",0,J1741-K1741+L1741)</x:f>
        <x:v>4870.03</x:v>
      </x:c>
      <x:c r="Q1741" s="17" t="n">
        <x:f>MAX(J1741-P1741-K1741,0)</x:f>
        <x:v>1.4210854715202004e-13</x:v>
      </x:c>
      <x:c r="R1741" s="13" t="n">
        <x:f>IF(D1741="",MAX(TODAY()-C1741,0),MAX(D1741-C1741,0))</x:f>
        <x:v>0</x:v>
      </x:c>
      <x:c r="S1741" s="13" t="str">
        <x:f>IF(R1741=0,"Em dia",IF(R1741&lt;=15,"1-15 dias",IF(R1741&lt;=30,"16-30 dias",IF(R1741&lt;=60,"31-60 dias","Acima de 60 dias"))))</x:f>
        <x:v>Em dia</x:v>
      </x:c>
    </x:row>
    <x:row r="1742">
      <x:c r="A1742" s="13" t="str">
        <x:v>REC-001741</x:v>
      </x:c>
      <x:c r="B1742" s="23" t="n">
        <x:v>46177</x:v>
      </x:c>
      <x:c r="C1742" s="23" t="n">
        <x:v>46184</x:v>
      </x:c>
      <x:c r="D1742" s="23" t="n">
        <x:v>46180</x:v>
      </x:c>
      <x:c r="E1742" s="13" t="str">
        <x:v>VAL-016</x:v>
      </x:c>
      <x:c r="F1742" s="13" t="str">
        <x:v>Lumina Embalagens</x:v>
      </x:c>
      <x:c r="G1742" s="13" t="str">
        <x:v>Indústria Leve</x:v>
      </x:c>
      <x:c r="H1742" s="13" t="str">
        <x:v>Baixo</x:v>
      </x:c>
      <x:c r="I1742" s="13" t="str">
        <x:v>Enterprise</x:v>
      </x:c>
      <x:c r="J1742" s="17" t="n">
        <x:v>29338.81</x:v>
      </x:c>
      <x:c r="K1742" s="17" t="n">
        <x:v>467.72</x:v>
      </x:c>
      <x:c r="L1742" s="17" t="n">
        <x:v>0</x:v>
      </x:c>
      <x:c r="M1742" s="13" t="str">
        <x:v>Pago</x:v>
      </x:c>
      <x:c r="N1742" s="13" t="str">
        <x:v>Sem cobrança</x:v>
      </x:c>
      <x:c r="O1742" s="13" t="str">
        <x:v>Escala inteligente</x:v>
      </x:c>
      <x:c r="P1742" s="17" t="n">
        <x:f>IF(D1742="",0,J1742-K1742+L1742)</x:f>
        <x:v>28871.09</x:v>
      </x:c>
      <x:c r="Q1742" s="17" t="n">
        <x:f>MAX(J1742-P1742-K1742,0)</x:f>
        <x:v>1.1368683772161603e-12</x:v>
      </x:c>
      <x:c r="R1742" s="13" t="n">
        <x:f>IF(D1742="",MAX(TODAY()-C1742,0),MAX(D1742-C1742,0))</x:f>
        <x:v>0</x:v>
      </x:c>
      <x:c r="S1742" s="13" t="str">
        <x:f>IF(R1742=0,"Em dia",IF(R1742&lt;=15,"1-15 dias",IF(R1742&lt;=30,"16-30 dias",IF(R1742&lt;=60,"31-60 dias","Acima de 60 dias"))))</x:f>
        <x:v>Em dia</x:v>
      </x:c>
    </x:row>
    <x:row r="1743">
      <x:c r="A1743" s="13" t="str">
        <x:v>REC-001742</x:v>
      </x:c>
      <x:c r="B1743" s="23" t="n">
        <x:v>46183</x:v>
      </x:c>
      <x:c r="C1743" s="23" t="n">
        <x:v>46213</x:v>
      </x:c>
      <x:c r="D1743" s="23" t="n">
        <x:v>46211</x:v>
      </x:c>
      <x:c r="E1743" s="13" t="str">
        <x:v>VAL-012</x:v>
      </x:c>
      <x:c r="F1743" s="13" t="str">
        <x:v>DataFlow Sistemas</x:v>
      </x:c>
      <x:c r="G1743" s="13" t="str">
        <x:v>Tecnologia</x:v>
      </x:c>
      <x:c r="H1743" s="13" t="str">
        <x:v>Médio</x:v>
      </x:c>
      <x:c r="I1743" s="13" t="str">
        <x:v>Enterprise</x:v>
      </x:c>
      <x:c r="J1743" s="17" t="n">
        <x:v>1754.36</x:v>
      </x:c>
      <x:c r="K1743" s="17" t="n">
        <x:v>0</x:v>
      </x:c>
      <x:c r="L1743" s="17" t="n">
        <x:v>0</x:v>
      </x:c>
      <x:c r="M1743" s="13" t="str">
        <x:v>Pago</x:v>
      </x:c>
      <x:c r="N1743" s="13" t="str">
        <x:v>Sem cobrança</x:v>
      </x:c>
      <x:c r="O1743" s="13" t="str">
        <x:v>Escala inteligente</x:v>
      </x:c>
      <x:c r="P1743" s="17" t="n">
        <x:f>IF(D1743="",0,J1743-K1743+L1743)</x:f>
        <x:v>1754.36</x:v>
      </x:c>
      <x:c r="Q1743" s="17" t="n">
        <x:f>MAX(J1743-P1743-K1743,0)</x:f>
        <x:v>0</x:v>
      </x:c>
      <x:c r="R1743" s="13" t="n">
        <x:f>IF(D1743="",MAX(TODAY()-C1743,0),MAX(D1743-C1743,0))</x:f>
        <x:v>0</x:v>
      </x:c>
      <x:c r="S1743" s="13" t="str">
        <x:f>IF(R1743=0,"Em dia",IF(R1743&lt;=15,"1-15 dias",IF(R1743&lt;=30,"16-30 dias",IF(R1743&lt;=60,"31-60 dias","Acima de 60 dias"))))</x:f>
        <x:v>Em dia</x:v>
      </x:c>
    </x:row>
    <x:row r="1744">
      <x:c r="A1744" s="13" t="str">
        <x:v>REC-001743</x:v>
      </x:c>
      <x:c r="B1744" s="23" t="n">
        <x:v>46175</x:v>
      </x:c>
      <x:c r="C1744" s="23" t="n">
        <x:v>46182</x:v>
      </x:c>
      <x:c r="D1744" s="23" t="n">
        <x:v>46180</x:v>
      </x:c>
      <x:c r="E1744" s="13" t="str">
        <x:v>VAL-014</x:v>
      </x:c>
      <x:c r="F1744" s="13" t="str">
        <x:v>Colégio Caminhos</x:v>
      </x:c>
      <x:c r="G1744" s="13" t="str">
        <x:v>Educação</x:v>
      </x:c>
      <x:c r="H1744" s="13" t="str">
        <x:v>Médio</x:v>
      </x:c>
      <x:c r="I1744" s="13" t="str">
        <x:v>Gestão</x:v>
      </x:c>
      <x:c r="J1744" s="17" t="n">
        <x:v>22430.38</x:v>
      </x:c>
      <x:c r="K1744" s="17" t="n">
        <x:v>0</x:v>
      </x:c>
      <x:c r="L1744" s="17" t="n">
        <x:v>0</x:v>
      </x:c>
      <x:c r="M1744" s="13" t="str">
        <x:v>Pago</x:v>
      </x:c>
      <x:c r="N1744" s="13" t="str">
        <x:v>Sem cobrança</x:v>
      </x:c>
      <x:c r="O1744" s="13" t="str">
        <x:v>Escala inteligente</x:v>
      </x:c>
      <x:c r="P1744" s="17" t="n">
        <x:f>IF(D1744="",0,J1744-K1744+L1744)</x:f>
        <x:v>22430.38</x:v>
      </x:c>
      <x:c r="Q1744" s="17" t="n">
        <x:f>MAX(J1744-P1744-K1744,0)</x:f>
        <x:v>0</x:v>
      </x:c>
      <x:c r="R1744" s="13" t="n">
        <x:f>IF(D1744="",MAX(TODAY()-C1744,0),MAX(D1744-C1744,0))</x:f>
        <x:v>0</x:v>
      </x:c>
      <x:c r="S1744" s="13" t="str">
        <x:f>IF(R1744=0,"Em dia",IF(R1744&lt;=15,"1-15 dias",IF(R1744&lt;=30,"16-30 dias",IF(R1744&lt;=60,"31-60 dias","Acima de 60 dias"))))</x:f>
        <x:v>Em dia</x:v>
      </x:c>
    </x:row>
    <x:row r="1745">
      <x:c r="A1745" s="13" t="str">
        <x:v>REC-001744</x:v>
      </x:c>
      <x:c r="B1745" s="23" t="n">
        <x:v>46175</x:v>
      </x:c>
      <x:c r="C1745" s="23" t="n">
        <x:v>46203</x:v>
      </x:c>
      <x:c r="D1745" s="23" t="n">
        <x:v>46200</x:v>
      </x:c>
      <x:c r="E1745" s="13" t="str">
        <x:v>VAL-007</x:v>
      </x:c>
      <x:c r="F1745" s="13" t="str">
        <x:v>Loja Prisma Online</x:v>
      </x:c>
      <x:c r="G1745" s="13" t="str">
        <x:v>E-commerce</x:v>
      </x:c>
      <x:c r="H1745" s="13" t="str">
        <x:v>Médio</x:v>
      </x:c>
      <x:c r="I1745" s="13" t="str">
        <x:v>Performance</x:v>
      </x:c>
      <x:c r="J1745" s="17" t="n">
        <x:v>20236.63</x:v>
      </x:c>
      <x:c r="K1745" s="17" t="n">
        <x:v>0</x:v>
      </x:c>
      <x:c r="L1745" s="17" t="n">
        <x:v>0</x:v>
      </x:c>
      <x:c r="M1745" s="13" t="str">
        <x:v>Pago</x:v>
      </x:c>
      <x:c r="N1745" s="13" t="str">
        <x:v>Sem cobrança</x:v>
      </x:c>
      <x:c r="O1745" s="13" t="str">
        <x:v>Escala inteligente</x:v>
      </x:c>
      <x:c r="P1745" s="17" t="n">
        <x:f>IF(D1745="",0,J1745-K1745+L1745)</x:f>
        <x:v>20236.63</x:v>
      </x:c>
      <x:c r="Q1745" s="17" t="n">
        <x:f>MAX(J1745-P1745-K1745,0)</x:f>
        <x:v>0</x:v>
      </x:c>
      <x:c r="R1745" s="13" t="n">
        <x:f>IF(D1745="",MAX(TODAY()-C1745,0),MAX(D1745-C1745,0))</x:f>
        <x:v>0</x:v>
      </x:c>
      <x:c r="S1745" s="13" t="str">
        <x:f>IF(R1745=0,"Em dia",IF(R1745&lt;=15,"1-15 dias",IF(R1745&lt;=30,"16-30 dias",IF(R1745&lt;=60,"31-60 dias","Acima de 60 dias"))))</x:f>
        <x:v>Em dia</x:v>
      </x:c>
    </x:row>
    <x:row r="1746">
      <x:c r="A1746" s="13" t="str">
        <x:v>REC-001745</x:v>
      </x:c>
      <x:c r="B1746" s="23" t="n">
        <x:v>46192</x:v>
      </x:c>
      <x:c r="C1746" s="23" t="n">
        <x:v>46220</x:v>
      </x:c>
      <x:c r="D1746" s="23" t="n">
        <x:v>46218</x:v>
      </x:c>
      <x:c r="E1746" s="13" t="str">
        <x:v>VAL-005</x:v>
      </x:c>
      <x:c r="F1746" s="13" t="str">
        <x:v>Construtora Alameda</x:v>
      </x:c>
      <x:c r="G1746" s="13" t="str">
        <x:v>Construção</x:v>
      </x:c>
      <x:c r="H1746" s="13" t="str">
        <x:v>Médio</x:v>
      </x:c>
      <x:c r="I1746" s="13" t="str">
        <x:v>Essencial</x:v>
      </x:c>
      <x:c r="J1746" s="17" t="n">
        <x:v>21202.12</x:v>
      </x:c>
      <x:c r="K1746" s="17" t="n">
        <x:v>0</x:v>
      </x:c>
      <x:c r="L1746" s="17" t="n">
        <x:v>0</x:v>
      </x:c>
      <x:c r="M1746" s="13" t="str">
        <x:v>Pago</x:v>
      </x:c>
      <x:c r="N1746" s="13" t="str">
        <x:v>Sem cobrança</x:v>
      </x:c>
      <x:c r="O1746" s="13" t="str">
        <x:v>Escala inteligente</x:v>
      </x:c>
      <x:c r="P1746" s="17" t="n">
        <x:f>IF(D1746="",0,J1746-K1746+L1746)</x:f>
        <x:v>21202.12</x:v>
      </x:c>
      <x:c r="Q1746" s="17" t="n">
        <x:f>MAX(J1746-P1746-K1746,0)</x:f>
        <x:v>0</x:v>
      </x:c>
      <x:c r="R1746" s="13" t="n">
        <x:f>IF(D1746="",MAX(TODAY()-C1746,0),MAX(D1746-C1746,0))</x:f>
        <x:v>0</x:v>
      </x:c>
      <x:c r="S1746" s="13" t="str">
        <x:f>IF(R1746=0,"Em dia",IF(R1746&lt;=15,"1-15 dias",IF(R1746&lt;=30,"16-30 dias",IF(R1746&lt;=60,"31-60 dias","Acima de 60 dias"))))</x:f>
        <x:v>Em dia</x:v>
      </x:c>
    </x:row>
    <x:row r="1747">
      <x:c r="A1747" s="13" t="str">
        <x:v>REC-001746</x:v>
      </x:c>
      <x:c r="B1747" s="23" t="n">
        <x:v>46176</x:v>
      </x:c>
      <x:c r="C1747" s="23" t="n">
        <x:v>46183</x:v>
      </x:c>
      <x:c r="D1747" s="23" t="n">
        <x:v>46182</x:v>
      </x:c>
      <x:c r="E1747" s="13" t="str">
        <x:v>VAL-023</x:v>
      </x:c>
      <x:c r="F1747" s="13" t="str">
        <x:v>ShopMix Brasil</x:v>
      </x:c>
      <x:c r="G1747" s="13" t="str">
        <x:v>E-commerce</x:v>
      </x:c>
      <x:c r="H1747" s="13" t="str">
        <x:v>Baixo</x:v>
      </x:c>
      <x:c r="I1747" s="13" t="str">
        <x:v>Performance</x:v>
      </x:c>
      <x:c r="J1747" s="17" t="n">
        <x:v>16223.47</x:v>
      </x:c>
      <x:c r="K1747" s="17" t="n">
        <x:v>0</x:v>
      </x:c>
      <x:c r="L1747" s="17" t="n">
        <x:v>0</x:v>
      </x:c>
      <x:c r="M1747" s="13" t="str">
        <x:v>Pago</x:v>
      </x:c>
      <x:c r="N1747" s="13" t="str">
        <x:v>Sem cobrança</x:v>
      </x:c>
      <x:c r="O1747" s="13" t="str">
        <x:v>Escala inteligente</x:v>
      </x:c>
      <x:c r="P1747" s="17" t="n">
        <x:f>IF(D1747="",0,J1747-K1747+L1747)</x:f>
        <x:v>16223.47</x:v>
      </x:c>
      <x:c r="Q1747" s="17" t="n">
        <x:f>MAX(J1747-P1747-K1747,0)</x:f>
        <x:v>0</x:v>
      </x:c>
      <x:c r="R1747" s="13" t="n">
        <x:f>IF(D1747="",MAX(TODAY()-C1747,0),MAX(D1747-C1747,0))</x:f>
        <x:v>0</x:v>
      </x:c>
      <x:c r="S1747" s="13" t="str">
        <x:f>IF(R1747=0,"Em dia",IF(R1747&lt;=15,"1-15 dias",IF(R1747&lt;=30,"16-30 dias",IF(R1747&lt;=60,"31-60 dias","Acima de 60 dias"))))</x:f>
        <x:v>Em dia</x:v>
      </x:c>
    </x:row>
    <x:row r="1748">
      <x:c r="A1748" s="13" t="str">
        <x:v>REC-001747</x:v>
      </x:c>
      <x:c r="B1748" s="23" t="n">
        <x:v>46192</x:v>
      </x:c>
      <x:c r="C1748" s="23" t="n">
        <x:v>46222</x:v>
      </x:c>
      <x:c r="D1748" s="23" t="n">
        <x:v>46218</x:v>
      </x:c>
      <x:c r="E1748" s="13" t="str">
        <x:v>VAL-021</x:v>
      </x:c>
      <x:c r="F1748" s="13" t="str">
        <x:v>Base Forte Obras</x:v>
      </x:c>
      <x:c r="G1748" s="13" t="str">
        <x:v>Construção</x:v>
      </x:c>
      <x:c r="H1748" s="13" t="str">
        <x:v>Médio</x:v>
      </x:c>
      <x:c r="I1748" s="13" t="str">
        <x:v>Essencial</x:v>
      </x:c>
      <x:c r="J1748" s="17" t="n">
        <x:v>5556.13</x:v>
      </x:c>
      <x:c r="K1748" s="17" t="n">
        <x:v>0</x:v>
      </x:c>
      <x:c r="L1748" s="17" t="n">
        <x:v>0</x:v>
      </x:c>
      <x:c r="M1748" s="13" t="str">
        <x:v>Pago</x:v>
      </x:c>
      <x:c r="N1748" s="13" t="str">
        <x:v>Sem cobrança</x:v>
      </x:c>
      <x:c r="O1748" s="13" t="str">
        <x:v>Escala inteligente</x:v>
      </x:c>
      <x:c r="P1748" s="17" t="n">
        <x:f>IF(D1748="",0,J1748-K1748+L1748)</x:f>
        <x:v>5556.13</x:v>
      </x:c>
      <x:c r="Q1748" s="17" t="n">
        <x:f>MAX(J1748-P1748-K1748,0)</x:f>
        <x:v>0</x:v>
      </x:c>
      <x:c r="R1748" s="13" t="n">
        <x:f>IF(D1748="",MAX(TODAY()-C1748,0),MAX(D1748-C1748,0))</x:f>
        <x:v>0</x:v>
      </x:c>
      <x:c r="S1748" s="13" t="str">
        <x:f>IF(R1748=0,"Em dia",IF(R1748&lt;=15,"1-15 dias",IF(R1748&lt;=30,"16-30 dias",IF(R1748&lt;=60,"31-60 dias","Acima de 60 dias"))))</x:f>
        <x:v>Em dia</x:v>
      </x:c>
    </x:row>
    <x:row r="1749">
      <x:c r="A1749" s="13" t="str">
        <x:v>REC-001748</x:v>
      </x:c>
      <x:c r="B1749" s="23" t="n">
        <x:v>46189</x:v>
      </x:c>
      <x:c r="C1749" s="23" t="n">
        <x:v>46217</x:v>
      </x:c>
      <x:c r="D1749" s="23" t="n">
        <x:v>46215</x:v>
      </x:c>
      <x:c r="E1749" s="13" t="str">
        <x:v>VAL-010</x:v>
      </x:c>
      <x:c r="F1749" s="13" t="str">
        <x:v>Atlas Contabilidade</x:v>
      </x:c>
      <x:c r="G1749" s="13" t="str">
        <x:v>Serviços Profissionais</x:v>
      </x:c>
      <x:c r="H1749" s="13" t="str">
        <x:v>Baixo</x:v>
      </x:c>
      <x:c r="I1749" s="13" t="str">
        <x:v>Gestão</x:v>
      </x:c>
      <x:c r="J1749" s="17" t="n">
        <x:v>10538.2</x:v>
      </x:c>
      <x:c r="K1749" s="17" t="n">
        <x:v>0</x:v>
      </x:c>
      <x:c r="L1749" s="17" t="n">
        <x:v>0</x:v>
      </x:c>
      <x:c r="M1749" s="13" t="str">
        <x:v>Pago</x:v>
      </x:c>
      <x:c r="N1749" s="13" t="str">
        <x:v>Sem cobrança</x:v>
      </x:c>
      <x:c r="O1749" s="13" t="str">
        <x:v>Escala inteligente</x:v>
      </x:c>
      <x:c r="P1749" s="17" t="n">
        <x:f>IF(D1749="",0,J1749-K1749+L1749)</x:f>
        <x:v>10538.2</x:v>
      </x:c>
      <x:c r="Q1749" s="17" t="n">
        <x:f>MAX(J1749-P1749-K1749,0)</x:f>
        <x:v>0</x:v>
      </x:c>
      <x:c r="R1749" s="13" t="n">
        <x:f>IF(D1749="",MAX(TODAY()-C1749,0),MAX(D1749-C1749,0))</x:f>
        <x:v>0</x:v>
      </x:c>
      <x:c r="S1749" s="13" t="str">
        <x:f>IF(R1749=0,"Em dia",IF(R1749&lt;=15,"1-15 dias",IF(R1749&lt;=30,"16-30 dias",IF(R1749&lt;=60,"31-60 dias","Acima de 60 dias"))))</x:f>
        <x:v>Em dia</x:v>
      </x:c>
    </x:row>
    <x:row r="1750">
      <x:c r="A1750" s="13" t="str">
        <x:v>REC-001749</x:v>
      </x:c>
      <x:c r="B1750" s="23" t="n">
        <x:v>46193</x:v>
      </x:c>
      <x:c r="C1750" s="23" t="n">
        <x:v>46200</x:v>
      </x:c>
      <x:c r="D1750" s="23" t="n">
        <x:v>46196</x:v>
      </x:c>
      <x:c r="E1750" s="13" t="str">
        <x:v>VAL-029</x:v>
      </x:c>
      <x:c r="F1750" s="13" t="str">
        <x:v>Planobra Serviços</x:v>
      </x:c>
      <x:c r="G1750" s="13" t="str">
        <x:v>Construção</x:v>
      </x:c>
      <x:c r="H1750" s="13" t="str">
        <x:v>Baixo</x:v>
      </x:c>
      <x:c r="I1750" s="13" t="str">
        <x:v>Essencial</x:v>
      </x:c>
      <x:c r="J1750" s="17" t="n">
        <x:v>16765.6</x:v>
      </x:c>
      <x:c r="K1750" s="17" t="n">
        <x:v>251.09</x:v>
      </x:c>
      <x:c r="L1750" s="17" t="n">
        <x:v>0</x:v>
      </x:c>
      <x:c r="M1750" s="13" t="str">
        <x:v>Pago</x:v>
      </x:c>
      <x:c r="N1750" s="13" t="str">
        <x:v>Sem cobrança</x:v>
      </x:c>
      <x:c r="O1750" s="13" t="str">
        <x:v>Escala inteligente</x:v>
      </x:c>
      <x:c r="P1750" s="17" t="n">
        <x:f>IF(D1750="",0,J1750-K1750+L1750)</x:f>
        <x:v>16514.51</x:v>
      </x:c>
      <x:c r="Q1750" s="17" t="n">
        <x:f>MAX(J1750-P1750-K1750,0)</x:f>
        <x:v>1.4210854715202004e-13</x:v>
      </x:c>
      <x:c r="R1750" s="13" t="n">
        <x:f>IF(D1750="",MAX(TODAY()-C1750,0),MAX(D1750-C1750,0))</x:f>
        <x:v>0</x:v>
      </x:c>
      <x:c r="S1750" s="13" t="str">
        <x:f>IF(R1750=0,"Em dia",IF(R1750&lt;=15,"1-15 dias",IF(R1750&lt;=30,"16-30 dias",IF(R1750&lt;=60,"31-60 dias","Acima de 60 dias"))))</x:f>
        <x:v>Em dia</x:v>
      </x:c>
    </x:row>
    <x:row r="1751">
      <x:c r="A1751" s="13" t="str">
        <x:v>REC-001750</x:v>
      </x:c>
      <x:c r="B1751" s="23" t="n">
        <x:v>46180</x:v>
      </x:c>
      <x:c r="C1751" s="23" t="n">
        <x:v>46201</x:v>
      </x:c>
      <x:c r="D1751" s="23" t="n">
        <x:v>46199</x:v>
      </x:c>
      <x:c r="E1751" s="13" t="str">
        <x:v>VAL-030</x:v>
      </x:c>
      <x:c r="F1751" s="13" t="str">
        <x:v>Mundo Kids Cursos</x:v>
      </x:c>
      <x:c r="G1751" s="13" t="str">
        <x:v>Educação</x:v>
      </x:c>
      <x:c r="H1751" s="13" t="str">
        <x:v>Alto</x:v>
      </x:c>
      <x:c r="I1751" s="13" t="str">
        <x:v>Gestão</x:v>
      </x:c>
      <x:c r="J1751" s="17" t="n">
        <x:v>23253.95</x:v>
      </x:c>
      <x:c r="K1751" s="17" t="n">
        <x:v>0</x:v>
      </x:c>
      <x:c r="L1751" s="17" t="n">
        <x:v>0</x:v>
      </x:c>
      <x:c r="M1751" s="13" t="str">
        <x:v>Pago</x:v>
      </x:c>
      <x:c r="N1751" s="13" t="str">
        <x:v>Sem cobrança</x:v>
      </x:c>
      <x:c r="O1751" s="13" t="str">
        <x:v>Escala inteligente</x:v>
      </x:c>
      <x:c r="P1751" s="17" t="n">
        <x:f>IF(D1751="",0,J1751-K1751+L1751)</x:f>
        <x:v>23253.95</x:v>
      </x:c>
      <x:c r="Q1751" s="17" t="n">
        <x:f>MAX(J1751-P1751-K1751,0)</x:f>
        <x:v>0</x:v>
      </x:c>
      <x:c r="R1751" s="13" t="n">
        <x:f>IF(D1751="",MAX(TODAY()-C1751,0),MAX(D1751-C1751,0))</x:f>
        <x:v>0</x:v>
      </x:c>
      <x:c r="S1751" s="13" t="str">
        <x:f>IF(R1751=0,"Em dia",IF(R1751&lt;=15,"1-15 dias",IF(R1751&lt;=30,"16-30 dias",IF(R1751&lt;=60,"31-60 dias","Acima de 60 dias"))))</x:f>
        <x:v>Em dia</x:v>
      </x:c>
    </x:row>
    <x:row r="1752">
      <x:c r="A1752" s="13" t="str">
        <x:v>REC-001751</x:v>
      </x:c>
      <x:c r="B1752" s="23" t="n">
        <x:v>46185</x:v>
      </x:c>
      <x:c r="C1752" s="23" t="n">
        <x:v>46200</x:v>
      </x:c>
      <x:c r="D1752" s="23" t="n">
        <x:v>46205</x:v>
      </x:c>
      <x:c r="E1752" s="13" t="str">
        <x:v>VAL-011</x:v>
      </x:c>
      <x:c r="F1752" s="13" t="str">
        <x:v>Rede Essencial</x:v>
      </x:c>
      <x:c r="G1752" s="13" t="str">
        <x:v>Varejo</x:v>
      </x:c>
      <x:c r="H1752" s="13" t="str">
        <x:v>Médio</x:v>
      </x:c>
      <x:c r="I1752" s="13" t="str">
        <x:v>Performance</x:v>
      </x:c>
      <x:c r="J1752" s="17" t="n">
        <x:v>10935.68</x:v>
      </x:c>
      <x:c r="K1752" s="17" t="n">
        <x:v>0</x:v>
      </x:c>
      <x:c r="L1752" s="17" t="n">
        <x:v>35.54</x:v>
      </x:c>
      <x:c r="M1752" s="13" t="str">
        <x:v>Pago com atraso</x:v>
      </x:c>
      <x:c r="N1752" s="13" t="str">
        <x:v>Telefone</x:v>
      </x:c>
      <x:c r="O1752" s="13" t="str">
        <x:v>Escala inteligente</x:v>
      </x:c>
      <x:c r="P1752" s="17" t="n">
        <x:f>IF(D1752="",0,J1752-K1752+L1752)</x:f>
        <x:v>10971.220000000001</x:v>
      </x:c>
      <x:c r="Q1752" s="17" t="n">
        <x:f>MAX(J1752-P1752-K1752,0)</x:f>
        <x:v>0</x:v>
      </x:c>
      <x:c r="R1752" s="13" t="n">
        <x:f>IF(D1752="",MAX(TODAY()-C1752,0),MAX(D1752-C1752,0))</x:f>
        <x:v>5</x:v>
      </x:c>
      <x:c r="S1752" s="13" t="str">
        <x:f>IF(R1752=0,"Em dia",IF(R1752&lt;=15,"1-15 dias",IF(R1752&lt;=30,"16-30 dias",IF(R1752&lt;=60,"31-60 dias","Acima de 60 dias"))))</x:f>
        <x:v>1-15 dias</x:v>
      </x:c>
    </x:row>
    <x:row r="1753">
      <x:c r="A1753" s="13" t="str">
        <x:v>REC-001752</x:v>
      </x:c>
      <x:c r="B1753" s="23" t="n">
        <x:v>46188</x:v>
      </x:c>
      <x:c r="C1753" s="23" t="n">
        <x:v>46203</x:v>
      </x:c>
      <x:c r="D1753" s="23" t="n">
        <x:v>46201</x:v>
      </x:c>
      <x:c r="E1753" s="13" t="str">
        <x:v>VAL-027</x:v>
      </x:c>
      <x:c r="F1753" s="13" t="str">
        <x:v>Mais Lar Utilidades</x:v>
      </x:c>
      <x:c r="G1753" s="13" t="str">
        <x:v>Varejo</x:v>
      </x:c>
      <x:c r="H1753" s="13" t="str">
        <x:v>Baixo</x:v>
      </x:c>
      <x:c r="I1753" s="13" t="str">
        <x:v>Performance</x:v>
      </x:c>
      <x:c r="J1753" s="17" t="n">
        <x:v>24656.44</x:v>
      </x:c>
      <x:c r="K1753" s="17" t="n">
        <x:v>0</x:v>
      </x:c>
      <x:c r="L1753" s="17" t="n">
        <x:v>0</x:v>
      </x:c>
      <x:c r="M1753" s="13" t="str">
        <x:v>Pago</x:v>
      </x:c>
      <x:c r="N1753" s="13" t="str">
        <x:v>Sem cobrança</x:v>
      </x:c>
      <x:c r="O1753" s="13" t="str">
        <x:v>Escala inteligente</x:v>
      </x:c>
      <x:c r="P1753" s="17" t="n">
        <x:f>IF(D1753="",0,J1753-K1753+L1753)</x:f>
        <x:v>24656.44</x:v>
      </x:c>
      <x:c r="Q1753" s="17" t="n">
        <x:f>MAX(J1753-P1753-K1753,0)</x:f>
        <x:v>0</x:v>
      </x:c>
      <x:c r="R1753" s="13" t="n">
        <x:f>IF(D1753="",MAX(TODAY()-C1753,0),MAX(D1753-C1753,0))</x:f>
        <x:v>0</x:v>
      </x:c>
      <x:c r="S1753" s="13" t="str">
        <x:f>IF(R1753=0,"Em dia",IF(R1753&lt;=15,"1-15 dias",IF(R1753&lt;=30,"16-30 dias",IF(R1753&lt;=60,"31-60 dias","Acima de 60 dias"))))</x:f>
        <x:v>Em dia</x:v>
      </x:c>
    </x:row>
    <x:row r="1754">
      <x:c r="A1754" s="13" t="str">
        <x:v>REC-001753</x:v>
      </x:c>
      <x:c r="B1754" s="23" t="n">
        <x:v>46193</x:v>
      </x:c>
      <x:c r="C1754" s="23" t="n">
        <x:v>46200</x:v>
      </x:c>
      <x:c r="D1754" s="23" t="n">
        <x:v>46199</x:v>
      </x:c>
      <x:c r="E1754" s="13" t="str">
        <x:v>VAL-027</x:v>
      </x:c>
      <x:c r="F1754" s="13" t="str">
        <x:v>Mais Lar Utilidades</x:v>
      </x:c>
      <x:c r="G1754" s="13" t="str">
        <x:v>Varejo</x:v>
      </x:c>
      <x:c r="H1754" s="13" t="str">
        <x:v>Baixo</x:v>
      </x:c>
      <x:c r="I1754" s="13" t="str">
        <x:v>Performance</x:v>
      </x:c>
      <x:c r="J1754" s="17" t="n">
        <x:v>29411.11</x:v>
      </x:c>
      <x:c r="K1754" s="17" t="n">
        <x:v>521.47</x:v>
      </x:c>
      <x:c r="L1754" s="17" t="n">
        <x:v>0</x:v>
      </x:c>
      <x:c r="M1754" s="13" t="str">
        <x:v>Pago</x:v>
      </x:c>
      <x:c r="N1754" s="13" t="str">
        <x:v>Sem cobrança</x:v>
      </x:c>
      <x:c r="O1754" s="13" t="str">
        <x:v>Escala inteligente</x:v>
      </x:c>
      <x:c r="P1754" s="17" t="n">
        <x:f>IF(D1754="",0,J1754-K1754+L1754)</x:f>
        <x:v>28889.64</x:v>
      </x:c>
      <x:c r="Q1754" s="17" t="n">
        <x:f>MAX(J1754-P1754-K1754,0)</x:f>
        <x:v>1.1368683772161603e-12</x:v>
      </x:c>
      <x:c r="R1754" s="13" t="n">
        <x:f>IF(D1754="",MAX(TODAY()-C1754,0),MAX(D1754-C1754,0))</x:f>
        <x:v>0</x:v>
      </x:c>
      <x:c r="S1754" s="13" t="str">
        <x:f>IF(R1754=0,"Em dia",IF(R1754&lt;=15,"1-15 dias",IF(R1754&lt;=30,"16-30 dias",IF(R1754&lt;=60,"31-60 dias","Acima de 60 dias"))))</x:f>
        <x:v>Em dia</x:v>
      </x:c>
    </x:row>
    <x:row r="1755">
      <x:c r="A1755" s="13" t="str">
        <x:v>REC-001754</x:v>
      </x:c>
      <x:c r="B1755" s="23" t="n">
        <x:v>46187</x:v>
      </x:c>
      <x:c r="C1755" s="23" t="n">
        <x:v>46208</x:v>
      </x:c>
      <x:c r="D1755" s="23" t="n">
        <x:v>46206</x:v>
      </x:c>
      <x:c r="E1755" s="13" t="str">
        <x:v>VAL-022</x:v>
      </x:c>
      <x:c r="F1755" s="13" t="str">
        <x:v>Academia Evoluir</x:v>
      </x:c>
      <x:c r="G1755" s="13" t="str">
        <x:v>Educação</x:v>
      </x:c>
      <x:c r="H1755" s="13" t="str">
        <x:v>Alto</x:v>
      </x:c>
      <x:c r="I1755" s="13" t="str">
        <x:v>Gestão</x:v>
      </x:c>
      <x:c r="J1755" s="17" t="n">
        <x:v>5390.86</x:v>
      </x:c>
      <x:c r="K1755" s="17" t="n">
        <x:v>0</x:v>
      </x:c>
      <x:c r="L1755" s="17" t="n">
        <x:v>0</x:v>
      </x:c>
      <x:c r="M1755" s="13" t="str">
        <x:v>Pago</x:v>
      </x:c>
      <x:c r="N1755" s="13" t="str">
        <x:v>Sem cobrança</x:v>
      </x:c>
      <x:c r="O1755" s="13" t="str">
        <x:v>Escala inteligente</x:v>
      </x:c>
      <x:c r="P1755" s="17" t="n">
        <x:f>IF(D1755="",0,J1755-K1755+L1755)</x:f>
        <x:v>5390.86</x:v>
      </x:c>
      <x:c r="Q1755" s="17" t="n">
        <x:f>MAX(J1755-P1755-K1755,0)</x:f>
        <x:v>0</x:v>
      </x:c>
      <x:c r="R1755" s="13" t="n">
        <x:f>IF(D1755="",MAX(TODAY()-C1755,0),MAX(D1755-C1755,0))</x:f>
        <x:v>0</x:v>
      </x:c>
      <x:c r="S1755" s="13" t="str">
        <x:f>IF(R1755=0,"Em dia",IF(R1755&lt;=15,"1-15 dias",IF(R1755&lt;=30,"16-30 dias",IF(R1755&lt;=60,"31-60 dias","Acima de 60 dias"))))</x:f>
        <x:v>Em dia</x:v>
      </x:c>
    </x:row>
    <x:row r="1756">
      <x:c r="A1756" s="13" t="str">
        <x:v>REC-001755</x:v>
      </x:c>
      <x:c r="B1756" s="23" t="n">
        <x:v>46188</x:v>
      </x:c>
      <x:c r="C1756" s="23" t="n">
        <x:v>46216</x:v>
      </x:c>
      <x:c r="D1756" s="23" t="n">
        <x:v>46215</x:v>
      </x:c>
      <x:c r="E1756" s="13" t="str">
        <x:v>VAL-024</x:v>
      </x:c>
      <x:c r="F1756" s="13" t="str">
        <x:v>NovaForma Móveis</x:v>
      </x:c>
      <x:c r="G1756" s="13" t="str">
        <x:v>Indústria Leve</x:v>
      </x:c>
      <x:c r="H1756" s="13" t="str">
        <x:v>Baixo</x:v>
      </x:c>
      <x:c r="I1756" s="13" t="str">
        <x:v>Enterprise</x:v>
      </x:c>
      <x:c r="J1756" s="17" t="n">
        <x:v>2973.94</x:v>
      </x:c>
      <x:c r="K1756" s="17" t="n">
        <x:v>0</x:v>
      </x:c>
      <x:c r="L1756" s="17" t="n">
        <x:v>0</x:v>
      </x:c>
      <x:c r="M1756" s="13" t="str">
        <x:v>Pago</x:v>
      </x:c>
      <x:c r="N1756" s="13" t="str">
        <x:v>Sem cobrança</x:v>
      </x:c>
      <x:c r="O1756" s="13" t="str">
        <x:v>Escala inteligente</x:v>
      </x:c>
      <x:c r="P1756" s="17" t="n">
        <x:f>IF(D1756="",0,J1756-K1756+L1756)</x:f>
        <x:v>2973.94</x:v>
      </x:c>
      <x:c r="Q1756" s="17" t="n">
        <x:f>MAX(J1756-P1756-K1756,0)</x:f>
        <x:v>0</x:v>
      </x:c>
      <x:c r="R1756" s="13" t="n">
        <x:f>IF(D1756="",MAX(TODAY()-C1756,0),MAX(D1756-C1756,0))</x:f>
        <x:v>0</x:v>
      </x:c>
      <x:c r="S1756" s="13" t="str">
        <x:f>IF(R1756=0,"Em dia",IF(R1756&lt;=15,"1-15 dias",IF(R1756&lt;=30,"16-30 dias",IF(R1756&lt;=60,"31-60 dias","Acima de 60 dias"))))</x:f>
        <x:v>Em dia</x:v>
      </x:c>
    </x:row>
    <x:row r="1757">
      <x:c r="A1757" s="13" t="str">
        <x:v>REC-001756</x:v>
      </x:c>
      <x:c r="B1757" s="23" t="n">
        <x:v>46182</x:v>
      </x:c>
      <x:c r="C1757" s="23" t="n">
        <x:v>46210</x:v>
      </x:c>
      <x:c r="D1757" s="23" t="n">
        <x:v>46206</x:v>
      </x:c>
      <x:c r="E1757" s="13" t="str">
        <x:v>VAL-020</x:v>
      </x:c>
      <x:c r="F1757" s="13" t="str">
        <x:v>Corelink Digital</x:v>
      </x:c>
      <x:c r="G1757" s="13" t="str">
        <x:v>Tecnologia</x:v>
      </x:c>
      <x:c r="H1757" s="13" t="str">
        <x:v>Baixo</x:v>
      </x:c>
      <x:c r="I1757" s="13" t="str">
        <x:v>Enterprise</x:v>
      </x:c>
      <x:c r="J1757" s="17" t="n">
        <x:v>12288.93</x:v>
      </x:c>
      <x:c r="K1757" s="17" t="n">
        <x:v>0</x:v>
      </x:c>
      <x:c r="L1757" s="17" t="n">
        <x:v>0</x:v>
      </x:c>
      <x:c r="M1757" s="13" t="str">
        <x:v>Pago</x:v>
      </x:c>
      <x:c r="N1757" s="13" t="str">
        <x:v>Sem cobrança</x:v>
      </x:c>
      <x:c r="O1757" s="13" t="str">
        <x:v>Escala inteligente</x:v>
      </x:c>
      <x:c r="P1757" s="17" t="n">
        <x:f>IF(D1757="",0,J1757-K1757+L1757)</x:f>
        <x:v>12288.93</x:v>
      </x:c>
      <x:c r="Q1757" s="17" t="n">
        <x:f>MAX(J1757-P1757-K1757,0)</x:f>
        <x:v>0</x:v>
      </x:c>
      <x:c r="R1757" s="13" t="n">
        <x:f>IF(D1757="",MAX(TODAY()-C1757,0),MAX(D1757-C1757,0))</x:f>
        <x:v>0</x:v>
      </x:c>
      <x:c r="S1757" s="13" t="str">
        <x:f>IF(R1757=0,"Em dia",IF(R1757&lt;=15,"1-15 dias",IF(R1757&lt;=30,"16-30 dias",IF(R1757&lt;=60,"31-60 dias","Acima de 60 dias"))))</x:f>
        <x:v>Em dia</x:v>
      </x:c>
    </x:row>
    <x:row r="1758">
      <x:c r="A1758" s="13" t="str">
        <x:v>REC-001757</x:v>
      </x:c>
      <x:c r="B1758" s="23" t="n">
        <x:v>46184</x:v>
      </x:c>
      <x:c r="C1758" s="23" t="n">
        <x:v>46205</x:v>
      </x:c>
      <x:c r="D1758" s="23" t="n">
        <x:v>46202</x:v>
      </x:c>
      <x:c r="E1758" s="13" t="str">
        <x:v>VAL-010</x:v>
      </x:c>
      <x:c r="F1758" s="13" t="str">
        <x:v>Atlas Contabilidade</x:v>
      </x:c>
      <x:c r="G1758" s="13" t="str">
        <x:v>Serviços Profissionais</x:v>
      </x:c>
      <x:c r="H1758" s="13" t="str">
        <x:v>Baixo</x:v>
      </x:c>
      <x:c r="I1758" s="13" t="str">
        <x:v>Gestão</x:v>
      </x:c>
      <x:c r="J1758" s="17" t="n">
        <x:v>7242.87</x:v>
      </x:c>
      <x:c r="K1758" s="17" t="n">
        <x:v>0</x:v>
      </x:c>
      <x:c r="L1758" s="17" t="n">
        <x:v>0</x:v>
      </x:c>
      <x:c r="M1758" s="13" t="str">
        <x:v>Pago</x:v>
      </x:c>
      <x:c r="N1758" s="13" t="str">
        <x:v>Sem cobrança</x:v>
      </x:c>
      <x:c r="O1758" s="13" t="str">
        <x:v>Escala inteligente</x:v>
      </x:c>
      <x:c r="P1758" s="17" t="n">
        <x:f>IF(D1758="",0,J1758-K1758+L1758)</x:f>
        <x:v>7242.87</x:v>
      </x:c>
      <x:c r="Q1758" s="17" t="n">
        <x:f>MAX(J1758-P1758-K1758,0)</x:f>
        <x:v>0</x:v>
      </x:c>
      <x:c r="R1758" s="13" t="n">
        <x:f>IF(D1758="",MAX(TODAY()-C1758,0),MAX(D1758-C1758,0))</x:f>
        <x:v>0</x:v>
      </x:c>
      <x:c r="S1758" s="13" t="str">
        <x:f>IF(R1758=0,"Em dia",IF(R1758&lt;=15,"1-15 dias",IF(R1758&lt;=30,"16-30 dias",IF(R1758&lt;=60,"31-60 dias","Acima de 60 dias"))))</x:f>
        <x:v>Em dia</x:v>
      </x:c>
    </x:row>
    <x:row r="1759">
      <x:c r="A1759" s="13" t="str">
        <x:v>REC-001758</x:v>
      </x:c>
      <x:c r="B1759" s="23" t="n">
        <x:v>46188</x:v>
      </x:c>
      <x:c r="C1759" s="23" t="n">
        <x:v>46218</x:v>
      </x:c>
      <x:c r="D1759" s="23" t="n">
        <x:v>46215</x:v>
      </x:c>
      <x:c r="E1759" s="13" t="str">
        <x:v>VAL-004</x:v>
      </x:c>
      <x:c r="F1759" s="13" t="str">
        <x:v>NuvemBase Tecnologia</x:v>
      </x:c>
      <x:c r="G1759" s="13" t="str">
        <x:v>Tecnologia</x:v>
      </x:c>
      <x:c r="H1759" s="13" t="str">
        <x:v>Baixo</x:v>
      </x:c>
      <x:c r="I1759" s="13" t="str">
        <x:v>Enterprise</x:v>
      </x:c>
      <x:c r="J1759" s="17" t="n">
        <x:v>22930.6</x:v>
      </x:c>
      <x:c r="K1759" s="17" t="n">
        <x:v>0</x:v>
      </x:c>
      <x:c r="L1759" s="17" t="n">
        <x:v>0</x:v>
      </x:c>
      <x:c r="M1759" s="13" t="str">
        <x:v>Pago</x:v>
      </x:c>
      <x:c r="N1759" s="13" t="str">
        <x:v>Sem cobrança</x:v>
      </x:c>
      <x:c r="O1759" s="13" t="str">
        <x:v>Escala inteligente</x:v>
      </x:c>
      <x:c r="P1759" s="17" t="n">
        <x:f>IF(D1759="",0,J1759-K1759+L1759)</x:f>
        <x:v>22930.6</x:v>
      </x:c>
      <x:c r="Q1759" s="17" t="n">
        <x:f>MAX(J1759-P1759-K1759,0)</x:f>
        <x:v>0</x:v>
      </x:c>
      <x:c r="R1759" s="13" t="n">
        <x:f>IF(D1759="",MAX(TODAY()-C1759,0),MAX(D1759-C1759,0))</x:f>
        <x:v>0</x:v>
      </x:c>
      <x:c r="S1759" s="13" t="str">
        <x:f>IF(R1759=0,"Em dia",IF(R1759&lt;=15,"1-15 dias",IF(R1759&lt;=30,"16-30 dias",IF(R1759&lt;=60,"31-60 dias","Acima de 60 dias"))))</x:f>
        <x:v>Em dia</x:v>
      </x:c>
    </x:row>
    <x:row r="1760">
      <x:c r="A1760" s="13" t="str">
        <x:v>REC-001759</x:v>
      </x:c>
      <x:c r="B1760" s="23" t="n">
        <x:v>46178</x:v>
      </x:c>
      <x:c r="C1760" s="23" t="n">
        <x:v>46185</x:v>
      </x:c>
      <x:c r="D1760" s="23" t="n">
        <x:v>46184</x:v>
      </x:c>
      <x:c r="E1760" s="13" t="str">
        <x:v>VAL-013</x:v>
      </x:c>
      <x:c r="F1760" s="13" t="str">
        <x:v>Engenharia Vértice</x:v>
      </x:c>
      <x:c r="G1760" s="13" t="str">
        <x:v>Construção</x:v>
      </x:c>
      <x:c r="H1760" s="13" t="str">
        <x:v>Baixo</x:v>
      </x:c>
      <x:c r="I1760" s="13" t="str">
        <x:v>Essencial</x:v>
      </x:c>
      <x:c r="J1760" s="17" t="n">
        <x:v>13782.87</x:v>
      </x:c>
      <x:c r="K1760" s="17" t="n">
        <x:v>0</x:v>
      </x:c>
      <x:c r="L1760" s="17" t="n">
        <x:v>0</x:v>
      </x:c>
      <x:c r="M1760" s="13" t="str">
        <x:v>Pago</x:v>
      </x:c>
      <x:c r="N1760" s="13" t="str">
        <x:v>Sem cobrança</x:v>
      </x:c>
      <x:c r="O1760" s="13" t="str">
        <x:v>Escala inteligente</x:v>
      </x:c>
      <x:c r="P1760" s="17" t="n">
        <x:f>IF(D1760="",0,J1760-K1760+L1760)</x:f>
        <x:v>13782.87</x:v>
      </x:c>
      <x:c r="Q1760" s="17" t="n">
        <x:f>MAX(J1760-P1760-K1760,0)</x:f>
        <x:v>0</x:v>
      </x:c>
      <x:c r="R1760" s="13" t="n">
        <x:f>IF(D1760="",MAX(TODAY()-C1760,0),MAX(D1760-C1760,0))</x:f>
        <x:v>0</x:v>
      </x:c>
      <x:c r="S1760" s="13" t="str">
        <x:f>IF(R1760=0,"Em dia",IF(R1760&lt;=15,"1-15 dias",IF(R1760&lt;=30,"16-30 dias",IF(R1760&lt;=60,"31-60 dias","Acima de 60 dias"))))</x:f>
        <x:v>Em dia</x:v>
      </x:c>
    </x:row>
    <x:row r="1761">
      <x:c r="A1761" s="13" t="str">
        <x:v>REC-001760</x:v>
      </x:c>
      <x:c r="B1761" s="23" t="n">
        <x:v>46187</x:v>
      </x:c>
      <x:c r="C1761" s="23" t="n">
        <x:v>46208</x:v>
      </x:c>
      <x:c r="D1761" s="23" t="n">
        <x:v>46205</x:v>
      </x:c>
      <x:c r="E1761" s="13" t="str">
        <x:v>VAL-026</x:v>
      </x:c>
      <x:c r="F1761" s="13" t="str">
        <x:v>Ribeiro Arquitetura</x:v>
      </x:c>
      <x:c r="G1761" s="13" t="str">
        <x:v>Serviços Profissionais</x:v>
      </x:c>
      <x:c r="H1761" s="13" t="str">
        <x:v>Baixo</x:v>
      </x:c>
      <x:c r="I1761" s="13" t="str">
        <x:v>Gestão</x:v>
      </x:c>
      <x:c r="J1761" s="17" t="n">
        <x:v>10489.76</x:v>
      </x:c>
      <x:c r="K1761" s="17" t="n">
        <x:v>0</x:v>
      </x:c>
      <x:c r="L1761" s="17" t="n">
        <x:v>0</x:v>
      </x:c>
      <x:c r="M1761" s="13" t="str">
        <x:v>Pago</x:v>
      </x:c>
      <x:c r="N1761" s="13" t="str">
        <x:v>Sem cobrança</x:v>
      </x:c>
      <x:c r="O1761" s="13" t="str">
        <x:v>Escala inteligente</x:v>
      </x:c>
      <x:c r="P1761" s="17" t="n">
        <x:f>IF(D1761="",0,J1761-K1761+L1761)</x:f>
        <x:v>10489.76</x:v>
      </x:c>
      <x:c r="Q1761" s="17" t="n">
        <x:f>MAX(J1761-P1761-K1761,0)</x:f>
        <x:v>0</x:v>
      </x:c>
      <x:c r="R1761" s="13" t="n">
        <x:f>IF(D1761="",MAX(TODAY()-C1761,0),MAX(D1761-C1761,0))</x:f>
        <x:v>0</x:v>
      </x:c>
      <x:c r="S1761" s="13" t="str">
        <x:f>IF(R1761=0,"Em dia",IF(R1761&lt;=15,"1-15 dias",IF(R1761&lt;=30,"16-30 dias",IF(R1761&lt;=60,"31-60 dias","Acima de 60 dias"))))</x:f>
        <x:v>Em dia</x:v>
      </x:c>
    </x:row>
    <x:row r="1762">
      <x:c r="A1762" s="13" t="str">
        <x:v>REC-001761</x:v>
      </x:c>
      <x:c r="B1762" s="23" t="n">
        <x:v>46193</x:v>
      </x:c>
      <x:c r="C1762" s="23" t="n">
        <x:v>46221</x:v>
      </x:c>
      <x:c r="D1762" s="23" t="n">
        <x:v>46220</x:v>
      </x:c>
      <x:c r="E1762" s="13" t="str">
        <x:v>VAL-026</x:v>
      </x:c>
      <x:c r="F1762" s="13" t="str">
        <x:v>Ribeiro Arquitetura</x:v>
      </x:c>
      <x:c r="G1762" s="13" t="str">
        <x:v>Serviços Profissionais</x:v>
      </x:c>
      <x:c r="H1762" s="13" t="str">
        <x:v>Baixo</x:v>
      </x:c>
      <x:c r="I1762" s="13" t="str">
        <x:v>Gestão</x:v>
      </x:c>
      <x:c r="J1762" s="17" t="n">
        <x:v>17459.99</x:v>
      </x:c>
      <x:c r="K1762" s="17" t="n">
        <x:v>0</x:v>
      </x:c>
      <x:c r="L1762" s="17" t="n">
        <x:v>0</x:v>
      </x:c>
      <x:c r="M1762" s="13" t="str">
        <x:v>Pago</x:v>
      </x:c>
      <x:c r="N1762" s="13" t="str">
        <x:v>Sem cobrança</x:v>
      </x:c>
      <x:c r="O1762" s="13" t="str">
        <x:v>Escala inteligente</x:v>
      </x:c>
      <x:c r="P1762" s="17" t="n">
        <x:f>IF(D1762="",0,J1762-K1762+L1762)</x:f>
        <x:v>17459.99</x:v>
      </x:c>
      <x:c r="Q1762" s="17" t="n">
        <x:f>MAX(J1762-P1762-K1762,0)</x:f>
        <x:v>0</x:v>
      </x:c>
      <x:c r="R1762" s="13" t="n">
        <x:f>IF(D1762="",MAX(TODAY()-C1762,0),MAX(D1762-C1762,0))</x:f>
        <x:v>0</x:v>
      </x:c>
      <x:c r="S1762" s="13" t="str">
        <x:f>IF(R1762=0,"Em dia",IF(R1762&lt;=15,"1-15 dias",IF(R1762&lt;=30,"16-30 dias",IF(R1762&lt;=60,"31-60 dias","Acima de 60 dias"))))</x:f>
        <x:v>Em dia</x:v>
      </x:c>
    </x:row>
    <x:row r="1763">
      <x:c r="A1763" s="13" t="str">
        <x:v>REC-001762</x:v>
      </x:c>
      <x:c r="B1763" s="23" t="n">
        <x:v>46176</x:v>
      </x:c>
      <x:c r="C1763" s="23" t="n">
        <x:v>46197</x:v>
      </x:c>
      <x:c r="D1763" s="23" t="n">
        <x:v>46194</x:v>
      </x:c>
      <x:c r="E1763" s="13" t="str">
        <x:v>VAL-010</x:v>
      </x:c>
      <x:c r="F1763" s="13" t="str">
        <x:v>Atlas Contabilidade</x:v>
      </x:c>
      <x:c r="G1763" s="13" t="str">
        <x:v>Serviços Profissionais</x:v>
      </x:c>
      <x:c r="H1763" s="13" t="str">
        <x:v>Baixo</x:v>
      </x:c>
      <x:c r="I1763" s="13" t="str">
        <x:v>Gestão</x:v>
      </x:c>
      <x:c r="J1763" s="17" t="n">
        <x:v>14622.98</x:v>
      </x:c>
      <x:c r="K1763" s="17" t="n">
        <x:v>0</x:v>
      </x:c>
      <x:c r="L1763" s="17" t="n">
        <x:v>0</x:v>
      </x:c>
      <x:c r="M1763" s="13" t="str">
        <x:v>Pago</x:v>
      </x:c>
      <x:c r="N1763" s="13" t="str">
        <x:v>Sem cobrança</x:v>
      </x:c>
      <x:c r="O1763" s="13" t="str">
        <x:v>Escala inteligente</x:v>
      </x:c>
      <x:c r="P1763" s="17" t="n">
        <x:f>IF(D1763="",0,J1763-K1763+L1763)</x:f>
        <x:v>14622.98</x:v>
      </x:c>
      <x:c r="Q1763" s="17" t="n">
        <x:f>MAX(J1763-P1763-K1763,0)</x:f>
        <x:v>0</x:v>
      </x:c>
      <x:c r="R1763" s="13" t="n">
        <x:f>IF(D1763="",MAX(TODAY()-C1763,0),MAX(D1763-C1763,0))</x:f>
        <x:v>0</x:v>
      </x:c>
      <x:c r="S1763" s="13" t="str">
        <x:f>IF(R1763=0,"Em dia",IF(R1763&lt;=15,"1-15 dias",IF(R1763&lt;=30,"16-30 dias",IF(R1763&lt;=60,"31-60 dias","Acima de 60 dias"))))</x:f>
        <x:v>Em dia</x:v>
      </x:c>
    </x:row>
    <x:row r="1764">
      <x:c r="A1764" s="13" t="str">
        <x:v>REC-001763</x:v>
      </x:c>
      <x:c r="B1764" s="23" t="n">
        <x:v>46180</x:v>
      </x:c>
      <x:c r="C1764" s="23" t="n">
        <x:v>46210</x:v>
      </x:c>
      <x:c r="D1764" s="23" t="n">
        <x:v>46210</x:v>
      </x:c>
      <x:c r="E1764" s="13" t="str">
        <x:v>VAL-014</x:v>
      </x:c>
      <x:c r="F1764" s="13" t="str">
        <x:v>Colégio Caminhos</x:v>
      </x:c>
      <x:c r="G1764" s="13" t="str">
        <x:v>Educação</x:v>
      </x:c>
      <x:c r="H1764" s="13" t="str">
        <x:v>Médio</x:v>
      </x:c>
      <x:c r="I1764" s="13" t="str">
        <x:v>Gestão</x:v>
      </x:c>
      <x:c r="J1764" s="17" t="n">
        <x:v>22724.18</x:v>
      </x:c>
      <x:c r="K1764" s="17" t="n">
        <x:v>0</x:v>
      </x:c>
      <x:c r="L1764" s="17" t="n">
        <x:v>0</x:v>
      </x:c>
      <x:c r="M1764" s="13" t="str">
        <x:v>Pago</x:v>
      </x:c>
      <x:c r="N1764" s="13" t="str">
        <x:v>Sem cobrança</x:v>
      </x:c>
      <x:c r="O1764" s="13" t="str">
        <x:v>Escala inteligente</x:v>
      </x:c>
      <x:c r="P1764" s="17" t="n">
        <x:f>IF(D1764="",0,J1764-K1764+L1764)</x:f>
        <x:v>22724.18</x:v>
      </x:c>
      <x:c r="Q1764" s="17" t="n">
        <x:f>MAX(J1764-P1764-K1764,0)</x:f>
        <x:v>0</x:v>
      </x:c>
      <x:c r="R1764" s="13" t="n">
        <x:f>IF(D1764="",MAX(TODAY()-C1764,0),MAX(D1764-C1764,0))</x:f>
        <x:v>0</x:v>
      </x:c>
      <x:c r="S1764" s="13" t="str">
        <x:f>IF(R1764=0,"Em dia",IF(R1764&lt;=15,"1-15 dias",IF(R1764&lt;=30,"16-30 dias",IF(R1764&lt;=60,"31-60 dias","Acima de 60 dias"))))</x:f>
        <x:v>Em dia</x:v>
      </x:c>
    </x:row>
    <x:row r="1765">
      <x:c r="A1765" s="13" t="str">
        <x:v>REC-001764</x:v>
      </x:c>
      <x:c r="B1765" s="23" t="n">
        <x:v>46189</x:v>
      </x:c>
      <x:c r="C1765" s="23" t="n">
        <x:v>46210</x:v>
      </x:c>
      <x:c r="D1765" s="23" t="n">
        <x:v>46207</x:v>
      </x:c>
      <x:c r="E1765" s="13" t="str">
        <x:v>VAL-022</x:v>
      </x:c>
      <x:c r="F1765" s="13" t="str">
        <x:v>Academia Evoluir</x:v>
      </x:c>
      <x:c r="G1765" s="13" t="str">
        <x:v>Educação</x:v>
      </x:c>
      <x:c r="H1765" s="13" t="str">
        <x:v>Alto</x:v>
      </x:c>
      <x:c r="I1765" s="13" t="str">
        <x:v>Gestão</x:v>
      </x:c>
      <x:c r="J1765" s="17" t="n">
        <x:v>25416.33</x:v>
      </x:c>
      <x:c r="K1765" s="17" t="n">
        <x:v>0</x:v>
      </x:c>
      <x:c r="L1765" s="17" t="n">
        <x:v>0</x:v>
      </x:c>
      <x:c r="M1765" s="13" t="str">
        <x:v>Pago</x:v>
      </x:c>
      <x:c r="N1765" s="13" t="str">
        <x:v>Sem cobrança</x:v>
      </x:c>
      <x:c r="O1765" s="13" t="str">
        <x:v>Escala inteligente</x:v>
      </x:c>
      <x:c r="P1765" s="17" t="n">
        <x:f>IF(D1765="",0,J1765-K1765+L1765)</x:f>
        <x:v>25416.33</x:v>
      </x:c>
      <x:c r="Q1765" s="17" t="n">
        <x:f>MAX(J1765-P1765-K1765,0)</x:f>
        <x:v>0</x:v>
      </x:c>
      <x:c r="R1765" s="13" t="n">
        <x:f>IF(D1765="",MAX(TODAY()-C1765,0),MAX(D1765-C1765,0))</x:f>
        <x:v>0</x:v>
      </x:c>
      <x:c r="S1765" s="13" t="str">
        <x:f>IF(R1765=0,"Em dia",IF(R1765&lt;=15,"1-15 dias",IF(R1765&lt;=30,"16-30 dias",IF(R1765&lt;=60,"31-60 dias","Acima de 60 dias"))))</x:f>
        <x:v>Em dia</x:v>
      </x:c>
    </x:row>
    <x:row r="1766">
      <x:c r="A1766" s="13" t="str">
        <x:v>REC-001765</x:v>
      </x:c>
      <x:c r="B1766" s="23" t="n">
        <x:v>46192</x:v>
      </x:c>
      <x:c r="C1766" s="23" t="n">
        <x:v>46207</x:v>
      </x:c>
      <x:c r="D1766" s="23" t="n">
        <x:v>46204</x:v>
      </x:c>
      <x:c r="E1766" s="13" t="str">
        <x:v>VAL-007</x:v>
      </x:c>
      <x:c r="F1766" s="13" t="str">
        <x:v>Loja Prisma Online</x:v>
      </x:c>
      <x:c r="G1766" s="13" t="str">
        <x:v>E-commerce</x:v>
      </x:c>
      <x:c r="H1766" s="13" t="str">
        <x:v>Médio</x:v>
      </x:c>
      <x:c r="I1766" s="13" t="str">
        <x:v>Performance</x:v>
      </x:c>
      <x:c r="J1766" s="17" t="n">
        <x:v>4574.03</x:v>
      </x:c>
      <x:c r="K1766" s="17" t="n">
        <x:v>0</x:v>
      </x:c>
      <x:c r="L1766" s="17" t="n">
        <x:v>0</x:v>
      </x:c>
      <x:c r="M1766" s="13" t="str">
        <x:v>Pago</x:v>
      </x:c>
      <x:c r="N1766" s="13" t="str">
        <x:v>Sem cobrança</x:v>
      </x:c>
      <x:c r="O1766" s="13" t="str">
        <x:v>Escala inteligente</x:v>
      </x:c>
      <x:c r="P1766" s="17" t="n">
        <x:f>IF(D1766="",0,J1766-K1766+L1766)</x:f>
        <x:v>4574.03</x:v>
      </x:c>
      <x:c r="Q1766" s="17" t="n">
        <x:f>MAX(J1766-P1766-K1766,0)</x:f>
        <x:v>0</x:v>
      </x:c>
      <x:c r="R1766" s="13" t="n">
        <x:f>IF(D1766="",MAX(TODAY()-C1766,0),MAX(D1766-C1766,0))</x:f>
        <x:v>0</x:v>
      </x:c>
      <x:c r="S1766" s="13" t="str">
        <x:f>IF(R1766=0,"Em dia",IF(R1766&lt;=15,"1-15 dias",IF(R1766&lt;=30,"16-30 dias",IF(R1766&lt;=60,"31-60 dias","Acima de 60 dias"))))</x:f>
        <x:v>Em dia</x:v>
      </x:c>
    </x:row>
    <x:row r="1767">
      <x:c r="A1767" s="13" t="str">
        <x:v>REC-001766</x:v>
      </x:c>
      <x:c r="B1767" s="23" t="n">
        <x:v>46178</x:v>
      </x:c>
      <x:c r="C1767" s="23" t="n">
        <x:v>46185</x:v>
      </x:c>
      <x:c r="D1767" s="23" t="n">
        <x:v>46182</x:v>
      </x:c>
      <x:c r="E1767" s="13" t="str">
        <x:v>VAL-002</x:v>
      </x:c>
      <x:c r="F1767" s="13" t="str">
        <x:v>Mendes &amp; Prado Consultoria</x:v>
      </x:c>
      <x:c r="G1767" s="13" t="str">
        <x:v>Serviços Profissionais</x:v>
      </x:c>
      <x:c r="H1767" s="13" t="str">
        <x:v>Baixo</x:v>
      </x:c>
      <x:c r="I1767" s="13" t="str">
        <x:v>Gestão</x:v>
      </x:c>
      <x:c r="J1767" s="17" t="n">
        <x:v>3058.94</x:v>
      </x:c>
      <x:c r="K1767" s="17" t="n">
        <x:v>0</x:v>
      </x:c>
      <x:c r="L1767" s="17" t="n">
        <x:v>0</x:v>
      </x:c>
      <x:c r="M1767" s="13" t="str">
        <x:v>Pago</x:v>
      </x:c>
      <x:c r="N1767" s="13" t="str">
        <x:v>Sem cobrança</x:v>
      </x:c>
      <x:c r="O1767" s="13" t="str">
        <x:v>Escala inteligente</x:v>
      </x:c>
      <x:c r="P1767" s="17" t="n">
        <x:f>IF(D1767="",0,J1767-K1767+L1767)</x:f>
        <x:v>3058.94</x:v>
      </x:c>
      <x:c r="Q1767" s="17" t="n">
        <x:f>MAX(J1767-P1767-K1767,0)</x:f>
        <x:v>0</x:v>
      </x:c>
      <x:c r="R1767" s="13" t="n">
        <x:f>IF(D1767="",MAX(TODAY()-C1767,0),MAX(D1767-C1767,0))</x:f>
        <x:v>0</x:v>
      </x:c>
      <x:c r="S1767" s="13" t="str">
        <x:f>IF(R1767=0,"Em dia",IF(R1767&lt;=15,"1-15 dias",IF(R1767&lt;=30,"16-30 dias",IF(R1767&lt;=60,"31-60 dias","Acima de 60 dias"))))</x:f>
        <x:v>Em dia</x:v>
      </x:c>
    </x:row>
    <x:row r="1768">
      <x:c r="A1768" s="13" t="str">
        <x:v>REC-001767</x:v>
      </x:c>
      <x:c r="B1768" s="23" t="n">
        <x:v>46184</x:v>
      </x:c>
      <x:c r="C1768" s="23" t="n">
        <x:v>46205</x:v>
      </x:c>
      <x:c r="D1768" s="23" t="n">
        <x:v>46204</x:v>
      </x:c>
      <x:c r="E1768" s="13" t="str">
        <x:v>VAL-028</x:v>
      </x:c>
      <x:c r="F1768" s="13" t="str">
        <x:v>Pixel Norte</x:v>
      </x:c>
      <x:c r="G1768" s="13" t="str">
        <x:v>Tecnologia</x:v>
      </x:c>
      <x:c r="H1768" s="13" t="str">
        <x:v>Alto</x:v>
      </x:c>
      <x:c r="I1768" s="13" t="str">
        <x:v>Enterprise</x:v>
      </x:c>
      <x:c r="J1768" s="17" t="n">
        <x:v>7863.13</x:v>
      </x:c>
      <x:c r="K1768" s="17" t="n">
        <x:v>0</x:v>
      </x:c>
      <x:c r="L1768" s="17" t="n">
        <x:v>0</x:v>
      </x:c>
      <x:c r="M1768" s="13" t="str">
        <x:v>Pago</x:v>
      </x:c>
      <x:c r="N1768" s="13" t="str">
        <x:v>Sem cobrança</x:v>
      </x:c>
      <x:c r="O1768" s="13" t="str">
        <x:v>Escala inteligente</x:v>
      </x:c>
      <x:c r="P1768" s="17" t="n">
        <x:f>IF(D1768="",0,J1768-K1768+L1768)</x:f>
        <x:v>7863.13</x:v>
      </x:c>
      <x:c r="Q1768" s="17" t="n">
        <x:f>MAX(J1768-P1768-K1768,0)</x:f>
        <x:v>0</x:v>
      </x:c>
      <x:c r="R1768" s="13" t="n">
        <x:f>IF(D1768="",MAX(TODAY()-C1768,0),MAX(D1768-C1768,0))</x:f>
        <x:v>0</x:v>
      </x:c>
      <x:c r="S1768" s="13" t="str">
        <x:f>IF(R1768=0,"Em dia",IF(R1768&lt;=15,"1-15 dias",IF(R1768&lt;=30,"16-30 dias",IF(R1768&lt;=60,"31-60 dias","Acima de 60 dias"))))</x:f>
        <x:v>Em dia</x:v>
      </x:c>
    </x:row>
    <x:row r="1769">
      <x:c r="A1769" s="13" t="str">
        <x:v>REC-001768</x:v>
      </x:c>
      <x:c r="B1769" s="23" t="n">
        <x:v>46175</x:v>
      </x:c>
      <x:c r="C1769" s="23" t="n">
        <x:v>46190</x:v>
      </x:c>
      <x:c r="D1769" s="23" t="n">
        <x:v>46189</x:v>
      </x:c>
      <x:c r="E1769" s="13" t="str">
        <x:v>VAL-013</x:v>
      </x:c>
      <x:c r="F1769" s="13" t="str">
        <x:v>Engenharia Vértice</x:v>
      </x:c>
      <x:c r="G1769" s="13" t="str">
        <x:v>Construção</x:v>
      </x:c>
      <x:c r="H1769" s="13" t="str">
        <x:v>Baixo</x:v>
      </x:c>
      <x:c r="I1769" s="13" t="str">
        <x:v>Essencial</x:v>
      </x:c>
      <x:c r="J1769" s="17" t="n">
        <x:v>18452.43</x:v>
      </x:c>
      <x:c r="K1769" s="17" t="n">
        <x:v>0</x:v>
      </x:c>
      <x:c r="L1769" s="17" t="n">
        <x:v>0</x:v>
      </x:c>
      <x:c r="M1769" s="13" t="str">
        <x:v>Pago</x:v>
      </x:c>
      <x:c r="N1769" s="13" t="str">
        <x:v>Sem cobrança</x:v>
      </x:c>
      <x:c r="O1769" s="13" t="str">
        <x:v>Escala inteligente</x:v>
      </x:c>
      <x:c r="P1769" s="17" t="n">
        <x:f>IF(D1769="",0,J1769-K1769+L1769)</x:f>
        <x:v>18452.43</x:v>
      </x:c>
      <x:c r="Q1769" s="17" t="n">
        <x:f>MAX(J1769-P1769-K1769,0)</x:f>
        <x:v>0</x:v>
      </x:c>
      <x:c r="R1769" s="13" t="n">
        <x:f>IF(D1769="",MAX(TODAY()-C1769,0),MAX(D1769-C1769,0))</x:f>
        <x:v>0</x:v>
      </x:c>
      <x:c r="S1769" s="13" t="str">
        <x:f>IF(R1769=0,"Em dia",IF(R1769&lt;=15,"1-15 dias",IF(R1769&lt;=30,"16-30 dias",IF(R1769&lt;=60,"31-60 dias","Acima de 60 dias"))))</x:f>
        <x:v>Em dia</x:v>
      </x:c>
    </x:row>
    <x:row r="1770">
      <x:c r="A1770" s="13" t="str">
        <x:v>REC-001769</x:v>
      </x:c>
      <x:c r="B1770" s="23" t="n">
        <x:v>46174</x:v>
      </x:c>
      <x:c r="C1770" s="23" t="n">
        <x:v>46195</x:v>
      </x:c>
      <x:c r="D1770" s="23" t="n">
        <x:v>46195</x:v>
      </x:c>
      <x:c r="E1770" s="13" t="str">
        <x:v>VAL-014</x:v>
      </x:c>
      <x:c r="F1770" s="13" t="str">
        <x:v>Colégio Caminhos</x:v>
      </x:c>
      <x:c r="G1770" s="13" t="str">
        <x:v>Educação</x:v>
      </x:c>
      <x:c r="H1770" s="13" t="str">
        <x:v>Médio</x:v>
      </x:c>
      <x:c r="I1770" s="13" t="str">
        <x:v>Gestão</x:v>
      </x:c>
      <x:c r="J1770" s="17" t="n">
        <x:v>18921.38</x:v>
      </x:c>
      <x:c r="K1770" s="17" t="n">
        <x:v>324.22</x:v>
      </x:c>
      <x:c r="L1770" s="17" t="n">
        <x:v>0</x:v>
      </x:c>
      <x:c r="M1770" s="13" t="str">
        <x:v>Pago</x:v>
      </x:c>
      <x:c r="N1770" s="13" t="str">
        <x:v>Sem cobrança</x:v>
      </x:c>
      <x:c r="O1770" s="13" t="str">
        <x:v>Escala inteligente</x:v>
      </x:c>
      <x:c r="P1770" s="17" t="n">
        <x:f>IF(D1770="",0,J1770-K1770+L1770)</x:f>
        <x:v>18597.16</x:v>
      </x:c>
      <x:c r="Q1770" s="17" t="n">
        <x:f>MAX(J1770-P1770-K1770,0)</x:f>
        <x:v>1.1368683772161603e-12</x:v>
      </x:c>
      <x:c r="R1770" s="13" t="n">
        <x:f>IF(D1770="",MAX(TODAY()-C1770,0),MAX(D1770-C1770,0))</x:f>
        <x:v>0</x:v>
      </x:c>
      <x:c r="S1770" s="13" t="str">
        <x:f>IF(R1770=0,"Em dia",IF(R1770&lt;=15,"1-15 dias",IF(R1770&lt;=30,"16-30 dias",IF(R1770&lt;=60,"31-60 dias","Acima de 60 dias"))))</x:f>
        <x:v>Em dia</x:v>
      </x:c>
    </x:row>
    <x:row r="1771">
      <x:c r="A1771" s="13" t="str">
        <x:v>REC-001770</x:v>
      </x:c>
      <x:c r="B1771" s="23" t="n">
        <x:v>46179</x:v>
      </x:c>
      <x:c r="C1771" s="23" t="n">
        <x:v>46200</x:v>
      </x:c>
      <x:c r="D1771" s="23" t="n">
        <x:v>46197</x:v>
      </x:c>
      <x:c r="E1771" s="13" t="str">
        <x:v>VAL-002</x:v>
      </x:c>
      <x:c r="F1771" s="13" t="str">
        <x:v>Mendes &amp; Prado Consultoria</x:v>
      </x:c>
      <x:c r="G1771" s="13" t="str">
        <x:v>Serviços Profissionais</x:v>
      </x:c>
      <x:c r="H1771" s="13" t="str">
        <x:v>Baixo</x:v>
      </x:c>
      <x:c r="I1771" s="13" t="str">
        <x:v>Gestão</x:v>
      </x:c>
      <x:c r="J1771" s="17" t="n">
        <x:v>11294.94</x:v>
      </x:c>
      <x:c r="K1771" s="17" t="n">
        <x:v>0</x:v>
      </x:c>
      <x:c r="L1771" s="17" t="n">
        <x:v>0</x:v>
      </x:c>
      <x:c r="M1771" s="13" t="str">
        <x:v>Pago</x:v>
      </x:c>
      <x:c r="N1771" s="13" t="str">
        <x:v>Sem cobrança</x:v>
      </x:c>
      <x:c r="O1771" s="13" t="str">
        <x:v>Escala inteligente</x:v>
      </x:c>
      <x:c r="P1771" s="17" t="n">
        <x:f>IF(D1771="",0,J1771-K1771+L1771)</x:f>
        <x:v>11294.94</x:v>
      </x:c>
      <x:c r="Q1771" s="17" t="n">
        <x:f>MAX(J1771-P1771-K1771,0)</x:f>
        <x:v>0</x:v>
      </x:c>
      <x:c r="R1771" s="13" t="n">
        <x:f>IF(D1771="",MAX(TODAY()-C1771,0),MAX(D1771-C1771,0))</x:f>
        <x:v>0</x:v>
      </x:c>
      <x:c r="S1771" s="13" t="str">
        <x:f>IF(R1771=0,"Em dia",IF(R1771&lt;=15,"1-15 dias",IF(R1771&lt;=30,"16-30 dias",IF(R1771&lt;=60,"31-60 dias","Acima de 60 dias"))))</x:f>
        <x:v>Em dia</x:v>
      </x:c>
    </x:row>
    <x:row r="1772">
      <x:c r="A1772" s="13" t="str">
        <x:v>REC-001771</x:v>
      </x:c>
      <x:c r="B1772" s="23" t="n">
        <x:v>46182</x:v>
      </x:c>
      <x:c r="C1772" s="23" t="n">
        <x:v>46197</x:v>
      </x:c>
      <x:c r="D1772" s="23" t="n">
        <x:v>46197</x:v>
      </x:c>
      <x:c r="E1772" s="13" t="str">
        <x:v>VAL-024</x:v>
      </x:c>
      <x:c r="F1772" s="13" t="str">
        <x:v>NovaForma Móveis</x:v>
      </x:c>
      <x:c r="G1772" s="13" t="str">
        <x:v>Indústria Leve</x:v>
      </x:c>
      <x:c r="H1772" s="13" t="str">
        <x:v>Baixo</x:v>
      </x:c>
      <x:c r="I1772" s="13" t="str">
        <x:v>Enterprise</x:v>
      </x:c>
      <x:c r="J1772" s="17" t="n">
        <x:v>24004.08</x:v>
      </x:c>
      <x:c r="K1772" s="17" t="n">
        <x:v>332.94</x:v>
      </x:c>
      <x:c r="L1772" s="17" t="n">
        <x:v>0</x:v>
      </x:c>
      <x:c r="M1772" s="13" t="str">
        <x:v>Pago</x:v>
      </x:c>
      <x:c r="N1772" s="13" t="str">
        <x:v>Sem cobrança</x:v>
      </x:c>
      <x:c r="O1772" s="13" t="str">
        <x:v>Escala inteligente</x:v>
      </x:c>
      <x:c r="P1772" s="17" t="n">
        <x:f>IF(D1772="",0,J1772-K1772+L1772)</x:f>
        <x:v>23671.140000000003</x:v>
      </x:c>
      <x:c r="Q1772" s="17" t="n">
        <x:f>MAX(J1772-P1772-K1772,0)</x:f>
        <x:v>0</x:v>
      </x:c>
      <x:c r="R1772" s="13" t="n">
        <x:f>IF(D1772="",MAX(TODAY()-C1772,0),MAX(D1772-C1772,0))</x:f>
        <x:v>0</x:v>
      </x:c>
      <x:c r="S1772" s="13" t="str">
        <x:f>IF(R1772=0,"Em dia",IF(R1772&lt;=15,"1-15 dias",IF(R1772&lt;=30,"16-30 dias",IF(R1772&lt;=60,"31-60 dias","Acima de 60 dias"))))</x:f>
        <x:v>Em dia</x:v>
      </x:c>
    </x:row>
    <x:row r="1773">
      <x:c r="A1773" s="13" t="str">
        <x:v>REC-001772</x:v>
      </x:c>
      <x:c r="B1773" s="23" t="n">
        <x:v>46188</x:v>
      </x:c>
      <x:c r="C1773" s="23" t="n">
        <x:v>46209</x:v>
      </x:c>
      <x:c r="D1773" s="23" t="n">
        <x:v>46208</x:v>
      </x:c>
      <x:c r="E1773" s="13" t="str">
        <x:v>VAL-024</x:v>
      </x:c>
      <x:c r="F1773" s="13" t="str">
        <x:v>NovaForma Móveis</x:v>
      </x:c>
      <x:c r="G1773" s="13" t="str">
        <x:v>Indústria Leve</x:v>
      </x:c>
      <x:c r="H1773" s="13" t="str">
        <x:v>Baixo</x:v>
      </x:c>
      <x:c r="I1773" s="13" t="str">
        <x:v>Enterprise</x:v>
      </x:c>
      <x:c r="J1773" s="17" t="n">
        <x:v>15259.4</x:v>
      </x:c>
      <x:c r="K1773" s="17" t="n">
        <x:v>0</x:v>
      </x:c>
      <x:c r="L1773" s="17" t="n">
        <x:v>0</x:v>
      </x:c>
      <x:c r="M1773" s="13" t="str">
        <x:v>Pago</x:v>
      </x:c>
      <x:c r="N1773" s="13" t="str">
        <x:v>Sem cobrança</x:v>
      </x:c>
      <x:c r="O1773" s="13" t="str">
        <x:v>Escala inteligente</x:v>
      </x:c>
      <x:c r="P1773" s="17" t="n">
        <x:f>IF(D1773="",0,J1773-K1773+L1773)</x:f>
        <x:v>15259.4</x:v>
      </x:c>
      <x:c r="Q1773" s="17" t="n">
        <x:f>MAX(J1773-P1773-K1773,0)</x:f>
        <x:v>0</x:v>
      </x:c>
      <x:c r="R1773" s="13" t="n">
        <x:f>IF(D1773="",MAX(TODAY()-C1773,0),MAX(D1773-C1773,0))</x:f>
        <x:v>0</x:v>
      </x:c>
      <x:c r="S1773" s="13" t="str">
        <x:f>IF(R1773=0,"Em dia",IF(R1773&lt;=15,"1-15 dias",IF(R1773&lt;=30,"16-30 dias",IF(R1773&lt;=60,"31-60 dias","Acima de 60 dias"))))</x:f>
        <x:v>Em dia</x:v>
      </x:c>
    </x:row>
    <x:row r="1774">
      <x:c r="A1774" s="13" t="str">
        <x:v>REC-001773</x:v>
      </x:c>
      <x:c r="B1774" s="23" t="n">
        <x:v>46189</x:v>
      </x:c>
      <x:c r="C1774" s="23" t="n">
        <x:v>46217</x:v>
      </x:c>
      <x:c r="D1774" s="23" t="n">
        <x:v>46233</x:v>
      </x:c>
      <x:c r="E1774" s="13" t="str">
        <x:v>VAL-016</x:v>
      </x:c>
      <x:c r="F1774" s="13" t="str">
        <x:v>Lumina Embalagens</x:v>
      </x:c>
      <x:c r="G1774" s="13" t="str">
        <x:v>Indústria Leve</x:v>
      </x:c>
      <x:c r="H1774" s="13" t="str">
        <x:v>Baixo</x:v>
      </x:c>
      <x:c r="I1774" s="13" t="str">
        <x:v>Enterprise</x:v>
      </x:c>
      <x:c r="J1774" s="17" t="n">
        <x:v>19813.2</x:v>
      </x:c>
      <x:c r="K1774" s="17" t="n">
        <x:v>0</x:v>
      </x:c>
      <x:c r="L1774" s="17" t="n">
        <x:v>206.06</x:v>
      </x:c>
      <x:c r="M1774" s="13" t="str">
        <x:v>Pago com atraso</x:v>
      </x:c>
      <x:c r="N1774" s="13" t="str">
        <x:v>Telefone</x:v>
      </x:c>
      <x:c r="O1774" s="13" t="str">
        <x:v>Escala inteligente</x:v>
      </x:c>
      <x:c r="P1774" s="17" t="n">
        <x:f>IF(D1774="",0,J1774-K1774+L1774)</x:f>
        <x:v>20019.260000000002</x:v>
      </x:c>
      <x:c r="Q1774" s="17" t="n">
        <x:f>MAX(J1774-P1774-K1774,0)</x:f>
        <x:v>0</x:v>
      </x:c>
      <x:c r="R1774" s="13" t="n">
        <x:f>IF(D1774="",MAX(TODAY()-C1774,0),MAX(D1774-C1774,0))</x:f>
        <x:v>16</x:v>
      </x:c>
      <x:c r="S1774" s="13" t="str">
        <x:f>IF(R1774=0,"Em dia",IF(R1774&lt;=15,"1-15 dias",IF(R1774&lt;=30,"16-30 dias",IF(R1774&lt;=60,"31-60 dias","Acima de 60 dias"))))</x:f>
        <x:v>16-30 dias</x:v>
      </x:c>
    </x:row>
    <x:row r="1775">
      <x:c r="A1775" s="13" t="str">
        <x:v>REC-001774</x:v>
      </x:c>
      <x:c r="B1775" s="23" t="n">
        <x:v>46188</x:v>
      </x:c>
      <x:c r="C1775" s="23" t="n">
        <x:v>46209</x:v>
      </x:c>
      <x:c r="D1775" s="23" t="n">
        <x:v>46209</x:v>
      </x:c>
      <x:c r="E1775" s="13" t="str">
        <x:v>VAL-012</x:v>
      </x:c>
      <x:c r="F1775" s="13" t="str">
        <x:v>DataFlow Sistemas</x:v>
      </x:c>
      <x:c r="G1775" s="13" t="str">
        <x:v>Tecnologia</x:v>
      </x:c>
      <x:c r="H1775" s="13" t="str">
        <x:v>Médio</x:v>
      </x:c>
      <x:c r="I1775" s="13" t="str">
        <x:v>Enterprise</x:v>
      </x:c>
      <x:c r="J1775" s="17" t="n">
        <x:v>28615.64</x:v>
      </x:c>
      <x:c r="K1775" s="17" t="n">
        <x:v>0</x:v>
      </x:c>
      <x:c r="L1775" s="17" t="n">
        <x:v>0</x:v>
      </x:c>
      <x:c r="M1775" s="13" t="str">
        <x:v>Pago</x:v>
      </x:c>
      <x:c r="N1775" s="13" t="str">
        <x:v>Sem cobrança</x:v>
      </x:c>
      <x:c r="O1775" s="13" t="str">
        <x:v>Escala inteligente</x:v>
      </x:c>
      <x:c r="P1775" s="17" t="n">
        <x:f>IF(D1775="",0,J1775-K1775+L1775)</x:f>
        <x:v>28615.64</x:v>
      </x:c>
      <x:c r="Q1775" s="17" t="n">
        <x:f>MAX(J1775-P1775-K1775,0)</x:f>
        <x:v>0</x:v>
      </x:c>
      <x:c r="R1775" s="13" t="n">
        <x:f>IF(D1775="",MAX(TODAY()-C1775,0),MAX(D1775-C1775,0))</x:f>
        <x:v>0</x:v>
      </x:c>
      <x:c r="S1775" s="13" t="str">
        <x:f>IF(R1775=0,"Em dia",IF(R1775&lt;=15,"1-15 dias",IF(R1775&lt;=30,"16-30 dias",IF(R1775&lt;=60,"31-60 dias","Acima de 60 dias"))))</x:f>
        <x:v>Em dia</x:v>
      </x:c>
    </x:row>
    <x:row r="1776">
      <x:c r="A1776" s="13" t="str">
        <x:v>REC-001775</x:v>
      </x:c>
      <x:c r="B1776" s="23" t="n">
        <x:v>46175</x:v>
      </x:c>
      <x:c r="C1776" s="23" t="n">
        <x:v>46182</x:v>
      </x:c>
      <x:c r="D1776" s="23" t="n">
        <x:v>46180</x:v>
      </x:c>
      <x:c r="E1776" s="13" t="str">
        <x:v>VAL-023</x:v>
      </x:c>
      <x:c r="F1776" s="13" t="str">
        <x:v>ShopMix Brasil</x:v>
      </x:c>
      <x:c r="G1776" s="13" t="str">
        <x:v>E-commerce</x:v>
      </x:c>
      <x:c r="H1776" s="13" t="str">
        <x:v>Baixo</x:v>
      </x:c>
      <x:c r="I1776" s="13" t="str">
        <x:v>Performance</x:v>
      </x:c>
      <x:c r="J1776" s="17" t="n">
        <x:v>28330.45</x:v>
      </x:c>
      <x:c r="K1776" s="17" t="n">
        <x:v>0</x:v>
      </x:c>
      <x:c r="L1776" s="17" t="n">
        <x:v>0</x:v>
      </x:c>
      <x:c r="M1776" s="13" t="str">
        <x:v>Pago</x:v>
      </x:c>
      <x:c r="N1776" s="13" t="str">
        <x:v>Sem cobrança</x:v>
      </x:c>
      <x:c r="O1776" s="13" t="str">
        <x:v>Escala inteligente</x:v>
      </x:c>
      <x:c r="P1776" s="17" t="n">
        <x:f>IF(D1776="",0,J1776-K1776+L1776)</x:f>
        <x:v>28330.45</x:v>
      </x:c>
      <x:c r="Q1776" s="17" t="n">
        <x:f>MAX(J1776-P1776-K1776,0)</x:f>
        <x:v>0</x:v>
      </x:c>
      <x:c r="R1776" s="13" t="n">
        <x:f>IF(D1776="",MAX(TODAY()-C1776,0),MAX(D1776-C1776,0))</x:f>
        <x:v>0</x:v>
      </x:c>
      <x:c r="S1776" s="13" t="str">
        <x:f>IF(R1776=0,"Em dia",IF(R1776&lt;=15,"1-15 dias",IF(R1776&lt;=30,"16-30 dias",IF(R1776&lt;=60,"31-60 dias","Acima de 60 dias"))))</x:f>
        <x:v>Em dia</x:v>
      </x:c>
    </x:row>
    <x:row r="1777">
      <x:c r="A1777" s="13" t="str">
        <x:v>REC-001776</x:v>
      </x:c>
      <x:c r="B1777" s="23" t="n">
        <x:v>46179</x:v>
      </x:c>
      <x:c r="C1777" s="23" t="n">
        <x:v>46209</x:v>
      </x:c>
      <x:c r="D1777" s="23" t="n">
        <x:v>46207</x:v>
      </x:c>
      <x:c r="E1777" s="13" t="str">
        <x:v>VAL-014</x:v>
      </x:c>
      <x:c r="F1777" s="13" t="str">
        <x:v>Colégio Caminhos</x:v>
      </x:c>
      <x:c r="G1777" s="13" t="str">
        <x:v>Educação</x:v>
      </x:c>
      <x:c r="H1777" s="13" t="str">
        <x:v>Médio</x:v>
      </x:c>
      <x:c r="I1777" s="13" t="str">
        <x:v>Gestão</x:v>
      </x:c>
      <x:c r="J1777" s="17" t="n">
        <x:v>6949.72</x:v>
      </x:c>
      <x:c r="K1777" s="17" t="n">
        <x:v>65.31</x:v>
      </x:c>
      <x:c r="L1777" s="17" t="n">
        <x:v>0</x:v>
      </x:c>
      <x:c r="M1777" s="13" t="str">
        <x:v>Pago</x:v>
      </x:c>
      <x:c r="N1777" s="13" t="str">
        <x:v>Sem cobrança</x:v>
      </x:c>
      <x:c r="O1777" s="13" t="str">
        <x:v>Escala inteligente</x:v>
      </x:c>
      <x:c r="P1777" s="17" t="n">
        <x:f>IF(D1777="",0,J1777-K1777+L1777)</x:f>
        <x:v>6884.41</x:v>
      </x:c>
      <x:c r="Q1777" s="17" t="n">
        <x:f>MAX(J1777-P1777-K1777,0)</x:f>
        <x:v>3.979039320256561e-13</x:v>
      </x:c>
      <x:c r="R1777" s="13" t="n">
        <x:f>IF(D1777="",MAX(TODAY()-C1777,0),MAX(D1777-C1777,0))</x:f>
        <x:v>0</x:v>
      </x:c>
      <x:c r="S1777" s="13" t="str">
        <x:f>IF(R1777=0,"Em dia",IF(R1777&lt;=15,"1-15 dias",IF(R1777&lt;=30,"16-30 dias",IF(R1777&lt;=60,"31-60 dias","Acima de 60 dias"))))</x:f>
        <x:v>Em dia</x:v>
      </x:c>
    </x:row>
    <x:row r="1778">
      <x:c r="A1778" s="13" t="str">
        <x:v>REC-001777</x:v>
      </x:c>
      <x:c r="B1778" s="23" t="n">
        <x:v>46185</x:v>
      </x:c>
      <x:c r="C1778" s="23" t="n">
        <x:v>46200</x:v>
      </x:c>
      <x:c r="D1778" s="23" t="n">
        <x:v>46197</x:v>
      </x:c>
      <x:c r="E1778" s="13" t="str">
        <x:v>VAL-024</x:v>
      </x:c>
      <x:c r="F1778" s="13" t="str">
        <x:v>NovaForma Móveis</x:v>
      </x:c>
      <x:c r="G1778" s="13" t="str">
        <x:v>Indústria Leve</x:v>
      </x:c>
      <x:c r="H1778" s="13" t="str">
        <x:v>Baixo</x:v>
      </x:c>
      <x:c r="I1778" s="13" t="str">
        <x:v>Enterprise</x:v>
      </x:c>
      <x:c r="J1778" s="17" t="n">
        <x:v>16158.09</x:v>
      </x:c>
      <x:c r="K1778" s="17" t="n">
        <x:v>0</x:v>
      </x:c>
      <x:c r="L1778" s="17" t="n">
        <x:v>0</x:v>
      </x:c>
      <x:c r="M1778" s="13" t="str">
        <x:v>Pago</x:v>
      </x:c>
      <x:c r="N1778" s="13" t="str">
        <x:v>Sem cobrança</x:v>
      </x:c>
      <x:c r="O1778" s="13" t="str">
        <x:v>Escala inteligente</x:v>
      </x:c>
      <x:c r="P1778" s="17" t="n">
        <x:f>IF(D1778="",0,J1778-K1778+L1778)</x:f>
        <x:v>16158.09</x:v>
      </x:c>
      <x:c r="Q1778" s="17" t="n">
        <x:f>MAX(J1778-P1778-K1778,0)</x:f>
        <x:v>0</x:v>
      </x:c>
      <x:c r="R1778" s="13" t="n">
        <x:f>IF(D1778="",MAX(TODAY()-C1778,0),MAX(D1778-C1778,0))</x:f>
        <x:v>0</x:v>
      </x:c>
      <x:c r="S1778" s="13" t="str">
        <x:f>IF(R1778=0,"Em dia",IF(R1778&lt;=15,"1-15 dias",IF(R1778&lt;=30,"16-30 dias",IF(R1778&lt;=60,"31-60 dias","Acima de 60 dias"))))</x:f>
        <x:v>Em dia</x:v>
      </x:c>
    </x:row>
    <x:row r="1779">
      <x:c r="A1779" s="13" t="str">
        <x:v>REC-001778</x:v>
      </x:c>
      <x:c r="B1779" s="23" t="n">
        <x:v>46181</x:v>
      </x:c>
      <x:c r="C1779" s="23" t="n">
        <x:v>46196</x:v>
      </x:c>
      <x:c r="D1779" s="23" t="n">
        <x:v>46194</x:v>
      </x:c>
      <x:c r="E1779" s="13" t="str">
        <x:v>VAL-013</x:v>
      </x:c>
      <x:c r="F1779" s="13" t="str">
        <x:v>Engenharia Vértice</x:v>
      </x:c>
      <x:c r="G1779" s="13" t="str">
        <x:v>Construção</x:v>
      </x:c>
      <x:c r="H1779" s="13" t="str">
        <x:v>Baixo</x:v>
      </x:c>
      <x:c r="I1779" s="13" t="str">
        <x:v>Essencial</x:v>
      </x:c>
      <x:c r="J1779" s="17" t="n">
        <x:v>27529.35</x:v>
      </x:c>
      <x:c r="K1779" s="17" t="n">
        <x:v>0</x:v>
      </x:c>
      <x:c r="L1779" s="17" t="n">
        <x:v>0</x:v>
      </x:c>
      <x:c r="M1779" s="13" t="str">
        <x:v>Pago</x:v>
      </x:c>
      <x:c r="N1779" s="13" t="str">
        <x:v>Sem cobrança</x:v>
      </x:c>
      <x:c r="O1779" s="13" t="str">
        <x:v>Escala inteligente</x:v>
      </x:c>
      <x:c r="P1779" s="17" t="n">
        <x:f>IF(D1779="",0,J1779-K1779+L1779)</x:f>
        <x:v>27529.35</x:v>
      </x:c>
      <x:c r="Q1779" s="17" t="n">
        <x:f>MAX(J1779-P1779-K1779,0)</x:f>
        <x:v>0</x:v>
      </x:c>
      <x:c r="R1779" s="13" t="n">
        <x:f>IF(D1779="",MAX(TODAY()-C1779,0),MAX(D1779-C1779,0))</x:f>
        <x:v>0</x:v>
      </x:c>
      <x:c r="S1779" s="13" t="str">
        <x:f>IF(R1779=0,"Em dia",IF(R1779&lt;=15,"1-15 dias",IF(R1779&lt;=30,"16-30 dias",IF(R1779&lt;=60,"31-60 dias","Acima de 60 dias"))))</x:f>
        <x:v>Em dia</x:v>
      </x:c>
    </x:row>
    <x:row r="1780">
      <x:c r="A1780" s="13" t="str">
        <x:v>REC-001779</x:v>
      </x:c>
      <x:c r="B1780" s="23" t="n">
        <x:v>46183</x:v>
      </x:c>
      <x:c r="C1780" s="23" t="n">
        <x:v>46213</x:v>
      </x:c>
      <x:c r="D1780" s="23" t="n">
        <x:v>46211</x:v>
      </x:c>
      <x:c r="E1780" s="13" t="str">
        <x:v>VAL-023</x:v>
      </x:c>
      <x:c r="F1780" s="13" t="str">
        <x:v>ShopMix Brasil</x:v>
      </x:c>
      <x:c r="G1780" s="13" t="str">
        <x:v>E-commerce</x:v>
      </x:c>
      <x:c r="H1780" s="13" t="str">
        <x:v>Baixo</x:v>
      </x:c>
      <x:c r="I1780" s="13" t="str">
        <x:v>Performance</x:v>
      </x:c>
      <x:c r="J1780" s="17" t="n">
        <x:v>33344.82</x:v>
      </x:c>
      <x:c r="K1780" s="17" t="n">
        <x:v>0</x:v>
      </x:c>
      <x:c r="L1780" s="17" t="n">
        <x:v>0</x:v>
      </x:c>
      <x:c r="M1780" s="13" t="str">
        <x:v>Pago</x:v>
      </x:c>
      <x:c r="N1780" s="13" t="str">
        <x:v>Sem cobrança</x:v>
      </x:c>
      <x:c r="O1780" s="13" t="str">
        <x:v>Escala inteligente</x:v>
      </x:c>
      <x:c r="P1780" s="17" t="n">
        <x:f>IF(D1780="",0,J1780-K1780+L1780)</x:f>
        <x:v>33344.82</x:v>
      </x:c>
      <x:c r="Q1780" s="17" t="n">
        <x:f>MAX(J1780-P1780-K1780,0)</x:f>
        <x:v>0</x:v>
      </x:c>
      <x:c r="R1780" s="13" t="n">
        <x:f>IF(D1780="",MAX(TODAY()-C1780,0),MAX(D1780-C1780,0))</x:f>
        <x:v>0</x:v>
      </x:c>
      <x:c r="S1780" s="13" t="str">
        <x:f>IF(R1780=0,"Em dia",IF(R1780&lt;=15,"1-15 dias",IF(R1780&lt;=30,"16-30 dias",IF(R1780&lt;=60,"31-60 dias","Acima de 60 dias"))))</x:f>
        <x:v>Em dia</x:v>
      </x:c>
    </x:row>
    <x:row r="1781">
      <x:c r="A1781" s="13" t="str">
        <x:v>REC-001780</x:v>
      </x:c>
      <x:c r="B1781" s="23" t="n">
        <x:v>46179</x:v>
      </x:c>
      <x:c r="C1781" s="23" t="n">
        <x:v>46207</x:v>
      </x:c>
      <x:c r="D1781" s="23" t="n">
        <x:v>46222</x:v>
      </x:c>
      <x:c r="E1781" s="13" t="str">
        <x:v>VAL-012</x:v>
      </x:c>
      <x:c r="F1781" s="13" t="str">
        <x:v>DataFlow Sistemas</x:v>
      </x:c>
      <x:c r="G1781" s="13" t="str">
        <x:v>Tecnologia</x:v>
      </x:c>
      <x:c r="H1781" s="13" t="str">
        <x:v>Médio</x:v>
      </x:c>
      <x:c r="I1781" s="13" t="str">
        <x:v>Enterprise</x:v>
      </x:c>
      <x:c r="J1781" s="17" t="n">
        <x:v>25971.91</x:v>
      </x:c>
      <x:c r="K1781" s="17" t="n">
        <x:v>0</x:v>
      </x:c>
      <x:c r="L1781" s="17" t="n">
        <x:v>253.23</x:v>
      </x:c>
      <x:c r="M1781" s="13" t="str">
        <x:v>Pago com atraso</x:v>
      </x:c>
      <x:c r="N1781" s="13" t="str">
        <x:v>Telefone</x:v>
      </x:c>
      <x:c r="O1781" s="13" t="str">
        <x:v>Escala inteligente</x:v>
      </x:c>
      <x:c r="P1781" s="17" t="n">
        <x:f>IF(D1781="",0,J1781-K1781+L1781)</x:f>
        <x:v>26225.14</x:v>
      </x:c>
      <x:c r="Q1781" s="17" t="n">
        <x:f>MAX(J1781-P1781-K1781,0)</x:f>
        <x:v>0</x:v>
      </x:c>
      <x:c r="R1781" s="13" t="n">
        <x:f>IF(D1781="",MAX(TODAY()-C1781,0),MAX(D1781-C1781,0))</x:f>
        <x:v>15</x:v>
      </x:c>
      <x:c r="S1781" s="13" t="str">
        <x:f>IF(R1781=0,"Em dia",IF(R1781&lt;=15,"1-15 dias",IF(R1781&lt;=30,"16-30 dias",IF(R1781&lt;=60,"31-60 dias","Acima de 60 dias"))))</x:f>
        <x:v>1-15 dias</x:v>
      </x:c>
    </x:row>
    <x:row r="1782">
      <x:c r="A1782" s="13" t="str">
        <x:v>REC-001781</x:v>
      </x:c>
      <x:c r="B1782" s="23" t="n">
        <x:v>46192</x:v>
      </x:c>
      <x:c r="C1782" s="23" t="n">
        <x:v>46213</x:v>
      </x:c>
      <x:c r="D1782" s="23" t="n">
        <x:v>46209</x:v>
      </x:c>
      <x:c r="E1782" s="13" t="str">
        <x:v>VAL-028</x:v>
      </x:c>
      <x:c r="F1782" s="13" t="str">
        <x:v>Pixel Norte</x:v>
      </x:c>
      <x:c r="G1782" s="13" t="str">
        <x:v>Tecnologia</x:v>
      </x:c>
      <x:c r="H1782" s="13" t="str">
        <x:v>Alto</x:v>
      </x:c>
      <x:c r="I1782" s="13" t="str">
        <x:v>Enterprise</x:v>
      </x:c>
      <x:c r="J1782" s="17" t="n">
        <x:v>14165.44</x:v>
      </x:c>
      <x:c r="K1782" s="17" t="n">
        <x:v>0</x:v>
      </x:c>
      <x:c r="L1782" s="17" t="n">
        <x:v>0</x:v>
      </x:c>
      <x:c r="M1782" s="13" t="str">
        <x:v>Pago</x:v>
      </x:c>
      <x:c r="N1782" s="13" t="str">
        <x:v>Sem cobrança</x:v>
      </x:c>
      <x:c r="O1782" s="13" t="str">
        <x:v>Escala inteligente</x:v>
      </x:c>
      <x:c r="P1782" s="17" t="n">
        <x:f>IF(D1782="",0,J1782-K1782+L1782)</x:f>
        <x:v>14165.44</x:v>
      </x:c>
      <x:c r="Q1782" s="17" t="n">
        <x:f>MAX(J1782-P1782-K1782,0)</x:f>
        <x:v>0</x:v>
      </x:c>
      <x:c r="R1782" s="13" t="n">
        <x:f>IF(D1782="",MAX(TODAY()-C1782,0),MAX(D1782-C1782,0))</x:f>
        <x:v>0</x:v>
      </x:c>
      <x:c r="S1782" s="13" t="str">
        <x:f>IF(R1782=0,"Em dia",IF(R1782&lt;=15,"1-15 dias",IF(R1782&lt;=30,"16-30 dias",IF(R1782&lt;=60,"31-60 dias","Acima de 60 dias"))))</x:f>
        <x:v>Em dia</x:v>
      </x:c>
    </x:row>
    <x:row r="1783">
      <x:c r="A1783" s="13" t="str">
        <x:v>REC-001782</x:v>
      </x:c>
      <x:c r="B1783" s="23" t="n">
        <x:v>46191</x:v>
      </x:c>
      <x:c r="C1783" s="23" t="n">
        <x:v>46219</x:v>
      </x:c>
      <x:c r="D1783" s="23" t="n">
        <x:v>46218</x:v>
      </x:c>
      <x:c r="E1783" s="13" t="str">
        <x:v>VAL-028</x:v>
      </x:c>
      <x:c r="F1783" s="13" t="str">
        <x:v>Pixel Norte</x:v>
      </x:c>
      <x:c r="G1783" s="13" t="str">
        <x:v>Tecnologia</x:v>
      </x:c>
      <x:c r="H1783" s="13" t="str">
        <x:v>Alto</x:v>
      </x:c>
      <x:c r="I1783" s="13" t="str">
        <x:v>Enterprise</x:v>
      </x:c>
      <x:c r="J1783" s="17" t="n">
        <x:v>18252.35</x:v>
      </x:c>
      <x:c r="K1783" s="17" t="n">
        <x:v>0</x:v>
      </x:c>
      <x:c r="L1783" s="17" t="n">
        <x:v>0</x:v>
      </x:c>
      <x:c r="M1783" s="13" t="str">
        <x:v>Pago</x:v>
      </x:c>
      <x:c r="N1783" s="13" t="str">
        <x:v>Sem cobrança</x:v>
      </x:c>
      <x:c r="O1783" s="13" t="str">
        <x:v>Escala inteligente</x:v>
      </x:c>
      <x:c r="P1783" s="17" t="n">
        <x:f>IF(D1783="",0,J1783-K1783+L1783)</x:f>
        <x:v>18252.35</x:v>
      </x:c>
      <x:c r="Q1783" s="17" t="n">
        <x:f>MAX(J1783-P1783-K1783,0)</x:f>
        <x:v>0</x:v>
      </x:c>
      <x:c r="R1783" s="13" t="n">
        <x:f>IF(D1783="",MAX(TODAY()-C1783,0),MAX(D1783-C1783,0))</x:f>
        <x:v>0</x:v>
      </x:c>
      <x:c r="S1783" s="13" t="str">
        <x:f>IF(R1783=0,"Em dia",IF(R1783&lt;=15,"1-15 dias",IF(R1783&lt;=30,"16-30 dias",IF(R1783&lt;=60,"31-60 dias","Acima de 60 dias"))))</x:f>
        <x:v>Em dia</x:v>
      </x:c>
    </x:row>
    <x:row r="1784">
      <x:c r="A1784" s="13" t="str">
        <x:v>REC-001783</x:v>
      </x:c>
      <x:c r="B1784" s="23" t="n">
        <x:v>46193</x:v>
      </x:c>
      <x:c r="C1784" s="23" t="n">
        <x:v>46208</x:v>
      </x:c>
      <x:c r="D1784" s="23" t="n">
        <x:v>46205</x:v>
      </x:c>
      <x:c r="E1784" s="13" t="str">
        <x:v>VAL-009</x:v>
      </x:c>
      <x:c r="F1784" s="13" t="str">
        <x:v>Odonto Prime</x:v>
      </x:c>
      <x:c r="G1784" s="13" t="str">
        <x:v>Clínicas e Saúde</x:v>
      </x:c>
      <x:c r="H1784" s="13" t="str">
        <x:v>Médio</x:v>
      </x:c>
      <x:c r="I1784" s="13" t="str">
        <x:v>Essencial</x:v>
      </x:c>
      <x:c r="J1784" s="17" t="n">
        <x:v>27429.84</x:v>
      </x:c>
      <x:c r="K1784" s="17" t="n">
        <x:v>260.26</x:v>
      </x:c>
      <x:c r="L1784" s="17" t="n">
        <x:v>0</x:v>
      </x:c>
      <x:c r="M1784" s="13" t="str">
        <x:v>Pago</x:v>
      </x:c>
      <x:c r="N1784" s="13" t="str">
        <x:v>Sem cobrança</x:v>
      </x:c>
      <x:c r="O1784" s="13" t="str">
        <x:v>Escala inteligente</x:v>
      </x:c>
      <x:c r="P1784" s="17" t="n">
        <x:f>IF(D1784="",0,J1784-K1784+L1784)</x:f>
        <x:v>27169.58</x:v>
      </x:c>
      <x:c r="Q1784" s="17" t="n">
        <x:f>MAX(J1784-P1784-K1784,0)</x:f>
        <x:v>0</x:v>
      </x:c>
      <x:c r="R1784" s="13" t="n">
        <x:f>IF(D1784="",MAX(TODAY()-C1784,0),MAX(D1784-C1784,0))</x:f>
        <x:v>0</x:v>
      </x:c>
      <x:c r="S1784" s="13" t="str">
        <x:f>IF(R1784=0,"Em dia",IF(R1784&lt;=15,"1-15 dias",IF(R1784&lt;=30,"16-30 dias",IF(R1784&lt;=60,"31-60 dias","Acima de 60 dias"))))</x:f>
        <x:v>Em dia</x:v>
      </x:c>
    </x:row>
    <x:row r="1785">
      <x:c r="A1785" s="13" t="str">
        <x:v>REC-001784</x:v>
      </x:c>
      <x:c r="B1785" s="23" t="n">
        <x:v>46176</x:v>
      </x:c>
      <x:c r="C1785" s="23" t="n">
        <x:v>46206</x:v>
      </x:c>
      <x:c r="D1785" s="23" t="n">
        <x:v>46202</x:v>
      </x:c>
      <x:c r="E1785" s="13" t="str">
        <x:v>VAL-005</x:v>
      </x:c>
      <x:c r="F1785" s="13" t="str">
        <x:v>Construtora Alameda</x:v>
      </x:c>
      <x:c r="G1785" s="13" t="str">
        <x:v>Construção</x:v>
      </x:c>
      <x:c r="H1785" s="13" t="str">
        <x:v>Médio</x:v>
      </x:c>
      <x:c r="I1785" s="13" t="str">
        <x:v>Essencial</x:v>
      </x:c>
      <x:c r="J1785" s="17" t="n">
        <x:v>26502.92</x:v>
      </x:c>
      <x:c r="K1785" s="17" t="n">
        <x:v>0</x:v>
      </x:c>
      <x:c r="L1785" s="17" t="n">
        <x:v>0</x:v>
      </x:c>
      <x:c r="M1785" s="13" t="str">
        <x:v>Pago</x:v>
      </x:c>
      <x:c r="N1785" s="13" t="str">
        <x:v>Sem cobrança</x:v>
      </x:c>
      <x:c r="O1785" s="13" t="str">
        <x:v>Escala inteligente</x:v>
      </x:c>
      <x:c r="P1785" s="17" t="n">
        <x:f>IF(D1785="",0,J1785-K1785+L1785)</x:f>
        <x:v>26502.92</x:v>
      </x:c>
      <x:c r="Q1785" s="17" t="n">
        <x:f>MAX(J1785-P1785-K1785,0)</x:f>
        <x:v>0</x:v>
      </x:c>
      <x:c r="R1785" s="13" t="n">
        <x:f>IF(D1785="",MAX(TODAY()-C1785,0),MAX(D1785-C1785,0))</x:f>
        <x:v>0</x:v>
      </x:c>
      <x:c r="S1785" s="13" t="str">
        <x:f>IF(R1785=0,"Em dia",IF(R1785&lt;=15,"1-15 dias",IF(R1785&lt;=30,"16-30 dias",IF(R1785&lt;=60,"31-60 dias","Acima de 60 dias"))))</x:f>
        <x:v>Em dia</x:v>
      </x:c>
    </x:row>
    <x:row r="1786">
      <x:c r="A1786" s="13" t="str">
        <x:v>REC-001785</x:v>
      </x:c>
      <x:c r="B1786" s="23" t="n">
        <x:v>46187</x:v>
      </x:c>
      <x:c r="C1786" s="23" t="n">
        <x:v>46208</x:v>
      </x:c>
      <x:c r="D1786" s="23" t="n">
        <x:v>46206</x:v>
      </x:c>
      <x:c r="E1786" s="13" t="str">
        <x:v>VAL-001</x:v>
      </x:c>
      <x:c r="F1786" s="13" t="str">
        <x:v>Clínica Horizonte</x:v>
      </x:c>
      <x:c r="G1786" s="13" t="str">
        <x:v>Clínicas e Saúde</x:v>
      </x:c>
      <x:c r="H1786" s="13" t="str">
        <x:v>Baixo</x:v>
      </x:c>
      <x:c r="I1786" s="13" t="str">
        <x:v>Essencial</x:v>
      </x:c>
      <x:c r="J1786" s="17" t="n">
        <x:v>2318.63</x:v>
      </x:c>
      <x:c r="K1786" s="17" t="n">
        <x:v>0</x:v>
      </x:c>
      <x:c r="L1786" s="17" t="n">
        <x:v>0</x:v>
      </x:c>
      <x:c r="M1786" s="13" t="str">
        <x:v>Pago</x:v>
      </x:c>
      <x:c r="N1786" s="13" t="str">
        <x:v>Sem cobrança</x:v>
      </x:c>
      <x:c r="O1786" s="13" t="str">
        <x:v>Escala inteligente</x:v>
      </x:c>
      <x:c r="P1786" s="17" t="n">
        <x:f>IF(D1786="",0,J1786-K1786+L1786)</x:f>
        <x:v>2318.63</x:v>
      </x:c>
      <x:c r="Q1786" s="17" t="n">
        <x:f>MAX(J1786-P1786-K1786,0)</x:f>
        <x:v>0</x:v>
      </x:c>
      <x:c r="R1786" s="13" t="n">
        <x:f>IF(D1786="",MAX(TODAY()-C1786,0),MAX(D1786-C1786,0))</x:f>
        <x:v>0</x:v>
      </x:c>
      <x:c r="S1786" s="13" t="str">
        <x:f>IF(R1786=0,"Em dia",IF(R1786&lt;=15,"1-15 dias",IF(R1786&lt;=30,"16-30 dias",IF(R1786&lt;=60,"31-60 dias","Acima de 60 dias"))))</x:f>
        <x:v>Em dia</x:v>
      </x:c>
    </x:row>
    <x:row r="1787">
      <x:c r="A1787" s="13" t="str">
        <x:v>REC-001786</x:v>
      </x:c>
      <x:c r="B1787" s="23" t="n">
        <x:v>46192</x:v>
      </x:c>
      <x:c r="C1787" s="23" t="n">
        <x:v>46213</x:v>
      </x:c>
      <x:c r="D1787" s="23" t="n">
        <x:v>46211</x:v>
      </x:c>
      <x:c r="E1787" s="13" t="str">
        <x:v>VAL-024</x:v>
      </x:c>
      <x:c r="F1787" s="13" t="str">
        <x:v>NovaForma Móveis</x:v>
      </x:c>
      <x:c r="G1787" s="13" t="str">
        <x:v>Indústria Leve</x:v>
      </x:c>
      <x:c r="H1787" s="13" t="str">
        <x:v>Baixo</x:v>
      </x:c>
      <x:c r="I1787" s="13" t="str">
        <x:v>Enterprise</x:v>
      </x:c>
      <x:c r="J1787" s="17" t="n">
        <x:v>25205.59</x:v>
      </x:c>
      <x:c r="K1787" s="17" t="n">
        <x:v>428.96</x:v>
      </x:c>
      <x:c r="L1787" s="17" t="n">
        <x:v>0</x:v>
      </x:c>
      <x:c r="M1787" s="13" t="str">
        <x:v>Pago</x:v>
      </x:c>
      <x:c r="N1787" s="13" t="str">
        <x:v>Sem cobrança</x:v>
      </x:c>
      <x:c r="O1787" s="13" t="str">
        <x:v>Escala inteligente</x:v>
      </x:c>
      <x:c r="P1787" s="17" t="n">
        <x:f>IF(D1787="",0,J1787-K1787+L1787)</x:f>
        <x:v>24776.63</x:v>
      </x:c>
      <x:c r="Q1787" s="17" t="n">
        <x:f>MAX(J1787-P1787-K1787,0)</x:f>
        <x:v>0</x:v>
      </x:c>
      <x:c r="R1787" s="13" t="n">
        <x:f>IF(D1787="",MAX(TODAY()-C1787,0),MAX(D1787-C1787,0))</x:f>
        <x:v>0</x:v>
      </x:c>
      <x:c r="S1787" s="13" t="str">
        <x:f>IF(R1787=0,"Em dia",IF(R1787&lt;=15,"1-15 dias",IF(R1787&lt;=30,"16-30 dias",IF(R1787&lt;=60,"31-60 dias","Acima de 60 dias"))))</x:f>
        <x:v>Em dia</x:v>
      </x:c>
    </x:row>
    <x:row r="1788">
      <x:c r="A1788" s="13" t="str">
        <x:v>REC-001787</x:v>
      </x:c>
      <x:c r="B1788" s="23" t="n">
        <x:v>46176</x:v>
      </x:c>
      <x:c r="C1788" s="23" t="n">
        <x:v>46197</x:v>
      </x:c>
      <x:c r="D1788" s="23" t="n">
        <x:v>46193</x:v>
      </x:c>
      <x:c r="E1788" s="13" t="str">
        <x:v>VAL-013</x:v>
      </x:c>
      <x:c r="F1788" s="13" t="str">
        <x:v>Engenharia Vértice</x:v>
      </x:c>
      <x:c r="G1788" s="13" t="str">
        <x:v>Construção</x:v>
      </x:c>
      <x:c r="H1788" s="13" t="str">
        <x:v>Baixo</x:v>
      </x:c>
      <x:c r="I1788" s="13" t="str">
        <x:v>Essencial</x:v>
      </x:c>
      <x:c r="J1788" s="17" t="n">
        <x:v>2379.65</x:v>
      </x:c>
      <x:c r="K1788" s="17" t="n">
        <x:v>0</x:v>
      </x:c>
      <x:c r="L1788" s="17" t="n">
        <x:v>0</x:v>
      </x:c>
      <x:c r="M1788" s="13" t="str">
        <x:v>Pago</x:v>
      </x:c>
      <x:c r="N1788" s="13" t="str">
        <x:v>Sem cobrança</x:v>
      </x:c>
      <x:c r="O1788" s="13" t="str">
        <x:v>Escala inteligente</x:v>
      </x:c>
      <x:c r="P1788" s="17" t="n">
        <x:f>IF(D1788="",0,J1788-K1788+L1788)</x:f>
        <x:v>2379.65</x:v>
      </x:c>
      <x:c r="Q1788" s="17" t="n">
        <x:f>MAX(J1788-P1788-K1788,0)</x:f>
        <x:v>0</x:v>
      </x:c>
      <x:c r="R1788" s="13" t="n">
        <x:f>IF(D1788="",MAX(TODAY()-C1788,0),MAX(D1788-C1788,0))</x:f>
        <x:v>0</x:v>
      </x:c>
      <x:c r="S1788" s="13" t="str">
        <x:f>IF(R1788=0,"Em dia",IF(R1788&lt;=15,"1-15 dias",IF(R1788&lt;=30,"16-30 dias",IF(R1788&lt;=60,"31-60 dias","Acima de 60 dias"))))</x:f>
        <x:v>Em dia</x:v>
      </x:c>
    </x:row>
    <x:row r="1789">
      <x:c r="A1789" s="13" t="str">
        <x:v>REC-001788</x:v>
      </x:c>
      <x:c r="B1789" s="23" t="n">
        <x:v>46191</x:v>
      </x:c>
      <x:c r="C1789" s="23" t="n">
        <x:v>46221</x:v>
      </x:c>
      <x:c r="D1789" s="23" t="n">
        <x:v>46220</x:v>
      </x:c>
      <x:c r="E1789" s="13" t="str">
        <x:v>VAL-014</x:v>
      </x:c>
      <x:c r="F1789" s="13" t="str">
        <x:v>Colégio Caminhos</x:v>
      </x:c>
      <x:c r="G1789" s="13" t="str">
        <x:v>Educação</x:v>
      </x:c>
      <x:c r="H1789" s="13" t="str">
        <x:v>Médio</x:v>
      </x:c>
      <x:c r="I1789" s="13" t="str">
        <x:v>Gestão</x:v>
      </x:c>
      <x:c r="J1789" s="17" t="n">
        <x:v>19137.11</x:v>
      </x:c>
      <x:c r="K1789" s="17" t="n">
        <x:v>0</x:v>
      </x:c>
      <x:c r="L1789" s="17" t="n">
        <x:v>0</x:v>
      </x:c>
      <x:c r="M1789" s="13" t="str">
        <x:v>Pago</x:v>
      </x:c>
      <x:c r="N1789" s="13" t="str">
        <x:v>Sem cobrança</x:v>
      </x:c>
      <x:c r="O1789" s="13" t="str">
        <x:v>Escala inteligente</x:v>
      </x:c>
      <x:c r="P1789" s="17" t="n">
        <x:f>IF(D1789="",0,J1789-K1789+L1789)</x:f>
        <x:v>19137.11</x:v>
      </x:c>
      <x:c r="Q1789" s="17" t="n">
        <x:f>MAX(J1789-P1789-K1789,0)</x:f>
        <x:v>0</x:v>
      </x:c>
      <x:c r="R1789" s="13" t="n">
        <x:f>IF(D1789="",MAX(TODAY()-C1789,0),MAX(D1789-C1789,0))</x:f>
        <x:v>0</x:v>
      </x:c>
      <x:c r="S1789" s="13" t="str">
        <x:f>IF(R1789=0,"Em dia",IF(R1789&lt;=15,"1-15 dias",IF(R1789&lt;=30,"16-30 dias",IF(R1789&lt;=60,"31-60 dias","Acima de 60 dias"))))</x:f>
        <x:v>Em dia</x:v>
      </x:c>
    </x:row>
    <x:row r="1790">
      <x:c r="A1790" s="13" t="str">
        <x:v>REC-001789</x:v>
      </x:c>
      <x:c r="B1790" s="23" t="n">
        <x:v>46183</x:v>
      </x:c>
      <x:c r="C1790" s="23" t="n">
        <x:v>46204</x:v>
      </x:c>
      <x:c r="D1790" s="23" t="n">
        <x:v>46201</x:v>
      </x:c>
      <x:c r="E1790" s="13" t="str">
        <x:v>VAL-030</x:v>
      </x:c>
      <x:c r="F1790" s="13" t="str">
        <x:v>Mundo Kids Cursos</x:v>
      </x:c>
      <x:c r="G1790" s="13" t="str">
        <x:v>Educação</x:v>
      </x:c>
      <x:c r="H1790" s="13" t="str">
        <x:v>Alto</x:v>
      </x:c>
      <x:c r="I1790" s="13" t="str">
        <x:v>Gestão</x:v>
      </x:c>
      <x:c r="J1790" s="17" t="n">
        <x:v>27473.38</x:v>
      </x:c>
      <x:c r="K1790" s="17" t="n">
        <x:v>0</x:v>
      </x:c>
      <x:c r="L1790" s="17" t="n">
        <x:v>0</x:v>
      </x:c>
      <x:c r="M1790" s="13" t="str">
        <x:v>Pago</x:v>
      </x:c>
      <x:c r="N1790" s="13" t="str">
        <x:v>Sem cobrança</x:v>
      </x:c>
      <x:c r="O1790" s="13" t="str">
        <x:v>Escala inteligente</x:v>
      </x:c>
      <x:c r="P1790" s="17" t="n">
        <x:f>IF(D1790="",0,J1790-K1790+L1790)</x:f>
        <x:v>27473.38</x:v>
      </x:c>
      <x:c r="Q1790" s="17" t="n">
        <x:f>MAX(J1790-P1790-K1790,0)</x:f>
        <x:v>0</x:v>
      </x:c>
      <x:c r="R1790" s="13" t="n">
        <x:f>IF(D1790="",MAX(TODAY()-C1790,0),MAX(D1790-C1790,0))</x:f>
        <x:v>0</x:v>
      </x:c>
      <x:c r="S1790" s="13" t="str">
        <x:f>IF(R1790=0,"Em dia",IF(R1790&lt;=15,"1-15 dias",IF(R1790&lt;=30,"16-30 dias",IF(R1790&lt;=60,"31-60 dias","Acima de 60 dias"))))</x:f>
        <x:v>Em dia</x:v>
      </x:c>
    </x:row>
    <x:row r="1791">
      <x:c r="A1791" s="13" t="str">
        <x:v>REC-001790</x:v>
      </x:c>
      <x:c r="B1791" s="23" t="n">
        <x:v>46191</x:v>
      </x:c>
      <x:c r="C1791" s="23" t="n">
        <x:v>46212</x:v>
      </x:c>
      <x:c r="D1791" s="23" t="n">
        <x:v>46210</x:v>
      </x:c>
      <x:c r="E1791" s="13" t="str">
        <x:v>VAL-028</x:v>
      </x:c>
      <x:c r="F1791" s="13" t="str">
        <x:v>Pixel Norte</x:v>
      </x:c>
      <x:c r="G1791" s="13" t="str">
        <x:v>Tecnologia</x:v>
      </x:c>
      <x:c r="H1791" s="13" t="str">
        <x:v>Alto</x:v>
      </x:c>
      <x:c r="I1791" s="13" t="str">
        <x:v>Enterprise</x:v>
      </x:c>
      <x:c r="J1791" s="17" t="n">
        <x:v>22503.47</x:v>
      </x:c>
      <x:c r="K1791" s="17" t="n">
        <x:v>0</x:v>
      </x:c>
      <x:c r="L1791" s="17" t="n">
        <x:v>0</x:v>
      </x:c>
      <x:c r="M1791" s="13" t="str">
        <x:v>Pago</x:v>
      </x:c>
      <x:c r="N1791" s="13" t="str">
        <x:v>Sem cobrança</x:v>
      </x:c>
      <x:c r="O1791" s="13" t="str">
        <x:v>Escala inteligente</x:v>
      </x:c>
      <x:c r="P1791" s="17" t="n">
        <x:f>IF(D1791="",0,J1791-K1791+L1791)</x:f>
        <x:v>22503.47</x:v>
      </x:c>
      <x:c r="Q1791" s="17" t="n">
        <x:f>MAX(J1791-P1791-K1791,0)</x:f>
        <x:v>0</x:v>
      </x:c>
      <x:c r="R1791" s="13" t="n">
        <x:f>IF(D1791="",MAX(TODAY()-C1791,0),MAX(D1791-C1791,0))</x:f>
        <x:v>0</x:v>
      </x:c>
      <x:c r="S1791" s="13" t="str">
        <x:f>IF(R1791=0,"Em dia",IF(R1791&lt;=15,"1-15 dias",IF(R1791&lt;=30,"16-30 dias",IF(R1791&lt;=60,"31-60 dias","Acima de 60 dias"))))</x:f>
        <x:v>Em dia</x:v>
      </x:c>
    </x:row>
    <x:row r="1792">
      <x:c r="A1792" s="13" t="str">
        <x:v>REC-001791</x:v>
      </x:c>
      <x:c r="B1792" s="23" t="n">
        <x:v>46184</x:v>
      </x:c>
      <x:c r="C1792" s="23" t="n">
        <x:v>46205</x:v>
      </x:c>
      <x:c r="D1792" s="23" t="n">
        <x:v>46201</x:v>
      </x:c>
      <x:c r="E1792" s="13" t="str">
        <x:v>VAL-021</x:v>
      </x:c>
      <x:c r="F1792" s="13" t="str">
        <x:v>Base Forte Obras</x:v>
      </x:c>
      <x:c r="G1792" s="13" t="str">
        <x:v>Construção</x:v>
      </x:c>
      <x:c r="H1792" s="13" t="str">
        <x:v>Médio</x:v>
      </x:c>
      <x:c r="I1792" s="13" t="str">
        <x:v>Essencial</x:v>
      </x:c>
      <x:c r="J1792" s="17" t="n">
        <x:v>23623.78</x:v>
      </x:c>
      <x:c r="K1792" s="17" t="n">
        <x:v>0</x:v>
      </x:c>
      <x:c r="L1792" s="17" t="n">
        <x:v>0</x:v>
      </x:c>
      <x:c r="M1792" s="13" t="str">
        <x:v>Pago</x:v>
      </x:c>
      <x:c r="N1792" s="13" t="str">
        <x:v>Sem cobrança</x:v>
      </x:c>
      <x:c r="O1792" s="13" t="str">
        <x:v>Escala inteligente</x:v>
      </x:c>
      <x:c r="P1792" s="17" t="n">
        <x:f>IF(D1792="",0,J1792-K1792+L1792)</x:f>
        <x:v>23623.78</x:v>
      </x:c>
      <x:c r="Q1792" s="17" t="n">
        <x:f>MAX(J1792-P1792-K1792,0)</x:f>
        <x:v>0</x:v>
      </x:c>
      <x:c r="R1792" s="13" t="n">
        <x:f>IF(D1792="",MAX(TODAY()-C1792,0),MAX(D1792-C1792,0))</x:f>
        <x:v>0</x:v>
      </x:c>
      <x:c r="S1792" s="13" t="str">
        <x:f>IF(R1792=0,"Em dia",IF(R1792&lt;=15,"1-15 dias",IF(R1792&lt;=30,"16-30 dias",IF(R1792&lt;=60,"31-60 dias","Acima de 60 dias"))))</x:f>
        <x:v>Em dia</x:v>
      </x:c>
    </x:row>
    <x:row r="1793">
      <x:c r="A1793" s="13" t="str">
        <x:v>REC-001792</x:v>
      </x:c>
      <x:c r="B1793" s="23" t="n">
        <x:v>46179</x:v>
      </x:c>
      <x:c r="C1793" s="23" t="n">
        <x:v>46186</x:v>
      </x:c>
      <x:c r="D1793" s="23" t="n">
        <x:v>46184</x:v>
      </x:c>
      <x:c r="E1793" s="13" t="str">
        <x:v>VAL-030</x:v>
      </x:c>
      <x:c r="F1793" s="13" t="str">
        <x:v>Mundo Kids Cursos</x:v>
      </x:c>
      <x:c r="G1793" s="13" t="str">
        <x:v>Educação</x:v>
      </x:c>
      <x:c r="H1793" s="13" t="str">
        <x:v>Alto</x:v>
      </x:c>
      <x:c r="I1793" s="13" t="str">
        <x:v>Gestão</x:v>
      </x:c>
      <x:c r="J1793" s="17" t="n">
        <x:v>16066.2</x:v>
      </x:c>
      <x:c r="K1793" s="17" t="n">
        <x:v>249.16</x:v>
      </x:c>
      <x:c r="L1793" s="17" t="n">
        <x:v>0</x:v>
      </x:c>
      <x:c r="M1793" s="13" t="str">
        <x:v>Pago</x:v>
      </x:c>
      <x:c r="N1793" s="13" t="str">
        <x:v>Sem cobrança</x:v>
      </x:c>
      <x:c r="O1793" s="13" t="str">
        <x:v>Escala inteligente</x:v>
      </x:c>
      <x:c r="P1793" s="17" t="n">
        <x:f>IF(D1793="",0,J1793-K1793+L1793)</x:f>
        <x:v>15817.04</x:v>
      </x:c>
      <x:c r="Q1793" s="17" t="n">
        <x:f>MAX(J1793-P1793-K1793,0)</x:f>
        <x:v>0</x:v>
      </x:c>
      <x:c r="R1793" s="13" t="n">
        <x:f>IF(D1793="",MAX(TODAY()-C1793,0),MAX(D1793-C1793,0))</x:f>
        <x:v>0</x:v>
      </x:c>
      <x:c r="S1793" s="13" t="str">
        <x:f>IF(R1793=0,"Em dia",IF(R1793&lt;=15,"1-15 dias",IF(R1793&lt;=30,"16-30 dias",IF(R1793&lt;=60,"31-60 dias","Acima de 60 dias"))))</x:f>
        <x:v>Em dia</x:v>
      </x:c>
    </x:row>
    <x:row r="1794">
      <x:c r="A1794" s="13" t="str">
        <x:v>REC-001793</x:v>
      </x:c>
      <x:c r="B1794" s="23" t="n">
        <x:v>46187</x:v>
      </x:c>
      <x:c r="C1794" s="23" t="n">
        <x:v>46215</x:v>
      </x:c>
      <x:c r="D1794" s="23" t="n">
        <x:v>46211</x:v>
      </x:c>
      <x:c r="E1794" s="13" t="str">
        <x:v>VAL-007</x:v>
      </x:c>
      <x:c r="F1794" s="13" t="str">
        <x:v>Loja Prisma Online</x:v>
      </x:c>
      <x:c r="G1794" s="13" t="str">
        <x:v>E-commerce</x:v>
      </x:c>
      <x:c r="H1794" s="13" t="str">
        <x:v>Médio</x:v>
      </x:c>
      <x:c r="I1794" s="13" t="str">
        <x:v>Performance</x:v>
      </x:c>
      <x:c r="J1794" s="17" t="n">
        <x:v>8932.38</x:v>
      </x:c>
      <x:c r="K1794" s="17" t="n">
        <x:v>0</x:v>
      </x:c>
      <x:c r="L1794" s="17" t="n">
        <x:v>0</x:v>
      </x:c>
      <x:c r="M1794" s="13" t="str">
        <x:v>Pago</x:v>
      </x:c>
      <x:c r="N1794" s="13" t="str">
        <x:v>Sem cobrança</x:v>
      </x:c>
      <x:c r="O1794" s="13" t="str">
        <x:v>Escala inteligente</x:v>
      </x:c>
      <x:c r="P1794" s="17" t="n">
        <x:f>IF(D1794="",0,J1794-K1794+L1794)</x:f>
        <x:v>8932.38</x:v>
      </x:c>
      <x:c r="Q1794" s="17" t="n">
        <x:f>MAX(J1794-P1794-K1794,0)</x:f>
        <x:v>0</x:v>
      </x:c>
      <x:c r="R1794" s="13" t="n">
        <x:f>IF(D1794="",MAX(TODAY()-C1794,0),MAX(D1794-C1794,0))</x:f>
        <x:v>0</x:v>
      </x:c>
      <x:c r="S1794" s="13" t="str">
        <x:f>IF(R1794=0,"Em dia",IF(R1794&lt;=15,"1-15 dias",IF(R1794&lt;=30,"16-30 dias",IF(R1794&lt;=60,"31-60 dias","Acima de 60 dias"))))</x:f>
        <x:v>Em dia</x:v>
      </x:c>
    </x:row>
    <x:row r="1795">
      <x:c r="A1795" s="13" t="str">
        <x:v>REC-001794</x:v>
      </x:c>
      <x:c r="B1795" s="23" t="n">
        <x:v>46182</x:v>
      </x:c>
      <x:c r="C1795" s="23" t="n">
        <x:v>46197</x:v>
      </x:c>
      <x:c r="D1795" s="23" t="n">
        <x:v>46194</x:v>
      </x:c>
      <x:c r="E1795" s="13" t="str">
        <x:v>VAL-024</x:v>
      </x:c>
      <x:c r="F1795" s="13" t="str">
        <x:v>NovaForma Móveis</x:v>
      </x:c>
      <x:c r="G1795" s="13" t="str">
        <x:v>Indústria Leve</x:v>
      </x:c>
      <x:c r="H1795" s="13" t="str">
        <x:v>Baixo</x:v>
      </x:c>
      <x:c r="I1795" s="13" t="str">
        <x:v>Enterprise</x:v>
      </x:c>
      <x:c r="J1795" s="17" t="n">
        <x:v>8158.71</x:v>
      </x:c>
      <x:c r="K1795" s="17" t="n">
        <x:v>0</x:v>
      </x:c>
      <x:c r="L1795" s="17" t="n">
        <x:v>0</x:v>
      </x:c>
      <x:c r="M1795" s="13" t="str">
        <x:v>Pago</x:v>
      </x:c>
      <x:c r="N1795" s="13" t="str">
        <x:v>Sem cobrança</x:v>
      </x:c>
      <x:c r="O1795" s="13" t="str">
        <x:v>Escala inteligente</x:v>
      </x:c>
      <x:c r="P1795" s="17" t="n">
        <x:f>IF(D1795="",0,J1795-K1795+L1795)</x:f>
        <x:v>8158.71</x:v>
      </x:c>
      <x:c r="Q1795" s="17" t="n">
        <x:f>MAX(J1795-P1795-K1795,0)</x:f>
        <x:v>0</x:v>
      </x:c>
      <x:c r="R1795" s="13" t="n">
        <x:f>IF(D1795="",MAX(TODAY()-C1795,0),MAX(D1795-C1795,0))</x:f>
        <x:v>0</x:v>
      </x:c>
      <x:c r="S1795" s="13" t="str">
        <x:f>IF(R1795=0,"Em dia",IF(R1795&lt;=15,"1-15 dias",IF(R1795&lt;=30,"16-30 dias",IF(R1795&lt;=60,"31-60 dias","Acima de 60 dias"))))</x:f>
        <x:v>Em dia</x:v>
      </x:c>
    </x:row>
    <x:row r="1796">
      <x:c r="A1796" s="13" t="str">
        <x:v>REC-001795</x:v>
      </x:c>
      <x:c r="B1796" s="23" t="n">
        <x:v>46192</x:v>
      </x:c>
      <x:c r="C1796" s="23" t="n">
        <x:v>46207</x:v>
      </x:c>
      <x:c r="D1796" s="23" t="n">
        <x:v>46205</x:v>
      </x:c>
      <x:c r="E1796" s="13" t="str">
        <x:v>VAL-020</x:v>
      </x:c>
      <x:c r="F1796" s="13" t="str">
        <x:v>Corelink Digital</x:v>
      </x:c>
      <x:c r="G1796" s="13" t="str">
        <x:v>Tecnologia</x:v>
      </x:c>
      <x:c r="H1796" s="13" t="str">
        <x:v>Baixo</x:v>
      </x:c>
      <x:c r="I1796" s="13" t="str">
        <x:v>Enterprise</x:v>
      </x:c>
      <x:c r="J1796" s="17" t="n">
        <x:v>23065.33</x:v>
      </x:c>
      <x:c r="K1796" s="17" t="n">
        <x:v>0</x:v>
      </x:c>
      <x:c r="L1796" s="17" t="n">
        <x:v>0</x:v>
      </x:c>
      <x:c r="M1796" s="13" t="str">
        <x:v>Pago</x:v>
      </x:c>
      <x:c r="N1796" s="13" t="str">
        <x:v>Sem cobrança</x:v>
      </x:c>
      <x:c r="O1796" s="13" t="str">
        <x:v>Escala inteligente</x:v>
      </x:c>
      <x:c r="P1796" s="17" t="n">
        <x:f>IF(D1796="",0,J1796-K1796+L1796)</x:f>
        <x:v>23065.33</x:v>
      </x:c>
      <x:c r="Q1796" s="17" t="n">
        <x:f>MAX(J1796-P1796-K1796,0)</x:f>
        <x:v>0</x:v>
      </x:c>
      <x:c r="R1796" s="13" t="n">
        <x:f>IF(D1796="",MAX(TODAY()-C1796,0),MAX(D1796-C1796,0))</x:f>
        <x:v>0</x:v>
      </x:c>
      <x:c r="S1796" s="13" t="str">
        <x:f>IF(R1796=0,"Em dia",IF(R1796&lt;=15,"1-15 dias",IF(R1796&lt;=30,"16-30 dias",IF(R1796&lt;=60,"31-60 dias","Acima de 60 dias"))))</x:f>
        <x:v>Em dia</x:v>
      </x:c>
    </x:row>
    <x:row r="1797">
      <x:c r="A1797" s="13" t="str">
        <x:v>REC-001796</x:v>
      </x:c>
      <x:c r="B1797" s="23" t="n">
        <x:v>46177</x:v>
      </x:c>
      <x:c r="C1797" s="23" t="n">
        <x:v>46207</x:v>
      </x:c>
      <x:c r="D1797" s="23" t="n">
        <x:v>46203</x:v>
      </x:c>
      <x:c r="E1797" s="13" t="str">
        <x:v>VAL-030</x:v>
      </x:c>
      <x:c r="F1797" s="13" t="str">
        <x:v>Mundo Kids Cursos</x:v>
      </x:c>
      <x:c r="G1797" s="13" t="str">
        <x:v>Educação</x:v>
      </x:c>
      <x:c r="H1797" s="13" t="str">
        <x:v>Alto</x:v>
      </x:c>
      <x:c r="I1797" s="13" t="str">
        <x:v>Gestão</x:v>
      </x:c>
      <x:c r="J1797" s="17" t="n">
        <x:v>18056.42</x:v>
      </x:c>
      <x:c r="K1797" s="17" t="n">
        <x:v>0</x:v>
      </x:c>
      <x:c r="L1797" s="17" t="n">
        <x:v>0</x:v>
      </x:c>
      <x:c r="M1797" s="13" t="str">
        <x:v>Pago</x:v>
      </x:c>
      <x:c r="N1797" s="13" t="str">
        <x:v>Sem cobrança</x:v>
      </x:c>
      <x:c r="O1797" s="13" t="str">
        <x:v>Escala inteligente</x:v>
      </x:c>
      <x:c r="P1797" s="17" t="n">
        <x:f>IF(D1797="",0,J1797-K1797+L1797)</x:f>
        <x:v>18056.42</x:v>
      </x:c>
      <x:c r="Q1797" s="17" t="n">
        <x:f>MAX(J1797-P1797-K1797,0)</x:f>
        <x:v>0</x:v>
      </x:c>
      <x:c r="R1797" s="13" t="n">
        <x:f>IF(D1797="",MAX(TODAY()-C1797,0),MAX(D1797-C1797,0))</x:f>
        <x:v>0</x:v>
      </x:c>
      <x:c r="S1797" s="13" t="str">
        <x:f>IF(R1797=0,"Em dia",IF(R1797&lt;=15,"1-15 dias",IF(R1797&lt;=30,"16-30 dias",IF(R1797&lt;=60,"31-60 dias","Acima de 60 dias"))))</x:f>
        <x:v>Em dia</x:v>
      </x:c>
    </x:row>
    <x:row r="1798">
      <x:c r="A1798" s="13" t="str">
        <x:v>REC-001797</x:v>
      </x:c>
      <x:c r="B1798" s="23" t="n">
        <x:v>46185</x:v>
      </x:c>
      <x:c r="C1798" s="23" t="n">
        <x:v>46215</x:v>
      </x:c>
      <x:c r="D1798" s="23" t="n">
        <x:v>46212</x:v>
      </x:c>
      <x:c r="E1798" s="13" t="str">
        <x:v>VAL-017</x:v>
      </x:c>
      <x:c r="F1798" s="13" t="str">
        <x:v>Centro Médico Vida</x:v>
      </x:c>
      <x:c r="G1798" s="13" t="str">
        <x:v>Clínicas e Saúde</x:v>
      </x:c>
      <x:c r="H1798" s="13" t="str">
        <x:v>Baixo</x:v>
      </x:c>
      <x:c r="I1798" s="13" t="str">
        <x:v>Essencial</x:v>
      </x:c>
      <x:c r="J1798" s="17" t="n">
        <x:v>13040.91</x:v>
      </x:c>
      <x:c r="K1798" s="17" t="n">
        <x:v>0</x:v>
      </x:c>
      <x:c r="L1798" s="17" t="n">
        <x:v>0</x:v>
      </x:c>
      <x:c r="M1798" s="13" t="str">
        <x:v>Pago</x:v>
      </x:c>
      <x:c r="N1798" s="13" t="str">
        <x:v>Sem cobrança</x:v>
      </x:c>
      <x:c r="O1798" s="13" t="str">
        <x:v>Escala inteligente</x:v>
      </x:c>
      <x:c r="P1798" s="17" t="n">
        <x:f>IF(D1798="",0,J1798-K1798+L1798)</x:f>
        <x:v>13040.91</x:v>
      </x:c>
      <x:c r="Q1798" s="17" t="n">
        <x:f>MAX(J1798-P1798-K1798,0)</x:f>
        <x:v>0</x:v>
      </x:c>
      <x:c r="R1798" s="13" t="n">
        <x:f>IF(D1798="",MAX(TODAY()-C1798,0),MAX(D1798-C1798,0))</x:f>
        <x:v>0</x:v>
      </x:c>
      <x:c r="S1798" s="13" t="str">
        <x:f>IF(R1798=0,"Em dia",IF(R1798&lt;=15,"1-15 dias",IF(R1798&lt;=30,"16-30 dias",IF(R1798&lt;=60,"31-60 dias","Acima de 60 dias"))))</x:f>
        <x:v>Em dia</x:v>
      </x:c>
    </x:row>
    <x:row r="1799">
      <x:c r="A1799" s="13" t="str">
        <x:v>REC-001798</x:v>
      </x:c>
      <x:c r="B1799" s="23" t="n">
        <x:v>46175</x:v>
      </x:c>
      <x:c r="C1799" s="23" t="n">
        <x:v>46190</x:v>
      </x:c>
      <x:c r="D1799" s="23" t="n">
        <x:v>46187</x:v>
      </x:c>
      <x:c r="E1799" s="13" t="str">
        <x:v>VAL-001</x:v>
      </x:c>
      <x:c r="F1799" s="13" t="str">
        <x:v>Clínica Horizonte</x:v>
      </x:c>
      <x:c r="G1799" s="13" t="str">
        <x:v>Clínicas e Saúde</x:v>
      </x:c>
      <x:c r="H1799" s="13" t="str">
        <x:v>Baixo</x:v>
      </x:c>
      <x:c r="I1799" s="13" t="str">
        <x:v>Essencial</x:v>
      </x:c>
      <x:c r="J1799" s="17" t="n">
        <x:v>4114.01</x:v>
      </x:c>
      <x:c r="K1799" s="17" t="n">
        <x:v>0</x:v>
      </x:c>
      <x:c r="L1799" s="17" t="n">
        <x:v>0</x:v>
      </x:c>
      <x:c r="M1799" s="13" t="str">
        <x:v>Pago</x:v>
      </x:c>
      <x:c r="N1799" s="13" t="str">
        <x:v>Sem cobrança</x:v>
      </x:c>
      <x:c r="O1799" s="13" t="str">
        <x:v>Escala inteligente</x:v>
      </x:c>
      <x:c r="P1799" s="17" t="n">
        <x:f>IF(D1799="",0,J1799-K1799+L1799)</x:f>
        <x:v>4114.01</x:v>
      </x:c>
      <x:c r="Q1799" s="17" t="n">
        <x:f>MAX(J1799-P1799-K1799,0)</x:f>
        <x:v>0</x:v>
      </x:c>
      <x:c r="R1799" s="13" t="n">
        <x:f>IF(D1799="",MAX(TODAY()-C1799,0),MAX(D1799-C1799,0))</x:f>
        <x:v>0</x:v>
      </x:c>
      <x:c r="S1799" s="13" t="str">
        <x:f>IF(R1799=0,"Em dia",IF(R1799&lt;=15,"1-15 dias",IF(R1799&lt;=30,"16-30 dias",IF(R1799&lt;=60,"31-60 dias","Acima de 60 dias"))))</x:f>
        <x:v>Em dia</x:v>
      </x:c>
    </x:row>
    <x:row r="1800">
      <x:c r="A1800" s="13" t="str">
        <x:v>REC-001799</x:v>
      </x:c>
      <x:c r="B1800" s="23" t="n">
        <x:v>46177</x:v>
      </x:c>
      <x:c r="C1800" s="23" t="n">
        <x:v>46192</x:v>
      </x:c>
      <x:c r="D1800" s="23" t="n">
        <x:v>46189</x:v>
      </x:c>
      <x:c r="E1800" s="13" t="str">
        <x:v>VAL-022</x:v>
      </x:c>
      <x:c r="F1800" s="13" t="str">
        <x:v>Academia Evoluir</x:v>
      </x:c>
      <x:c r="G1800" s="13" t="str">
        <x:v>Educação</x:v>
      </x:c>
      <x:c r="H1800" s="13" t="str">
        <x:v>Alto</x:v>
      </x:c>
      <x:c r="I1800" s="13" t="str">
        <x:v>Gestão</x:v>
      </x:c>
      <x:c r="J1800" s="17" t="n">
        <x:v>11707.08</x:v>
      </x:c>
      <x:c r="K1800" s="17" t="n">
        <x:v>0</x:v>
      </x:c>
      <x:c r="L1800" s="17" t="n">
        <x:v>0</x:v>
      </x:c>
      <x:c r="M1800" s="13" t="str">
        <x:v>Pago</x:v>
      </x:c>
      <x:c r="N1800" s="13" t="str">
        <x:v>Sem cobrança</x:v>
      </x:c>
      <x:c r="O1800" s="13" t="str">
        <x:v>Escala inteligente</x:v>
      </x:c>
      <x:c r="P1800" s="17" t="n">
        <x:f>IF(D1800="",0,J1800-K1800+L1800)</x:f>
        <x:v>11707.08</x:v>
      </x:c>
      <x:c r="Q1800" s="17" t="n">
        <x:f>MAX(J1800-P1800-K1800,0)</x:f>
        <x:v>0</x:v>
      </x:c>
      <x:c r="R1800" s="13" t="n">
        <x:f>IF(D1800="",MAX(TODAY()-C1800,0),MAX(D1800-C1800,0))</x:f>
        <x:v>0</x:v>
      </x:c>
      <x:c r="S1800" s="13" t="str">
        <x:f>IF(R1800=0,"Em dia",IF(R1800&lt;=15,"1-15 dias",IF(R1800&lt;=30,"16-30 dias",IF(R1800&lt;=60,"31-60 dias","Acima de 60 dias"))))</x:f>
        <x:v>Em dia</x:v>
      </x:c>
    </x:row>
    <x:row r="1801">
      <x:c r="A1801" s="13" t="str">
        <x:v>REC-001800</x:v>
      </x:c>
      <x:c r="B1801" s="23" t="n">
        <x:v>46191</x:v>
      </x:c>
      <x:c r="C1801" s="23" t="n">
        <x:v>46206</x:v>
      </x:c>
      <x:c r="D1801" s="23" t="n">
        <x:v>46202</x:v>
      </x:c>
      <x:c r="E1801" s="13" t="str">
        <x:v>VAL-016</x:v>
      </x:c>
      <x:c r="F1801" s="13" t="str">
        <x:v>Lumina Embalagens</x:v>
      </x:c>
      <x:c r="G1801" s="13" t="str">
        <x:v>Indústria Leve</x:v>
      </x:c>
      <x:c r="H1801" s="13" t="str">
        <x:v>Baixo</x:v>
      </x:c>
      <x:c r="I1801" s="13" t="str">
        <x:v>Enterprise</x:v>
      </x:c>
      <x:c r="J1801" s="17" t="n">
        <x:v>18998.5</x:v>
      </x:c>
      <x:c r="K1801" s="17" t="n">
        <x:v>0</x:v>
      </x:c>
      <x:c r="L1801" s="17" t="n">
        <x:v>0</x:v>
      </x:c>
      <x:c r="M1801" s="13" t="str">
        <x:v>Pago</x:v>
      </x:c>
      <x:c r="N1801" s="13" t="str">
        <x:v>Sem cobrança</x:v>
      </x:c>
      <x:c r="O1801" s="13" t="str">
        <x:v>Escala inteligente</x:v>
      </x:c>
      <x:c r="P1801" s="17" t="n">
        <x:f>IF(D1801="",0,J1801-K1801+L1801)</x:f>
        <x:v>18998.5</x:v>
      </x:c>
      <x:c r="Q1801" s="17" t="n">
        <x:f>MAX(J1801-P1801-K1801,0)</x:f>
        <x:v>0</x:v>
      </x:c>
      <x:c r="R1801" s="13" t="n">
        <x:f>IF(D1801="",MAX(TODAY()-C1801,0),MAX(D1801-C1801,0))</x:f>
        <x:v>0</x:v>
      </x:c>
      <x:c r="S1801" s="13" t="str">
        <x:f>IF(R1801=0,"Em dia",IF(R1801&lt;=15,"1-15 dias",IF(R1801&lt;=30,"16-30 dias",IF(R1801&lt;=60,"31-60 dias","Acima de 60 dias"))))</x:f>
        <x:v>Em dia</x:v>
      </x:c>
    </x:row>
  </x:sheetData>
  <x:conditionalFormatting sqref="R2:R1801">
    <x:cfRule type="colorScale" priority="1">
      <x:colorScale>
        <x:cfvo type="min"/>
        <x:cfvo type="percentile" val="50"/>
        <x:cfvo type="max"/>
        <x:color rgb="FFCBEBD8"/>
        <x:color rgb="FFFFF0B5"/>
        <x:color rgb="FFF8C9C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42ca057234a42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9" max="9" width="16" hidden="0" customWidth="1"/>
    <x:col min="10" max="10" width="16" hidden="0" customWidth="1"/>
    <x:col min="14" max="14" width="16" hidden="0" customWidth="1"/>
    <x:col min="5" max="5" width="24" hidden="0" customWidth="1"/>
    <x:col min="6" max="6" width="24" hidden="0" customWidth="1"/>
    <x:col min="11" max="11" width="24" hidden="0" customWidth="1"/>
    <x:col min="7" max="7" width="16" hidden="0" customWidth="1"/>
    <x:col min="8" max="8" width="16" hidden="0" customWidth="1"/>
    <x:col min="12" max="12" width="16" hidden="0" customWidth="1"/>
    <x:col min="13" max="13" width="16" hidden="0" customWidth="1"/>
  </x:cols>
  <x:sheetData>
    <x:row r="1" ht="34" customHeight="1">
      <x:c r="A1" s="6" t="str">
        <x:v>ID_Título</x:v>
      </x:c>
      <x:c r="B1" s="6" t="str">
        <x:v>Data_Emissão</x:v>
      </x:c>
      <x:c r="C1" s="6" t="str">
        <x:v>Data_Vencimento</x:v>
      </x:c>
      <x:c r="D1" s="6" t="str">
        <x:v>Data_Pagamento</x:v>
      </x:c>
      <x:c r="E1" s="6" t="str">
        <x:v>Fornecedor</x:v>
      </x:c>
      <x:c r="F1" s="6" t="str">
        <x:v>Categoria</x:v>
      </x:c>
      <x:c r="G1" s="6" t="str">
        <x:v>Valor_Previsto</x:v>
      </x:c>
      <x:c r="H1" s="6" t="str">
        <x:v>Valor_Real</x:v>
      </x:c>
      <x:c r="I1" s="6" t="str">
        <x:v>Aprovador</x:v>
      </x:c>
      <x:c r="J1" s="6" t="str">
        <x:v>Status</x:v>
      </x:c>
      <x:c r="K1" s="6" t="str">
        <x:v>Fase</x:v>
      </x:c>
      <x:c r="L1" s="6" t="str">
        <x:v>Desvio_Valor</x:v>
      </x:c>
      <x:c r="M1" s="6" t="str">
        <x:v>Desvio_%</x:v>
      </x:c>
      <x:c r="N1" s="6" t="str">
        <x:v>Dias_Antecipação_Atraso</x:v>
      </x:c>
    </x:row>
    <x:row r="2">
      <x:c r="A2" s="13" t="str">
        <x:v>PAG-000001</x:v>
      </x:c>
      <x:c r="B2" s="23" t="n">
        <x:v>45299</x:v>
      </x:c>
      <x:c r="C2" s="23" t="n">
        <x:v>45329</x:v>
      </x:c>
      <x:c r="D2" s="23" t="n">
        <x:v>45331</x:v>
      </x:c>
      <x:c r="E2" s="13" t="str">
        <x:v>MarketLab</x:v>
      </x:c>
      <x:c r="F2" s="13" t="str">
        <x:v>Marketing</x:v>
      </x:c>
      <x:c r="G2" s="17" t="n">
        <x:v>9190.11</x:v>
      </x:c>
      <x:c r="H2" s="17" t="n">
        <x:v>8875.04</x:v>
      </x:c>
      <x:c r="I2" s="13" t="str">
        <x:v>Financeiro</x:v>
      </x:c>
      <x:c r="J2" s="13" t="str">
        <x:v>Pago</x:v>
      </x:c>
      <x:c r="K2" s="13" t="str">
        <x:v>Base controlada</x:v>
      </x:c>
      <x:c r="L2" s="17" t="n">
        <x:f>H2-G2</x:f>
        <x:v>-315.0699999999997</x:v>
      </x:c>
      <x:c r="M2" s="19" t="n">
        <x:f>IFERROR(L2/G2,0)</x:f>
        <x:v>-0.034283593993978276</x:v>
      </x:c>
      <x:c r="N2" s="13" t="n">
        <x:f>D2-C2</x:f>
        <x:v>2</x:v>
      </x:c>
    </x:row>
    <x:row r="3">
      <x:c r="A3" s="13" t="str">
        <x:v>PAG-000002</x:v>
      </x:c>
      <x:c r="B3" s="23" t="n">
        <x:v>45309</x:v>
      </x:c>
      <x:c r="C3" s="23" t="n">
        <x:v>45324</x:v>
      </x:c>
      <x:c r="D3" s="23" t="n">
        <x:v>45324</x:v>
      </x:c>
      <x:c r="E3" s="13" t="str">
        <x:v>LegalMais</x:v>
      </x:c>
      <x:c r="F3" s="13" t="str">
        <x:v>Jurídico</x:v>
      </x:c>
      <x:c r="G3" s="17" t="n">
        <x:v>7487.42</x:v>
      </x:c>
      <x:c r="H3" s="17" t="n">
        <x:v>7481.46</x:v>
      </x:c>
      <x:c r="I3" s="13" t="str">
        <x:v>Gestor da área</x:v>
      </x:c>
      <x:c r="J3" s="13" t="str">
        <x:v>Pago</x:v>
      </x:c>
      <x:c r="K3" s="13" t="str">
        <x:v>Base controlada</x:v>
      </x:c>
      <x:c r="L3" s="17" t="n">
        <x:f>H3-G3</x:f>
        <x:v>-5.960000000000036</x:v>
      </x:c>
      <x:c r="M3" s="19" t="n">
        <x:f>IFERROR(L3/G3,0)</x:f>
        <x:v>-0.0007960018270646012</x:v>
      </x:c>
      <x:c r="N3" s="13" t="n">
        <x:f>D3-C3</x:f>
        <x:v>0</x:v>
      </x:c>
    </x:row>
    <x:row r="4">
      <x:c r="A4" s="13" t="str">
        <x:v>PAG-000003</x:v>
      </x:c>
      <x:c r="B4" s="23" t="n">
        <x:v>45309</x:v>
      </x:c>
      <x:c r="C4" s="23" t="n">
        <x:v>45329</x:v>
      </x:c>
      <x:c r="D4" s="23" t="n">
        <x:v>45326</x:v>
      </x:c>
      <x:c r="E4" s="13" t="str">
        <x:v>LegalMais</x:v>
      </x:c>
      <x:c r="F4" s="13" t="str">
        <x:v>Jurídico</x:v>
      </x:c>
      <x:c r="G4" s="17" t="n">
        <x:v>3948.69</x:v>
      </x:c>
      <x:c r="H4" s="17" t="n">
        <x:v>3813.82</x:v>
      </x:c>
      <x:c r="I4" s="13" t="str">
        <x:v>Financeiro</x:v>
      </x:c>
      <x:c r="J4" s="13" t="str">
        <x:v>Pago</x:v>
      </x:c>
      <x:c r="K4" s="13" t="str">
        <x:v>Base controlada</x:v>
      </x:c>
      <x:c r="L4" s="17" t="n">
        <x:f>H4-G4</x:f>
        <x:v>-134.8699999999999</x:v>
      </x:c>
      <x:c r="M4" s="19" t="n">
        <x:f>IFERROR(L4/G4,0)</x:f>
        <x:v>-0.03415563136128688</x:v>
      </x:c>
      <x:c r="N4" s="13" t="n">
        <x:f>D4-C4</x:f>
        <x:v>-3</x:v>
      </x:c>
    </x:row>
    <x:row r="5">
      <x:c r="A5" s="13" t="str">
        <x:v>PAG-000004</x:v>
      </x:c>
      <x:c r="B5" s="23" t="n">
        <x:v>45296</x:v>
      </x:c>
      <x:c r="C5" s="23" t="n">
        <x:v>45303</x:v>
      </x:c>
      <x:c r="D5" s="23" t="n">
        <x:v>45301</x:v>
      </x:c>
      <x:c r="E5" s="13" t="str">
        <x:v>PeopleHub</x:v>
      </x:c>
      <x:c r="F5" s="13" t="str">
        <x:v>Recursos Humanos</x:v>
      </x:c>
      <x:c r="G5" s="17" t="n">
        <x:v>6256.6</x:v>
      </x:c>
      <x:c r="H5" s="17" t="n">
        <x:v>6406.98</x:v>
      </x:c>
      <x:c r="I5" s="13" t="str">
        <x:v>Financeiro</x:v>
      </x:c>
      <x:c r="J5" s="13" t="str">
        <x:v>Pago</x:v>
      </x:c>
      <x:c r="K5" s="13" t="str">
        <x:v>Base controlada</x:v>
      </x:c>
      <x:c r="L5" s="17" t="n">
        <x:f>H5-G5</x:f>
        <x:v>150.3799999999992</x:v>
      </x:c>
      <x:c r="M5" s="19" t="n">
        <x:f>IFERROR(L5/G5,0)</x:f>
        <x:v>0.024035418597960424</x:v>
      </x:c>
      <x:c r="N5" s="13" t="n">
        <x:f>D5-C5</x:f>
        <x:v>-2</x:v>
      </x:c>
    </x:row>
    <x:row r="6">
      <x:c r="A6" s="13" t="str">
        <x:v>PAG-000005</x:v>
      </x:c>
      <x:c r="B6" s="23" t="n">
        <x:v>45300</x:v>
      </x:c>
      <x:c r="C6" s="23" t="n">
        <x:v>45320</x:v>
      </x:c>
      <x:c r="D6" s="23" t="n">
        <x:v>45320</x:v>
      </x:c>
      <x:c r="E6" s="13" t="str">
        <x:v>NetLink</x:v>
      </x:c>
      <x:c r="F6" s="13" t="str">
        <x:v>Telecomunicações</x:v>
      </x:c>
      <x:c r="G6" s="17" t="n">
        <x:v>7924.56</x:v>
      </x:c>
      <x:c r="H6" s="17" t="n">
        <x:v>7848.76</x:v>
      </x:c>
      <x:c r="I6" s="13" t="str">
        <x:v>Diretoria</x:v>
      </x:c>
      <x:c r="J6" s="13" t="str">
        <x:v>Pago</x:v>
      </x:c>
      <x:c r="K6" s="13" t="str">
        <x:v>Base controlada</x:v>
      </x:c>
      <x:c r="L6" s="17" t="n">
        <x:f>H6-G6</x:f>
        <x:v>-75.80000000000018</x:v>
      </x:c>
      <x:c r="M6" s="19" t="n">
        <x:f>IFERROR(L6/G6,0)</x:f>
        <x:v>-0.00956519983443878</x:v>
      </x:c>
      <x:c r="N6" s="13" t="n">
        <x:f>D6-C6</x:f>
        <x:v>0</x:v>
      </x:c>
    </x:row>
    <x:row r="7">
      <x:c r="A7" s="13" t="str">
        <x:v>PAG-000006</x:v>
      </x:c>
      <x:c r="B7" s="23" t="n">
        <x:v>45300</x:v>
      </x:c>
      <x:c r="C7" s="23" t="n">
        <x:v>45307</x:v>
      </x:c>
      <x:c r="D7" s="23" t="n">
        <x:v>45309</x:v>
      </x:c>
      <x:c r="E7" s="13" t="str">
        <x:v>Office Prime</x:v>
      </x:c>
      <x:c r="F7" s="13" t="str">
        <x:v>Escritório</x:v>
      </x:c>
      <x:c r="G7" s="17" t="n">
        <x:v>10881.98</x:v>
      </x:c>
      <x:c r="H7" s="17" t="n">
        <x:v>11235.18</x:v>
      </x:c>
      <x:c r="I7" s="13" t="str">
        <x:v>Gestor da área</x:v>
      </x:c>
      <x:c r="J7" s="13" t="str">
        <x:v>Pago</x:v>
      </x:c>
      <x:c r="K7" s="13" t="str">
        <x:v>Base controlada</x:v>
      </x:c>
      <x:c r="L7" s="17" t="n">
        <x:f>H7-G7</x:f>
        <x:v>353.2000000000007</x:v>
      </x:c>
      <x:c r="M7" s="19" t="n">
        <x:f>IFERROR(L7/G7,0)</x:f>
        <x:v>0.03245732853763752</x:v>
      </x:c>
      <x:c r="N7" s="13" t="n">
        <x:f>D7-C7</x:f>
        <x:v>2</x:v>
      </x:c>
    </x:row>
    <x:row r="8">
      <x:c r="A8" s="13" t="str">
        <x:v>PAG-000007</x:v>
      </x:c>
      <x:c r="B8" s="23" t="n">
        <x:v>45309</x:v>
      </x:c>
      <x:c r="C8" s="23" t="n">
        <x:v>45324</x:v>
      </x:c>
      <x:c r="D8" s="23" t="n">
        <x:v>45324</x:v>
      </x:c>
      <x:c r="E8" s="13" t="str">
        <x:v>CloudCore</x:v>
      </x:c>
      <x:c r="F8" s="13" t="str">
        <x:v>Tecnologia</x:v>
      </x:c>
      <x:c r="G8" s="17" t="n">
        <x:v>14605.94</x:v>
      </x:c>
      <x:c r="H8" s="17" t="n">
        <x:v>14551.32</x:v>
      </x:c>
      <x:c r="I8" s="13" t="str">
        <x:v>Diretoria</x:v>
      </x:c>
      <x:c r="J8" s="13" t="str">
        <x:v>Pago</x:v>
      </x:c>
      <x:c r="K8" s="13" t="str">
        <x:v>Base controlada</x:v>
      </x:c>
      <x:c r="L8" s="17" t="n">
        <x:f>H8-G8</x:f>
        <x:v>-54.6200000000008</x:v>
      </x:c>
      <x:c r="M8" s="19" t="n">
        <x:f>IFERROR(L8/G8,0)</x:f>
        <x:v>-0.0037395744471085597</x:v>
      </x:c>
      <x:c r="N8" s="13" t="n">
        <x:f>D8-C8</x:f>
        <x:v>0</x:v>
      </x:c>
    </x:row>
    <x:row r="9">
      <x:c r="A9" s="13" t="str">
        <x:v>PAG-000008</x:v>
      </x:c>
      <x:c r="B9" s="23" t="n">
        <x:v>45293</x:v>
      </x:c>
      <x:c r="C9" s="23" t="n">
        <x:v>45323</x:v>
      </x:c>
      <x:c r="D9" s="23" t="n">
        <x:v>45323</x:v>
      </x:c>
      <x:c r="E9" s="13" t="str">
        <x:v>CloudCore</x:v>
      </x:c>
      <x:c r="F9" s="13" t="str">
        <x:v>Tecnologia</x:v>
      </x:c>
      <x:c r="G9" s="17" t="n">
        <x:v>11404.23</x:v>
      </x:c>
      <x:c r="H9" s="17" t="n">
        <x:v>11027.14</x:v>
      </x:c>
      <x:c r="I9" s="13" t="str">
        <x:v>Diretoria</x:v>
      </x:c>
      <x:c r="J9" s="13" t="str">
        <x:v>Pago</x:v>
      </x:c>
      <x:c r="K9" s="13" t="str">
        <x:v>Base controlada</x:v>
      </x:c>
      <x:c r="L9" s="17" t="n">
        <x:f>H9-G9</x:f>
        <x:v>-377.09000000000015</x:v>
      </x:c>
      <x:c r="M9" s="19" t="n">
        <x:f>IFERROR(L9/G9,0)</x:f>
        <x:v>-0.03306580102295378</x:v>
      </x:c>
      <x:c r="N9" s="13" t="n">
        <x:f>D9-C9</x:f>
        <x:v>0</x:v>
      </x:c>
    </x:row>
    <x:row r="10">
      <x:c r="A10" s="13" t="str">
        <x:v>PAG-000009</x:v>
      </x:c>
      <x:c r="B10" s="23" t="n">
        <x:v>45310</x:v>
      </x:c>
      <x:c r="C10" s="23" t="n">
        <x:v>45340</x:v>
      </x:c>
      <x:c r="D10" s="23" t="n">
        <x:v>45341</x:v>
      </x:c>
      <x:c r="E10" s="13" t="str">
        <x:v>PeopleHub</x:v>
      </x:c>
      <x:c r="F10" s="13" t="str">
        <x:v>Recursos Humanos</x:v>
      </x:c>
      <x:c r="G10" s="17" t="n">
        <x:v>19673.34</x:v>
      </x:c>
      <x:c r="H10" s="17" t="n">
        <x:v>20376.58</x:v>
      </x:c>
      <x:c r="I10" s="13" t="str">
        <x:v>Diretoria</x:v>
      </x:c>
      <x:c r="J10" s="13" t="str">
        <x:v>Pago</x:v>
      </x:c>
      <x:c r="K10" s="13" t="str">
        <x:v>Base controlada</x:v>
      </x:c>
      <x:c r="L10" s="17" t="n">
        <x:f>H10-G10</x:f>
        <x:v>703.2400000000016</x:v>
      </x:c>
      <x:c r="M10" s="19" t="n">
        <x:f>IFERROR(L10/G10,0)</x:f>
        <x:v>0.035745836751665025</x:v>
      </x:c>
      <x:c r="N10" s="13" t="n">
        <x:f>D10-C10</x:f>
        <x:v>1</x:v>
      </x:c>
    </x:row>
    <x:row r="11">
      <x:c r="A11" s="13" t="str">
        <x:v>PAG-000010</x:v>
      </x:c>
      <x:c r="B11" s="23" t="n">
        <x:v>45302</x:v>
      </x:c>
      <x:c r="C11" s="23" t="n">
        <x:v>45332</x:v>
      </x:c>
      <x:c r="D11" s="23" t="n">
        <x:v>45332</x:v>
      </x:c>
      <x:c r="E11" s="13" t="str">
        <x:v>NetLink</x:v>
      </x:c>
      <x:c r="F11" s="13" t="str">
        <x:v>Telecomunicações</x:v>
      </x:c>
      <x:c r="G11" s="17" t="n">
        <x:v>2723.06</x:v>
      </x:c>
      <x:c r="H11" s="17" t="n">
        <x:v>2793.52</x:v>
      </x:c>
      <x:c r="I11" s="13" t="str">
        <x:v>Financeiro</x:v>
      </x:c>
      <x:c r="J11" s="13" t="str">
        <x:v>Pago</x:v>
      </x:c>
      <x:c r="K11" s="13" t="str">
        <x:v>Base controlada</x:v>
      </x:c>
      <x:c r="L11" s="17" t="n">
        <x:f>H11-G11</x:f>
        <x:v>70.46000000000004</x:v>
      </x:c>
      <x:c r="M11" s="19" t="n">
        <x:f>IFERROR(L11/G11,0)</x:f>
        <x:v>0.02587530204989976</x:v>
      </x:c>
      <x:c r="N11" s="13" t="n">
        <x:f>D11-C11</x:f>
        <x:v>0</x:v>
      </x:c>
    </x:row>
    <x:row r="12">
      <x:c r="A12" s="13" t="str">
        <x:v>PAG-000011</x:v>
      </x:c>
      <x:c r="B12" s="23" t="n">
        <x:v>45296</x:v>
      </x:c>
      <x:c r="C12" s="23" t="n">
        <x:v>45311</x:v>
      </x:c>
      <x:c r="D12" s="23" t="n">
        <x:v>45310</x:v>
      </x:c>
      <x:c r="E12" s="13" t="str">
        <x:v>Banco Integra</x:v>
      </x:c>
      <x:c r="F12" s="13" t="str">
        <x:v>Serviços bancários</x:v>
      </x:c>
      <x:c r="G12" s="17" t="n">
        <x:v>12524.2</x:v>
      </x:c>
      <x:c r="H12" s="17" t="n">
        <x:v>12148.92</x:v>
      </x:c>
      <x:c r="I12" s="13" t="str">
        <x:v>Gestor da área</x:v>
      </x:c>
      <x:c r="J12" s="13" t="str">
        <x:v>Pago</x:v>
      </x:c>
      <x:c r="K12" s="13" t="str">
        <x:v>Base controlada</x:v>
      </x:c>
      <x:c r="L12" s="17" t="n">
        <x:f>H12-G12</x:f>
        <x:v>-375.28000000000065</x:v>
      </x:c>
      <x:c r="M12" s="19" t="n">
        <x:f>IFERROR(L12/G12,0)</x:f>
        <x:v>-0.02996438894300639</x:v>
      </x:c>
      <x:c r="N12" s="13" t="n">
        <x:f>D12-C12</x:f>
        <x:v>-1</x:v>
      </x:c>
    </x:row>
    <x:row r="13">
      <x:c r="A13" s="13" t="str">
        <x:v>PAG-000012</x:v>
      </x:c>
      <x:c r="B13" s="23" t="n">
        <x:v>45304</x:v>
      </x:c>
      <x:c r="C13" s="23" t="n">
        <x:v>45319</x:v>
      </x:c>
      <x:c r="D13" s="23" t="n">
        <x:v>45317</x:v>
      </x:c>
      <x:c r="E13" s="13" t="str">
        <x:v>Conta Certa</x:v>
      </x:c>
      <x:c r="F13" s="13" t="str">
        <x:v>Contabilidade</x:v>
      </x:c>
      <x:c r="G13" s="17" t="n">
        <x:v>26095.05</x:v>
      </x:c>
      <x:c r="H13" s="17" t="n">
        <x:v>27255.89</x:v>
      </x:c>
      <x:c r="I13" s="13" t="str">
        <x:v>Financeiro</x:v>
      </x:c>
      <x:c r="J13" s="13" t="str">
        <x:v>Pago</x:v>
      </x:c>
      <x:c r="K13" s="13" t="str">
        <x:v>Base controlada</x:v>
      </x:c>
      <x:c r="L13" s="17" t="n">
        <x:f>H13-G13</x:f>
        <x:v>1160.8400000000001</x:v>
      </x:c>
      <x:c r="M13" s="19" t="n">
        <x:f>IFERROR(L13/G13,0)</x:f>
        <x:v>0.04448506517519607</x:v>
      </x:c>
      <x:c r="N13" s="13" t="n">
        <x:f>D13-C13</x:f>
        <x:v>-2</x:v>
      </x:c>
    </x:row>
    <x:row r="14">
      <x:c r="A14" s="13" t="str">
        <x:v>PAG-000013</x:v>
      </x:c>
      <x:c r="B14" s="23" t="n">
        <x:v>45297</x:v>
      </x:c>
      <x:c r="C14" s="23" t="n">
        <x:v>45304</x:v>
      </x:c>
      <x:c r="D14" s="23" t="n">
        <x:v>45306</x:v>
      </x:c>
      <x:c r="E14" s="13" t="str">
        <x:v>Insight BI</x:v>
      </x:c>
      <x:c r="F14" s="13" t="str">
        <x:v>Dados e Analytics</x:v>
      </x:c>
      <x:c r="G14" s="17" t="n">
        <x:v>29782.2</x:v>
      </x:c>
      <x:c r="H14" s="17" t="n">
        <x:v>30922.38</x:v>
      </x:c>
      <x:c r="I14" s="13" t="str">
        <x:v>Gestor da área</x:v>
      </x:c>
      <x:c r="J14" s="13" t="str">
        <x:v>Pago</x:v>
      </x:c>
      <x:c r="K14" s="13" t="str">
        <x:v>Base controlada</x:v>
      </x:c>
      <x:c r="L14" s="17" t="n">
        <x:f>H14-G14</x:f>
        <x:v>1140.1800000000003</x:v>
      </x:c>
      <x:c r="M14" s="19" t="n">
        <x:f>IFERROR(L14/G14,0)</x:f>
        <x:v>0.038283941414670515</x:v>
      </x:c>
      <x:c r="N14" s="13" t="n">
        <x:f>D14-C14</x:f>
        <x:v>2</x:v>
      </x:c>
    </x:row>
    <x:row r="15">
      <x:c r="A15" s="13" t="str">
        <x:v>PAG-000014</x:v>
      </x:c>
      <x:c r="B15" s="23" t="n">
        <x:v>45304</x:v>
      </x:c>
      <x:c r="C15" s="23" t="n">
        <x:v>45319</x:v>
      </x:c>
      <x:c r="D15" s="23" t="n">
        <x:v>45318</x:v>
      </x:c>
      <x:c r="E15" s="13" t="str">
        <x:v>EducaPro</x:v>
      </x:c>
      <x:c r="F15" s="13" t="str">
        <x:v>Treinamentos</x:v>
      </x:c>
      <x:c r="G15" s="17" t="n">
        <x:v>7228.98</x:v>
      </x:c>
      <x:c r="H15" s="17" t="n">
        <x:v>7165.78</x:v>
      </x:c>
      <x:c r="I15" s="13" t="str">
        <x:v>Diretoria</x:v>
      </x:c>
      <x:c r="J15" s="13" t="str">
        <x:v>Pago</x:v>
      </x:c>
      <x:c r="K15" s="13" t="str">
        <x:v>Base controlada</x:v>
      </x:c>
      <x:c r="L15" s="17" t="n">
        <x:f>H15-G15</x:f>
        <x:v>-63.19999999999982</x:v>
      </x:c>
      <x:c r="M15" s="19" t="n">
        <x:f>IFERROR(L15/G15,0)</x:f>
        <x:v>-0.00874258885762581</x:v>
      </x:c>
      <x:c r="N15" s="13" t="n">
        <x:f>D15-C15</x:f>
        <x:v>-1</x:v>
      </x:c>
    </x:row>
    <x:row r="16">
      <x:c r="A16" s="13" t="str">
        <x:v>PAG-000015</x:v>
      </x:c>
      <x:c r="B16" s="23" t="n">
        <x:v>45292</x:v>
      </x:c>
      <x:c r="C16" s="23" t="n">
        <x:v>45299</x:v>
      </x:c>
      <x:c r="D16" s="23" t="n">
        <x:v>45298</x:v>
      </x:c>
      <x:c r="E16" s="13" t="str">
        <x:v>Banco Integra</x:v>
      </x:c>
      <x:c r="F16" s="13" t="str">
        <x:v>Serviços bancários</x:v>
      </x:c>
      <x:c r="G16" s="17" t="n">
        <x:v>9766.73</x:v>
      </x:c>
      <x:c r="H16" s="17" t="n">
        <x:v>9988.23</x:v>
      </x:c>
      <x:c r="I16" s="13" t="str">
        <x:v>Diretoria</x:v>
      </x:c>
      <x:c r="J16" s="13" t="str">
        <x:v>Pago</x:v>
      </x:c>
      <x:c r="K16" s="13" t="str">
        <x:v>Base controlada</x:v>
      </x:c>
      <x:c r="L16" s="17" t="n">
        <x:f>H16-G16</x:f>
        <x:v>221.5</x:v>
      </x:c>
      <x:c r="M16" s="19" t="n">
        <x:f>IFERROR(L16/G16,0)</x:f>
        <x:v>0.022679033821964976</x:v>
      </x:c>
      <x:c r="N16" s="13" t="n">
        <x:f>D16-C16</x:f>
        <x:v>-1</x:v>
      </x:c>
    </x:row>
    <x:row r="17">
      <x:c r="A17" s="13" t="str">
        <x:v>PAG-000016</x:v>
      </x:c>
      <x:c r="B17" s="23" t="n">
        <x:v>45301</x:v>
      </x:c>
      <x:c r="C17" s="23" t="n">
        <x:v>45316</x:v>
      </x:c>
      <x:c r="D17" s="23" t="n">
        <x:v>45316</x:v>
      </x:c>
      <x:c r="E17" s="13" t="str">
        <x:v>Conta Certa</x:v>
      </x:c>
      <x:c r="F17" s="13" t="str">
        <x:v>Contabilidade</x:v>
      </x:c>
      <x:c r="G17" s="17" t="n">
        <x:v>29147.38</x:v>
      </x:c>
      <x:c r="H17" s="17" t="n">
        <x:v>30200.98</x:v>
      </x:c>
      <x:c r="I17" s="13" t="str">
        <x:v>Financeiro</x:v>
      </x:c>
      <x:c r="J17" s="13" t="str">
        <x:v>Pago</x:v>
      </x:c>
      <x:c r="K17" s="13" t="str">
        <x:v>Base controlada</x:v>
      </x:c>
      <x:c r="L17" s="17" t="n">
        <x:f>H17-G17</x:f>
        <x:v>1053.5999999999985</x:v>
      </x:c>
      <x:c r="M17" s="19" t="n">
        <x:f>IFERROR(L17/G17,0)</x:f>
        <x:v>0.0361473312524144</x:v>
      </x:c>
      <x:c r="N17" s="13" t="n">
        <x:f>D17-C17</x:f>
        <x:v>0</x:v>
      </x:c>
    </x:row>
    <x:row r="18">
      <x:c r="A18" s="13" t="str">
        <x:v>PAG-000017</x:v>
      </x:c>
      <x:c r="B18" s="23" t="n">
        <x:v>45308</x:v>
      </x:c>
      <x:c r="C18" s="23" t="n">
        <x:v>45328</x:v>
      </x:c>
      <x:c r="D18" s="23" t="n">
        <x:v>45330</x:v>
      </x:c>
      <x:c r="E18" s="13" t="str">
        <x:v>DataSafe</x:v>
      </x:c>
      <x:c r="F18" s="13" t="str">
        <x:v>Segurança da informação</x:v>
      </x:c>
      <x:c r="G18" s="17" t="n">
        <x:v>594.19</x:v>
      </x:c>
      <x:c r="H18" s="17" t="n">
        <x:v>611.47</x:v>
      </x:c>
      <x:c r="I18" s="13" t="str">
        <x:v>Gestor da área</x:v>
      </x:c>
      <x:c r="J18" s="13" t="str">
        <x:v>Pago</x:v>
      </x:c>
      <x:c r="K18" s="13" t="str">
        <x:v>Base controlada</x:v>
      </x:c>
      <x:c r="L18" s="17" t="n">
        <x:f>H18-G18</x:f>
        <x:v>17.279999999999973</x:v>
      </x:c>
      <x:c r="M18" s="19" t="n">
        <x:f>IFERROR(L18/G18,0)</x:f>
        <x:v>0.02908160689341788</x:v>
      </x:c>
      <x:c r="N18" s="13" t="n">
        <x:f>D18-C18</x:f>
        <x:v>2</x:v>
      </x:c>
    </x:row>
    <x:row r="19">
      <x:c r="A19" s="13" t="str">
        <x:v>PAG-000018</x:v>
      </x:c>
      <x:c r="B19" s="23" t="n">
        <x:v>45295</x:v>
      </x:c>
      <x:c r="C19" s="23" t="n">
        <x:v>45325</x:v>
      </x:c>
      <x:c r="D19" s="23" t="n">
        <x:v>45322</x:v>
      </x:c>
      <x:c r="E19" s="13" t="str">
        <x:v>PeopleHub</x:v>
      </x:c>
      <x:c r="F19" s="13" t="str">
        <x:v>Recursos Humanos</x:v>
      </x:c>
      <x:c r="G19" s="17" t="n">
        <x:v>17951.45</x:v>
      </x:c>
      <x:c r="H19" s="17" t="n">
        <x:v>17486.92</x:v>
      </x:c>
      <x:c r="I19" s="13" t="str">
        <x:v>Diretoria</x:v>
      </x:c>
      <x:c r="J19" s="13" t="str">
        <x:v>Pago</x:v>
      </x:c>
      <x:c r="K19" s="13" t="str">
        <x:v>Base controlada</x:v>
      </x:c>
      <x:c r="L19" s="17" t="n">
        <x:f>H19-G19</x:f>
        <x:v>-464.5300000000025</x:v>
      </x:c>
      <x:c r="M19" s="19" t="n">
        <x:f>IFERROR(L19/G19,0)</x:f>
        <x:v>-0.0258770182910017</x:v>
      </x:c>
      <x:c r="N19" s="13" t="n">
        <x:f>D19-C19</x:f>
        <x:v>-3</x:v>
      </x:c>
    </x:row>
    <x:row r="20">
      <x:c r="A20" s="13" t="str">
        <x:v>PAG-000019</x:v>
      </x:c>
      <x:c r="B20" s="23" t="n">
        <x:v>45292</x:v>
      </x:c>
      <x:c r="C20" s="23" t="n">
        <x:v>45307</x:v>
      </x:c>
      <x:c r="D20" s="23" t="n">
        <x:v>45307</x:v>
      </x:c>
      <x:c r="E20" s="13" t="str">
        <x:v>WorkSpace</x:v>
      </x:c>
      <x:c r="F20" s="13" t="str">
        <x:v>Locação</x:v>
      </x:c>
      <x:c r="G20" s="17" t="n">
        <x:v>6222.9</x:v>
      </x:c>
      <x:c r="H20" s="17" t="n">
        <x:v>6436.87</x:v>
      </x:c>
      <x:c r="I20" s="13" t="str">
        <x:v>Financeiro</x:v>
      </x:c>
      <x:c r="J20" s="13" t="str">
        <x:v>Pago</x:v>
      </x:c>
      <x:c r="K20" s="13" t="str">
        <x:v>Base controlada</x:v>
      </x:c>
      <x:c r="L20" s="17" t="n">
        <x:f>H20-G20</x:f>
        <x:v>213.97000000000025</x:v>
      </x:c>
      <x:c r="M20" s="19" t="n">
        <x:f>IFERROR(L20/G20,0)</x:f>
        <x:v>0.03438429028266568</x:v>
      </x:c>
      <x:c r="N20" s="13" t="n">
        <x:f>D20-C20</x:f>
        <x:v>0</x:v>
      </x:c>
    </x:row>
    <x:row r="21">
      <x:c r="A21" s="13" t="str">
        <x:v>PAG-000020</x:v>
      </x:c>
      <x:c r="B21" s="23" t="n">
        <x:v>45293</x:v>
      </x:c>
      <x:c r="C21" s="23" t="n">
        <x:v>45300</x:v>
      </x:c>
      <x:c r="D21" s="23" t="n">
        <x:v>45297</x:v>
      </x:c>
      <x:c r="E21" s="13" t="str">
        <x:v>LegalMais</x:v>
      </x:c>
      <x:c r="F21" s="13" t="str">
        <x:v>Jurídico</x:v>
      </x:c>
      <x:c r="G21" s="17" t="n">
        <x:v>19754.75</x:v>
      </x:c>
      <x:c r="H21" s="17" t="n">
        <x:v>19714.53</x:v>
      </x:c>
      <x:c r="I21" s="13" t="str">
        <x:v>Financeiro</x:v>
      </x:c>
      <x:c r="J21" s="13" t="str">
        <x:v>Pago</x:v>
      </x:c>
      <x:c r="K21" s="13" t="str">
        <x:v>Base controlada</x:v>
      </x:c>
      <x:c r="L21" s="17" t="n">
        <x:f>H21-G21</x:f>
        <x:v>-40.220000000001164</x:v>
      </x:c>
      <x:c r="M21" s="19" t="n">
        <x:f>IFERROR(L21/G21,0)</x:f>
        <x:v>-0.002035966033485676</x:v>
      </x:c>
      <x:c r="N21" s="13" t="n">
        <x:f>D21-C21</x:f>
        <x:v>-3</x:v>
      </x:c>
    </x:row>
    <x:row r="22">
      <x:c r="A22" s="13" t="str">
        <x:v>PAG-000021</x:v>
      </x:c>
      <x:c r="B22" s="23" t="n">
        <x:v>45310</x:v>
      </x:c>
      <x:c r="C22" s="23" t="n">
        <x:v>45330</x:v>
      </x:c>
      <x:c r="D22" s="23" t="n">
        <x:v>45330</x:v>
      </x:c>
      <x:c r="E22" s="13" t="str">
        <x:v>CloudCore</x:v>
      </x:c>
      <x:c r="F22" s="13" t="str">
        <x:v>Tecnologia</x:v>
      </x:c>
      <x:c r="G22" s="17" t="n">
        <x:v>22917.18</x:v>
      </x:c>
      <x:c r="H22" s="17" t="n">
        <x:v>23196.29</x:v>
      </x:c>
      <x:c r="I22" s="13" t="str">
        <x:v>Diretoria</x:v>
      </x:c>
      <x:c r="J22" s="13" t="str">
        <x:v>Pago</x:v>
      </x:c>
      <x:c r="K22" s="13" t="str">
        <x:v>Base controlada</x:v>
      </x:c>
      <x:c r="L22" s="17" t="n">
        <x:f>H22-G22</x:f>
        <x:v>279.1100000000006</x:v>
      </x:c>
      <x:c r="M22" s="19" t="n">
        <x:f>IFERROR(L22/G22,0)</x:f>
        <x:v>0.01217907264331827</x:v>
      </x:c>
      <x:c r="N22" s="13" t="n">
        <x:f>D22-C22</x:f>
        <x:v>0</x:v>
      </x:c>
    </x:row>
    <x:row r="23">
      <x:c r="A23" s="13" t="str">
        <x:v>PAG-000022</x:v>
      </x:c>
      <x:c r="B23" s="23" t="n">
        <x:v>45296</x:v>
      </x:c>
      <x:c r="C23" s="23" t="n">
        <x:v>45316</x:v>
      </x:c>
      <x:c r="D23" s="23" t="n">
        <x:v>45315</x:v>
      </x:c>
      <x:c r="E23" s="13" t="str">
        <x:v>NetLink</x:v>
      </x:c>
      <x:c r="F23" s="13" t="str">
        <x:v>Telecomunicações</x:v>
      </x:c>
      <x:c r="G23" s="17" t="n">
        <x:v>1997.12</x:v>
      </x:c>
      <x:c r="H23" s="17" t="n">
        <x:v>2074.07</x:v>
      </x:c>
      <x:c r="I23" s="13" t="str">
        <x:v>Gestor da área</x:v>
      </x:c>
      <x:c r="J23" s="13" t="str">
        <x:v>Pago</x:v>
      </x:c>
      <x:c r="K23" s="13" t="str">
        <x:v>Base controlada</x:v>
      </x:c>
      <x:c r="L23" s="17" t="n">
        <x:f>H23-G23</x:f>
        <x:v>76.95000000000027</x:v>
      </x:c>
      <x:c r="M23" s="19" t="n">
        <x:f>IFERROR(L23/G23,0)</x:f>
        <x:v>0.038530483896811546</x:v>
      </x:c>
      <x:c r="N23" s="13" t="n">
        <x:f>D23-C23</x:f>
        <x:v>-1</x:v>
      </x:c>
    </x:row>
    <x:row r="24">
      <x:c r="A24" s="13" t="str">
        <x:v>PAG-000023</x:v>
      </x:c>
      <x:c r="B24" s="23" t="n">
        <x:v>45297</x:v>
      </x:c>
      <x:c r="C24" s="23" t="n">
        <x:v>45312</x:v>
      </x:c>
      <x:c r="D24" s="23" t="n">
        <x:v>45311</x:v>
      </x:c>
      <x:c r="E24" s="13" t="str">
        <x:v>DataSafe</x:v>
      </x:c>
      <x:c r="F24" s="13" t="str">
        <x:v>Segurança da informação</x:v>
      </x:c>
      <x:c r="G24" s="17" t="n">
        <x:v>20360.89</x:v>
      </x:c>
      <x:c r="H24" s="17" t="n">
        <x:v>20633.58</x:v>
      </x:c>
      <x:c r="I24" s="13" t="str">
        <x:v>Financeiro</x:v>
      </x:c>
      <x:c r="J24" s="13" t="str">
        <x:v>Pago</x:v>
      </x:c>
      <x:c r="K24" s="13" t="str">
        <x:v>Base controlada</x:v>
      </x:c>
      <x:c r="L24" s="17" t="n">
        <x:f>H24-G24</x:f>
        <x:v>272.6900000000023</x:v>
      </x:c>
      <x:c r="M24" s="19" t="n">
        <x:f>IFERROR(L24/G24,0)</x:f>
        <x:v>0.013392833024489712</x:v>
      </x:c>
      <x:c r="N24" s="13" t="n">
        <x:f>D24-C24</x:f>
        <x:v>-1</x:v>
      </x:c>
    </x:row>
    <x:row r="25">
      <x:c r="A25" s="13" t="str">
        <x:v>PAG-000024</x:v>
      </x:c>
      <x:c r="B25" s="23" t="n">
        <x:v>45310</x:v>
      </x:c>
      <x:c r="C25" s="23" t="n">
        <x:v>45330</x:v>
      </x:c>
      <x:c r="D25" s="23" t="n">
        <x:v>45328</x:v>
      </x:c>
      <x:c r="E25" s="13" t="str">
        <x:v>EducaPro</x:v>
      </x:c>
      <x:c r="F25" s="13" t="str">
        <x:v>Treinamentos</x:v>
      </x:c>
      <x:c r="G25" s="17" t="n">
        <x:v>11423.51</x:v>
      </x:c>
      <x:c r="H25" s="17" t="n">
        <x:v>11739.13</x:v>
      </x:c>
      <x:c r="I25" s="13" t="str">
        <x:v>Financeiro</x:v>
      </x:c>
      <x:c r="J25" s="13" t="str">
        <x:v>Pago</x:v>
      </x:c>
      <x:c r="K25" s="13" t="str">
        <x:v>Base controlada</x:v>
      </x:c>
      <x:c r="L25" s="17" t="n">
        <x:f>H25-G25</x:f>
        <x:v>315.619999999999</x:v>
      </x:c>
      <x:c r="M25" s="19" t="n">
        <x:f>IFERROR(L25/G25,0)</x:f>
        <x:v>0.027628986187257593</x:v>
      </x:c>
      <x:c r="N25" s="13" t="n">
        <x:f>D25-C25</x:f>
        <x:v>-2</x:v>
      </x:c>
    </x:row>
    <x:row r="26">
      <x:c r="A26" s="13" t="str">
        <x:v>PAG-000025</x:v>
      </x:c>
      <x:c r="B26" s="23" t="n">
        <x:v>45300</x:v>
      </x:c>
      <x:c r="C26" s="23" t="n">
        <x:v>45307</x:v>
      </x:c>
      <x:c r="D26" s="23" t="n">
        <x:v>45307</x:v>
      </x:c>
      <x:c r="E26" s="13" t="str">
        <x:v>PeopleHub</x:v>
      </x:c>
      <x:c r="F26" s="13" t="str">
        <x:v>Recursos Humanos</x:v>
      </x:c>
      <x:c r="G26" s="17" t="n">
        <x:v>8001.07</x:v>
      </x:c>
      <x:c r="H26" s="17" t="n">
        <x:v>7959.47</x:v>
      </x:c>
      <x:c r="I26" s="13" t="str">
        <x:v>Financeiro</x:v>
      </x:c>
      <x:c r="J26" s="13" t="str">
        <x:v>Pago</x:v>
      </x:c>
      <x:c r="K26" s="13" t="str">
        <x:v>Base controlada</x:v>
      </x:c>
      <x:c r="L26" s="17" t="n">
        <x:f>H26-G26</x:f>
        <x:v>-41.599999999999454</x:v>
      </x:c>
      <x:c r="M26" s="19" t="n">
        <x:f>IFERROR(L26/G26,0)</x:f>
        <x:v>-0.005199304593010616</x:v>
      </x:c>
      <x:c r="N26" s="13" t="n">
        <x:f>D26-C26</x:f>
        <x:v>0</x:v>
      </x:c>
    </x:row>
    <x:row r="27">
      <x:c r="A27" s="13" t="str">
        <x:v>PAG-000026</x:v>
      </x:c>
      <x:c r="B27" s="23" t="n">
        <x:v>45297</x:v>
      </x:c>
      <x:c r="C27" s="23" t="n">
        <x:v>45312</x:v>
      </x:c>
      <x:c r="D27" s="23" t="n">
        <x:v>45313</x:v>
      </x:c>
      <x:c r="E27" s="13" t="str">
        <x:v>NetLink</x:v>
      </x:c>
      <x:c r="F27" s="13" t="str">
        <x:v>Telecomunicações</x:v>
      </x:c>
      <x:c r="G27" s="17" t="n">
        <x:v>3601.38</x:v>
      </x:c>
      <x:c r="H27" s="17" t="n">
        <x:v>3569.94</x:v>
      </x:c>
      <x:c r="I27" s="13" t="str">
        <x:v>Gestor da área</x:v>
      </x:c>
      <x:c r="J27" s="13" t="str">
        <x:v>Pago</x:v>
      </x:c>
      <x:c r="K27" s="13" t="str">
        <x:v>Base controlada</x:v>
      </x:c>
      <x:c r="L27" s="17" t="n">
        <x:f>H27-G27</x:f>
        <x:v>-31.440000000000055</x:v>
      </x:c>
      <x:c r="M27" s="19" t="n">
        <x:f>IFERROR(L27/G27,0)</x:f>
        <x:v>-0.008729986838378636</x:v>
      </x:c>
      <x:c r="N27" s="13" t="n">
        <x:f>D27-C27</x:f>
        <x:v>1</x:v>
      </x:c>
    </x:row>
    <x:row r="28">
      <x:c r="A28" s="13" t="str">
        <x:v>PAG-000027</x:v>
      </x:c>
      <x:c r="B28" s="23" t="n">
        <x:v>45301</x:v>
      </x:c>
      <x:c r="C28" s="23" t="n">
        <x:v>45316</x:v>
      </x:c>
      <x:c r="D28" s="23" t="n">
        <x:v>45315</x:v>
      </x:c>
      <x:c r="E28" s="13" t="str">
        <x:v>Conta Certa</x:v>
      </x:c>
      <x:c r="F28" s="13" t="str">
        <x:v>Contabilidade</x:v>
      </x:c>
      <x:c r="G28" s="17" t="n">
        <x:v>5747.22</x:v>
      </x:c>
      <x:c r="H28" s="17" t="n">
        <x:v>5725.89</x:v>
      </x:c>
      <x:c r="I28" s="13" t="str">
        <x:v>Diretoria</x:v>
      </x:c>
      <x:c r="J28" s="13" t="str">
        <x:v>Pago</x:v>
      </x:c>
      <x:c r="K28" s="13" t="str">
        <x:v>Base controlada</x:v>
      </x:c>
      <x:c r="L28" s="17" t="n">
        <x:f>H28-G28</x:f>
        <x:v>-21.329999999999927</x:v>
      </x:c>
      <x:c r="M28" s="19" t="n">
        <x:f>IFERROR(L28/G28,0)</x:f>
        <x:v>-0.00371135957906604</x:v>
      </x:c>
      <x:c r="N28" s="13" t="n">
        <x:f>D28-C28</x:f>
        <x:v>-1</x:v>
      </x:c>
    </x:row>
    <x:row r="29">
      <x:c r="A29" s="13" t="str">
        <x:v>PAG-000028</x:v>
      </x:c>
      <x:c r="B29" s="23" t="n">
        <x:v>45305</x:v>
      </x:c>
      <x:c r="C29" s="23" t="n">
        <x:v>45335</x:v>
      </x:c>
      <x:c r="D29" s="23" t="n">
        <x:v>45335</x:v>
      </x:c>
      <x:c r="E29" s="13" t="str">
        <x:v>EducaPro</x:v>
      </x:c>
      <x:c r="F29" s="13" t="str">
        <x:v>Treinamentos</x:v>
      </x:c>
      <x:c r="G29" s="17" t="n">
        <x:v>28001.41</x:v>
      </x:c>
      <x:c r="H29" s="17" t="n">
        <x:v>27570.03</x:v>
      </x:c>
      <x:c r="I29" s="13" t="str">
        <x:v>Financeiro</x:v>
      </x:c>
      <x:c r="J29" s="13" t="str">
        <x:v>Pago</x:v>
      </x:c>
      <x:c r="K29" s="13" t="str">
        <x:v>Base controlada</x:v>
      </x:c>
      <x:c r="L29" s="17" t="n">
        <x:f>H29-G29</x:f>
        <x:v>-431.380000000001</x:v>
      </x:c>
      <x:c r="M29" s="19" t="n">
        <x:f>IFERROR(L29/G29,0)</x:f>
        <x:v>-0.015405652786770417</x:v>
      </x:c>
      <x:c r="N29" s="13" t="n">
        <x:f>D29-C29</x:f>
        <x:v>0</x:v>
      </x:c>
    </x:row>
    <x:row r="30">
      <x:c r="A30" s="13" t="str">
        <x:v>PAG-000029</x:v>
      </x:c>
      <x:c r="B30" s="23" t="n">
        <x:v>45300</x:v>
      </x:c>
      <x:c r="C30" s="23" t="n">
        <x:v>45320</x:v>
      </x:c>
      <x:c r="D30" s="23" t="n">
        <x:v>45320</x:v>
      </x:c>
      <x:c r="E30" s="13" t="str">
        <x:v>Conta Certa</x:v>
      </x:c>
      <x:c r="F30" s="13" t="str">
        <x:v>Contabilidade</x:v>
      </x:c>
      <x:c r="G30" s="17" t="n">
        <x:v>20348.64</x:v>
      </x:c>
      <x:c r="H30" s="17" t="n">
        <x:v>21053.09</x:v>
      </x:c>
      <x:c r="I30" s="13" t="str">
        <x:v>Financeiro</x:v>
      </x:c>
      <x:c r="J30" s="13" t="str">
        <x:v>Pago</x:v>
      </x:c>
      <x:c r="K30" s="13" t="str">
        <x:v>Base controlada</x:v>
      </x:c>
      <x:c r="L30" s="17" t="n">
        <x:f>H30-G30</x:f>
        <x:v>704.4500000000007</x:v>
      </x:c>
      <x:c r="M30" s="19" t="n">
        <x:f>IFERROR(L30/G30,0)</x:f>
        <x:v>0.034619021222057136</x:v>
      </x:c>
      <x:c r="N30" s="13" t="n">
        <x:f>D30-C30</x:f>
        <x:v>0</x:v>
      </x:c>
    </x:row>
    <x:row r="31">
      <x:c r="A31" s="13" t="str">
        <x:v>PAG-000030</x:v>
      </x:c>
      <x:c r="B31" s="23" t="n">
        <x:v>45299</x:v>
      </x:c>
      <x:c r="C31" s="23" t="n">
        <x:v>45329</x:v>
      </x:c>
      <x:c r="D31" s="23" t="n">
        <x:v>45327</x:v>
      </x:c>
      <x:c r="E31" s="13" t="str">
        <x:v>Conta Certa</x:v>
      </x:c>
      <x:c r="F31" s="13" t="str">
        <x:v>Contabilidade</x:v>
      </x:c>
      <x:c r="G31" s="17" t="n">
        <x:v>19295.58</x:v>
      </x:c>
      <x:c r="H31" s="17" t="n">
        <x:v>18920.05</x:v>
      </x:c>
      <x:c r="I31" s="13" t="str">
        <x:v>Diretoria</x:v>
      </x:c>
      <x:c r="J31" s="13" t="str">
        <x:v>Pago</x:v>
      </x:c>
      <x:c r="K31" s="13" t="str">
        <x:v>Base controlada</x:v>
      </x:c>
      <x:c r="L31" s="17" t="n">
        <x:f>H31-G31</x:f>
        <x:v>-375.5300000000025</x:v>
      </x:c>
      <x:c r="M31" s="19" t="n">
        <x:f>IFERROR(L31/G31,0)</x:f>
        <x:v>-0.01946197004702644</x:v>
      </x:c>
      <x:c r="N31" s="13" t="n">
        <x:f>D31-C31</x:f>
        <x:v>-2</x:v>
      </x:c>
    </x:row>
    <x:row r="32">
      <x:c r="A32" s="13" t="str">
        <x:v>PAG-000031</x:v>
      </x:c>
      <x:c r="B32" s="23" t="n">
        <x:v>45309</x:v>
      </x:c>
      <x:c r="C32" s="23" t="n">
        <x:v>45324</x:v>
      </x:c>
      <x:c r="D32" s="23" t="n">
        <x:v>45326</x:v>
      </x:c>
      <x:c r="E32" s="13" t="str">
        <x:v>Conta Certa</x:v>
      </x:c>
      <x:c r="F32" s="13" t="str">
        <x:v>Contabilidade</x:v>
      </x:c>
      <x:c r="G32" s="17" t="n">
        <x:v>2427.05</x:v>
      </x:c>
      <x:c r="H32" s="17" t="n">
        <x:v>2496.64</x:v>
      </x:c>
      <x:c r="I32" s="13" t="str">
        <x:v>Gestor da área</x:v>
      </x:c>
      <x:c r="J32" s="13" t="str">
        <x:v>Pago</x:v>
      </x:c>
      <x:c r="K32" s="13" t="str">
        <x:v>Base controlada</x:v>
      </x:c>
      <x:c r="L32" s="17" t="n">
        <x:f>H32-G32</x:f>
        <x:v>69.58999999999969</x:v>
      </x:c>
      <x:c r="M32" s="19" t="n">
        <x:f>IFERROR(L32/G32,0)</x:f>
        <x:v>0.028672668465832878</x:v>
      </x:c>
      <x:c r="N32" s="13" t="n">
        <x:f>D32-C32</x:f>
        <x:v>2</x:v>
      </x:c>
    </x:row>
    <x:row r="33">
      <x:c r="A33" s="13" t="str">
        <x:v>PAG-000032</x:v>
      </x:c>
      <x:c r="B33" s="23" t="n">
        <x:v>45298</x:v>
      </x:c>
      <x:c r="C33" s="23" t="n">
        <x:v>45305</x:v>
      </x:c>
      <x:c r="D33" s="23" t="n">
        <x:v>45305</x:v>
      </x:c>
      <x:c r="E33" s="13" t="str">
        <x:v>WorkSpace</x:v>
      </x:c>
      <x:c r="F33" s="13" t="str">
        <x:v>Locação</x:v>
      </x:c>
      <x:c r="G33" s="17" t="n">
        <x:v>25125.8</x:v>
      </x:c>
      <x:c r="H33" s="17" t="n">
        <x:v>25484.71</x:v>
      </x:c>
      <x:c r="I33" s="13" t="str">
        <x:v>Gestor da área</x:v>
      </x:c>
      <x:c r="J33" s="13" t="str">
        <x:v>Pago</x:v>
      </x:c>
      <x:c r="K33" s="13" t="str">
        <x:v>Base controlada</x:v>
      </x:c>
      <x:c r="L33" s="17" t="n">
        <x:f>H33-G33</x:f>
        <x:v>358.90999999999985</x:v>
      </x:c>
      <x:c r="M33" s="19" t="n">
        <x:f>IFERROR(L33/G33,0)</x:f>
        <x:v>0.014284520293881185</x:v>
      </x:c>
      <x:c r="N33" s="13" t="n">
        <x:f>D33-C33</x:f>
        <x:v>0</x:v>
      </x:c>
    </x:row>
    <x:row r="34">
      <x:c r="A34" s="13" t="str">
        <x:v>PAG-000033</x:v>
      </x:c>
      <x:c r="B34" s="23" t="n">
        <x:v>45302</x:v>
      </x:c>
      <x:c r="C34" s="23" t="n">
        <x:v>45309</x:v>
      </x:c>
      <x:c r="D34" s="23" t="n">
        <x:v>45310</x:v>
      </x:c>
      <x:c r="E34" s="13" t="str">
        <x:v>DataSafe</x:v>
      </x:c>
      <x:c r="F34" s="13" t="str">
        <x:v>Segurança da informação</x:v>
      </x:c>
      <x:c r="G34" s="17" t="n">
        <x:v>27376.31</x:v>
      </x:c>
      <x:c r="H34" s="17" t="n">
        <x:v>28382.07</x:v>
      </x:c>
      <x:c r="I34" s="13" t="str">
        <x:v>Gestor da área</x:v>
      </x:c>
      <x:c r="J34" s="13" t="str">
        <x:v>Pago</x:v>
      </x:c>
      <x:c r="K34" s="13" t="str">
        <x:v>Base controlada</x:v>
      </x:c>
      <x:c r="L34" s="17" t="n">
        <x:f>H34-G34</x:f>
        <x:v>1005.7599999999984</x:v>
      </x:c>
      <x:c r="M34" s="19" t="n">
        <x:f>IFERROR(L34/G34,0)</x:f>
        <x:v>0.036738333252363024</x:v>
      </x:c>
      <x:c r="N34" s="13" t="n">
        <x:f>D34-C34</x:f>
        <x:v>1</x:v>
      </x:c>
    </x:row>
    <x:row r="35">
      <x:c r="A35" s="13" t="str">
        <x:v>PAG-000034</x:v>
      </x:c>
      <x:c r="B35" s="23" t="n">
        <x:v>45302</x:v>
      </x:c>
      <x:c r="C35" s="23" t="n">
        <x:v>45317</x:v>
      </x:c>
      <x:c r="D35" s="23" t="n">
        <x:v>45318</x:v>
      </x:c>
      <x:c r="E35" s="13" t="str">
        <x:v>Banco Integra</x:v>
      </x:c>
      <x:c r="F35" s="13" t="str">
        <x:v>Serviços bancários</x:v>
      </x:c>
      <x:c r="G35" s="17" t="n">
        <x:v>4042.77</x:v>
      </x:c>
      <x:c r="H35" s="17" t="n">
        <x:v>3915.51</x:v>
      </x:c>
      <x:c r="I35" s="13" t="str">
        <x:v>Diretoria</x:v>
      </x:c>
      <x:c r="J35" s="13" t="str">
        <x:v>Pago</x:v>
      </x:c>
      <x:c r="K35" s="13" t="str">
        <x:v>Base controlada</x:v>
      </x:c>
      <x:c r="L35" s="17" t="n">
        <x:f>H35-G35</x:f>
        <x:v>-127.25999999999976</x:v>
      </x:c>
      <x:c r="M35" s="19" t="n">
        <x:f>IFERROR(L35/G35,0)</x:f>
        <x:v>-0.03147841702594997</x:v>
      </x:c>
      <x:c r="N35" s="13" t="n">
        <x:f>D35-C35</x:f>
        <x:v>1</x:v>
      </x:c>
    </x:row>
    <x:row r="36">
      <x:c r="A36" s="13" t="str">
        <x:v>PAG-000035</x:v>
      </x:c>
      <x:c r="B36" s="23" t="n">
        <x:v>45306</x:v>
      </x:c>
      <x:c r="C36" s="23" t="n">
        <x:v>45313</x:v>
      </x:c>
      <x:c r="D36" s="23" t="n">
        <x:v>45313</x:v>
      </x:c>
      <x:c r="E36" s="13" t="str">
        <x:v>Office Prime</x:v>
      </x:c>
      <x:c r="F36" s="13" t="str">
        <x:v>Escritório</x:v>
      </x:c>
      <x:c r="G36" s="17" t="n">
        <x:v>25738.5</x:v>
      </x:c>
      <x:c r="H36" s="17" t="n">
        <x:v>25294.13</x:v>
      </x:c>
      <x:c r="I36" s="13" t="str">
        <x:v>Financeiro</x:v>
      </x:c>
      <x:c r="J36" s="13" t="str">
        <x:v>Pago</x:v>
      </x:c>
      <x:c r="K36" s="13" t="str">
        <x:v>Base controlada</x:v>
      </x:c>
      <x:c r="L36" s="17" t="n">
        <x:f>H36-G36</x:f>
        <x:v>-444.369999999999</x:v>
      </x:c>
      <x:c r="M36" s="19" t="n">
        <x:f>IFERROR(L36/G36,0)</x:f>
        <x:v>-0.01726479787089376</x:v>
      </x:c>
      <x:c r="N36" s="13" t="n">
        <x:f>D36-C36</x:f>
        <x:v>0</x:v>
      </x:c>
    </x:row>
    <x:row r="37">
      <x:c r="A37" s="13" t="str">
        <x:v>PAG-000036</x:v>
      </x:c>
      <x:c r="B37" s="23" t="n">
        <x:v>45294</x:v>
      </x:c>
      <x:c r="C37" s="23" t="n">
        <x:v>45301</x:v>
      </x:c>
      <x:c r="D37" s="23" t="n">
        <x:v>45302</x:v>
      </x:c>
      <x:c r="E37" s="13" t="str">
        <x:v>MarketLab</x:v>
      </x:c>
      <x:c r="F37" s="13" t="str">
        <x:v>Marketing</x:v>
      </x:c>
      <x:c r="G37" s="17" t="n">
        <x:v>15515.91</x:v>
      </x:c>
      <x:c r="H37" s="17" t="n">
        <x:v>15476.06</x:v>
      </x:c>
      <x:c r="I37" s="13" t="str">
        <x:v>Gestor da área</x:v>
      </x:c>
      <x:c r="J37" s="13" t="str">
        <x:v>Pago</x:v>
      </x:c>
      <x:c r="K37" s="13" t="str">
        <x:v>Base controlada</x:v>
      </x:c>
      <x:c r="L37" s="17" t="n">
        <x:f>H37-G37</x:f>
        <x:v>-39.850000000000364</x:v>
      </x:c>
      <x:c r="M37" s="19" t="n">
        <x:f>IFERROR(L37/G37,0)</x:f>
        <x:v>-0.0025683314739516</x:v>
      </x:c>
      <x:c r="N37" s="13" t="n">
        <x:f>D37-C37</x:f>
        <x:v>1</x:v>
      </x:c>
    </x:row>
    <x:row r="38">
      <x:c r="A38" s="13" t="str">
        <x:v>PAG-000037</x:v>
      </x:c>
      <x:c r="B38" s="23" t="n">
        <x:v>45302</x:v>
      </x:c>
      <x:c r="C38" s="23" t="n">
        <x:v>45332</x:v>
      </x:c>
      <x:c r="D38" s="23" t="n">
        <x:v>45329</x:v>
      </x:c>
      <x:c r="E38" s="13" t="str">
        <x:v>Office Prime</x:v>
      </x:c>
      <x:c r="F38" s="13" t="str">
        <x:v>Escritório</x:v>
      </x:c>
      <x:c r="G38" s="17" t="n">
        <x:v>17766.65</x:v>
      </x:c>
      <x:c r="H38" s="17" t="n">
        <x:v>17571.82</x:v>
      </x:c>
      <x:c r="I38" s="13" t="str">
        <x:v>Financeiro</x:v>
      </x:c>
      <x:c r="J38" s="13" t="str">
        <x:v>Pago</x:v>
      </x:c>
      <x:c r="K38" s="13" t="str">
        <x:v>Base controlada</x:v>
      </x:c>
      <x:c r="L38" s="17" t="n">
        <x:f>H38-G38</x:f>
        <x:v>-194.83000000000175</x:v>
      </x:c>
      <x:c r="M38" s="19" t="n">
        <x:f>IFERROR(L38/G38,0)</x:f>
        <x:v>-0.01096605156290025</x:v>
      </x:c>
      <x:c r="N38" s="13" t="n">
        <x:f>D38-C38</x:f>
        <x:v>-3</x:v>
      </x:c>
    </x:row>
    <x:row r="39">
      <x:c r="A39" s="13" t="str">
        <x:v>PAG-000038</x:v>
      </x:c>
      <x:c r="B39" s="23" t="n">
        <x:v>45295</x:v>
      </x:c>
      <x:c r="C39" s="23" t="n">
        <x:v>45315</x:v>
      </x:c>
      <x:c r="D39" s="23" t="n">
        <x:v>45315</x:v>
      </x:c>
      <x:c r="E39" s="13" t="str">
        <x:v>PeopleHub</x:v>
      </x:c>
      <x:c r="F39" s="13" t="str">
        <x:v>Recursos Humanos</x:v>
      </x:c>
      <x:c r="G39" s="17" t="n">
        <x:v>10453.68</x:v>
      </x:c>
      <x:c r="H39" s="17" t="n">
        <x:v>10803.29</x:v>
      </x:c>
      <x:c r="I39" s="13" t="str">
        <x:v>Gestor da área</x:v>
      </x:c>
      <x:c r="J39" s="13" t="str">
        <x:v>Pago</x:v>
      </x:c>
      <x:c r="K39" s="13" t="str">
        <x:v>Base controlada</x:v>
      </x:c>
      <x:c r="L39" s="17" t="n">
        <x:f>H39-G39</x:f>
        <x:v>349.6100000000006</x:v>
      </x:c>
      <x:c r="M39" s="19" t="n">
        <x:f>IFERROR(L39/G39,0)</x:f>
        <x:v>0.033443725080545855</x:v>
      </x:c>
      <x:c r="N39" s="13" t="n">
        <x:f>D39-C39</x:f>
        <x:v>0</x:v>
      </x:c>
    </x:row>
    <x:row r="40">
      <x:c r="A40" s="13" t="str">
        <x:v>PAG-000039</x:v>
      </x:c>
      <x:c r="B40" s="23" t="n">
        <x:v>45295</x:v>
      </x:c>
      <x:c r="C40" s="23" t="n">
        <x:v>45302</x:v>
      </x:c>
      <x:c r="D40" s="23" t="n">
        <x:v>45302</x:v>
      </x:c>
      <x:c r="E40" s="13" t="str">
        <x:v>Banco Integra</x:v>
      </x:c>
      <x:c r="F40" s="13" t="str">
        <x:v>Serviços bancários</x:v>
      </x:c>
      <x:c r="G40" s="17" t="n">
        <x:v>31384.82</x:v>
      </x:c>
      <x:c r="H40" s="17" t="n">
        <x:v>32258.66</x:v>
      </x:c>
      <x:c r="I40" s="13" t="str">
        <x:v>Gestor da área</x:v>
      </x:c>
      <x:c r="J40" s="13" t="str">
        <x:v>Pago</x:v>
      </x:c>
      <x:c r="K40" s="13" t="str">
        <x:v>Base controlada</x:v>
      </x:c>
      <x:c r="L40" s="17" t="n">
        <x:f>H40-G40</x:f>
        <x:v>873.8400000000001</x:v>
      </x:c>
      <x:c r="M40" s="19" t="n">
        <x:f>IFERROR(L40/G40,0)</x:f>
        <x:v>0.02784275965259639</x:v>
      </x:c>
      <x:c r="N40" s="13" t="n">
        <x:f>D40-C40</x:f>
        <x:v>0</x:v>
      </x:c>
    </x:row>
    <x:row r="41">
      <x:c r="A41" s="13" t="str">
        <x:v>PAG-000040</x:v>
      </x:c>
      <x:c r="B41" s="23" t="n">
        <x:v>45294</x:v>
      </x:c>
      <x:c r="C41" s="23" t="n">
        <x:v>45324</x:v>
      </x:c>
      <x:c r="D41" s="23" t="n">
        <x:v>45323</x:v>
      </x:c>
      <x:c r="E41" s="13" t="str">
        <x:v>DataSafe</x:v>
      </x:c>
      <x:c r="F41" s="13" t="str">
        <x:v>Segurança da informação</x:v>
      </x:c>
      <x:c r="G41" s="17" t="n">
        <x:v>15198.61</x:v>
      </x:c>
      <x:c r="H41" s="17" t="n">
        <x:v>15203.55</x:v>
      </x:c>
      <x:c r="I41" s="13" t="str">
        <x:v>Gestor da área</x:v>
      </x:c>
      <x:c r="J41" s="13" t="str">
        <x:v>Pago</x:v>
      </x:c>
      <x:c r="K41" s="13" t="str">
        <x:v>Base controlada</x:v>
      </x:c>
      <x:c r="L41" s="17" t="n">
        <x:f>H41-G41</x:f>
        <x:v>4.93999999999869</x:v>
      </x:c>
      <x:c r="M41" s="19" t="n">
        <x:f>IFERROR(L41/G41,0)</x:f>
        <x:v>0.0003250297231127511</x:v>
      </x:c>
      <x:c r="N41" s="13" t="n">
        <x:f>D41-C41</x:f>
        <x:v>-1</x:v>
      </x:c>
    </x:row>
    <x:row r="42">
      <x:c r="A42" s="13" t="str">
        <x:v>PAG-000041</x:v>
      </x:c>
      <x:c r="B42" s="23" t="n">
        <x:v>45297</x:v>
      </x:c>
      <x:c r="C42" s="23" t="n">
        <x:v>45304</x:v>
      </x:c>
      <x:c r="D42" s="23" t="n">
        <x:v>45304</x:v>
      </x:c>
      <x:c r="E42" s="13" t="str">
        <x:v>EducaPro</x:v>
      </x:c>
      <x:c r="F42" s="13" t="str">
        <x:v>Treinamentos</x:v>
      </x:c>
      <x:c r="G42" s="17" t="n">
        <x:v>29872.27</x:v>
      </x:c>
      <x:c r="H42" s="17" t="n">
        <x:v>31188.53</x:v>
      </x:c>
      <x:c r="I42" s="13" t="str">
        <x:v>Gestor da área</x:v>
      </x:c>
      <x:c r="J42" s="13" t="str">
        <x:v>Pago</x:v>
      </x:c>
      <x:c r="K42" s="13" t="str">
        <x:v>Base controlada</x:v>
      </x:c>
      <x:c r="L42" s="17" t="n">
        <x:f>H42-G42</x:f>
        <x:v>1316.2599999999984</x:v>
      </x:c>
      <x:c r="M42" s="19" t="n">
        <x:f>IFERROR(L42/G42,0)</x:f>
        <x:v>0.04406293863840941</x:v>
      </x:c>
      <x:c r="N42" s="13" t="n">
        <x:f>D42-C42</x:f>
        <x:v>0</x:v>
      </x:c>
    </x:row>
    <x:row r="43">
      <x:c r="A43" s="13" t="str">
        <x:v>PAG-000042</x:v>
      </x:c>
      <x:c r="B43" s="23" t="n">
        <x:v>45302</x:v>
      </x:c>
      <x:c r="C43" s="23" t="n">
        <x:v>45332</x:v>
      </x:c>
      <x:c r="D43" s="23" t="n">
        <x:v>45333</x:v>
      </x:c>
      <x:c r="E43" s="13" t="str">
        <x:v>CloudCore</x:v>
      </x:c>
      <x:c r="F43" s="13" t="str">
        <x:v>Tecnologia</x:v>
      </x:c>
      <x:c r="G43" s="17" t="n">
        <x:v>5643.15</x:v>
      </x:c>
      <x:c r="H43" s="17" t="n">
        <x:v>5735.22</x:v>
      </x:c>
      <x:c r="I43" s="13" t="str">
        <x:v>Financeiro</x:v>
      </x:c>
      <x:c r="J43" s="13" t="str">
        <x:v>Pago</x:v>
      </x:c>
      <x:c r="K43" s="13" t="str">
        <x:v>Base controlada</x:v>
      </x:c>
      <x:c r="L43" s="17" t="n">
        <x:f>H43-G43</x:f>
        <x:v>92.07000000000062</x:v>
      </x:c>
      <x:c r="M43" s="19" t="n">
        <x:f>IFERROR(L43/G43,0)</x:f>
        <x:v>0.01631535578533277</x:v>
      </x:c>
      <x:c r="N43" s="13" t="n">
        <x:f>D43-C43</x:f>
        <x:v>1</x:v>
      </x:c>
    </x:row>
    <x:row r="44">
      <x:c r="A44" s="13" t="str">
        <x:v>PAG-000043</x:v>
      </x:c>
      <x:c r="B44" s="23" t="n">
        <x:v>45334</x:v>
      </x:c>
      <x:c r="C44" s="23" t="n">
        <x:v>45354</x:v>
      </x:c>
      <x:c r="D44" s="23" t="n">
        <x:v>45355</x:v>
      </x:c>
      <x:c r="E44" s="13" t="str">
        <x:v>CloudCore</x:v>
      </x:c>
      <x:c r="F44" s="13" t="str">
        <x:v>Tecnologia</x:v>
      </x:c>
      <x:c r="G44" s="17" t="n">
        <x:v>14400.37</x:v>
      </x:c>
      <x:c r="H44" s="17" t="n">
        <x:v>13898.86</x:v>
      </x:c>
      <x:c r="I44" s="13" t="str">
        <x:v>Diretoria</x:v>
      </x:c>
      <x:c r="J44" s="13" t="str">
        <x:v>Pago</x:v>
      </x:c>
      <x:c r="K44" s="13" t="str">
        <x:v>Base controlada</x:v>
      </x:c>
      <x:c r="L44" s="17" t="n">
        <x:f>H44-G44</x:f>
        <x:v>-501.5100000000002</x:v>
      </x:c>
      <x:c r="M44" s="19" t="n">
        <x:f>IFERROR(L44/G44,0)</x:f>
        <x:v>-0.03482618849376788</x:v>
      </x:c>
      <x:c r="N44" s="13" t="n">
        <x:f>D44-C44</x:f>
        <x:v>1</x:v>
      </x:c>
    </x:row>
    <x:row r="45">
      <x:c r="A45" s="13" t="str">
        <x:v>PAG-000044</x:v>
      </x:c>
      <x:c r="B45" s="23" t="n">
        <x:v>45337</x:v>
      </x:c>
      <x:c r="C45" s="23" t="n">
        <x:v>45367</x:v>
      </x:c>
      <x:c r="D45" s="23" t="n">
        <x:v>45367</x:v>
      </x:c>
      <x:c r="E45" s="13" t="str">
        <x:v>LegalMais</x:v>
      </x:c>
      <x:c r="F45" s="13" t="str">
        <x:v>Jurídico</x:v>
      </x:c>
      <x:c r="G45" s="17" t="n">
        <x:v>760.97</x:v>
      </x:c>
      <x:c r="H45" s="17" t="n">
        <x:v>736.72</x:v>
      </x:c>
      <x:c r="I45" s="13" t="str">
        <x:v>Diretoria</x:v>
      </x:c>
      <x:c r="J45" s="13" t="str">
        <x:v>Pago</x:v>
      </x:c>
      <x:c r="K45" s="13" t="str">
        <x:v>Base controlada</x:v>
      </x:c>
      <x:c r="L45" s="17" t="n">
        <x:f>H45-G45</x:f>
        <x:v>-24.25</x:v>
      </x:c>
      <x:c r="M45" s="19" t="n">
        <x:f>IFERROR(L45/G45,0)</x:f>
        <x:v>-0.03186722209811162</x:v>
      </x:c>
      <x:c r="N45" s="13" t="n">
        <x:f>D45-C45</x:f>
        <x:v>0</x:v>
      </x:c>
    </x:row>
    <x:row r="46">
      <x:c r="A46" s="13" t="str">
        <x:v>PAG-000045</x:v>
      </x:c>
      <x:c r="B46" s="23" t="n">
        <x:v>45326</x:v>
      </x:c>
      <x:c r="C46" s="23" t="n">
        <x:v>45333</x:v>
      </x:c>
      <x:c r="D46" s="23" t="n">
        <x:v>45333</x:v>
      </x:c>
      <x:c r="E46" s="13" t="str">
        <x:v>Banco Integra</x:v>
      </x:c>
      <x:c r="F46" s="13" t="str">
        <x:v>Serviços bancários</x:v>
      </x:c>
      <x:c r="G46" s="17" t="n">
        <x:v>17783.79</x:v>
      </x:c>
      <x:c r="H46" s="17" t="n">
        <x:v>18333.94</x:v>
      </x:c>
      <x:c r="I46" s="13" t="str">
        <x:v>Gestor da área</x:v>
      </x:c>
      <x:c r="J46" s="13" t="str">
        <x:v>Pago</x:v>
      </x:c>
      <x:c r="K46" s="13" t="str">
        <x:v>Base controlada</x:v>
      </x:c>
      <x:c r="L46" s="17" t="n">
        <x:f>H46-G46</x:f>
        <x:v>550.1499999999978</x:v>
      </x:c>
      <x:c r="M46" s="19" t="n">
        <x:f>IFERROR(L46/G46,0)</x:f>
        <x:v>0.030935475508876216</x:v>
      </x:c>
      <x:c r="N46" s="13" t="n">
        <x:f>D46-C46</x:f>
        <x:v>0</x:v>
      </x:c>
    </x:row>
    <x:row r="47">
      <x:c r="A47" s="13" t="str">
        <x:v>PAG-000046</x:v>
      </x:c>
      <x:c r="B47" s="23" t="n">
        <x:v>45335</x:v>
      </x:c>
      <x:c r="C47" s="23" t="n">
        <x:v>45342</x:v>
      </x:c>
      <x:c r="D47" s="23" t="n">
        <x:v>45343</x:v>
      </x:c>
      <x:c r="E47" s="13" t="str">
        <x:v>Office Prime</x:v>
      </x:c>
      <x:c r="F47" s="13" t="str">
        <x:v>Escritório</x:v>
      </x:c>
      <x:c r="G47" s="17" t="n">
        <x:v>2751.69</x:v>
      </x:c>
      <x:c r="H47" s="17" t="n">
        <x:v>2770.52</x:v>
      </x:c>
      <x:c r="I47" s="13" t="str">
        <x:v>Diretoria</x:v>
      </x:c>
      <x:c r="J47" s="13" t="str">
        <x:v>Pago</x:v>
      </x:c>
      <x:c r="K47" s="13" t="str">
        <x:v>Base controlada</x:v>
      </x:c>
      <x:c r="L47" s="17" t="n">
        <x:f>H47-G47</x:f>
        <x:v>18.829999999999927</x:v>
      </x:c>
      <x:c r="M47" s="19" t="n">
        <x:f>IFERROR(L47/G47,0)</x:f>
        <x:v>0.006843067351336788</x:v>
      </x:c>
      <x:c r="N47" s="13" t="n">
        <x:f>D47-C47</x:f>
        <x:v>1</x:v>
      </x:c>
    </x:row>
    <x:row r="48">
      <x:c r="A48" s="13" t="str">
        <x:v>PAG-000047</x:v>
      </x:c>
      <x:c r="B48" s="23" t="n">
        <x:v>45326</x:v>
      </x:c>
      <x:c r="C48" s="23" t="n">
        <x:v>45341</x:v>
      </x:c>
      <x:c r="D48" s="23" t="n">
        <x:v>45343</x:v>
      </x:c>
      <x:c r="E48" s="13" t="str">
        <x:v>PeopleHub</x:v>
      </x:c>
      <x:c r="F48" s="13" t="str">
        <x:v>Recursos Humanos</x:v>
      </x:c>
      <x:c r="G48" s="17" t="n">
        <x:v>28831.09</x:v>
      </x:c>
      <x:c r="H48" s="17" t="n">
        <x:v>29135.71</x:v>
      </x:c>
      <x:c r="I48" s="13" t="str">
        <x:v>Gestor da área</x:v>
      </x:c>
      <x:c r="J48" s="13" t="str">
        <x:v>Pago</x:v>
      </x:c>
      <x:c r="K48" s="13" t="str">
        <x:v>Base controlada</x:v>
      </x:c>
      <x:c r="L48" s="17" t="n">
        <x:f>H48-G48</x:f>
        <x:v>304.619999999999</x:v>
      </x:c>
      <x:c r="M48" s="19" t="n">
        <x:f>IFERROR(L48/G48,0)</x:f>
        <x:v>0.010565677537685845</x:v>
      </x:c>
      <x:c r="N48" s="13" t="n">
        <x:f>D48-C48</x:f>
        <x:v>2</x:v>
      </x:c>
    </x:row>
    <x:row r="49">
      <x:c r="A49" s="13" t="str">
        <x:v>PAG-000048</x:v>
      </x:c>
      <x:c r="B49" s="23" t="n">
        <x:v>45341</x:v>
      </x:c>
      <x:c r="C49" s="23" t="n">
        <x:v>45361</x:v>
      </x:c>
      <x:c r="D49" s="23" t="n">
        <x:v>45361</x:v>
      </x:c>
      <x:c r="E49" s="13" t="str">
        <x:v>LegalMais</x:v>
      </x:c>
      <x:c r="F49" s="13" t="str">
        <x:v>Jurídico</x:v>
      </x:c>
      <x:c r="G49" s="17" t="n">
        <x:v>23848.58</x:v>
      </x:c>
      <x:c r="H49" s="17" t="n">
        <x:v>23057.93</x:v>
      </x:c>
      <x:c r="I49" s="13" t="str">
        <x:v>Gestor da área</x:v>
      </x:c>
      <x:c r="J49" s="13" t="str">
        <x:v>Pago</x:v>
      </x:c>
      <x:c r="K49" s="13" t="str">
        <x:v>Base controlada</x:v>
      </x:c>
      <x:c r="L49" s="17" t="n">
        <x:f>H49-G49</x:f>
        <x:v>-790.6500000000015</x:v>
      </x:c>
      <x:c r="M49" s="19" t="n">
        <x:f>IFERROR(L49/G49,0)</x:f>
        <x:v>-0.03315291728060964</x:v>
      </x:c>
      <x:c r="N49" s="13" t="n">
        <x:f>D49-C49</x:f>
        <x:v>0</x:v>
      </x:c>
    </x:row>
    <x:row r="50">
      <x:c r="A50" s="13" t="str">
        <x:v>PAG-000049</x:v>
      </x:c>
      <x:c r="B50" s="23" t="n">
        <x:v>45340</x:v>
      </x:c>
      <x:c r="C50" s="23" t="n">
        <x:v>45360</x:v>
      </x:c>
      <x:c r="D50" s="23" t="n">
        <x:v>45359</x:v>
      </x:c>
      <x:c r="E50" s="13" t="str">
        <x:v>Banco Integra</x:v>
      </x:c>
      <x:c r="F50" s="13" t="str">
        <x:v>Serviços bancários</x:v>
      </x:c>
      <x:c r="G50" s="17" t="n">
        <x:v>26646.51</x:v>
      </x:c>
      <x:c r="H50" s="17" t="n">
        <x:v>25979.87</x:v>
      </x:c>
      <x:c r="I50" s="13" t="str">
        <x:v>Financeiro</x:v>
      </x:c>
      <x:c r="J50" s="13" t="str">
        <x:v>Pago</x:v>
      </x:c>
      <x:c r="K50" s="13" t="str">
        <x:v>Base controlada</x:v>
      </x:c>
      <x:c r="L50" s="17" t="n">
        <x:f>H50-G50</x:f>
        <x:v>-666.6399999999994</x:v>
      </x:c>
      <x:c r="M50" s="19" t="n">
        <x:f>IFERROR(L50/G50,0)</x:f>
        <x:v>-0.02501791041303343</x:v>
      </x:c>
      <x:c r="N50" s="13" t="n">
        <x:f>D50-C50</x:f>
        <x:v>-1</x:v>
      </x:c>
    </x:row>
    <x:row r="51">
      <x:c r="A51" s="13" t="str">
        <x:v>PAG-000050</x:v>
      </x:c>
      <x:c r="B51" s="23" t="n">
        <x:v>45341</x:v>
      </x:c>
      <x:c r="C51" s="23" t="n">
        <x:v>45348</x:v>
      </x:c>
      <x:c r="D51" s="23" t="n">
        <x:v>45348</x:v>
      </x:c>
      <x:c r="E51" s="13" t="str">
        <x:v>Banco Integra</x:v>
      </x:c>
      <x:c r="F51" s="13" t="str">
        <x:v>Serviços bancários</x:v>
      </x:c>
      <x:c r="G51" s="17" t="n">
        <x:v>4012.23</x:v>
      </x:c>
      <x:c r="H51" s="17" t="n">
        <x:v>4070.2</x:v>
      </x:c>
      <x:c r="I51" s="13" t="str">
        <x:v>Gestor da área</x:v>
      </x:c>
      <x:c r="J51" s="13" t="str">
        <x:v>Pago</x:v>
      </x:c>
      <x:c r="K51" s="13" t="str">
        <x:v>Base controlada</x:v>
      </x:c>
      <x:c r="L51" s="17" t="n">
        <x:f>H51-G51</x:f>
        <x:v>57.9699999999998</x:v>
      </x:c>
      <x:c r="M51" s="19" t="n">
        <x:f>IFERROR(L51/G51,0)</x:f>
        <x:v>0.014448324248609826</x:v>
      </x:c>
      <x:c r="N51" s="13" t="n">
        <x:f>D51-C51</x:f>
        <x:v>0</x:v>
      </x:c>
    </x:row>
    <x:row r="52">
      <x:c r="A52" s="13" t="str">
        <x:v>PAG-000051</x:v>
      </x:c>
      <x:c r="B52" s="23" t="n">
        <x:v>45334</x:v>
      </x:c>
      <x:c r="C52" s="23" t="n">
        <x:v>45354</x:v>
      </x:c>
      <x:c r="D52" s="23" t="n">
        <x:v>45353</x:v>
      </x:c>
      <x:c r="E52" s="13" t="str">
        <x:v>Conta Certa</x:v>
      </x:c>
      <x:c r="F52" s="13" t="str">
        <x:v>Contabilidade</x:v>
      </x:c>
      <x:c r="G52" s="17" t="n">
        <x:v>24530.1</x:v>
      </x:c>
      <x:c r="H52" s="17" t="n">
        <x:v>23888.55</x:v>
      </x:c>
      <x:c r="I52" s="13" t="str">
        <x:v>Gestor da área</x:v>
      </x:c>
      <x:c r="J52" s="13" t="str">
        <x:v>Pago</x:v>
      </x:c>
      <x:c r="K52" s="13" t="str">
        <x:v>Base controlada</x:v>
      </x:c>
      <x:c r="L52" s="17" t="n">
        <x:f>H52-G52</x:f>
        <x:v>-641.5499999999993</x:v>
      </x:c>
      <x:c r="M52" s="19" t="n">
        <x:f>IFERROR(L52/G52,0)</x:f>
        <x:v>-0.026153582741203635</x:v>
      </x:c>
      <x:c r="N52" s="13" t="n">
        <x:f>D52-C52</x:f>
        <x:v>-1</x:v>
      </x:c>
    </x:row>
    <x:row r="53">
      <x:c r="A53" s="13" t="str">
        <x:v>PAG-000052</x:v>
      </x:c>
      <x:c r="B53" s="23" t="n">
        <x:v>45333</x:v>
      </x:c>
      <x:c r="C53" s="23" t="n">
        <x:v>45353</x:v>
      </x:c>
      <x:c r="D53" s="23" t="n">
        <x:v>45353</x:v>
      </x:c>
      <x:c r="E53" s="13" t="str">
        <x:v>PeopleHub</x:v>
      </x:c>
      <x:c r="F53" s="13" t="str">
        <x:v>Recursos Humanos</x:v>
      </x:c>
      <x:c r="G53" s="17" t="n">
        <x:v>24404.68</x:v>
      </x:c>
      <x:c r="H53" s="17" t="n">
        <x:v>24506.53</x:v>
      </x:c>
      <x:c r="I53" s="13" t="str">
        <x:v>Diretoria</x:v>
      </x:c>
      <x:c r="J53" s="13" t="str">
        <x:v>Pago</x:v>
      </x:c>
      <x:c r="K53" s="13" t="str">
        <x:v>Base controlada</x:v>
      </x:c>
      <x:c r="L53" s="17" t="n">
        <x:f>H53-G53</x:f>
        <x:v>101.84999999999854</x:v>
      </x:c>
      <x:c r="M53" s="19" t="n">
        <x:f>IFERROR(L53/G53,0)</x:f>
        <x:v>0.004173379859928446</x:v>
      </x:c>
      <x:c r="N53" s="13" t="n">
        <x:f>D53-C53</x:f>
        <x:v>0</x:v>
      </x:c>
    </x:row>
    <x:row r="54">
      <x:c r="A54" s="13" t="str">
        <x:v>PAG-000053</x:v>
      </x:c>
      <x:c r="B54" s="23" t="n">
        <x:v>45339</x:v>
      </x:c>
      <x:c r="C54" s="23" t="n">
        <x:v>45369</x:v>
      </x:c>
      <x:c r="D54" s="23" t="n">
        <x:v>45369</x:v>
      </x:c>
      <x:c r="E54" s="13" t="str">
        <x:v>NetLink</x:v>
      </x:c>
      <x:c r="F54" s="13" t="str">
        <x:v>Telecomunicações</x:v>
      </x:c>
      <x:c r="G54" s="17" t="n">
        <x:v>22649.46</x:v>
      </x:c>
      <x:c r="H54" s="17" t="n">
        <x:v>22571.25</x:v>
      </x:c>
      <x:c r="I54" s="13" t="str">
        <x:v>Gestor da área</x:v>
      </x:c>
      <x:c r="J54" s="13" t="str">
        <x:v>Pago</x:v>
      </x:c>
      <x:c r="K54" s="13" t="str">
        <x:v>Base controlada</x:v>
      </x:c>
      <x:c r="L54" s="17" t="n">
        <x:f>H54-G54</x:f>
        <x:v>-78.20999999999913</x:v>
      </x:c>
      <x:c r="M54" s="19" t="n">
        <x:f>IFERROR(L54/G54,0)</x:f>
        <x:v>-0.0034530624571181444</x:v>
      </x:c>
      <x:c r="N54" s="13" t="n">
        <x:f>D54-C54</x:f>
        <x:v>0</x:v>
      </x:c>
    </x:row>
    <x:row r="55">
      <x:c r="A55" s="13" t="str">
        <x:v>PAG-000054</x:v>
      </x:c>
      <x:c r="B55" s="23" t="n">
        <x:v>45337</x:v>
      </x:c>
      <x:c r="C55" s="23" t="n">
        <x:v>45357</x:v>
      </x:c>
      <x:c r="D55" s="23" t="n">
        <x:v>45358</x:v>
      </x:c>
      <x:c r="E55" s="13" t="str">
        <x:v>Office Prime</x:v>
      </x:c>
      <x:c r="F55" s="13" t="str">
        <x:v>Escritório</x:v>
      </x:c>
      <x:c r="G55" s="17" t="n">
        <x:v>17402.54</x:v>
      </x:c>
      <x:c r="H55" s="17" t="n">
        <x:v>17802.92</x:v>
      </x:c>
      <x:c r="I55" s="13" t="str">
        <x:v>Diretoria</x:v>
      </x:c>
      <x:c r="J55" s="13" t="str">
        <x:v>Pago</x:v>
      </x:c>
      <x:c r="K55" s="13" t="str">
        <x:v>Base controlada</x:v>
      </x:c>
      <x:c r="L55" s="17" t="n">
        <x:f>H55-G55</x:f>
        <x:v>400.3799999999974</x:v>
      </x:c>
      <x:c r="M55" s="19" t="n">
        <x:f>IFERROR(L55/G55,0)</x:f>
        <x:v>0.023006986336477166</x:v>
      </x:c>
      <x:c r="N55" s="13" t="n">
        <x:f>D55-C55</x:f>
        <x:v>1</x:v>
      </x:c>
    </x:row>
    <x:row r="56">
      <x:c r="A56" s="13" t="str">
        <x:v>PAG-000055</x:v>
      </x:c>
      <x:c r="B56" s="23" t="n">
        <x:v>45323</x:v>
      </x:c>
      <x:c r="C56" s="23" t="n">
        <x:v>45343</x:v>
      </x:c>
      <x:c r="D56" s="23" t="n">
        <x:v>45344</x:v>
      </x:c>
      <x:c r="E56" s="13" t="str">
        <x:v>WorkSpace</x:v>
      </x:c>
      <x:c r="F56" s="13" t="str">
        <x:v>Locação</x:v>
      </x:c>
      <x:c r="G56" s="17" t="n">
        <x:v>1787.81</x:v>
      </x:c>
      <x:c r="H56" s="17" t="n">
        <x:v>1855.86</x:v>
      </x:c>
      <x:c r="I56" s="13" t="str">
        <x:v>Financeiro</x:v>
      </x:c>
      <x:c r="J56" s="13" t="str">
        <x:v>Pago</x:v>
      </x:c>
      <x:c r="K56" s="13" t="str">
        <x:v>Base controlada</x:v>
      </x:c>
      <x:c r="L56" s="17" t="n">
        <x:f>H56-G56</x:f>
        <x:v>68.04999999999995</x:v>
      </x:c>
      <x:c r="M56" s="19" t="n">
        <x:f>IFERROR(L56/G56,0)</x:f>
        <x:v>0.03806332887722966</x:v>
      </x:c>
      <x:c r="N56" s="13" t="n">
        <x:f>D56-C56</x:f>
        <x:v>1</x:v>
      </x:c>
    </x:row>
    <x:row r="57">
      <x:c r="A57" s="13" t="str">
        <x:v>PAG-000056</x:v>
      </x:c>
      <x:c r="B57" s="23" t="n">
        <x:v>45332</x:v>
      </x:c>
      <x:c r="C57" s="23" t="n">
        <x:v>45362</x:v>
      </x:c>
      <x:c r="D57" s="23" t="n">
        <x:v>45360</x:v>
      </x:c>
      <x:c r="E57" s="13" t="str">
        <x:v>LegalMais</x:v>
      </x:c>
      <x:c r="F57" s="13" t="str">
        <x:v>Jurídico</x:v>
      </x:c>
      <x:c r="G57" s="17" t="n">
        <x:v>28587.25</x:v>
      </x:c>
      <x:c r="H57" s="17" t="n">
        <x:v>28954.18</x:v>
      </x:c>
      <x:c r="I57" s="13" t="str">
        <x:v>Financeiro</x:v>
      </x:c>
      <x:c r="J57" s="13" t="str">
        <x:v>Pago</x:v>
      </x:c>
      <x:c r="K57" s="13" t="str">
        <x:v>Base controlada</x:v>
      </x:c>
      <x:c r="L57" s="17" t="n">
        <x:f>H57-G57</x:f>
        <x:v>366.9300000000003</x:v>
      </x:c>
      <x:c r="M57" s="19" t="n">
        <x:f>IFERROR(L57/G57,0)</x:f>
        <x:v>0.012835442373785526</x:v>
      </x:c>
      <x:c r="N57" s="13" t="n">
        <x:f>D57-C57</x:f>
        <x:v>-2</x:v>
      </x:c>
    </x:row>
    <x:row r="58">
      <x:c r="A58" s="13" t="str">
        <x:v>PAG-000057</x:v>
      </x:c>
      <x:c r="B58" s="23" t="n">
        <x:v>45333</x:v>
      </x:c>
      <x:c r="C58" s="23" t="n">
        <x:v>45353</x:v>
      </x:c>
      <x:c r="D58" s="23" t="n">
        <x:v>45351</x:v>
      </x:c>
      <x:c r="E58" s="13" t="str">
        <x:v>Conta Certa</x:v>
      </x:c>
      <x:c r="F58" s="13" t="str">
        <x:v>Contabilidade</x:v>
      </x:c>
      <x:c r="G58" s="17" t="n">
        <x:v>4734.56</x:v>
      </x:c>
      <x:c r="H58" s="17" t="n">
        <x:v>4580.22</x:v>
      </x:c>
      <x:c r="I58" s="13" t="str">
        <x:v>Financeiro</x:v>
      </x:c>
      <x:c r="J58" s="13" t="str">
        <x:v>Pago</x:v>
      </x:c>
      <x:c r="K58" s="13" t="str">
        <x:v>Base controlada</x:v>
      </x:c>
      <x:c r="L58" s="17" t="n">
        <x:f>H58-G58</x:f>
        <x:v>-154.34000000000015</x:v>
      </x:c>
      <x:c r="M58" s="19" t="n">
        <x:f>IFERROR(L58/G58,0)</x:f>
        <x:v>-0.032598594167145445</x:v>
      </x:c>
      <x:c r="N58" s="13" t="n">
        <x:f>D58-C58</x:f>
        <x:v>-2</x:v>
      </x:c>
    </x:row>
    <x:row r="59">
      <x:c r="A59" s="13" t="str">
        <x:v>PAG-000058</x:v>
      </x:c>
      <x:c r="B59" s="23" t="n">
        <x:v>45341</x:v>
      </x:c>
      <x:c r="C59" s="23" t="n">
        <x:v>45356</x:v>
      </x:c>
      <x:c r="D59" s="23" t="n">
        <x:v>45356</x:v>
      </x:c>
      <x:c r="E59" s="13" t="str">
        <x:v>MarketLab</x:v>
      </x:c>
      <x:c r="F59" s="13" t="str">
        <x:v>Marketing</x:v>
      </x:c>
      <x:c r="G59" s="17" t="n">
        <x:v>15993.64</x:v>
      </x:c>
      <x:c r="H59" s="17" t="n">
        <x:v>15681.56</x:v>
      </x:c>
      <x:c r="I59" s="13" t="str">
        <x:v>Gestor da área</x:v>
      </x:c>
      <x:c r="J59" s="13" t="str">
        <x:v>Pago</x:v>
      </x:c>
      <x:c r="K59" s="13" t="str">
        <x:v>Base controlada</x:v>
      </x:c>
      <x:c r="L59" s="17" t="n">
        <x:f>H59-G59</x:f>
        <x:v>-312.0799999999999</x:v>
      </x:c>
      <x:c r="M59" s="19" t="n">
        <x:f>IFERROR(L59/G59,0)</x:f>
        <x:v>-0.01951275632063745</x:v>
      </x:c>
      <x:c r="N59" s="13" t="n">
        <x:f>D59-C59</x:f>
        <x:v>0</x:v>
      </x:c>
    </x:row>
    <x:row r="60">
      <x:c r="A60" s="13" t="str">
        <x:v>PAG-000059</x:v>
      </x:c>
      <x:c r="B60" s="23" t="n">
        <x:v>45325</x:v>
      </x:c>
      <x:c r="C60" s="23" t="n">
        <x:v>45355</x:v>
      </x:c>
      <x:c r="D60" s="23" t="n">
        <x:v>45355</x:v>
      </x:c>
      <x:c r="E60" s="13" t="str">
        <x:v>NetLink</x:v>
      </x:c>
      <x:c r="F60" s="13" t="str">
        <x:v>Telecomunicações</x:v>
      </x:c>
      <x:c r="G60" s="17" t="n">
        <x:v>29954.83</x:v>
      </x:c>
      <x:c r="H60" s="17" t="n">
        <x:v>30654.67</x:v>
      </x:c>
      <x:c r="I60" s="13" t="str">
        <x:v>Gestor da área</x:v>
      </x:c>
      <x:c r="J60" s="13" t="str">
        <x:v>Pago</x:v>
      </x:c>
      <x:c r="K60" s="13" t="str">
        <x:v>Base controlada</x:v>
      </x:c>
      <x:c r="L60" s="17" t="n">
        <x:f>H60-G60</x:f>
        <x:v>699.8399999999965</x:v>
      </x:c>
      <x:c r="M60" s="19" t="n">
        <x:f>IFERROR(L60/G60,0)</x:f>
        <x:v>0.023363177157072715</x:v>
      </x:c>
      <x:c r="N60" s="13" t="n">
        <x:f>D60-C60</x:f>
        <x:v>0</x:v>
      </x:c>
    </x:row>
    <x:row r="61">
      <x:c r="A61" s="13" t="str">
        <x:v>PAG-000060</x:v>
      </x:c>
      <x:c r="B61" s="23" t="n">
        <x:v>45325</x:v>
      </x:c>
      <x:c r="C61" s="23" t="n">
        <x:v>45355</x:v>
      </x:c>
      <x:c r="D61" s="23" t="n">
        <x:v>45355</x:v>
      </x:c>
      <x:c r="E61" s="13" t="str">
        <x:v>Banco Integra</x:v>
      </x:c>
      <x:c r="F61" s="13" t="str">
        <x:v>Serviços bancários</x:v>
      </x:c>
      <x:c r="G61" s="17" t="n">
        <x:v>12122.53</x:v>
      </x:c>
      <x:c r="H61" s="17" t="n">
        <x:v>12449.86</x:v>
      </x:c>
      <x:c r="I61" s="13" t="str">
        <x:v>Gestor da área</x:v>
      </x:c>
      <x:c r="J61" s="13" t="str">
        <x:v>Pago</x:v>
      </x:c>
      <x:c r="K61" s="13" t="str">
        <x:v>Base controlada</x:v>
      </x:c>
      <x:c r="L61" s="17" t="n">
        <x:f>H61-G61</x:f>
        <x:v>327.3299999999999</x:v>
      </x:c>
      <x:c r="M61" s="19" t="n">
        <x:f>IFERROR(L61/G61,0)</x:f>
        <x:v>0.02700178923046591</x:v>
      </x:c>
      <x:c r="N61" s="13" t="n">
        <x:f>D61-C61</x:f>
        <x:v>0</x:v>
      </x:c>
    </x:row>
    <x:row r="62">
      <x:c r="A62" s="13" t="str">
        <x:v>PAG-000061</x:v>
      </x:c>
      <x:c r="B62" s="23" t="n">
        <x:v>45341</x:v>
      </x:c>
      <x:c r="C62" s="23" t="n">
        <x:v>45348</x:v>
      </x:c>
      <x:c r="D62" s="23" t="n">
        <x:v>45349</x:v>
      </x:c>
      <x:c r="E62" s="13" t="str">
        <x:v>Insight BI</x:v>
      </x:c>
      <x:c r="F62" s="13" t="str">
        <x:v>Dados e Analytics</x:v>
      </x:c>
      <x:c r="G62" s="17" t="n">
        <x:v>7542.66</x:v>
      </x:c>
      <x:c r="H62" s="17" t="n">
        <x:v>7863.86</x:v>
      </x:c>
      <x:c r="I62" s="13" t="str">
        <x:v>Financeiro</x:v>
      </x:c>
      <x:c r="J62" s="13" t="str">
        <x:v>Pago</x:v>
      </x:c>
      <x:c r="K62" s="13" t="str">
        <x:v>Base controlada</x:v>
      </x:c>
      <x:c r="L62" s="17" t="n">
        <x:f>H62-G62</x:f>
        <x:v>321.1999999999998</x:v>
      </x:c>
      <x:c r="M62" s="19" t="n">
        <x:f>IFERROR(L62/G62,0)</x:f>
        <x:v>0.042584446335908</x:v>
      </x:c>
      <x:c r="N62" s="13" t="n">
        <x:f>D62-C62</x:f>
        <x:v>1</x:v>
      </x:c>
    </x:row>
    <x:row r="63">
      <x:c r="A63" s="13" t="str">
        <x:v>PAG-000062</x:v>
      </x:c>
      <x:c r="B63" s="23" t="n">
        <x:v>45339</x:v>
      </x:c>
      <x:c r="C63" s="23" t="n">
        <x:v>45346</x:v>
      </x:c>
      <x:c r="D63" s="23" t="n">
        <x:v>45348</x:v>
      </x:c>
      <x:c r="E63" s="13" t="str">
        <x:v>NetLink</x:v>
      </x:c>
      <x:c r="F63" s="13" t="str">
        <x:v>Telecomunicações</x:v>
      </x:c>
      <x:c r="G63" s="17" t="n">
        <x:v>29111.04</x:v>
      </x:c>
      <x:c r="H63" s="17" t="n">
        <x:v>29515.9</x:v>
      </x:c>
      <x:c r="I63" s="13" t="str">
        <x:v>Diretoria</x:v>
      </x:c>
      <x:c r="J63" s="13" t="str">
        <x:v>Pago</x:v>
      </x:c>
      <x:c r="K63" s="13" t="str">
        <x:v>Base controlada</x:v>
      </x:c>
      <x:c r="L63" s="17" t="n">
        <x:f>H63-G63</x:f>
        <x:v>404.8600000000006</x:v>
      </x:c>
      <x:c r="M63" s="19" t="n">
        <x:f>IFERROR(L63/G63,0)</x:f>
        <x:v>0.013907438552521675</x:v>
      </x:c>
      <x:c r="N63" s="13" t="n">
        <x:f>D63-C63</x:f>
        <x:v>2</x:v>
      </x:c>
    </x:row>
    <x:row r="64">
      <x:c r="A64" s="13" t="str">
        <x:v>PAG-000063</x:v>
      </x:c>
      <x:c r="B64" s="23" t="n">
        <x:v>45333</x:v>
      </x:c>
      <x:c r="C64" s="23" t="n">
        <x:v>45363</x:v>
      </x:c>
      <x:c r="D64" s="23" t="n">
        <x:v>45361</x:v>
      </x:c>
      <x:c r="E64" s="13" t="str">
        <x:v>Conta Certa</x:v>
      </x:c>
      <x:c r="F64" s="13" t="str">
        <x:v>Contabilidade</x:v>
      </x:c>
      <x:c r="G64" s="17" t="n">
        <x:v>16547.94</x:v>
      </x:c>
      <x:c r="H64" s="17" t="n">
        <x:v>17208</x:v>
      </x:c>
      <x:c r="I64" s="13" t="str">
        <x:v>Financeiro</x:v>
      </x:c>
      <x:c r="J64" s="13" t="str">
        <x:v>Pago</x:v>
      </x:c>
      <x:c r="K64" s="13" t="str">
        <x:v>Base controlada</x:v>
      </x:c>
      <x:c r="L64" s="17" t="n">
        <x:f>H64-G64</x:f>
        <x:v>660.0600000000013</x:v>
      </x:c>
      <x:c r="M64" s="19" t="n">
        <x:f>IFERROR(L64/G64,0)</x:f>
        <x:v>0.0398877443355488</x:v>
      </x:c>
      <x:c r="N64" s="13" t="n">
        <x:f>D64-C64</x:f>
        <x:v>-2</x:v>
      </x:c>
    </x:row>
    <x:row r="65">
      <x:c r="A65" s="13" t="str">
        <x:v>PAG-000064</x:v>
      </x:c>
      <x:c r="B65" s="23" t="n">
        <x:v>45336</x:v>
      </x:c>
      <x:c r="C65" s="23" t="n">
        <x:v>45366</x:v>
      </x:c>
      <x:c r="D65" s="23" t="n">
        <x:v>45368</x:v>
      </x:c>
      <x:c r="E65" s="13" t="str">
        <x:v>PeopleHub</x:v>
      </x:c>
      <x:c r="F65" s="13" t="str">
        <x:v>Recursos Humanos</x:v>
      </x:c>
      <x:c r="G65" s="17" t="n">
        <x:v>20591.53</x:v>
      </x:c>
      <x:c r="H65" s="17" t="n">
        <x:v>21246.21</x:v>
      </x:c>
      <x:c r="I65" s="13" t="str">
        <x:v>Diretoria</x:v>
      </x:c>
      <x:c r="J65" s="13" t="str">
        <x:v>Pago</x:v>
      </x:c>
      <x:c r="K65" s="13" t="str">
        <x:v>Base controlada</x:v>
      </x:c>
      <x:c r="L65" s="17" t="n">
        <x:f>H65-G65</x:f>
        <x:v>654.6800000000003</x:v>
      </x:c>
      <x:c r="M65" s="19" t="n">
        <x:f>IFERROR(L65/G65,0)</x:f>
        <x:v>0.0317936549639585</x:v>
      </x:c>
      <x:c r="N65" s="13" t="n">
        <x:f>D65-C65</x:f>
        <x:v>2</x:v>
      </x:c>
    </x:row>
    <x:row r="66">
      <x:c r="A66" s="13" t="str">
        <x:v>PAG-000065</x:v>
      </x:c>
      <x:c r="B66" s="23" t="n">
        <x:v>45335</x:v>
      </x:c>
      <x:c r="C66" s="23" t="n">
        <x:v>45355</x:v>
      </x:c>
      <x:c r="D66" s="23" t="n">
        <x:v>45357</x:v>
      </x:c>
      <x:c r="E66" s="13" t="str">
        <x:v>Conta Certa</x:v>
      </x:c>
      <x:c r="F66" s="13" t="str">
        <x:v>Contabilidade</x:v>
      </x:c>
      <x:c r="G66" s="17" t="n">
        <x:v>3046.34</x:v>
      </x:c>
      <x:c r="H66" s="17" t="n">
        <x:v>3011.3</x:v>
      </x:c>
      <x:c r="I66" s="13" t="str">
        <x:v>Gestor da área</x:v>
      </x:c>
      <x:c r="J66" s="13" t="str">
        <x:v>Pago</x:v>
      </x:c>
      <x:c r="K66" s="13" t="str">
        <x:v>Base controlada</x:v>
      </x:c>
      <x:c r="L66" s="17" t="n">
        <x:f>H66-G66</x:f>
        <x:v>-35.039999999999964</x:v>
      </x:c>
      <x:c r="M66" s="19" t="n">
        <x:f>IFERROR(L66/G66,0)</x:f>
        <x:v>-0.01150232738302355</x:v>
      </x:c>
      <x:c r="N66" s="13" t="n">
        <x:f>D66-C66</x:f>
        <x:v>2</x:v>
      </x:c>
    </x:row>
    <x:row r="67">
      <x:c r="A67" s="13" t="str">
        <x:v>PAG-000066</x:v>
      </x:c>
      <x:c r="B67" s="23" t="n">
        <x:v>45327</x:v>
      </x:c>
      <x:c r="C67" s="23" t="n">
        <x:v>45347</x:v>
      </x:c>
      <x:c r="D67" s="23" t="n">
        <x:v>45346</x:v>
      </x:c>
      <x:c r="E67" s="13" t="str">
        <x:v>DataSafe</x:v>
      </x:c>
      <x:c r="F67" s="13" t="str">
        <x:v>Segurança da informação</x:v>
      </x:c>
      <x:c r="G67" s="17" t="n">
        <x:v>27735.69</x:v>
      </x:c>
      <x:c r="H67" s="17" t="n">
        <x:v>27123.61</x:v>
      </x:c>
      <x:c r="I67" s="13" t="str">
        <x:v>Diretoria</x:v>
      </x:c>
      <x:c r="J67" s="13" t="str">
        <x:v>Pago</x:v>
      </x:c>
      <x:c r="K67" s="13" t="str">
        <x:v>Base controlada</x:v>
      </x:c>
      <x:c r="L67" s="17" t="n">
        <x:f>H67-G67</x:f>
        <x:v>-612.0799999999981</x:v>
      </x:c>
      <x:c r="M67" s="19" t="n">
        <x:f>IFERROR(L67/G67,0)</x:f>
        <x:v>-0.022068317031232975</x:v>
      </x:c>
      <x:c r="N67" s="13" t="n">
        <x:f>D67-C67</x:f>
        <x:v>-1</x:v>
      </x:c>
    </x:row>
    <x:row r="68">
      <x:c r="A68" s="13" t="str">
        <x:v>PAG-000067</x:v>
      </x:c>
      <x:c r="B68" s="23" t="n">
        <x:v>45330</x:v>
      </x:c>
      <x:c r="C68" s="23" t="n">
        <x:v>45345</x:v>
      </x:c>
      <x:c r="D68" s="23" t="n">
        <x:v>45342</x:v>
      </x:c>
      <x:c r="E68" s="13" t="str">
        <x:v>MarketLab</x:v>
      </x:c>
      <x:c r="F68" s="13" t="str">
        <x:v>Marketing</x:v>
      </x:c>
      <x:c r="G68" s="17" t="n">
        <x:v>14083.17</x:v>
      </x:c>
      <x:c r="H68" s="17" t="n">
        <x:v>13615.5</x:v>
      </x:c>
      <x:c r="I68" s="13" t="str">
        <x:v>Financeiro</x:v>
      </x:c>
      <x:c r="J68" s="13" t="str">
        <x:v>Pago</x:v>
      </x:c>
      <x:c r="K68" s="13" t="str">
        <x:v>Base controlada</x:v>
      </x:c>
      <x:c r="L68" s="17" t="n">
        <x:f>H68-G68</x:f>
        <x:v>-467.6700000000001</x:v>
      </x:c>
      <x:c r="M68" s="19" t="n">
        <x:f>IFERROR(L68/G68,0)</x:f>
        <x:v>-0.0332077224090883</x:v>
      </x:c>
      <x:c r="N68" s="13" t="n">
        <x:f>D68-C68</x:f>
        <x:v>-3</x:v>
      </x:c>
    </x:row>
    <x:row r="69">
      <x:c r="A69" s="13" t="str">
        <x:v>PAG-000068</x:v>
      </x:c>
      <x:c r="B69" s="23" t="n">
        <x:v>45336</x:v>
      </x:c>
      <x:c r="C69" s="23" t="n">
        <x:v>45356</x:v>
      </x:c>
      <x:c r="D69" s="23" t="n">
        <x:v>45355</x:v>
      </x:c>
      <x:c r="E69" s="13" t="str">
        <x:v>CloudCore</x:v>
      </x:c>
      <x:c r="F69" s="13" t="str">
        <x:v>Tecnologia</x:v>
      </x:c>
      <x:c r="G69" s="17" t="n">
        <x:v>1512.61</x:v>
      </x:c>
      <x:c r="H69" s="17" t="n">
        <x:v>1490.31</x:v>
      </x:c>
      <x:c r="I69" s="13" t="str">
        <x:v>Financeiro</x:v>
      </x:c>
      <x:c r="J69" s="13" t="str">
        <x:v>Pago</x:v>
      </x:c>
      <x:c r="K69" s="13" t="str">
        <x:v>Base controlada</x:v>
      </x:c>
      <x:c r="L69" s="17" t="n">
        <x:f>H69-G69</x:f>
        <x:v>-22.299999999999955</x:v>
      </x:c>
      <x:c r="M69" s="19" t="n">
        <x:f>IFERROR(L69/G69,0)</x:f>
        <x:v>-0.014742729454386759</x:v>
      </x:c>
      <x:c r="N69" s="13" t="n">
        <x:f>D69-C69</x:f>
        <x:v>-1</x:v>
      </x:c>
    </x:row>
    <x:row r="70">
      <x:c r="A70" s="13" t="str">
        <x:v>PAG-000069</x:v>
      </x:c>
      <x:c r="B70" s="23" t="n">
        <x:v>45340</x:v>
      </x:c>
      <x:c r="C70" s="23" t="n">
        <x:v>45370</x:v>
      </x:c>
      <x:c r="D70" s="23" t="n">
        <x:v>45370</x:v>
      </x:c>
      <x:c r="E70" s="13" t="str">
        <x:v>EducaPro</x:v>
      </x:c>
      <x:c r="F70" s="13" t="str">
        <x:v>Treinamentos</x:v>
      </x:c>
      <x:c r="G70" s="17" t="n">
        <x:v>20050.77</x:v>
      </x:c>
      <x:c r="H70" s="17" t="n">
        <x:v>20785.47</x:v>
      </x:c>
      <x:c r="I70" s="13" t="str">
        <x:v>Financeiro</x:v>
      </x:c>
      <x:c r="J70" s="13" t="str">
        <x:v>Pago</x:v>
      </x:c>
      <x:c r="K70" s="13" t="str">
        <x:v>Base controlada</x:v>
      </x:c>
      <x:c r="L70" s="17" t="n">
        <x:f>H70-G70</x:f>
        <x:v>734.7000000000007</x:v>
      </x:c>
      <x:c r="M70" s="19" t="n">
        <x:f>IFERROR(L70/G70,0)</x:f>
        <x:v>0.03664198432279662</x:v>
      </x:c>
      <x:c r="N70" s="13" t="n">
        <x:f>D70-C70</x:f>
        <x:v>0</x:v>
      </x:c>
    </x:row>
    <x:row r="71">
      <x:c r="A71" s="13" t="str">
        <x:v>PAG-000070</x:v>
      </x:c>
      <x:c r="B71" s="23" t="n">
        <x:v>45331</x:v>
      </x:c>
      <x:c r="C71" s="23" t="n">
        <x:v>45346</x:v>
      </x:c>
      <x:c r="D71" s="23" t="n">
        <x:v>45346</x:v>
      </x:c>
      <x:c r="E71" s="13" t="str">
        <x:v>EducaPro</x:v>
      </x:c>
      <x:c r="F71" s="13" t="str">
        <x:v>Treinamentos</x:v>
      </x:c>
      <x:c r="G71" s="17" t="n">
        <x:v>5753.14</x:v>
      </x:c>
      <x:c r="H71" s="17" t="n">
        <x:v>5951.82</x:v>
      </x:c>
      <x:c r="I71" s="13" t="str">
        <x:v>Diretoria</x:v>
      </x:c>
      <x:c r="J71" s="13" t="str">
        <x:v>Pago</x:v>
      </x:c>
      <x:c r="K71" s="13" t="str">
        <x:v>Base controlada</x:v>
      </x:c>
      <x:c r="L71" s="17" t="n">
        <x:f>H71-G71</x:f>
        <x:v>198.67999999999938</x:v>
      </x:c>
      <x:c r="M71" s="19" t="n">
        <x:f>IFERROR(L71/G71,0)</x:f>
        <x:v>0.0345341848103817</x:v>
      </x:c>
      <x:c r="N71" s="13" t="n">
        <x:f>D71-C71</x:f>
        <x:v>0</x:v>
      </x:c>
    </x:row>
    <x:row r="72">
      <x:c r="A72" s="13" t="str">
        <x:v>PAG-000071</x:v>
      </x:c>
      <x:c r="B72" s="23" t="n">
        <x:v>45324</x:v>
      </x:c>
      <x:c r="C72" s="23" t="n">
        <x:v>45339</x:v>
      </x:c>
      <x:c r="D72" s="23" t="n">
        <x:v>45338</x:v>
      </x:c>
      <x:c r="E72" s="13" t="str">
        <x:v>Banco Integra</x:v>
      </x:c>
      <x:c r="F72" s="13" t="str">
        <x:v>Serviços bancários</x:v>
      </x:c>
      <x:c r="G72" s="17" t="n">
        <x:v>3862.43</x:v>
      </x:c>
      <x:c r="H72" s="17" t="n">
        <x:v>3932.24</x:v>
      </x:c>
      <x:c r="I72" s="13" t="str">
        <x:v>Financeiro</x:v>
      </x:c>
      <x:c r="J72" s="13" t="str">
        <x:v>Pago</x:v>
      </x:c>
      <x:c r="K72" s="13" t="str">
        <x:v>Base controlada</x:v>
      </x:c>
      <x:c r="L72" s="17" t="n">
        <x:f>H72-G72</x:f>
        <x:v>69.80999999999995</x:v>
      </x:c>
      <x:c r="M72" s="19" t="n">
        <x:f>IFERROR(L72/G72,0)</x:f>
        <x:v>0.01807411396452491</x:v>
      </x:c>
      <x:c r="N72" s="13" t="n">
        <x:f>D72-C72</x:f>
        <x:v>-1</x:v>
      </x:c>
    </x:row>
    <x:row r="73">
      <x:c r="A73" s="13" t="str">
        <x:v>PAG-000072</x:v>
      </x:c>
      <x:c r="B73" s="23" t="n">
        <x:v>45324</x:v>
      </x:c>
      <x:c r="C73" s="23" t="n">
        <x:v>45344</x:v>
      </x:c>
      <x:c r="D73" s="23" t="n">
        <x:v>45343</x:v>
      </x:c>
      <x:c r="E73" s="13" t="str">
        <x:v>WorkSpace</x:v>
      </x:c>
      <x:c r="F73" s="13" t="str">
        <x:v>Locação</x:v>
      </x:c>
      <x:c r="G73" s="17" t="n">
        <x:v>29842.04</x:v>
      </x:c>
      <x:c r="H73" s="17" t="n">
        <x:v>28892.08</x:v>
      </x:c>
      <x:c r="I73" s="13" t="str">
        <x:v>Financeiro</x:v>
      </x:c>
      <x:c r="J73" s="13" t="str">
        <x:v>Pago</x:v>
      </x:c>
      <x:c r="K73" s="13" t="str">
        <x:v>Base controlada</x:v>
      </x:c>
      <x:c r="L73" s="17" t="n">
        <x:f>H73-G73</x:f>
        <x:v>-949.9599999999991</x:v>
      </x:c>
      <x:c r="M73" s="19" t="n">
        <x:f>IFERROR(L73/G73,0)</x:f>
        <x:v>-0.031832944396562673</x:v>
      </x:c>
      <x:c r="N73" s="13" t="n">
        <x:f>D73-C73</x:f>
        <x:v>-1</x:v>
      </x:c>
    </x:row>
    <x:row r="74">
      <x:c r="A74" s="13" t="str">
        <x:v>PAG-000073</x:v>
      </x:c>
      <x:c r="B74" s="23" t="n">
        <x:v>45323</x:v>
      </x:c>
      <x:c r="C74" s="23" t="n">
        <x:v>45353</x:v>
      </x:c>
      <x:c r="D74" s="23" t="n">
        <x:v>45353</x:v>
      </x:c>
      <x:c r="E74" s="13" t="str">
        <x:v>Office Prime</x:v>
      </x:c>
      <x:c r="F74" s="13" t="str">
        <x:v>Escritório</x:v>
      </x:c>
      <x:c r="G74" s="17" t="n">
        <x:v>9938.12</x:v>
      </x:c>
      <x:c r="H74" s="17" t="n">
        <x:v>9932.46</x:v>
      </x:c>
      <x:c r="I74" s="13" t="str">
        <x:v>Diretoria</x:v>
      </x:c>
      <x:c r="J74" s="13" t="str">
        <x:v>Pago</x:v>
      </x:c>
      <x:c r="K74" s="13" t="str">
        <x:v>Base controlada</x:v>
      </x:c>
      <x:c r="L74" s="17" t="n">
        <x:f>H74-G74</x:f>
        <x:v>-5.6600000000016735</x:v>
      </x:c>
      <x:c r="M74" s="19" t="n">
        <x:f>IFERROR(L74/G74,0)</x:f>
        <x:v>-0.0005695242158478337</x:v>
      </x:c>
      <x:c r="N74" s="13" t="n">
        <x:f>D74-C74</x:f>
        <x:v>0</x:v>
      </x:c>
    </x:row>
    <x:row r="75">
      <x:c r="A75" s="13" t="str">
        <x:v>PAG-000074</x:v>
      </x:c>
      <x:c r="B75" s="23" t="n">
        <x:v>45327</x:v>
      </x:c>
      <x:c r="C75" s="23" t="n">
        <x:v>45357</x:v>
      </x:c>
      <x:c r="D75" s="23" t="n">
        <x:v>45356</x:v>
      </x:c>
      <x:c r="E75" s="13" t="str">
        <x:v>Conta Certa</x:v>
      </x:c>
      <x:c r="F75" s="13" t="str">
        <x:v>Contabilidade</x:v>
      </x:c>
      <x:c r="G75" s="17" t="n">
        <x:v>15419.96</x:v>
      </x:c>
      <x:c r="H75" s="17" t="n">
        <x:v>14881.35</x:v>
      </x:c>
      <x:c r="I75" s="13" t="str">
        <x:v>Diretoria</x:v>
      </x:c>
      <x:c r="J75" s="13" t="str">
        <x:v>Pago</x:v>
      </x:c>
      <x:c r="K75" s="13" t="str">
        <x:v>Base controlada</x:v>
      </x:c>
      <x:c r="L75" s="17" t="n">
        <x:f>H75-G75</x:f>
        <x:v>-538.6099999999988</x:v>
      </x:c>
      <x:c r="M75" s="19" t="n">
        <x:f>IFERROR(L75/G75,0)</x:f>
        <x:v>-0.03492940318911325</x:v>
      </x:c>
      <x:c r="N75" s="13" t="n">
        <x:f>D75-C75</x:f>
        <x:v>-1</x:v>
      </x:c>
    </x:row>
    <x:row r="76">
      <x:c r="A76" s="13" t="str">
        <x:v>PAG-000075</x:v>
      </x:c>
      <x:c r="B76" s="23" t="n">
        <x:v>45339</x:v>
      </x:c>
      <x:c r="C76" s="23" t="n">
        <x:v>45359</x:v>
      </x:c>
      <x:c r="D76" s="23" t="n">
        <x:v>45359</x:v>
      </x:c>
      <x:c r="E76" s="13" t="str">
        <x:v>Insight BI</x:v>
      </x:c>
      <x:c r="F76" s="13" t="str">
        <x:v>Dados e Analytics</x:v>
      </x:c>
      <x:c r="G76" s="17" t="n">
        <x:v>21736.5</x:v>
      </x:c>
      <x:c r="H76" s="17" t="n">
        <x:v>22396.55</x:v>
      </x:c>
      <x:c r="I76" s="13" t="str">
        <x:v>Gestor da área</x:v>
      </x:c>
      <x:c r="J76" s="13" t="str">
        <x:v>Pago</x:v>
      </x:c>
      <x:c r="K76" s="13" t="str">
        <x:v>Base controlada</x:v>
      </x:c>
      <x:c r="L76" s="17" t="n">
        <x:f>H76-G76</x:f>
        <x:v>660.0499999999993</x:v>
      </x:c>
      <x:c r="M76" s="19" t="n">
        <x:f>IFERROR(L76/G76,0)</x:f>
        <x:v>0.030365974282888196</x:v>
      </x:c>
      <x:c r="N76" s="13" t="n">
        <x:f>D76-C76</x:f>
        <x:v>0</x:v>
      </x:c>
    </x:row>
    <x:row r="77">
      <x:c r="A77" s="13" t="str">
        <x:v>PAG-000076</x:v>
      </x:c>
      <x:c r="B77" s="23" t="n">
        <x:v>45328</x:v>
      </x:c>
      <x:c r="C77" s="23" t="n">
        <x:v>45335</x:v>
      </x:c>
      <x:c r="D77" s="23" t="n">
        <x:v>45334</x:v>
      </x:c>
      <x:c r="E77" s="13" t="str">
        <x:v>Office Prime</x:v>
      </x:c>
      <x:c r="F77" s="13" t="str">
        <x:v>Escritório</x:v>
      </x:c>
      <x:c r="G77" s="17" t="n">
        <x:v>10480.57</x:v>
      </x:c>
      <x:c r="H77" s="17" t="n">
        <x:v>10513.9</x:v>
      </x:c>
      <x:c r="I77" s="13" t="str">
        <x:v>Diretoria</x:v>
      </x:c>
      <x:c r="J77" s="13" t="str">
        <x:v>Pago</x:v>
      </x:c>
      <x:c r="K77" s="13" t="str">
        <x:v>Base controlada</x:v>
      </x:c>
      <x:c r="L77" s="17" t="n">
        <x:f>H77-G77</x:f>
        <x:v>33.32999999999993</x:v>
      </x:c>
      <x:c r="M77" s="19" t="n">
        <x:f>IFERROR(L77/G77,0)</x:f>
        <x:v>0.003180170544159328</x:v>
      </x:c>
      <x:c r="N77" s="13" t="n">
        <x:f>D77-C77</x:f>
        <x:v>-1</x:v>
      </x:c>
    </x:row>
    <x:row r="78">
      <x:c r="A78" s="13" t="str">
        <x:v>PAG-000077</x:v>
      </x:c>
      <x:c r="B78" s="23" t="n">
        <x:v>45332</x:v>
      </x:c>
      <x:c r="C78" s="23" t="n">
        <x:v>45347</x:v>
      </x:c>
      <x:c r="D78" s="23" t="n">
        <x:v>45348</x:v>
      </x:c>
      <x:c r="E78" s="13" t="str">
        <x:v>Banco Integra</x:v>
      </x:c>
      <x:c r="F78" s="13" t="str">
        <x:v>Serviços bancários</x:v>
      </x:c>
      <x:c r="G78" s="17" t="n">
        <x:v>31417.9</x:v>
      </x:c>
      <x:c r="H78" s="17" t="n">
        <x:v>30763.2</x:v>
      </x:c>
      <x:c r="I78" s="13" t="str">
        <x:v>Gestor da área</x:v>
      </x:c>
      <x:c r="J78" s="13" t="str">
        <x:v>Pago</x:v>
      </x:c>
      <x:c r="K78" s="13" t="str">
        <x:v>Base controlada</x:v>
      </x:c>
      <x:c r="L78" s="17" t="n">
        <x:f>H78-G78</x:f>
        <x:v>-654.7000000000007</x:v>
      </x:c>
      <x:c r="M78" s="19" t="n">
        <x:f>IFERROR(L78/G78,0)</x:f>
        <x:v>-0.02083843923368528</x:v>
      </x:c>
      <x:c r="N78" s="13" t="n">
        <x:f>D78-C78</x:f>
        <x:v>1</x:v>
      </x:c>
    </x:row>
    <x:row r="79">
      <x:c r="A79" s="13" t="str">
        <x:v>PAG-000078</x:v>
      </x:c>
      <x:c r="B79" s="23" t="n">
        <x:v>45327</x:v>
      </x:c>
      <x:c r="C79" s="23" t="n">
        <x:v>45357</x:v>
      </x:c>
      <x:c r="D79" s="23" t="n">
        <x:v>45359</x:v>
      </x:c>
      <x:c r="E79" s="13" t="str">
        <x:v>NetLink</x:v>
      </x:c>
      <x:c r="F79" s="13" t="str">
        <x:v>Telecomunicações</x:v>
      </x:c>
      <x:c r="G79" s="17" t="n">
        <x:v>861.11</x:v>
      </x:c>
      <x:c r="H79" s="17" t="n">
        <x:v>868.96</x:v>
      </x:c>
      <x:c r="I79" s="13" t="str">
        <x:v>Gestor da área</x:v>
      </x:c>
      <x:c r="J79" s="13" t="str">
        <x:v>Pago</x:v>
      </x:c>
      <x:c r="K79" s="13" t="str">
        <x:v>Base controlada</x:v>
      </x:c>
      <x:c r="L79" s="17" t="n">
        <x:f>H79-G79</x:f>
        <x:v>7.850000000000023</x:v>
      </x:c>
      <x:c r="M79" s="19" t="n">
        <x:f>IFERROR(L79/G79,0)</x:f>
        <x:v>0.009116140795020407</x:v>
      </x:c>
      <x:c r="N79" s="13" t="n">
        <x:f>D79-C79</x:f>
        <x:v>2</x:v>
      </x:c>
    </x:row>
    <x:row r="80">
      <x:c r="A80" s="13" t="str">
        <x:v>PAG-000079</x:v>
      </x:c>
      <x:c r="B80" s="23" t="n">
        <x:v>45325</x:v>
      </x:c>
      <x:c r="C80" s="23" t="n">
        <x:v>45345</x:v>
      </x:c>
      <x:c r="D80" s="23" t="n">
        <x:v>45347</x:v>
      </x:c>
      <x:c r="E80" s="13" t="str">
        <x:v>Insight BI</x:v>
      </x:c>
      <x:c r="F80" s="13" t="str">
        <x:v>Dados e Analytics</x:v>
      </x:c>
      <x:c r="G80" s="17" t="n">
        <x:v>23002.21</x:v>
      </x:c>
      <x:c r="H80" s="17" t="n">
        <x:v>22836.75</x:v>
      </x:c>
      <x:c r="I80" s="13" t="str">
        <x:v>Diretoria</x:v>
      </x:c>
      <x:c r="J80" s="13" t="str">
        <x:v>Pago</x:v>
      </x:c>
      <x:c r="K80" s="13" t="str">
        <x:v>Base controlada</x:v>
      </x:c>
      <x:c r="L80" s="17" t="n">
        <x:f>H80-G80</x:f>
        <x:v>-165.45999999999913</x:v>
      </x:c>
      <x:c r="M80" s="19" t="n">
        <x:f>IFERROR(L80/G80,0)</x:f>
        <x:v>-0.007193221868681276</x:v>
      </x:c>
      <x:c r="N80" s="13" t="n">
        <x:f>D80-C80</x:f>
        <x:v>2</x:v>
      </x:c>
    </x:row>
    <x:row r="81">
      <x:c r="A81" s="13" t="str">
        <x:v>PAG-000080</x:v>
      </x:c>
      <x:c r="B81" s="23" t="n">
        <x:v>45324</x:v>
      </x:c>
      <x:c r="C81" s="23" t="n">
        <x:v>45331</x:v>
      </x:c>
      <x:c r="D81" s="23" t="n">
        <x:v>45330</x:v>
      </x:c>
      <x:c r="E81" s="13" t="str">
        <x:v>Conta Certa</x:v>
      </x:c>
      <x:c r="F81" s="13" t="str">
        <x:v>Contabilidade</x:v>
      </x:c>
      <x:c r="G81" s="17" t="n">
        <x:v>9861.03</x:v>
      </x:c>
      <x:c r="H81" s="17" t="n">
        <x:v>9564.43</x:v>
      </x:c>
      <x:c r="I81" s="13" t="str">
        <x:v>Gestor da área</x:v>
      </x:c>
      <x:c r="J81" s="13" t="str">
        <x:v>Pago</x:v>
      </x:c>
      <x:c r="K81" s="13" t="str">
        <x:v>Base controlada</x:v>
      </x:c>
      <x:c r="L81" s="17" t="n">
        <x:f>H81-G81</x:f>
        <x:v>-296.60000000000036</x:v>
      </x:c>
      <x:c r="M81" s="19" t="n">
        <x:f>IFERROR(L81/G81,0)</x:f>
        <x:v>-0.03007799388096379</x:v>
      </x:c>
      <x:c r="N81" s="13" t="n">
        <x:f>D81-C81</x:f>
        <x:v>-1</x:v>
      </x:c>
    </x:row>
    <x:row r="82">
      <x:c r="A82" s="13" t="str">
        <x:v>PAG-000081</x:v>
      </x:c>
      <x:c r="B82" s="23" t="n">
        <x:v>45334</x:v>
      </x:c>
      <x:c r="C82" s="23" t="n">
        <x:v>45354</x:v>
      </x:c>
      <x:c r="D82" s="23" t="n">
        <x:v>45356</x:v>
      </x:c>
      <x:c r="E82" s="13" t="str">
        <x:v>PeopleHub</x:v>
      </x:c>
      <x:c r="F82" s="13" t="str">
        <x:v>Recursos Humanos</x:v>
      </x:c>
      <x:c r="G82" s="17" t="n">
        <x:v>28431.48</x:v>
      </x:c>
      <x:c r="H82" s="17" t="n">
        <x:v>28772.41</x:v>
      </x:c>
      <x:c r="I82" s="13" t="str">
        <x:v>Financeiro</x:v>
      </x:c>
      <x:c r="J82" s="13" t="str">
        <x:v>Pago</x:v>
      </x:c>
      <x:c r="K82" s="13" t="str">
        <x:v>Base controlada</x:v>
      </x:c>
      <x:c r="L82" s="17" t="n">
        <x:f>H82-G82</x:f>
        <x:v>340.9300000000003</x:v>
      </x:c>
      <x:c r="M82" s="19" t="n">
        <x:f>IFERROR(L82/G82,0)</x:f>
        <x:v>0.011991285715692615</x:v>
      </x:c>
      <x:c r="N82" s="13" t="n">
        <x:f>D82-C82</x:f>
        <x:v>2</x:v>
      </x:c>
    </x:row>
    <x:row r="83">
      <x:c r="A83" s="13" t="str">
        <x:v>PAG-000082</x:v>
      </x:c>
      <x:c r="B83" s="23" t="n">
        <x:v>45342</x:v>
      </x:c>
      <x:c r="C83" s="23" t="n">
        <x:v>45372</x:v>
      </x:c>
      <x:c r="D83" s="23" t="n">
        <x:v>45372</x:v>
      </x:c>
      <x:c r="E83" s="13" t="str">
        <x:v>NetLink</x:v>
      </x:c>
      <x:c r="F83" s="13" t="str">
        <x:v>Telecomunicações</x:v>
      </x:c>
      <x:c r="G83" s="17" t="n">
        <x:v>1963.86</x:v>
      </x:c>
      <x:c r="H83" s="17" t="n">
        <x:v>1994.5</x:v>
      </x:c>
      <x:c r="I83" s="13" t="str">
        <x:v>Diretoria</x:v>
      </x:c>
      <x:c r="J83" s="13" t="str">
        <x:v>Pago</x:v>
      </x:c>
      <x:c r="K83" s="13" t="str">
        <x:v>Base controlada</x:v>
      </x:c>
      <x:c r="L83" s="17" t="n">
        <x:f>H83-G83</x:f>
        <x:v>30.6400000000001</x:v>
      </x:c>
      <x:c r="M83" s="19" t="n">
        <x:f>IFERROR(L83/G83,0)</x:f>
        <x:v>0.015601926817593974</x:v>
      </x:c>
      <x:c r="N83" s="13" t="n">
        <x:f>D83-C83</x:f>
        <x:v>0</x:v>
      </x:c>
    </x:row>
    <x:row r="84">
      <x:c r="A84" s="13" t="str">
        <x:v>PAG-000083</x:v>
      </x:c>
      <x:c r="B84" s="23" t="n">
        <x:v>45332</x:v>
      </x:c>
      <x:c r="C84" s="23" t="n">
        <x:v>45339</x:v>
      </x:c>
      <x:c r="D84" s="23" t="n">
        <x:v>45340</x:v>
      </x:c>
      <x:c r="E84" s="13" t="str">
        <x:v>PeopleHub</x:v>
      </x:c>
      <x:c r="F84" s="13" t="str">
        <x:v>Recursos Humanos</x:v>
      </x:c>
      <x:c r="G84" s="17" t="n">
        <x:v>24791.2</x:v>
      </x:c>
      <x:c r="H84" s="17" t="n">
        <x:v>24919.11</x:v>
      </x:c>
      <x:c r="I84" s="13" t="str">
        <x:v>Diretoria</x:v>
      </x:c>
      <x:c r="J84" s="13" t="str">
        <x:v>Pago</x:v>
      </x:c>
      <x:c r="K84" s="13" t="str">
        <x:v>Base controlada</x:v>
      </x:c>
      <x:c r="L84" s="17" t="n">
        <x:f>H84-G84</x:f>
        <x:v>127.90999999999985</x:v>
      </x:c>
      <x:c r="M84" s="19" t="n">
        <x:f>IFERROR(L84/G84,0)</x:f>
        <x:v>0.005159492077834064</x:v>
      </x:c>
      <x:c r="N84" s="13" t="n">
        <x:f>D84-C84</x:f>
        <x:v>1</x:v>
      </x:c>
    </x:row>
    <x:row r="85">
      <x:c r="A85" s="13" t="str">
        <x:v>PAG-000084</x:v>
      </x:c>
      <x:c r="B85" s="23" t="n">
        <x:v>45329</x:v>
      </x:c>
      <x:c r="C85" s="23" t="n">
        <x:v>45349</x:v>
      </x:c>
      <x:c r="D85" s="23" t="n">
        <x:v>45349</x:v>
      </x:c>
      <x:c r="E85" s="13" t="str">
        <x:v>NetLink</x:v>
      </x:c>
      <x:c r="F85" s="13" t="str">
        <x:v>Telecomunicações</x:v>
      </x:c>
      <x:c r="G85" s="17" t="n">
        <x:v>23074.3</x:v>
      </x:c>
      <x:c r="H85" s="17" t="n">
        <x:v>23144.1</x:v>
      </x:c>
      <x:c r="I85" s="13" t="str">
        <x:v>Gestor da área</x:v>
      </x:c>
      <x:c r="J85" s="13" t="str">
        <x:v>Pago</x:v>
      </x:c>
      <x:c r="K85" s="13" t="str">
        <x:v>Base controlada</x:v>
      </x:c>
      <x:c r="L85" s="17" t="n">
        <x:f>H85-G85</x:f>
        <x:v>69.79999999999927</x:v>
      </x:c>
      <x:c r="M85" s="19" t="n">
        <x:f>IFERROR(L85/G85,0)</x:f>
        <x:v>0.003025010509527885</x:v>
      </x:c>
      <x:c r="N85" s="13" t="n">
        <x:f>D85-C85</x:f>
        <x:v>0</x:v>
      </x:c>
    </x:row>
    <x:row r="86">
      <x:c r="A86" s="13" t="str">
        <x:v>PAG-000085</x:v>
      </x:c>
      <x:c r="B86" s="23" t="n">
        <x:v>45352</x:v>
      </x:c>
      <x:c r="C86" s="23" t="n">
        <x:v>45382</x:v>
      </x:c>
      <x:c r="D86" s="23" t="n">
        <x:v>45380</x:v>
      </x:c>
      <x:c r="E86" s="13" t="str">
        <x:v>Insight BI</x:v>
      </x:c>
      <x:c r="F86" s="13" t="str">
        <x:v>Dados e Analytics</x:v>
      </x:c>
      <x:c r="G86" s="17" t="n">
        <x:v>13338.01</x:v>
      </x:c>
      <x:c r="H86" s="17" t="n">
        <x:v>13072.44</x:v>
      </x:c>
      <x:c r="I86" s="13" t="str">
        <x:v>Financeiro</x:v>
      </x:c>
      <x:c r="J86" s="13" t="str">
        <x:v>Pago</x:v>
      </x:c>
      <x:c r="K86" s="13" t="str">
        <x:v>Base controlada</x:v>
      </x:c>
      <x:c r="L86" s="17" t="n">
        <x:f>H86-G86</x:f>
        <x:v>-265.5699999999997</x:v>
      </x:c>
      <x:c r="M86" s="19" t="n">
        <x:f>IFERROR(L86/G86,0)</x:f>
        <x:v>-0.0199107662987207</x:v>
      </x:c>
      <x:c r="N86" s="13" t="n">
        <x:f>D86-C86</x:f>
        <x:v>-2</x:v>
      </x:c>
    </x:row>
    <x:row r="87">
      <x:c r="A87" s="13" t="str">
        <x:v>PAG-000086</x:v>
      </x:c>
      <x:c r="B87" s="23" t="n">
        <x:v>45360</x:v>
      </x:c>
      <x:c r="C87" s="23" t="n">
        <x:v>45390</x:v>
      </x:c>
      <x:c r="D87" s="23" t="n">
        <x:v>45388</x:v>
      </x:c>
      <x:c r="E87" s="13" t="str">
        <x:v>DataSafe</x:v>
      </x:c>
      <x:c r="F87" s="13" t="str">
        <x:v>Segurança da informação</x:v>
      </x:c>
      <x:c r="G87" s="17" t="n">
        <x:v>25866.76</x:v>
      </x:c>
      <x:c r="H87" s="17" t="n">
        <x:v>26138.33</x:v>
      </x:c>
      <x:c r="I87" s="13" t="str">
        <x:v>Financeiro</x:v>
      </x:c>
      <x:c r="J87" s="13" t="str">
        <x:v>Pago</x:v>
      </x:c>
      <x:c r="K87" s="13" t="str">
        <x:v>Base controlada</x:v>
      </x:c>
      <x:c r="L87" s="17" t="n">
        <x:f>H87-G87</x:f>
        <x:v>271.57000000000335</x:v>
      </x:c>
      <x:c r="M87" s="19" t="n">
        <x:f>IFERROR(L87/G87,0)</x:f>
        <x:v>0.01049880232390927</x:v>
      </x:c>
      <x:c r="N87" s="13" t="n">
        <x:f>D87-C87</x:f>
        <x:v>-2</x:v>
      </x:c>
    </x:row>
    <x:row r="88">
      <x:c r="A88" s="13" t="str">
        <x:v>PAG-000087</x:v>
      </x:c>
      <x:c r="B88" s="23" t="n">
        <x:v>45353</x:v>
      </x:c>
      <x:c r="C88" s="23" t="n">
        <x:v>45383</x:v>
      </x:c>
      <x:c r="D88" s="23" t="n">
        <x:v>45380</x:v>
      </x:c>
      <x:c r="E88" s="13" t="str">
        <x:v>Office Prime</x:v>
      </x:c>
      <x:c r="F88" s="13" t="str">
        <x:v>Escritório</x:v>
      </x:c>
      <x:c r="G88" s="17" t="n">
        <x:v>13638.26</x:v>
      </x:c>
      <x:c r="H88" s="17" t="n">
        <x:v>13825.53</x:v>
      </x:c>
      <x:c r="I88" s="13" t="str">
        <x:v>Diretoria</x:v>
      </x:c>
      <x:c r="J88" s="13" t="str">
        <x:v>Pago</x:v>
      </x:c>
      <x:c r="K88" s="13" t="str">
        <x:v>Base controlada</x:v>
      </x:c>
      <x:c r="L88" s="17" t="n">
        <x:f>H88-G88</x:f>
        <x:v>187.27000000000044</x:v>
      </x:c>
      <x:c r="M88" s="19" t="n">
        <x:f>IFERROR(L88/G88,0)</x:f>
        <x:v>0.01373122377781333</x:v>
      </x:c>
      <x:c r="N88" s="13" t="n">
        <x:f>D88-C88</x:f>
        <x:v>-3</x:v>
      </x:c>
    </x:row>
    <x:row r="89">
      <x:c r="A89" s="13" t="str">
        <x:v>PAG-000088</x:v>
      </x:c>
      <x:c r="B89" s="23" t="n">
        <x:v>45369</x:v>
      </x:c>
      <x:c r="C89" s="23" t="n">
        <x:v>45389</x:v>
      </x:c>
      <x:c r="D89" s="23" t="n">
        <x:v>45389</x:v>
      </x:c>
      <x:c r="E89" s="13" t="str">
        <x:v>DataSafe</x:v>
      </x:c>
      <x:c r="F89" s="13" t="str">
        <x:v>Segurança da informação</x:v>
      </x:c>
      <x:c r="G89" s="17" t="n">
        <x:v>14864.6</x:v>
      </x:c>
      <x:c r="H89" s="17" t="n">
        <x:v>14719.2</x:v>
      </x:c>
      <x:c r="I89" s="13" t="str">
        <x:v>Diretoria</x:v>
      </x:c>
      <x:c r="J89" s="13" t="str">
        <x:v>Pago</x:v>
      </x:c>
      <x:c r="K89" s="13" t="str">
        <x:v>Base controlada</x:v>
      </x:c>
      <x:c r="L89" s="17" t="n">
        <x:f>H89-G89</x:f>
        <x:v>-145.39999999999964</x:v>
      </x:c>
      <x:c r="M89" s="19" t="n">
        <x:f>IFERROR(L89/G89,0)</x:f>
        <x:v>-0.009781628836295604</x:v>
      </x:c>
      <x:c r="N89" s="13" t="n">
        <x:f>D89-C89</x:f>
        <x:v>0</x:v>
      </x:c>
    </x:row>
    <x:row r="90">
      <x:c r="A90" s="13" t="str">
        <x:v>PAG-000089</x:v>
      </x:c>
      <x:c r="B90" s="23" t="n">
        <x:v>45370</x:v>
      </x:c>
      <x:c r="C90" s="23" t="n">
        <x:v>45400</x:v>
      </x:c>
      <x:c r="D90" s="23" t="n">
        <x:v>45402</x:v>
      </x:c>
      <x:c r="E90" s="13" t="str">
        <x:v>Office Prime</x:v>
      </x:c>
      <x:c r="F90" s="13" t="str">
        <x:v>Escritório</x:v>
      </x:c>
      <x:c r="G90" s="17" t="n">
        <x:v>3146.88</x:v>
      </x:c>
      <x:c r="H90" s="17" t="n">
        <x:v>3170.44</x:v>
      </x:c>
      <x:c r="I90" s="13" t="str">
        <x:v>Financeiro</x:v>
      </x:c>
      <x:c r="J90" s="13" t="str">
        <x:v>Pago</x:v>
      </x:c>
      <x:c r="K90" s="13" t="str">
        <x:v>Base controlada</x:v>
      </x:c>
      <x:c r="L90" s="17" t="n">
        <x:f>H90-G90</x:f>
        <x:v>23.559999999999945</x:v>
      </x:c>
      <x:c r="M90" s="19" t="n">
        <x:f>IFERROR(L90/G90,0)</x:f>
        <x:v>0.007486780557250338</x:v>
      </x:c>
      <x:c r="N90" s="13" t="n">
        <x:f>D90-C90</x:f>
        <x:v>2</x:v>
      </x:c>
    </x:row>
    <x:row r="91">
      <x:c r="A91" s="13" t="str">
        <x:v>PAG-000090</x:v>
      </x:c>
      <x:c r="B91" s="23" t="n">
        <x:v>45356</x:v>
      </x:c>
      <x:c r="C91" s="23" t="n">
        <x:v>45363</x:v>
      </x:c>
      <x:c r="D91" s="23" t="n">
        <x:v>45364</x:v>
      </x:c>
      <x:c r="E91" s="13" t="str">
        <x:v>WorkSpace</x:v>
      </x:c>
      <x:c r="F91" s="13" t="str">
        <x:v>Locação</x:v>
      </x:c>
      <x:c r="G91" s="17" t="n">
        <x:v>23986.59</x:v>
      </x:c>
      <x:c r="H91" s="17" t="n">
        <x:v>23610.14</x:v>
      </x:c>
      <x:c r="I91" s="13" t="str">
        <x:v>Financeiro</x:v>
      </x:c>
      <x:c r="J91" s="13" t="str">
        <x:v>Pago</x:v>
      </x:c>
      <x:c r="K91" s="13" t="str">
        <x:v>Base controlada</x:v>
      </x:c>
      <x:c r="L91" s="17" t="n">
        <x:f>H91-G91</x:f>
        <x:v>-376.4500000000007</x:v>
      </x:c>
      <x:c r="M91" s="19" t="n">
        <x:f>IFERROR(L91/G91,0)</x:f>
        <x:v>-0.015694185792978523</x:v>
      </x:c>
      <x:c r="N91" s="13" t="n">
        <x:f>D91-C91</x:f>
        <x:v>1</x:v>
      </x:c>
    </x:row>
    <x:row r="92">
      <x:c r="A92" s="13" t="str">
        <x:v>PAG-000091</x:v>
      </x:c>
      <x:c r="B92" s="23" t="n">
        <x:v>45359</x:v>
      </x:c>
      <x:c r="C92" s="23" t="n">
        <x:v>45379</x:v>
      </x:c>
      <x:c r="D92" s="23" t="n">
        <x:v>45377</x:v>
      </x:c>
      <x:c r="E92" s="13" t="str">
        <x:v>Banco Integra</x:v>
      </x:c>
      <x:c r="F92" s="13" t="str">
        <x:v>Serviços bancários</x:v>
      </x:c>
      <x:c r="G92" s="17" t="n">
        <x:v>18136.36</x:v>
      </x:c>
      <x:c r="H92" s="17" t="n">
        <x:v>18321.65</x:v>
      </x:c>
      <x:c r="I92" s="13" t="str">
        <x:v>Gestor da área</x:v>
      </x:c>
      <x:c r="J92" s="13" t="str">
        <x:v>Pago</x:v>
      </x:c>
      <x:c r="K92" s="13" t="str">
        <x:v>Base controlada</x:v>
      </x:c>
      <x:c r="L92" s="17" t="n">
        <x:f>H92-G92</x:f>
        <x:v>185.29000000000087</x:v>
      </x:c>
      <x:c r="M92" s="19" t="n">
        <x:f>IFERROR(L92/G92,0)</x:f>
        <x:v>0.010216493276489928</x:v>
      </x:c>
      <x:c r="N92" s="13" t="n">
        <x:f>D92-C92</x:f>
        <x:v>-2</x:v>
      </x:c>
    </x:row>
    <x:row r="93">
      <x:c r="A93" s="13" t="str">
        <x:v>PAG-000092</x:v>
      </x:c>
      <x:c r="B93" s="23" t="n">
        <x:v>45369</x:v>
      </x:c>
      <x:c r="C93" s="23" t="n">
        <x:v>45389</x:v>
      </x:c>
      <x:c r="D93" s="23" t="n">
        <x:v>45387</x:v>
      </x:c>
      <x:c r="E93" s="13" t="str">
        <x:v>PeopleHub</x:v>
      </x:c>
      <x:c r="F93" s="13" t="str">
        <x:v>Recursos Humanos</x:v>
      </x:c>
      <x:c r="G93" s="17" t="n">
        <x:v>6367.35</x:v>
      </x:c>
      <x:c r="H93" s="17" t="n">
        <x:v>6317.7</x:v>
      </x:c>
      <x:c r="I93" s="13" t="str">
        <x:v>Gestor da área</x:v>
      </x:c>
      <x:c r="J93" s="13" t="str">
        <x:v>Pago</x:v>
      </x:c>
      <x:c r="K93" s="13" t="str">
        <x:v>Base controlada</x:v>
      </x:c>
      <x:c r="L93" s="17" t="n">
        <x:f>H93-G93</x:f>
        <x:v>-49.650000000000546</x:v>
      </x:c>
      <x:c r="M93" s="19" t="n">
        <x:f>IFERROR(L93/G93,0)</x:f>
        <x:v>-0.007797592405003737</x:v>
      </x:c>
      <x:c r="N93" s="13" t="n">
        <x:f>D93-C93</x:f>
        <x:v>-2</x:v>
      </x:c>
    </x:row>
    <x:row r="94">
      <x:c r="A94" s="13" t="str">
        <x:v>PAG-000093</x:v>
      </x:c>
      <x:c r="B94" s="23" t="n">
        <x:v>45357</x:v>
      </x:c>
      <x:c r="C94" s="23" t="n">
        <x:v>45377</x:v>
      </x:c>
      <x:c r="D94" s="23" t="n">
        <x:v>45377</x:v>
      </x:c>
      <x:c r="E94" s="13" t="str">
        <x:v>CloudCore</x:v>
      </x:c>
      <x:c r="F94" s="13" t="str">
        <x:v>Tecnologia</x:v>
      </x:c>
      <x:c r="G94" s="17" t="n">
        <x:v>29011.23</x:v>
      </x:c>
      <x:c r="H94" s="17" t="n">
        <x:v>29024.51</x:v>
      </x:c>
      <x:c r="I94" s="13" t="str">
        <x:v>Gestor da área</x:v>
      </x:c>
      <x:c r="J94" s="13" t="str">
        <x:v>Pago</x:v>
      </x:c>
      <x:c r="K94" s="13" t="str">
        <x:v>Base controlada</x:v>
      </x:c>
      <x:c r="L94" s="17" t="n">
        <x:f>H94-G94</x:f>
        <x:v>13.279999999998836</x:v>
      </x:c>
      <x:c r="M94" s="19" t="n">
        <x:f>IFERROR(L94/G94,0)</x:f>
        <x:v>0.00045775377328016894</x:v>
      </x:c>
      <x:c r="N94" s="13" t="n">
        <x:f>D94-C94</x:f>
        <x:v>0</x:v>
      </x:c>
    </x:row>
    <x:row r="95">
      <x:c r="A95" s="13" t="str">
        <x:v>PAG-000094</x:v>
      </x:c>
      <x:c r="B95" s="23" t="n">
        <x:v>45359</x:v>
      </x:c>
      <x:c r="C95" s="23" t="n">
        <x:v>45379</x:v>
      </x:c>
      <x:c r="D95" s="23" t="n">
        <x:v>45378</x:v>
      </x:c>
      <x:c r="E95" s="13" t="str">
        <x:v>CloudCore</x:v>
      </x:c>
      <x:c r="F95" s="13" t="str">
        <x:v>Tecnologia</x:v>
      </x:c>
      <x:c r="G95" s="17" t="n">
        <x:v>27757.58</x:v>
      </x:c>
      <x:c r="H95" s="17" t="n">
        <x:v>28129.53</x:v>
      </x:c>
      <x:c r="I95" s="13" t="str">
        <x:v>Financeiro</x:v>
      </x:c>
      <x:c r="J95" s="13" t="str">
        <x:v>Pago</x:v>
      </x:c>
      <x:c r="K95" s="13" t="str">
        <x:v>Base controlada</x:v>
      </x:c>
      <x:c r="L95" s="17" t="n">
        <x:f>H95-G95</x:f>
        <x:v>371.9499999999971</x:v>
      </x:c>
      <x:c r="M95" s="19" t="n">
        <x:f>IFERROR(L95/G95,0)</x:f>
        <x:v>0.013399943366820778</x:v>
      </x:c>
      <x:c r="N95" s="13" t="n">
        <x:f>D95-C95</x:f>
        <x:v>-1</x:v>
      </x:c>
    </x:row>
    <x:row r="96">
      <x:c r="A96" s="13" t="str">
        <x:v>PAG-000095</x:v>
      </x:c>
      <x:c r="B96" s="23" t="n">
        <x:v>45353</x:v>
      </x:c>
      <x:c r="C96" s="23" t="n">
        <x:v>45368</x:v>
      </x:c>
      <x:c r="D96" s="23" t="n">
        <x:v>45367</x:v>
      </x:c>
      <x:c r="E96" s="13" t="str">
        <x:v>MarketLab</x:v>
      </x:c>
      <x:c r="F96" s="13" t="str">
        <x:v>Marketing</x:v>
      </x:c>
      <x:c r="G96" s="17" t="n">
        <x:v>10803.47</x:v>
      </x:c>
      <x:c r="H96" s="17" t="n">
        <x:v>10703.64</x:v>
      </x:c>
      <x:c r="I96" s="13" t="str">
        <x:v>Diretoria</x:v>
      </x:c>
      <x:c r="J96" s="13" t="str">
        <x:v>Pago</x:v>
      </x:c>
      <x:c r="K96" s="13" t="str">
        <x:v>Base controlada</x:v>
      </x:c>
      <x:c r="L96" s="17" t="n">
        <x:f>H96-G96</x:f>
        <x:v>-99.82999999999993</x:v>
      </x:c>
      <x:c r="M96" s="19" t="n">
        <x:f>IFERROR(L96/G96,0)</x:f>
        <x:v>-0.009240549564167803</x:v>
      </x:c>
      <x:c r="N96" s="13" t="n">
        <x:f>D96-C96</x:f>
        <x:v>-1</x:v>
      </x:c>
    </x:row>
    <x:row r="97">
      <x:c r="A97" s="13" t="str">
        <x:v>PAG-000096</x:v>
      </x:c>
      <x:c r="B97" s="23" t="n">
        <x:v>45364</x:v>
      </x:c>
      <x:c r="C97" s="23" t="n">
        <x:v>45371</x:v>
      </x:c>
      <x:c r="D97" s="23" t="n">
        <x:v>45371</x:v>
      </x:c>
      <x:c r="E97" s="13" t="str">
        <x:v>PeopleHub</x:v>
      </x:c>
      <x:c r="F97" s="13" t="str">
        <x:v>Recursos Humanos</x:v>
      </x:c>
      <x:c r="G97" s="17" t="n">
        <x:v>5263.67</x:v>
      </x:c>
      <x:c r="H97" s="17" t="n">
        <x:v>5133.19</x:v>
      </x:c>
      <x:c r="I97" s="13" t="str">
        <x:v>Diretoria</x:v>
      </x:c>
      <x:c r="J97" s="13" t="str">
        <x:v>Pago</x:v>
      </x:c>
      <x:c r="K97" s="13" t="str">
        <x:v>Base controlada</x:v>
      </x:c>
      <x:c r="L97" s="17" t="n">
        <x:f>H97-G97</x:f>
        <x:v>-130.48000000000047</x:v>
      </x:c>
      <x:c r="M97" s="19" t="n">
        <x:f>IFERROR(L97/G97,0)</x:f>
        <x:v>-0.024788788050922734</x:v>
      </x:c>
      <x:c r="N97" s="13" t="n">
        <x:f>D97-C97</x:f>
        <x:v>0</x:v>
      </x:c>
    </x:row>
    <x:row r="98">
      <x:c r="A98" s="13" t="str">
        <x:v>PAG-000097</x:v>
      </x:c>
      <x:c r="B98" s="23" t="n">
        <x:v>45370</x:v>
      </x:c>
      <x:c r="C98" s="23" t="n">
        <x:v>45385</x:v>
      </x:c>
      <x:c r="D98" s="23" t="n">
        <x:v>45387</x:v>
      </x:c>
      <x:c r="E98" s="13" t="str">
        <x:v>CloudCore</x:v>
      </x:c>
      <x:c r="F98" s="13" t="str">
        <x:v>Tecnologia</x:v>
      </x:c>
      <x:c r="G98" s="17" t="n">
        <x:v>24451.43</x:v>
      </x:c>
      <x:c r="H98" s="17" t="n">
        <x:v>24483.66</x:v>
      </x:c>
      <x:c r="I98" s="13" t="str">
        <x:v>Gestor da área</x:v>
      </x:c>
      <x:c r="J98" s="13" t="str">
        <x:v>Pago</x:v>
      </x:c>
      <x:c r="K98" s="13" t="str">
        <x:v>Base controlada</x:v>
      </x:c>
      <x:c r="L98" s="17" t="n">
        <x:f>H98-G98</x:f>
        <x:v>32.22999999999956</x:v>
      </x:c>
      <x:c r="M98" s="19" t="n">
        <x:f>IFERROR(L98/G98,0)</x:f>
        <x:v>0.0013181233163049998</x:v>
      </x:c>
      <x:c r="N98" s="13" t="n">
        <x:f>D98-C98</x:f>
        <x:v>2</x:v>
      </x:c>
    </x:row>
    <x:row r="99">
      <x:c r="A99" s="13" t="str">
        <x:v>PAG-000098</x:v>
      </x:c>
      <x:c r="B99" s="23" t="n">
        <x:v>45366</x:v>
      </x:c>
      <x:c r="C99" s="23" t="n">
        <x:v>45396</x:v>
      </x:c>
      <x:c r="D99" s="23" t="n">
        <x:v>45398</x:v>
      </x:c>
      <x:c r="E99" s="13" t="str">
        <x:v>MarketLab</x:v>
      </x:c>
      <x:c r="F99" s="13" t="str">
        <x:v>Marketing</x:v>
      </x:c>
      <x:c r="G99" s="17" t="n">
        <x:v>6205.42</x:v>
      </x:c>
      <x:c r="H99" s="17" t="n">
        <x:v>6307.43</x:v>
      </x:c>
      <x:c r="I99" s="13" t="str">
        <x:v>Diretoria</x:v>
      </x:c>
      <x:c r="J99" s="13" t="str">
        <x:v>Pago</x:v>
      </x:c>
      <x:c r="K99" s="13" t="str">
        <x:v>Base controlada</x:v>
      </x:c>
      <x:c r="L99" s="17" t="n">
        <x:f>H99-G99</x:f>
        <x:v>102.01000000000022</x:v>
      </x:c>
      <x:c r="M99" s="19" t="n">
        <x:f>IFERROR(L99/G99,0)</x:f>
        <x:v>0.016438855065410596</x:v>
      </x:c>
      <x:c r="N99" s="13" t="n">
        <x:f>D99-C99</x:f>
        <x:v>2</x:v>
      </x:c>
    </x:row>
    <x:row r="100">
      <x:c r="A100" s="13" t="str">
        <x:v>PAG-000099</x:v>
      </x:c>
      <x:c r="B100" s="23" t="n">
        <x:v>45358</x:v>
      </x:c>
      <x:c r="C100" s="23" t="n">
        <x:v>45378</x:v>
      </x:c>
      <x:c r="D100" s="23" t="n">
        <x:v>45376</x:v>
      </x:c>
      <x:c r="E100" s="13" t="str">
        <x:v>PeopleHub</x:v>
      </x:c>
      <x:c r="F100" s="13" t="str">
        <x:v>Recursos Humanos</x:v>
      </x:c>
      <x:c r="G100" s="17" t="n">
        <x:v>11972.64</x:v>
      </x:c>
      <x:c r="H100" s="17" t="n">
        <x:v>12159.8</x:v>
      </x:c>
      <x:c r="I100" s="13" t="str">
        <x:v>Financeiro</x:v>
      </x:c>
      <x:c r="J100" s="13" t="str">
        <x:v>Pago</x:v>
      </x:c>
      <x:c r="K100" s="13" t="str">
        <x:v>Base controlada</x:v>
      </x:c>
      <x:c r="L100" s="17" t="n">
        <x:f>H100-G100</x:f>
        <x:v>187.15999999999985</x:v>
      </x:c>
      <x:c r="M100" s="19" t="n">
        <x:f>IFERROR(L100/G100,0)</x:f>
        <x:v>0.015632308329658277</x:v>
      </x:c>
      <x:c r="N100" s="13" t="n">
        <x:f>D100-C100</x:f>
        <x:v>-2</x:v>
      </x:c>
    </x:row>
    <x:row r="101">
      <x:c r="A101" s="13" t="str">
        <x:v>PAG-000100</x:v>
      </x:c>
      <x:c r="B101" s="23" t="n">
        <x:v>45352</x:v>
      </x:c>
      <x:c r="C101" s="23" t="n">
        <x:v>45359</x:v>
      </x:c>
      <x:c r="D101" s="23" t="n">
        <x:v>45360</x:v>
      </x:c>
      <x:c r="E101" s="13" t="str">
        <x:v>DataSafe</x:v>
      </x:c>
      <x:c r="F101" s="13" t="str">
        <x:v>Segurança da informação</x:v>
      </x:c>
      <x:c r="G101" s="17" t="n">
        <x:v>30994.46</x:v>
      </x:c>
      <x:c r="H101" s="17" t="n">
        <x:v>30307.54</x:v>
      </x:c>
      <x:c r="I101" s="13" t="str">
        <x:v>Diretoria</x:v>
      </x:c>
      <x:c r="J101" s="13" t="str">
        <x:v>Pago</x:v>
      </x:c>
      <x:c r="K101" s="13" t="str">
        <x:v>Base controlada</x:v>
      </x:c>
      <x:c r="L101" s="17" t="n">
        <x:f>H101-G101</x:f>
        <x:v>-686.9199999999983</x:v>
      </x:c>
      <x:c r="M101" s="19" t="n">
        <x:f>IFERROR(L101/G101,0)</x:f>
        <x:v>-0.02216267036109028</x:v>
      </x:c>
      <x:c r="N101" s="13" t="n">
        <x:f>D101-C101</x:f>
        <x:v>1</x:v>
      </x:c>
    </x:row>
    <x:row r="102">
      <x:c r="A102" s="13" t="str">
        <x:v>PAG-000101</x:v>
      </x:c>
      <x:c r="B102" s="23" t="n">
        <x:v>45370</x:v>
      </x:c>
      <x:c r="C102" s="23" t="n">
        <x:v>45390</x:v>
      </x:c>
      <x:c r="D102" s="23" t="n">
        <x:v>45390</x:v>
      </x:c>
      <x:c r="E102" s="13" t="str">
        <x:v>EducaPro</x:v>
      </x:c>
      <x:c r="F102" s="13" t="str">
        <x:v>Treinamentos</x:v>
      </x:c>
      <x:c r="G102" s="17" t="n">
        <x:v>10346.93</x:v>
      </x:c>
      <x:c r="H102" s="17" t="n">
        <x:v>10701.47</x:v>
      </x:c>
      <x:c r="I102" s="13" t="str">
        <x:v>Gestor da área</x:v>
      </x:c>
      <x:c r="J102" s="13" t="str">
        <x:v>Pago</x:v>
      </x:c>
      <x:c r="K102" s="13" t="str">
        <x:v>Base controlada</x:v>
      </x:c>
      <x:c r="L102" s="17" t="n">
        <x:f>H102-G102</x:f>
        <x:v>354.53999999999905</x:v>
      </x:c>
      <x:c r="M102" s="19" t="n">
        <x:f>IFERROR(L102/G102,0)</x:f>
        <x:v>0.034265236161837284</x:v>
      </x:c>
      <x:c r="N102" s="13" t="n">
        <x:f>D102-C102</x:f>
        <x:v>0</x:v>
      </x:c>
    </x:row>
    <x:row r="103">
      <x:c r="A103" s="13" t="str">
        <x:v>PAG-000102</x:v>
      </x:c>
      <x:c r="B103" s="23" t="n">
        <x:v>45369</x:v>
      </x:c>
      <x:c r="C103" s="23" t="n">
        <x:v>45389</x:v>
      </x:c>
      <x:c r="D103" s="23" t="n">
        <x:v>45387</x:v>
      </x:c>
      <x:c r="E103" s="13" t="str">
        <x:v>WorkSpace</x:v>
      </x:c>
      <x:c r="F103" s="13" t="str">
        <x:v>Locação</x:v>
      </x:c>
      <x:c r="G103" s="17" t="n">
        <x:v>3727.19</x:v>
      </x:c>
      <x:c r="H103" s="17" t="n">
        <x:v>3833.72</x:v>
      </x:c>
      <x:c r="I103" s="13" t="str">
        <x:v>Diretoria</x:v>
      </x:c>
      <x:c r="J103" s="13" t="str">
        <x:v>Pago</x:v>
      </x:c>
      <x:c r="K103" s="13" t="str">
        <x:v>Base controlada</x:v>
      </x:c>
      <x:c r="L103" s="17" t="n">
        <x:f>H103-G103</x:f>
        <x:v>106.52999999999975</x:v>
      </x:c>
      <x:c r="M103" s="19" t="n">
        <x:f>IFERROR(L103/G103,0)</x:f>
        <x:v>0.028581853889927733</x:v>
      </x:c>
      <x:c r="N103" s="13" t="n">
        <x:f>D103-C103</x:f>
        <x:v>-2</x:v>
      </x:c>
    </x:row>
    <x:row r="104">
      <x:c r="A104" s="13" t="str">
        <x:v>PAG-000103</x:v>
      </x:c>
      <x:c r="B104" s="23" t="n">
        <x:v>45364</x:v>
      </x:c>
      <x:c r="C104" s="23" t="n">
        <x:v>45384</x:v>
      </x:c>
      <x:c r="D104" s="23" t="n">
        <x:v>45382</x:v>
      </x:c>
      <x:c r="E104" s="13" t="str">
        <x:v>Office Prime</x:v>
      </x:c>
      <x:c r="F104" s="13" t="str">
        <x:v>Escritório</x:v>
      </x:c>
      <x:c r="G104" s="17" t="n">
        <x:v>2526.96</x:v>
      </x:c>
      <x:c r="H104" s="17" t="n">
        <x:v>2543.4</x:v>
      </x:c>
      <x:c r="I104" s="13" t="str">
        <x:v>Diretoria</x:v>
      </x:c>
      <x:c r="J104" s="13" t="str">
        <x:v>Pago</x:v>
      </x:c>
      <x:c r="K104" s="13" t="str">
        <x:v>Base controlada</x:v>
      </x:c>
      <x:c r="L104" s="17" t="n">
        <x:f>H104-G104</x:f>
        <x:v>16.440000000000055</x:v>
      </x:c>
      <x:c r="M104" s="19" t="n">
        <x:f>IFERROR(L104/G104,0)</x:f>
        <x:v>0.0065058410105423336</x:v>
      </x:c>
      <x:c r="N104" s="13" t="n">
        <x:f>D104-C104</x:f>
        <x:v>-2</x:v>
      </x:c>
    </x:row>
    <x:row r="105">
      <x:c r="A105" s="13" t="str">
        <x:v>PAG-000104</x:v>
      </x:c>
      <x:c r="B105" s="23" t="n">
        <x:v>45353</x:v>
      </x:c>
      <x:c r="C105" s="23" t="n">
        <x:v>45383</x:v>
      </x:c>
      <x:c r="D105" s="23" t="n">
        <x:v>45382</x:v>
      </x:c>
      <x:c r="E105" s="13" t="str">
        <x:v>EducaPro</x:v>
      </x:c>
      <x:c r="F105" s="13" t="str">
        <x:v>Treinamentos</x:v>
      </x:c>
      <x:c r="G105" s="17" t="n">
        <x:v>31460.05</x:v>
      </x:c>
      <x:c r="H105" s="17" t="n">
        <x:v>31360.05</x:v>
      </x:c>
      <x:c r="I105" s="13" t="str">
        <x:v>Gestor da área</x:v>
      </x:c>
      <x:c r="J105" s="13" t="str">
        <x:v>Pago</x:v>
      </x:c>
      <x:c r="K105" s="13" t="str">
        <x:v>Base controlada</x:v>
      </x:c>
      <x:c r="L105" s="17" t="n">
        <x:f>H105-G105</x:f>
        <x:v>-100</x:v>
      </x:c>
      <x:c r="M105" s="19" t="n">
        <x:f>IFERROR(L105/G105,0)</x:f>
        <x:v>-0.0031786344904092653</x:v>
      </x:c>
      <x:c r="N105" s="13" t="n">
        <x:f>D105-C105</x:f>
        <x:v>-1</x:v>
      </x:c>
    </x:row>
    <x:row r="106">
      <x:c r="A106" s="13" t="str">
        <x:v>PAG-000105</x:v>
      </x:c>
      <x:c r="B106" s="23" t="n">
        <x:v>45364</x:v>
      </x:c>
      <x:c r="C106" s="23" t="n">
        <x:v>45384</x:v>
      </x:c>
      <x:c r="D106" s="23" t="n">
        <x:v>45384</x:v>
      </x:c>
      <x:c r="E106" s="13" t="str">
        <x:v>MarketLab</x:v>
      </x:c>
      <x:c r="F106" s="13" t="str">
        <x:v>Marketing</x:v>
      </x:c>
      <x:c r="G106" s="17" t="n">
        <x:v>9263.15</x:v>
      </x:c>
      <x:c r="H106" s="17" t="n">
        <x:v>9447.61</x:v>
      </x:c>
      <x:c r="I106" s="13" t="str">
        <x:v>Gestor da área</x:v>
      </x:c>
      <x:c r="J106" s="13" t="str">
        <x:v>Pago</x:v>
      </x:c>
      <x:c r="K106" s="13" t="str">
        <x:v>Base controlada</x:v>
      </x:c>
      <x:c r="L106" s="17" t="n">
        <x:f>H106-G106</x:f>
        <x:v>184.46000000000095</x:v>
      </x:c>
      <x:c r="M106" s="19" t="n">
        <x:f>IFERROR(L106/G106,0)</x:f>
        <x:v>0.019913312426118646</x:v>
      </x:c>
      <x:c r="N106" s="13" t="n">
        <x:f>D106-C106</x:f>
        <x:v>0</x:v>
      </x:c>
    </x:row>
    <x:row r="107">
      <x:c r="A107" s="13" t="str">
        <x:v>PAG-000106</x:v>
      </x:c>
      <x:c r="B107" s="23" t="n">
        <x:v>45361</x:v>
      </x:c>
      <x:c r="C107" s="23" t="n">
        <x:v>45381</x:v>
      </x:c>
      <x:c r="D107" s="23" t="n">
        <x:v>45378</x:v>
      </x:c>
      <x:c r="E107" s="13" t="str">
        <x:v>LegalMais</x:v>
      </x:c>
      <x:c r="F107" s="13" t="str">
        <x:v>Jurídico</x:v>
      </x:c>
      <x:c r="G107" s="17" t="n">
        <x:v>19416.6</x:v>
      </x:c>
      <x:c r="H107" s="17" t="n">
        <x:v>19737.32</x:v>
      </x:c>
      <x:c r="I107" s="13" t="str">
        <x:v>Diretoria</x:v>
      </x:c>
      <x:c r="J107" s="13" t="str">
        <x:v>Pago</x:v>
      </x:c>
      <x:c r="K107" s="13" t="str">
        <x:v>Base controlada</x:v>
      </x:c>
      <x:c r="L107" s="17" t="n">
        <x:f>H107-G107</x:f>
        <x:v>320.72000000000116</x:v>
      </x:c>
      <x:c r="M107" s="19" t="n">
        <x:f>IFERROR(L107/G107,0)</x:f>
        <x:v>0.016517824953905483</x:v>
      </x:c>
      <x:c r="N107" s="13" t="n">
        <x:f>D107-C107</x:f>
        <x:v>-3</x:v>
      </x:c>
    </x:row>
    <x:row r="108">
      <x:c r="A108" s="13" t="str">
        <x:v>PAG-000107</x:v>
      </x:c>
      <x:c r="B108" s="23" t="n">
        <x:v>45359</x:v>
      </x:c>
      <x:c r="C108" s="23" t="n">
        <x:v>45366</x:v>
      </x:c>
      <x:c r="D108" s="23" t="n">
        <x:v>45363</x:v>
      </x:c>
      <x:c r="E108" s="13" t="str">
        <x:v>WorkSpace</x:v>
      </x:c>
      <x:c r="F108" s="13" t="str">
        <x:v>Locação</x:v>
      </x:c>
      <x:c r="G108" s="17" t="n">
        <x:v>14084.51</x:v>
      </x:c>
      <x:c r="H108" s="17" t="n">
        <x:v>13744.04</x:v>
      </x:c>
      <x:c r="I108" s="13" t="str">
        <x:v>Gestor da área</x:v>
      </x:c>
      <x:c r="J108" s="13" t="str">
        <x:v>Pago</x:v>
      </x:c>
      <x:c r="K108" s="13" t="str">
        <x:v>Base controlada</x:v>
      </x:c>
      <x:c r="L108" s="17" t="n">
        <x:f>H108-G108</x:f>
        <x:v>-340.46999999999935</x:v>
      </x:c>
      <x:c r="M108" s="19" t="n">
        <x:f>IFERROR(L108/G108,0)</x:f>
        <x:v>-0.02417336492359332</x:v>
      </x:c>
      <x:c r="N108" s="13" t="n">
        <x:f>D108-C108</x:f>
        <x:v>-3</x:v>
      </x:c>
    </x:row>
    <x:row r="109">
      <x:c r="A109" s="13" t="str">
        <x:v>PAG-000108</x:v>
      </x:c>
      <x:c r="B109" s="23" t="n">
        <x:v>45369</x:v>
      </x:c>
      <x:c r="C109" s="23" t="n">
        <x:v>45399</x:v>
      </x:c>
      <x:c r="D109" s="23" t="n">
        <x:v>45400</x:v>
      </x:c>
      <x:c r="E109" s="13" t="str">
        <x:v>PeopleHub</x:v>
      </x:c>
      <x:c r="F109" s="13" t="str">
        <x:v>Recursos Humanos</x:v>
      </x:c>
      <x:c r="G109" s="17" t="n">
        <x:v>1333.15</x:v>
      </x:c>
      <x:c r="H109" s="17" t="n">
        <x:v>1309.47</x:v>
      </x:c>
      <x:c r="I109" s="13" t="str">
        <x:v>Gestor da área</x:v>
      </x:c>
      <x:c r="J109" s="13" t="str">
        <x:v>Pago</x:v>
      </x:c>
      <x:c r="K109" s="13" t="str">
        <x:v>Base controlada</x:v>
      </x:c>
      <x:c r="L109" s="17" t="n">
        <x:f>H109-G109</x:f>
        <x:v>-23.680000000000064</x:v>
      </x:c>
      <x:c r="M109" s="19" t="n">
        <x:f>IFERROR(L109/G109,0)</x:f>
        <x:v>-0.01776244233582122</x:v>
      </x:c>
      <x:c r="N109" s="13" t="n">
        <x:f>D109-C109</x:f>
        <x:v>1</x:v>
      </x:c>
    </x:row>
    <x:row r="110">
      <x:c r="A110" s="13" t="str">
        <x:v>PAG-000109</x:v>
      </x:c>
      <x:c r="B110" s="23" t="n">
        <x:v>45357</x:v>
      </x:c>
      <x:c r="C110" s="23" t="n">
        <x:v>45372</x:v>
      </x:c>
      <x:c r="D110" s="23" t="n">
        <x:v>45370</x:v>
      </x:c>
      <x:c r="E110" s="13" t="str">
        <x:v>MarketLab</x:v>
      </x:c>
      <x:c r="F110" s="13" t="str">
        <x:v>Marketing</x:v>
      </x:c>
      <x:c r="G110" s="17" t="n">
        <x:v>27334.13</x:v>
      </x:c>
      <x:c r="H110" s="17" t="n">
        <x:v>27225.58</x:v>
      </x:c>
      <x:c r="I110" s="13" t="str">
        <x:v>Gestor da área</x:v>
      </x:c>
      <x:c r="J110" s="13" t="str">
        <x:v>Pago</x:v>
      </x:c>
      <x:c r="K110" s="13" t="str">
        <x:v>Base controlada</x:v>
      </x:c>
      <x:c r="L110" s="17" t="n">
        <x:f>H110-G110</x:f>
        <x:v>-108.54999999999927</x:v>
      </x:c>
      <x:c r="M110" s="19" t="n">
        <x:f>IFERROR(L110/G110,0)</x:f>
        <x:v>-0.003971225716713839</x:v>
      </x:c>
      <x:c r="N110" s="13" t="n">
        <x:f>D110-C110</x:f>
        <x:v>-2</x:v>
      </x:c>
    </x:row>
    <x:row r="111">
      <x:c r="A111" s="13" t="str">
        <x:v>PAG-000110</x:v>
      </x:c>
      <x:c r="B111" s="23" t="n">
        <x:v>45361</x:v>
      </x:c>
      <x:c r="C111" s="23" t="n">
        <x:v>45376</x:v>
      </x:c>
      <x:c r="D111" s="23" t="n">
        <x:v>45374</x:v>
      </x:c>
      <x:c r="E111" s="13" t="str">
        <x:v>Insight BI</x:v>
      </x:c>
      <x:c r="F111" s="13" t="str">
        <x:v>Dados e Analytics</x:v>
      </x:c>
      <x:c r="G111" s="17" t="n">
        <x:v>15474.75</x:v>
      </x:c>
      <x:c r="H111" s="17" t="n">
        <x:v>15377</x:v>
      </x:c>
      <x:c r="I111" s="13" t="str">
        <x:v>Gestor da área</x:v>
      </x:c>
      <x:c r="J111" s="13" t="str">
        <x:v>Pago</x:v>
      </x:c>
      <x:c r="K111" s="13" t="str">
        <x:v>Base controlada</x:v>
      </x:c>
      <x:c r="L111" s="17" t="n">
        <x:f>H111-G111</x:f>
        <x:v>-97.75</x:v>
      </x:c>
      <x:c r="M111" s="19" t="n">
        <x:f>IFERROR(L111/G111,0)</x:f>
        <x:v>-0.0063167417890434415</x:v>
      </x:c>
      <x:c r="N111" s="13" t="n">
        <x:f>D111-C111</x:f>
        <x:v>-2</x:v>
      </x:c>
    </x:row>
    <x:row r="112">
      <x:c r="A112" s="13" t="str">
        <x:v>PAG-000111</x:v>
      </x:c>
      <x:c r="B112" s="23" t="n">
        <x:v>45358</x:v>
      </x:c>
      <x:c r="C112" s="23" t="n">
        <x:v>45373</x:v>
      </x:c>
      <x:c r="D112" s="23" t="n">
        <x:v>45373</x:v>
      </x:c>
      <x:c r="E112" s="13" t="str">
        <x:v>PeopleHub</x:v>
      </x:c>
      <x:c r="F112" s="13" t="str">
        <x:v>Recursos Humanos</x:v>
      </x:c>
      <x:c r="G112" s="17" t="n">
        <x:v>15985.31</x:v>
      </x:c>
      <x:c r="H112" s="17" t="n">
        <x:v>16181.08</x:v>
      </x:c>
      <x:c r="I112" s="13" t="str">
        <x:v>Financeiro</x:v>
      </x:c>
      <x:c r="J112" s="13" t="str">
        <x:v>Pago</x:v>
      </x:c>
      <x:c r="K112" s="13" t="str">
        <x:v>Base controlada</x:v>
      </x:c>
      <x:c r="L112" s="17" t="n">
        <x:f>H112-G112</x:f>
        <x:v>195.77000000000044</x:v>
      </x:c>
      <x:c r="M112" s="19" t="n">
        <x:f>IFERROR(L112/G112,0)</x:f>
        <x:v>0.012246869156744564</x:v>
      </x:c>
      <x:c r="N112" s="13" t="n">
        <x:f>D112-C112</x:f>
        <x:v>0</x:v>
      </x:c>
    </x:row>
    <x:row r="113">
      <x:c r="A113" s="13" t="str">
        <x:v>PAG-000112</x:v>
      </x:c>
      <x:c r="B113" s="23" t="n">
        <x:v>45358</x:v>
      </x:c>
      <x:c r="C113" s="23" t="n">
        <x:v>45378</x:v>
      </x:c>
      <x:c r="D113" s="23" t="n">
        <x:v>45376</x:v>
      </x:c>
      <x:c r="E113" s="13" t="str">
        <x:v>WorkSpace</x:v>
      </x:c>
      <x:c r="F113" s="13" t="str">
        <x:v>Locação</x:v>
      </x:c>
      <x:c r="G113" s="17" t="n">
        <x:v>22702.91</x:v>
      </x:c>
      <x:c r="H113" s="17" t="n">
        <x:v>21946.83</x:v>
      </x:c>
      <x:c r="I113" s="13" t="str">
        <x:v>Financeiro</x:v>
      </x:c>
      <x:c r="J113" s="13" t="str">
        <x:v>Pago</x:v>
      </x:c>
      <x:c r="K113" s="13" t="str">
        <x:v>Base controlada</x:v>
      </x:c>
      <x:c r="L113" s="17" t="n">
        <x:f>H113-G113</x:f>
        <x:v>-756.0799999999981</x:v>
      </x:c>
      <x:c r="M113" s="19" t="n">
        <x:f>IFERROR(L113/G113,0)</x:f>
        <x:v>-0.03330321971941034</x:v>
      </x:c>
      <x:c r="N113" s="13" t="n">
        <x:f>D113-C113</x:f>
        <x:v>-2</x:v>
      </x:c>
    </x:row>
    <x:row r="114">
      <x:c r="A114" s="13" t="str">
        <x:v>PAG-000113</x:v>
      </x:c>
      <x:c r="B114" s="23" t="n">
        <x:v>45355</x:v>
      </x:c>
      <x:c r="C114" s="23" t="n">
        <x:v>45370</x:v>
      </x:c>
      <x:c r="D114" s="23" t="n">
        <x:v>45370</x:v>
      </x:c>
      <x:c r="E114" s="13" t="str">
        <x:v>Conta Certa</x:v>
      </x:c>
      <x:c r="F114" s="13" t="str">
        <x:v>Contabilidade</x:v>
      </x:c>
      <x:c r="G114" s="17" t="n">
        <x:v>1409.34</x:v>
      </x:c>
      <x:c r="H114" s="17" t="n">
        <x:v>1395.71</x:v>
      </x:c>
      <x:c r="I114" s="13" t="str">
        <x:v>Diretoria</x:v>
      </x:c>
      <x:c r="J114" s="13" t="str">
        <x:v>Pago</x:v>
      </x:c>
      <x:c r="K114" s="13" t="str">
        <x:v>Base controlada</x:v>
      </x:c>
      <x:c r="L114" s="17" t="n">
        <x:f>H114-G114</x:f>
        <x:v>-13.629999999999882</x:v>
      </x:c>
      <x:c r="M114" s="19" t="n">
        <x:f>IFERROR(L114/G114,0)</x:f>
        <x:v>-0.0096711936083556</x:v>
      </x:c>
      <x:c r="N114" s="13" t="n">
        <x:f>D114-C114</x:f>
        <x:v>0</x:v>
      </x:c>
    </x:row>
    <x:row r="115">
      <x:c r="A115" s="13" t="str">
        <x:v>PAG-000114</x:v>
      </x:c>
      <x:c r="B115" s="23" t="n">
        <x:v>45359</x:v>
      </x:c>
      <x:c r="C115" s="23" t="n">
        <x:v>45374</x:v>
      </x:c>
      <x:c r="D115" s="23" t="n">
        <x:v>45373</x:v>
      </x:c>
      <x:c r="E115" s="13" t="str">
        <x:v>WorkSpace</x:v>
      </x:c>
      <x:c r="F115" s="13" t="str">
        <x:v>Locação</x:v>
      </x:c>
      <x:c r="G115" s="17" t="n">
        <x:v>24148.18</x:v>
      </x:c>
      <x:c r="H115" s="17" t="n">
        <x:v>24831.41</x:v>
      </x:c>
      <x:c r="I115" s="13" t="str">
        <x:v>Financeiro</x:v>
      </x:c>
      <x:c r="J115" s="13" t="str">
        <x:v>Pago</x:v>
      </x:c>
      <x:c r="K115" s="13" t="str">
        <x:v>Base controlada</x:v>
      </x:c>
      <x:c r="L115" s="17" t="n">
        <x:f>H115-G115</x:f>
        <x:v>683.2299999999996</x:v>
      </x:c>
      <x:c r="M115" s="19" t="n">
        <x:f>IFERROR(L115/G115,0)</x:f>
        <x:v>0.02829322955187511</x:v>
      </x:c>
      <x:c r="N115" s="13" t="n">
        <x:f>D115-C115</x:f>
        <x:v>-1</x:v>
      </x:c>
    </x:row>
    <x:row r="116">
      <x:c r="A116" s="13" t="str">
        <x:v>PAG-000115</x:v>
      </x:c>
      <x:c r="B116" s="23" t="n">
        <x:v>45365</x:v>
      </x:c>
      <x:c r="C116" s="23" t="n">
        <x:v>45372</x:v>
      </x:c>
      <x:c r="D116" s="23" t="n">
        <x:v>45370</x:v>
      </x:c>
      <x:c r="E116" s="13" t="str">
        <x:v>LegalMais</x:v>
      </x:c>
      <x:c r="F116" s="13" t="str">
        <x:v>Jurídico</x:v>
      </x:c>
      <x:c r="G116" s="17" t="n">
        <x:v>27566.99</x:v>
      </x:c>
      <x:c r="H116" s="17" t="n">
        <x:v>28222.64</x:v>
      </x:c>
      <x:c r="I116" s="13" t="str">
        <x:v>Gestor da área</x:v>
      </x:c>
      <x:c r="J116" s="13" t="str">
        <x:v>Pago</x:v>
      </x:c>
      <x:c r="K116" s="13" t="str">
        <x:v>Base controlada</x:v>
      </x:c>
      <x:c r="L116" s="17" t="n">
        <x:f>H116-G116</x:f>
        <x:v>655.6499999999978</x:v>
      </x:c>
      <x:c r="M116" s="19" t="n">
        <x:f>IFERROR(L116/G116,0)</x:f>
        <x:v>0.023783880648558214</x:v>
      </x:c>
      <x:c r="N116" s="13" t="n">
        <x:f>D116-C116</x:f>
        <x:v>-2</x:v>
      </x:c>
    </x:row>
    <x:row r="117">
      <x:c r="A117" s="13" t="str">
        <x:v>PAG-000116</x:v>
      </x:c>
      <x:c r="B117" s="23" t="n">
        <x:v>45369</x:v>
      </x:c>
      <x:c r="C117" s="23" t="n">
        <x:v>45389</x:v>
      </x:c>
      <x:c r="D117" s="23" t="n">
        <x:v>45390</x:v>
      </x:c>
      <x:c r="E117" s="13" t="str">
        <x:v>Conta Certa</x:v>
      </x:c>
      <x:c r="F117" s="13" t="str">
        <x:v>Contabilidade</x:v>
      </x:c>
      <x:c r="G117" s="17" t="n">
        <x:v>11229.39</x:v>
      </x:c>
      <x:c r="H117" s="17" t="n">
        <x:v>11696.16</x:v>
      </x:c>
      <x:c r="I117" s="13" t="str">
        <x:v>Financeiro</x:v>
      </x:c>
      <x:c r="J117" s="13" t="str">
        <x:v>Pago</x:v>
      </x:c>
      <x:c r="K117" s="13" t="str">
        <x:v>Base controlada</x:v>
      </x:c>
      <x:c r="L117" s="17" t="n">
        <x:f>H117-G117</x:f>
        <x:v>466.77000000000044</x:v>
      </x:c>
      <x:c r="M117" s="19" t="n">
        <x:f>IFERROR(L117/G117,0)</x:f>
        <x:v>0.041566817075549115</x:v>
      </x:c>
      <x:c r="N117" s="13" t="n">
        <x:f>D117-C117</x:f>
        <x:v>1</x:v>
      </x:c>
    </x:row>
    <x:row r="118">
      <x:c r="A118" s="13" t="str">
        <x:v>PAG-000117</x:v>
      </x:c>
      <x:c r="B118" s="23" t="n">
        <x:v>45361</x:v>
      </x:c>
      <x:c r="C118" s="23" t="n">
        <x:v>45368</x:v>
      </x:c>
      <x:c r="D118" s="23" t="n">
        <x:v>45365</x:v>
      </x:c>
      <x:c r="E118" s="13" t="str">
        <x:v>DataSafe</x:v>
      </x:c>
      <x:c r="F118" s="13" t="str">
        <x:v>Segurança da informação</x:v>
      </x:c>
      <x:c r="G118" s="17" t="n">
        <x:v>12085.39</x:v>
      </x:c>
      <x:c r="H118" s="17" t="n">
        <x:v>12025.34</x:v>
      </x:c>
      <x:c r="I118" s="13" t="str">
        <x:v>Gestor da área</x:v>
      </x:c>
      <x:c r="J118" s="13" t="str">
        <x:v>Pago</x:v>
      </x:c>
      <x:c r="K118" s="13" t="str">
        <x:v>Base controlada</x:v>
      </x:c>
      <x:c r="L118" s="17" t="n">
        <x:f>H118-G118</x:f>
        <x:v>-60.04999999999927</x:v>
      </x:c>
      <x:c r="M118" s="19" t="n">
        <x:f>IFERROR(L118/G118,0)</x:f>
        <x:v>-0.0049688094467782405</x:v>
      </x:c>
      <x:c r="N118" s="13" t="n">
        <x:f>D118-C118</x:f>
        <x:v>-3</x:v>
      </x:c>
    </x:row>
    <x:row r="119">
      <x:c r="A119" s="13" t="str">
        <x:v>PAG-000118</x:v>
      </x:c>
      <x:c r="B119" s="23" t="n">
        <x:v>45370</x:v>
      </x:c>
      <x:c r="C119" s="23" t="n">
        <x:v>45377</x:v>
      </x:c>
      <x:c r="D119" s="23" t="n">
        <x:v>45378</x:v>
      </x:c>
      <x:c r="E119" s="13" t="str">
        <x:v>WorkSpace</x:v>
      </x:c>
      <x:c r="F119" s="13" t="str">
        <x:v>Locação</x:v>
      </x:c>
      <x:c r="G119" s="17" t="n">
        <x:v>7665.6</x:v>
      </x:c>
      <x:c r="H119" s="17" t="n">
        <x:v>7565.17</x:v>
      </x:c>
      <x:c r="I119" s="13" t="str">
        <x:v>Gestor da área</x:v>
      </x:c>
      <x:c r="J119" s="13" t="str">
        <x:v>Pago</x:v>
      </x:c>
      <x:c r="K119" s="13" t="str">
        <x:v>Base controlada</x:v>
      </x:c>
      <x:c r="L119" s="17" t="n">
        <x:f>H119-G119</x:f>
        <x:v>-100.43000000000029</x:v>
      </x:c>
      <x:c r="M119" s="19" t="n">
        <x:f>IFERROR(L119/G119,0)</x:f>
        <x:v>-0.01310138801920271</x:v>
      </x:c>
      <x:c r="N119" s="13" t="n">
        <x:f>D119-C119</x:f>
        <x:v>1</x:v>
      </x:c>
    </x:row>
    <x:row r="120">
      <x:c r="A120" s="13" t="str">
        <x:v>PAG-000119</x:v>
      </x:c>
      <x:c r="B120" s="23" t="n">
        <x:v>45369</x:v>
      </x:c>
      <x:c r="C120" s="23" t="n">
        <x:v>45389</x:v>
      </x:c>
      <x:c r="D120" s="23" t="n">
        <x:v>45390</x:v>
      </x:c>
      <x:c r="E120" s="13" t="str">
        <x:v>MarketLab</x:v>
      </x:c>
      <x:c r="F120" s="13" t="str">
        <x:v>Marketing</x:v>
      </x:c>
      <x:c r="G120" s="17" t="n">
        <x:v>8270.06</x:v>
      </x:c>
      <x:c r="H120" s="17" t="n">
        <x:v>8531.72</x:v>
      </x:c>
      <x:c r="I120" s="13" t="str">
        <x:v>Financeiro</x:v>
      </x:c>
      <x:c r="J120" s="13" t="str">
        <x:v>Pago</x:v>
      </x:c>
      <x:c r="K120" s="13" t="str">
        <x:v>Base controlada</x:v>
      </x:c>
      <x:c r="L120" s="17" t="n">
        <x:f>H120-G120</x:f>
        <x:v>261.65999999999985</x:v>
      </x:c>
      <x:c r="M120" s="19" t="n">
        <x:f>IFERROR(L120/G120,0)</x:f>
        <x:v>0.03163943187836604</x:v>
      </x:c>
      <x:c r="N120" s="13" t="n">
        <x:f>D120-C120</x:f>
        <x:v>1</x:v>
      </x:c>
    </x:row>
    <x:row r="121">
      <x:c r="A121" s="13" t="str">
        <x:v>PAG-000120</x:v>
      </x:c>
      <x:c r="B121" s="23" t="n">
        <x:v>45361</x:v>
      </x:c>
      <x:c r="C121" s="23" t="n">
        <x:v>45376</x:v>
      </x:c>
      <x:c r="D121" s="23" t="n">
        <x:v>45373</x:v>
      </x:c>
      <x:c r="E121" s="13" t="str">
        <x:v>Conta Certa</x:v>
      </x:c>
      <x:c r="F121" s="13" t="str">
        <x:v>Contabilidade</x:v>
      </x:c>
      <x:c r="G121" s="17" t="n">
        <x:v>10086.61</x:v>
      </x:c>
      <x:c r="H121" s="17" t="n">
        <x:v>9867.52</x:v>
      </x:c>
      <x:c r="I121" s="13" t="str">
        <x:v>Gestor da área</x:v>
      </x:c>
      <x:c r="J121" s="13" t="str">
        <x:v>Pago</x:v>
      </x:c>
      <x:c r="K121" s="13" t="str">
        <x:v>Base controlada</x:v>
      </x:c>
      <x:c r="L121" s="17" t="n">
        <x:f>H121-G121</x:f>
        <x:v>-219.09000000000015</x:v>
      </x:c>
      <x:c r="M121" s="19" t="n">
        <x:f>IFERROR(L121/G121,0)</x:f>
        <x:v>-0.021720875497317743</x:v>
      </x:c>
      <x:c r="N121" s="13" t="n">
        <x:f>D121-C121</x:f>
        <x:v>-3</x:v>
      </x:c>
    </x:row>
    <x:row r="122">
      <x:c r="A122" s="13" t="str">
        <x:v>PAG-000121</x:v>
      </x:c>
      <x:c r="B122" s="23" t="n">
        <x:v>45366</x:v>
      </x:c>
      <x:c r="C122" s="23" t="n">
        <x:v>45396</x:v>
      </x:c>
      <x:c r="D122" s="23" t="n">
        <x:v>45397</x:v>
      </x:c>
      <x:c r="E122" s="13" t="str">
        <x:v>Conta Certa</x:v>
      </x:c>
      <x:c r="F122" s="13" t="str">
        <x:v>Contabilidade</x:v>
      </x:c>
      <x:c r="G122" s="17" t="n">
        <x:v>21015.06</x:v>
      </x:c>
      <x:c r="H122" s="17" t="n">
        <x:v>20519.96</x:v>
      </x:c>
      <x:c r="I122" s="13" t="str">
        <x:v>Financeiro</x:v>
      </x:c>
      <x:c r="J122" s="13" t="str">
        <x:v>Pago</x:v>
      </x:c>
      <x:c r="K122" s="13" t="str">
        <x:v>Base controlada</x:v>
      </x:c>
      <x:c r="L122" s="17" t="n">
        <x:f>H122-G122</x:f>
        <x:v>-495.1000000000022</x:v>
      </x:c>
      <x:c r="M122" s="19" t="n">
        <x:f>IFERROR(L122/G122,0)</x:f>
        <x:v>-0.023559295095993166</x:v>
      </x:c>
      <x:c r="N122" s="13" t="n">
        <x:f>D122-C122</x:f>
        <x:v>1</x:v>
      </x:c>
    </x:row>
    <x:row r="123">
      <x:c r="A123" s="13" t="str">
        <x:v>PAG-000122</x:v>
      </x:c>
      <x:c r="B123" s="23" t="n">
        <x:v>45370</x:v>
      </x:c>
      <x:c r="C123" s="23" t="n">
        <x:v>45400</x:v>
      </x:c>
      <x:c r="D123" s="23" t="n">
        <x:v>45399</x:v>
      </x:c>
      <x:c r="E123" s="13" t="str">
        <x:v>PeopleHub</x:v>
      </x:c>
      <x:c r="F123" s="13" t="str">
        <x:v>Recursos Humanos</x:v>
      </x:c>
      <x:c r="G123" s="17" t="n">
        <x:v>24853.46</x:v>
      </x:c>
      <x:c r="H123" s="17" t="n">
        <x:v>25015.54</x:v>
      </x:c>
      <x:c r="I123" s="13" t="str">
        <x:v>Diretoria</x:v>
      </x:c>
      <x:c r="J123" s="13" t="str">
        <x:v>Pago</x:v>
      </x:c>
      <x:c r="K123" s="13" t="str">
        <x:v>Base controlada</x:v>
      </x:c>
      <x:c r="L123" s="17" t="n">
        <x:f>H123-G123</x:f>
        <x:v>162.08000000000175</x:v>
      </x:c>
      <x:c r="M123" s="19" t="n">
        <x:f>IFERROR(L123/G123,0)</x:f>
        <x:v>0.006521425990586492</x:v>
      </x:c>
      <x:c r="N123" s="13" t="n">
        <x:f>D123-C123</x:f>
        <x:v>-1</x:v>
      </x:c>
    </x:row>
    <x:row r="124">
      <x:c r="A124" s="13" t="str">
        <x:v>PAG-000123</x:v>
      </x:c>
      <x:c r="B124" s="23" t="n">
        <x:v>45360</x:v>
      </x:c>
      <x:c r="C124" s="23" t="n">
        <x:v>45390</x:v>
      </x:c>
      <x:c r="D124" s="23" t="n">
        <x:v>45389</x:v>
      </x:c>
      <x:c r="E124" s="13" t="str">
        <x:v>WorkSpace</x:v>
      </x:c>
      <x:c r="F124" s="13" t="str">
        <x:v>Locação</x:v>
      </x:c>
      <x:c r="G124" s="17" t="n">
        <x:v>10702.44</x:v>
      </x:c>
      <x:c r="H124" s="17" t="n">
        <x:v>10499.66</x:v>
      </x:c>
      <x:c r="I124" s="13" t="str">
        <x:v>Diretoria</x:v>
      </x:c>
      <x:c r="J124" s="13" t="str">
        <x:v>Pago</x:v>
      </x:c>
      <x:c r="K124" s="13" t="str">
        <x:v>Base controlada</x:v>
      </x:c>
      <x:c r="L124" s="17" t="n">
        <x:f>H124-G124</x:f>
        <x:v>-202.78000000000065</x:v>
      </x:c>
      <x:c r="M124" s="19" t="n">
        <x:f>IFERROR(L124/G124,0)</x:f>
        <x:v>-0.01894708122633723</x:v>
      </x:c>
      <x:c r="N124" s="13" t="n">
        <x:f>D124-C124</x:f>
        <x:v>-1</x:v>
      </x:c>
    </x:row>
    <x:row r="125">
      <x:c r="A125" s="13" t="str">
        <x:v>PAG-000124</x:v>
      </x:c>
      <x:c r="B125" s="23" t="n">
        <x:v>45357</x:v>
      </x:c>
      <x:c r="C125" s="23" t="n">
        <x:v>45387</x:v>
      </x:c>
      <x:c r="D125" s="23" t="n">
        <x:v>45385</x:v>
      </x:c>
      <x:c r="E125" s="13" t="str">
        <x:v>Banco Integra</x:v>
      </x:c>
      <x:c r="F125" s="13" t="str">
        <x:v>Serviços bancários</x:v>
      </x:c>
      <x:c r="G125" s="17" t="n">
        <x:v>7238.5</x:v>
      </x:c>
      <x:c r="H125" s="17" t="n">
        <x:v>7163.63</x:v>
      </x:c>
      <x:c r="I125" s="13" t="str">
        <x:v>Diretoria</x:v>
      </x:c>
      <x:c r="J125" s="13" t="str">
        <x:v>Pago</x:v>
      </x:c>
      <x:c r="K125" s="13" t="str">
        <x:v>Base controlada</x:v>
      </x:c>
      <x:c r="L125" s="17" t="n">
        <x:f>H125-G125</x:f>
        <x:v>-74.86999999999989</x:v>
      </x:c>
      <x:c r="M125" s="19" t="n">
        <x:f>IFERROR(L125/G125,0)</x:f>
        <x:v>-0.010343303170546369</x:v>
      </x:c>
      <x:c r="N125" s="13" t="n">
        <x:f>D125-C125</x:f>
        <x:v>-2</x:v>
      </x:c>
    </x:row>
    <x:row r="126">
      <x:c r="A126" s="13" t="str">
        <x:v>PAG-000125</x:v>
      </x:c>
      <x:c r="B126" s="23" t="n">
        <x:v>45353</x:v>
      </x:c>
      <x:c r="C126" s="23" t="n">
        <x:v>45383</x:v>
      </x:c>
      <x:c r="D126" s="23" t="n">
        <x:v>45383</x:v>
      </x:c>
      <x:c r="E126" s="13" t="str">
        <x:v>Conta Certa</x:v>
      </x:c>
      <x:c r="F126" s="13" t="str">
        <x:v>Contabilidade</x:v>
      </x:c>
      <x:c r="G126" s="17" t="n">
        <x:v>18905.99</x:v>
      </x:c>
      <x:c r="H126" s="17" t="n">
        <x:v>18501.49</x:v>
      </x:c>
      <x:c r="I126" s="13" t="str">
        <x:v>Financeiro</x:v>
      </x:c>
      <x:c r="J126" s="13" t="str">
        <x:v>Pago</x:v>
      </x:c>
      <x:c r="K126" s="13" t="str">
        <x:v>Base controlada</x:v>
      </x:c>
      <x:c r="L126" s="17" t="n">
        <x:f>H126-G126</x:f>
        <x:v>-404.5</x:v>
      </x:c>
      <x:c r="M126" s="19" t="n">
        <x:f>IFERROR(L126/G126,0)</x:f>
        <x:v>-0.02139533555238313</x:v>
      </x:c>
      <x:c r="N126" s="13" t="n">
        <x:f>D126-C126</x:f>
        <x:v>0</x:v>
      </x:c>
    </x:row>
    <x:row r="127">
      <x:c r="A127" s="13" t="str">
        <x:v>PAG-000126</x:v>
      </x:c>
      <x:c r="B127" s="23" t="n">
        <x:v>45356</x:v>
      </x:c>
      <x:c r="C127" s="23" t="n">
        <x:v>45371</x:v>
      </x:c>
      <x:c r="D127" s="23" t="n">
        <x:v>45370</x:v>
      </x:c>
      <x:c r="E127" s="13" t="str">
        <x:v>NetLink</x:v>
      </x:c>
      <x:c r="F127" s="13" t="str">
        <x:v>Telecomunicações</x:v>
      </x:c>
      <x:c r="G127" s="17" t="n">
        <x:v>7126.78</x:v>
      </x:c>
      <x:c r="H127" s="17" t="n">
        <x:v>6951.64</x:v>
      </x:c>
      <x:c r="I127" s="13" t="str">
        <x:v>Gestor da área</x:v>
      </x:c>
      <x:c r="J127" s="13" t="str">
        <x:v>Pago</x:v>
      </x:c>
      <x:c r="K127" s="13" t="str">
        <x:v>Base controlada</x:v>
      </x:c>
      <x:c r="L127" s="17" t="n">
        <x:f>H127-G127</x:f>
        <x:v>-175.13999999999942</x:v>
      </x:c>
      <x:c r="M127" s="19" t="n">
        <x:f>IFERROR(L127/G127,0)</x:f>
        <x:v>-0.024574913214663485</x:v>
      </x:c>
      <x:c r="N127" s="13" t="n">
        <x:f>D127-C127</x:f>
        <x:v>-1</x:v>
      </x:c>
    </x:row>
    <x:row r="128">
      <x:c r="A128" s="13" t="str">
        <x:v>PAG-000127</x:v>
      </x:c>
      <x:c r="B128" s="23" t="n">
        <x:v>45386</x:v>
      </x:c>
      <x:c r="C128" s="23" t="n">
        <x:v>45393</x:v>
      </x:c>
      <x:c r="D128" s="23" t="n">
        <x:v>45390</x:v>
      </x:c>
      <x:c r="E128" s="13" t="str">
        <x:v>PeopleHub</x:v>
      </x:c>
      <x:c r="F128" s="13" t="str">
        <x:v>Recursos Humanos</x:v>
      </x:c>
      <x:c r="G128" s="17" t="n">
        <x:v>8069.62</x:v>
      </x:c>
      <x:c r="H128" s="17" t="n">
        <x:v>8067.1</x:v>
      </x:c>
      <x:c r="I128" s="13" t="str">
        <x:v>Gestor da área</x:v>
      </x:c>
      <x:c r="J128" s="13" t="str">
        <x:v>Pago</x:v>
      </x:c>
      <x:c r="K128" s="13" t="str">
        <x:v>Base controlada</x:v>
      </x:c>
      <x:c r="L128" s="17" t="n">
        <x:f>H128-G128</x:f>
        <x:v>-2.519999999999527</x:v>
      </x:c>
      <x:c r="M128" s="19" t="n">
        <x:f>IFERROR(L128/G128,0)</x:f>
        <x:v>-0.0003122823627382116</x:v>
      </x:c>
      <x:c r="N128" s="13" t="n">
        <x:f>D128-C128</x:f>
        <x:v>-3</x:v>
      </x:c>
    </x:row>
    <x:row r="129">
      <x:c r="A129" s="13" t="str">
        <x:v>PAG-000128</x:v>
      </x:c>
      <x:c r="B129" s="23" t="n">
        <x:v>45390</x:v>
      </x:c>
      <x:c r="C129" s="23" t="n">
        <x:v>45410</x:v>
      </x:c>
      <x:c r="D129" s="23" t="n">
        <x:v>45408</x:v>
      </x:c>
      <x:c r="E129" s="13" t="str">
        <x:v>EducaPro</x:v>
      </x:c>
      <x:c r="F129" s="13" t="str">
        <x:v>Treinamentos</x:v>
      </x:c>
      <x:c r="G129" s="17" t="n">
        <x:v>8523.26</x:v>
      </x:c>
      <x:c r="H129" s="17" t="n">
        <x:v>8888.17</x:v>
      </x:c>
      <x:c r="I129" s="13" t="str">
        <x:v>Gestor da área</x:v>
      </x:c>
      <x:c r="J129" s="13" t="str">
        <x:v>Pago</x:v>
      </x:c>
      <x:c r="K129" s="13" t="str">
        <x:v>Base controlada</x:v>
      </x:c>
      <x:c r="L129" s="17" t="n">
        <x:f>H129-G129</x:f>
        <x:v>364.90999999999985</x:v>
      </x:c>
      <x:c r="M129" s="19" t="n">
        <x:f>IFERROR(L129/G129,0)</x:f>
        <x:v>0.04281343054183492</x:v>
      </x:c>
      <x:c r="N129" s="13" t="n">
        <x:f>D129-C129</x:f>
        <x:v>-2</x:v>
      </x:c>
    </x:row>
    <x:row r="130">
      <x:c r="A130" s="13" t="str">
        <x:v>PAG-000129</x:v>
      </x:c>
      <x:c r="B130" s="23" t="n">
        <x:v>45392</x:v>
      </x:c>
      <x:c r="C130" s="23" t="n">
        <x:v>45399</x:v>
      </x:c>
      <x:c r="D130" s="23" t="n">
        <x:v>45399</x:v>
      </x:c>
      <x:c r="E130" s="13" t="str">
        <x:v>Insight BI</x:v>
      </x:c>
      <x:c r="F130" s="13" t="str">
        <x:v>Dados e Analytics</x:v>
      </x:c>
      <x:c r="G130" s="17" t="n">
        <x:v>10586.46</x:v>
      </x:c>
      <x:c r="H130" s="17" t="n">
        <x:v>10515.89</x:v>
      </x:c>
      <x:c r="I130" s="13" t="str">
        <x:v>Diretoria</x:v>
      </x:c>
      <x:c r="J130" s="13" t="str">
        <x:v>Pago</x:v>
      </x:c>
      <x:c r="K130" s="13" t="str">
        <x:v>Base controlada</x:v>
      </x:c>
      <x:c r="L130" s="17" t="n">
        <x:f>H130-G130</x:f>
        <x:v>-70.56999999999971</x:v>
      </x:c>
      <x:c r="M130" s="19" t="n">
        <x:f>IFERROR(L130/G130,0)</x:f>
        <x:v>-0.006666062120860015</x:v>
      </x:c>
      <x:c r="N130" s="13" t="n">
        <x:f>D130-C130</x:f>
        <x:v>0</x:v>
      </x:c>
    </x:row>
    <x:row r="131">
      <x:c r="A131" s="13" t="str">
        <x:v>PAG-000130</x:v>
      </x:c>
      <x:c r="B131" s="23" t="n">
        <x:v>45399</x:v>
      </x:c>
      <x:c r="C131" s="23" t="n">
        <x:v>45429</x:v>
      </x:c>
      <x:c r="D131" s="23" t="n">
        <x:v>45429</x:v>
      </x:c>
      <x:c r="E131" s="13" t="str">
        <x:v>Conta Certa</x:v>
      </x:c>
      <x:c r="F131" s="13" t="str">
        <x:v>Contabilidade</x:v>
      </x:c>
      <x:c r="G131" s="17" t="n">
        <x:v>27311.39</x:v>
      </x:c>
      <x:c r="H131" s="17" t="n">
        <x:v>27070.87</x:v>
      </x:c>
      <x:c r="I131" s="13" t="str">
        <x:v>Financeiro</x:v>
      </x:c>
      <x:c r="J131" s="13" t="str">
        <x:v>Pago</x:v>
      </x:c>
      <x:c r="K131" s="13" t="str">
        <x:v>Base controlada</x:v>
      </x:c>
      <x:c r="L131" s="17" t="n">
        <x:f>H131-G131</x:f>
        <x:v>-240.52000000000044</x:v>
      </x:c>
      <x:c r="M131" s="19" t="n">
        <x:f>IFERROR(L131/G131,0)</x:f>
        <x:v>-0.008806582162240752</x:v>
      </x:c>
      <x:c r="N131" s="13" t="n">
        <x:f>D131-C131</x:f>
        <x:v>0</x:v>
      </x:c>
    </x:row>
    <x:row r="132">
      <x:c r="A132" s="13" t="str">
        <x:v>PAG-000131</x:v>
      </x:c>
      <x:c r="B132" s="23" t="n">
        <x:v>45401</x:v>
      </x:c>
      <x:c r="C132" s="23" t="n">
        <x:v>45416</x:v>
      </x:c>
      <x:c r="D132" s="23" t="n">
        <x:v>45414</x:v>
      </x:c>
      <x:c r="E132" s="13" t="str">
        <x:v>NetLink</x:v>
      </x:c>
      <x:c r="F132" s="13" t="str">
        <x:v>Telecomunicações</x:v>
      </x:c>
      <x:c r="G132" s="17" t="n">
        <x:v>21008.02</x:v>
      </x:c>
      <x:c r="H132" s="17" t="n">
        <x:v>21110.4</x:v>
      </x:c>
      <x:c r="I132" s="13" t="str">
        <x:v>Gestor da área</x:v>
      </x:c>
      <x:c r="J132" s="13" t="str">
        <x:v>Pago</x:v>
      </x:c>
      <x:c r="K132" s="13" t="str">
        <x:v>Base controlada</x:v>
      </x:c>
      <x:c r="L132" s="17" t="n">
        <x:f>H132-G132</x:f>
        <x:v>102.38000000000102</x:v>
      </x:c>
      <x:c r="M132" s="19" t="n">
        <x:f>IFERROR(L132/G132,0)</x:f>
        <x:v>0.004873376929382256</x:v>
      </x:c>
      <x:c r="N132" s="13" t="n">
        <x:f>D132-C132</x:f>
        <x:v>-2</x:v>
      </x:c>
    </x:row>
    <x:row r="133">
      <x:c r="A133" s="13" t="str">
        <x:v>PAG-000132</x:v>
      </x:c>
      <x:c r="B133" s="23" t="n">
        <x:v>45398</x:v>
      </x:c>
      <x:c r="C133" s="23" t="n">
        <x:v>45413</x:v>
      </x:c>
      <x:c r="D133" s="23" t="n">
        <x:v>45413</x:v>
      </x:c>
      <x:c r="E133" s="13" t="str">
        <x:v>CloudCore</x:v>
      </x:c>
      <x:c r="F133" s="13" t="str">
        <x:v>Tecnologia</x:v>
      </x:c>
      <x:c r="G133" s="17" t="n">
        <x:v>19767.51</x:v>
      </x:c>
      <x:c r="H133" s="17" t="n">
        <x:v>20347.46</x:v>
      </x:c>
      <x:c r="I133" s="13" t="str">
        <x:v>Gestor da área</x:v>
      </x:c>
      <x:c r="J133" s="13" t="str">
        <x:v>Pago</x:v>
      </x:c>
      <x:c r="K133" s="13" t="str">
        <x:v>Base controlada</x:v>
      </x:c>
      <x:c r="L133" s="17" t="n">
        <x:f>H133-G133</x:f>
        <x:v>579.9500000000007</x:v>
      </x:c>
      <x:c r="M133" s="19" t="n">
        <x:f>IFERROR(L133/G133,0)</x:f>
        <x:v>0.02933854592712996</x:v>
      </x:c>
      <x:c r="N133" s="13" t="n">
        <x:f>D133-C133</x:f>
        <x:v>0</x:v>
      </x:c>
    </x:row>
    <x:row r="134">
      <x:c r="A134" s="13" t="str">
        <x:v>PAG-000133</x:v>
      </x:c>
      <x:c r="B134" s="23" t="n">
        <x:v>45397</x:v>
      </x:c>
      <x:c r="C134" s="23" t="n">
        <x:v>45427</x:v>
      </x:c>
      <x:c r="D134" s="23" t="n">
        <x:v>45427</x:v>
      </x:c>
      <x:c r="E134" s="13" t="str">
        <x:v>MarketLab</x:v>
      </x:c>
      <x:c r="F134" s="13" t="str">
        <x:v>Marketing</x:v>
      </x:c>
      <x:c r="G134" s="17" t="n">
        <x:v>31091.55</x:v>
      </x:c>
      <x:c r="H134" s="17" t="n">
        <x:v>31352.66</x:v>
      </x:c>
      <x:c r="I134" s="13" t="str">
        <x:v>Gestor da área</x:v>
      </x:c>
      <x:c r="J134" s="13" t="str">
        <x:v>Pago</x:v>
      </x:c>
      <x:c r="K134" s="13" t="str">
        <x:v>Base controlada</x:v>
      </x:c>
      <x:c r="L134" s="17" t="n">
        <x:f>H134-G134</x:f>
        <x:v>261.1100000000006</x:v>
      </x:c>
      <x:c r="M134" s="19" t="n">
        <x:f>IFERROR(L134/G134,0)</x:f>
        <x:v>0.008398101735037352</x:v>
      </x:c>
      <x:c r="N134" s="13" t="n">
        <x:f>D134-C134</x:f>
        <x:v>0</x:v>
      </x:c>
    </x:row>
    <x:row r="135">
      <x:c r="A135" s="13" t="str">
        <x:v>PAG-000134</x:v>
      </x:c>
      <x:c r="B135" s="23" t="n">
        <x:v>45383</x:v>
      </x:c>
      <x:c r="C135" s="23" t="n">
        <x:v>45398</x:v>
      </x:c>
      <x:c r="D135" s="23" t="n">
        <x:v>45396</x:v>
      </x:c>
      <x:c r="E135" s="13" t="str">
        <x:v>MarketLab</x:v>
      </x:c>
      <x:c r="F135" s="13" t="str">
        <x:v>Marketing</x:v>
      </x:c>
      <x:c r="G135" s="17" t="n">
        <x:v>24222.51</x:v>
      </x:c>
      <x:c r="H135" s="17" t="n">
        <x:v>25250.66</x:v>
      </x:c>
      <x:c r="I135" s="13" t="str">
        <x:v>Diretoria</x:v>
      </x:c>
      <x:c r="J135" s="13" t="str">
        <x:v>Pago</x:v>
      </x:c>
      <x:c r="K135" s="13" t="str">
        <x:v>Base controlada</x:v>
      </x:c>
      <x:c r="L135" s="17" t="n">
        <x:f>H135-G135</x:f>
        <x:v>1028.1500000000015</x:v>
      </x:c>
      <x:c r="M135" s="19" t="n">
        <x:f>IFERROR(L135/G135,0)</x:f>
        <x:v>0.042446055342737044</x:v>
      </x:c>
      <x:c r="N135" s="13" t="n">
        <x:f>D135-C135</x:f>
        <x:v>-2</x:v>
      </x:c>
    </x:row>
    <x:row r="136">
      <x:c r="A136" s="13" t="str">
        <x:v>PAG-000135</x:v>
      </x:c>
      <x:c r="B136" s="23" t="n">
        <x:v>45390</x:v>
      </x:c>
      <x:c r="C136" s="23" t="n">
        <x:v>45420</x:v>
      </x:c>
      <x:c r="D136" s="23" t="n">
        <x:v>45422</x:v>
      </x:c>
      <x:c r="E136" s="13" t="str">
        <x:v>Conta Certa</x:v>
      </x:c>
      <x:c r="F136" s="13" t="str">
        <x:v>Contabilidade</x:v>
      </x:c>
      <x:c r="G136" s="17" t="n">
        <x:v>13574.39</x:v>
      </x:c>
      <x:c r="H136" s="17" t="n">
        <x:v>13880.91</x:v>
      </x:c>
      <x:c r="I136" s="13" t="str">
        <x:v>Diretoria</x:v>
      </x:c>
      <x:c r="J136" s="13" t="str">
        <x:v>Pago</x:v>
      </x:c>
      <x:c r="K136" s="13" t="str">
        <x:v>Base controlada</x:v>
      </x:c>
      <x:c r="L136" s="17" t="n">
        <x:f>H136-G136</x:f>
        <x:v>306.52000000000044</x:v>
      </x:c>
      <x:c r="M136" s="19" t="n">
        <x:f>IFERROR(L136/G136,0)</x:f>
        <x:v>0.022580756851689133</x:v>
      </x:c>
      <x:c r="N136" s="13" t="n">
        <x:f>D136-C136</x:f>
        <x:v>2</x:v>
      </x:c>
    </x:row>
    <x:row r="137">
      <x:c r="A137" s="13" t="str">
        <x:v>PAG-000136</x:v>
      </x:c>
      <x:c r="B137" s="23" t="n">
        <x:v>45398</x:v>
      </x:c>
      <x:c r="C137" s="23" t="n">
        <x:v>45413</x:v>
      </x:c>
      <x:c r="D137" s="23" t="n">
        <x:v>45414</x:v>
      </x:c>
      <x:c r="E137" s="13" t="str">
        <x:v>Office Prime</x:v>
      </x:c>
      <x:c r="F137" s="13" t="str">
        <x:v>Escritório</x:v>
      </x:c>
      <x:c r="G137" s="17" t="n">
        <x:v>31588.34</x:v>
      </x:c>
      <x:c r="H137" s="17" t="n">
        <x:v>32817.7</x:v>
      </x:c>
      <x:c r="I137" s="13" t="str">
        <x:v>Diretoria</x:v>
      </x:c>
      <x:c r="J137" s="13" t="str">
        <x:v>Pago</x:v>
      </x:c>
      <x:c r="K137" s="13" t="str">
        <x:v>Base controlada</x:v>
      </x:c>
      <x:c r="L137" s="17" t="n">
        <x:f>H137-G137</x:f>
        <x:v>1229.359999999997</x:v>
      </x:c>
      <x:c r="M137" s="19" t="n">
        <x:f>IFERROR(L137/G137,0)</x:f>
        <x:v>0.038918157775938746</x:v>
      </x:c>
      <x:c r="N137" s="13" t="n">
        <x:f>D137-C137</x:f>
        <x:v>1</x:v>
      </x:c>
    </x:row>
    <x:row r="138">
      <x:c r="A138" s="13" t="str">
        <x:v>PAG-000137</x:v>
      </x:c>
      <x:c r="B138" s="23" t="n">
        <x:v>45396</x:v>
      </x:c>
      <x:c r="C138" s="23" t="n">
        <x:v>45411</x:v>
      </x:c>
      <x:c r="D138" s="23" t="n">
        <x:v>45411</x:v>
      </x:c>
      <x:c r="E138" s="13" t="str">
        <x:v>NetLink</x:v>
      </x:c>
      <x:c r="F138" s="13" t="str">
        <x:v>Telecomunicações</x:v>
      </x:c>
      <x:c r="G138" s="17" t="n">
        <x:v>640.2</x:v>
      </x:c>
      <x:c r="H138" s="17" t="n">
        <x:v>650.84</x:v>
      </x:c>
      <x:c r="I138" s="13" t="str">
        <x:v>Gestor da área</x:v>
      </x:c>
      <x:c r="J138" s="13" t="str">
        <x:v>Pago</x:v>
      </x:c>
      <x:c r="K138" s="13" t="str">
        <x:v>Base controlada</x:v>
      </x:c>
      <x:c r="L138" s="17" t="n">
        <x:f>H138-G138</x:f>
        <x:v>10.639999999999986</x:v>
      </x:c>
      <x:c r="M138" s="19" t="n">
        <x:f>IFERROR(L138/G138,0)</x:f>
        <x:v>0.016619806310527938</x:v>
      </x:c>
      <x:c r="N138" s="13" t="n">
        <x:f>D138-C138</x:f>
        <x:v>0</x:v>
      </x:c>
    </x:row>
    <x:row r="139">
      <x:c r="A139" s="13" t="str">
        <x:v>PAG-000138</x:v>
      </x:c>
      <x:c r="B139" s="23" t="n">
        <x:v>45392</x:v>
      </x:c>
      <x:c r="C139" s="23" t="n">
        <x:v>45412</x:v>
      </x:c>
      <x:c r="D139" s="23" t="n">
        <x:v>45414</x:v>
      </x:c>
      <x:c r="E139" s="13" t="str">
        <x:v>Office Prime</x:v>
      </x:c>
      <x:c r="F139" s="13" t="str">
        <x:v>Escritório</x:v>
      </x:c>
      <x:c r="G139" s="17" t="n">
        <x:v>20975.48</x:v>
      </x:c>
      <x:c r="H139" s="17" t="n">
        <x:v>21835.53</x:v>
      </x:c>
      <x:c r="I139" s="13" t="str">
        <x:v>Gestor da área</x:v>
      </x:c>
      <x:c r="J139" s="13" t="str">
        <x:v>Pago</x:v>
      </x:c>
      <x:c r="K139" s="13" t="str">
        <x:v>Base controlada</x:v>
      </x:c>
      <x:c r="L139" s="17" t="n">
        <x:f>H139-G139</x:f>
        <x:v>860.0499999999993</x:v>
      </x:c>
      <x:c r="M139" s="19" t="n">
        <x:f>IFERROR(L139/G139,0)</x:f>
        <x:v>0.04100263736515204</x:v>
      </x:c>
      <x:c r="N139" s="13" t="n">
        <x:f>D139-C139</x:f>
        <x:v>2</x:v>
      </x:c>
    </x:row>
    <x:row r="140">
      <x:c r="A140" s="13" t="str">
        <x:v>PAG-000139</x:v>
      </x:c>
      <x:c r="B140" s="23" t="n">
        <x:v>45388</x:v>
      </x:c>
      <x:c r="C140" s="23" t="n">
        <x:v>45403</x:v>
      </x:c>
      <x:c r="D140" s="23" t="n">
        <x:v>45402</x:v>
      </x:c>
      <x:c r="E140" s="13" t="str">
        <x:v>PeopleHub</x:v>
      </x:c>
      <x:c r="F140" s="13" t="str">
        <x:v>Recursos Humanos</x:v>
      </x:c>
      <x:c r="G140" s="17" t="n">
        <x:v>24398.43</x:v>
      </x:c>
      <x:c r="H140" s="17" t="n">
        <x:v>24002.21</x:v>
      </x:c>
      <x:c r="I140" s="13" t="str">
        <x:v>Gestor da área</x:v>
      </x:c>
      <x:c r="J140" s="13" t="str">
        <x:v>Pago</x:v>
      </x:c>
      <x:c r="K140" s="13" t="str">
        <x:v>Base controlada</x:v>
      </x:c>
      <x:c r="L140" s="17" t="n">
        <x:f>H140-G140</x:f>
        <x:v>-396.22000000000116</x:v>
      </x:c>
      <x:c r="M140" s="19" t="n">
        <x:f>IFERROR(L140/G140,0)</x:f>
        <x:v>-0.016239569513284303</x:v>
      </x:c>
      <x:c r="N140" s="13" t="n">
        <x:f>D140-C140</x:f>
        <x:v>-1</x:v>
      </x:c>
    </x:row>
    <x:row r="141">
      <x:c r="A141" s="13" t="str">
        <x:v>PAG-000140</x:v>
      </x:c>
      <x:c r="B141" s="23" t="n">
        <x:v>45393</x:v>
      </x:c>
      <x:c r="C141" s="23" t="n">
        <x:v>45408</x:v>
      </x:c>
      <x:c r="D141" s="23" t="n">
        <x:v>45405</x:v>
      </x:c>
      <x:c r="E141" s="13" t="str">
        <x:v>Insight BI</x:v>
      </x:c>
      <x:c r="F141" s="13" t="str">
        <x:v>Dados e Analytics</x:v>
      </x:c>
      <x:c r="G141" s="17" t="n">
        <x:v>30647.94</x:v>
      </x:c>
      <x:c r="H141" s="17" t="n">
        <x:v>31076.37</x:v>
      </x:c>
      <x:c r="I141" s="13" t="str">
        <x:v>Diretoria</x:v>
      </x:c>
      <x:c r="J141" s="13" t="str">
        <x:v>Pago</x:v>
      </x:c>
      <x:c r="K141" s="13" t="str">
        <x:v>Base controlada</x:v>
      </x:c>
      <x:c r="L141" s="17" t="n">
        <x:f>H141-G141</x:f>
        <x:v>428.4300000000003</x:v>
      </x:c>
      <x:c r="M141" s="19" t="n">
        <x:f>IFERROR(L141/G141,0)</x:f>
        <x:v>0.013979079833750664</x:v>
      </x:c>
      <x:c r="N141" s="13" t="n">
        <x:f>D141-C141</x:f>
        <x:v>-3</x:v>
      </x:c>
    </x:row>
    <x:row r="142">
      <x:c r="A142" s="13" t="str">
        <x:v>PAG-000141</x:v>
      </x:c>
      <x:c r="B142" s="23" t="n">
        <x:v>45397</x:v>
      </x:c>
      <x:c r="C142" s="23" t="n">
        <x:v>45417</x:v>
      </x:c>
      <x:c r="D142" s="23" t="n">
        <x:v>45415</x:v>
      </x:c>
      <x:c r="E142" s="13" t="str">
        <x:v>PeopleHub</x:v>
      </x:c>
      <x:c r="F142" s="13" t="str">
        <x:v>Recursos Humanos</x:v>
      </x:c>
      <x:c r="G142" s="17" t="n">
        <x:v>14634.21</x:v>
      </x:c>
      <x:c r="H142" s="17" t="n">
        <x:v>14124.7</x:v>
      </x:c>
      <x:c r="I142" s="13" t="str">
        <x:v>Diretoria</x:v>
      </x:c>
      <x:c r="J142" s="13" t="str">
        <x:v>Pago</x:v>
      </x:c>
      <x:c r="K142" s="13" t="str">
        <x:v>Base controlada</x:v>
      </x:c>
      <x:c r="L142" s="17" t="n">
        <x:f>H142-G142</x:f>
        <x:v>-509.5099999999984</x:v>
      </x:c>
      <x:c r="M142" s="19" t="n">
        <x:f>IFERROR(L142/G142,0)</x:f>
        <x:v>-0.034816365215477874</x:v>
      </x:c>
      <x:c r="N142" s="13" t="n">
        <x:f>D142-C142</x:f>
        <x:v>-2</x:v>
      </x:c>
    </x:row>
    <x:row r="143">
      <x:c r="A143" s="13" t="str">
        <x:v>PAG-000142</x:v>
      </x:c>
      <x:c r="B143" s="23" t="n">
        <x:v>45385</x:v>
      </x:c>
      <x:c r="C143" s="23" t="n">
        <x:v>45400</x:v>
      </x:c>
      <x:c r="D143" s="23" t="n">
        <x:v>45402</x:v>
      </x:c>
      <x:c r="E143" s="13" t="str">
        <x:v>MarketLab</x:v>
      </x:c>
      <x:c r="F143" s="13" t="str">
        <x:v>Marketing</x:v>
      </x:c>
      <x:c r="G143" s="17" t="n">
        <x:v>10699.29</x:v>
      </x:c>
      <x:c r="H143" s="17" t="n">
        <x:v>10965.03</x:v>
      </x:c>
      <x:c r="I143" s="13" t="str">
        <x:v>Financeiro</x:v>
      </x:c>
      <x:c r="J143" s="13" t="str">
        <x:v>Pago</x:v>
      </x:c>
      <x:c r="K143" s="13" t="str">
        <x:v>Base controlada</x:v>
      </x:c>
      <x:c r="L143" s="17" t="n">
        <x:f>H143-G143</x:f>
        <x:v>265.7399999999998</x:v>
      </x:c>
      <x:c r="M143" s="19" t="n">
        <x:f>IFERROR(L143/G143,0)</x:f>
        <x:v>0.02483716209206403</x:v>
      </x:c>
      <x:c r="N143" s="13" t="n">
        <x:f>D143-C143</x:f>
        <x:v>2</x:v>
      </x:c>
    </x:row>
    <x:row r="144">
      <x:c r="A144" s="13" t="str">
        <x:v>PAG-000143</x:v>
      </x:c>
      <x:c r="B144" s="23" t="n">
        <x:v>45393</x:v>
      </x:c>
      <x:c r="C144" s="23" t="n">
        <x:v>45408</x:v>
      </x:c>
      <x:c r="D144" s="23" t="n">
        <x:v>45408</x:v>
      </x:c>
      <x:c r="E144" s="13" t="str">
        <x:v>DataSafe</x:v>
      </x:c>
      <x:c r="F144" s="13" t="str">
        <x:v>Segurança da informação</x:v>
      </x:c>
      <x:c r="G144" s="17" t="n">
        <x:v>3174.65</x:v>
      </x:c>
      <x:c r="H144" s="17" t="n">
        <x:v>3135.76</x:v>
      </x:c>
      <x:c r="I144" s="13" t="str">
        <x:v>Diretoria</x:v>
      </x:c>
      <x:c r="J144" s="13" t="str">
        <x:v>Pago</x:v>
      </x:c>
      <x:c r="K144" s="13" t="str">
        <x:v>Base controlada</x:v>
      </x:c>
      <x:c r="L144" s="17" t="n">
        <x:f>H144-G144</x:f>
        <x:v>-38.88999999999987</x:v>
      </x:c>
      <x:c r="M144" s="19" t="n">
        <x:f>IFERROR(L144/G144,0)</x:f>
        <x:v>-0.012250169310002636</x:v>
      </x:c>
      <x:c r="N144" s="13" t="n">
        <x:f>D144-C144</x:f>
        <x:v>0</x:v>
      </x:c>
    </x:row>
    <x:row r="145">
      <x:c r="A145" s="13" t="str">
        <x:v>PAG-000144</x:v>
      </x:c>
      <x:c r="B145" s="23" t="n">
        <x:v>45400</x:v>
      </x:c>
      <x:c r="C145" s="23" t="n">
        <x:v>45430</x:v>
      </x:c>
      <x:c r="D145" s="23" t="n">
        <x:v>45431</x:v>
      </x:c>
      <x:c r="E145" s="13" t="str">
        <x:v>LegalMais</x:v>
      </x:c>
      <x:c r="F145" s="13" t="str">
        <x:v>Jurídico</x:v>
      </x:c>
      <x:c r="G145" s="17" t="n">
        <x:v>8116.01</x:v>
      </x:c>
      <x:c r="H145" s="17" t="n">
        <x:v>7882.56</x:v>
      </x:c>
      <x:c r="I145" s="13" t="str">
        <x:v>Financeiro</x:v>
      </x:c>
      <x:c r="J145" s="13" t="str">
        <x:v>Pago</x:v>
      </x:c>
      <x:c r="K145" s="13" t="str">
        <x:v>Base controlada</x:v>
      </x:c>
      <x:c r="L145" s="17" t="n">
        <x:f>H145-G145</x:f>
        <x:v>-233.44999999999982</x:v>
      </x:c>
      <x:c r="M145" s="19" t="n">
        <x:f>IFERROR(L145/G145,0)</x:f>
        <x:v>-0.028764134100376888</x:v>
      </x:c>
      <x:c r="N145" s="13" t="n">
        <x:f>D145-C145</x:f>
        <x:v>1</x:v>
      </x:c>
    </x:row>
    <x:row r="146">
      <x:c r="A146" s="13" t="str">
        <x:v>PAG-000145</x:v>
      </x:c>
      <x:c r="B146" s="23" t="n">
        <x:v>45389</x:v>
      </x:c>
      <x:c r="C146" s="23" t="n">
        <x:v>45404</x:v>
      </x:c>
      <x:c r="D146" s="23" t="n">
        <x:v>45405</x:v>
      </x:c>
      <x:c r="E146" s="13" t="str">
        <x:v>Conta Certa</x:v>
      </x:c>
      <x:c r="F146" s="13" t="str">
        <x:v>Contabilidade</x:v>
      </x:c>
      <x:c r="G146" s="17" t="n">
        <x:v>8053.94</x:v>
      </x:c>
      <x:c r="H146" s="17" t="n">
        <x:v>8194.58</x:v>
      </x:c>
      <x:c r="I146" s="13" t="str">
        <x:v>Diretoria</x:v>
      </x:c>
      <x:c r="J146" s="13" t="str">
        <x:v>Pago</x:v>
      </x:c>
      <x:c r="K146" s="13" t="str">
        <x:v>Base controlada</x:v>
      </x:c>
      <x:c r="L146" s="17" t="n">
        <x:f>H146-G146</x:f>
        <x:v>140.64000000000033</x:v>
      </x:c>
      <x:c r="M146" s="19" t="n">
        <x:f>IFERROR(L146/G146,0)</x:f>
        <x:v>0.01746226070718187</x:v>
      </x:c>
      <x:c r="N146" s="13" t="n">
        <x:f>D146-C146</x:f>
        <x:v>1</x:v>
      </x:c>
    </x:row>
    <x:row r="147">
      <x:c r="A147" s="13" t="str">
        <x:v>PAG-000146</x:v>
      </x:c>
      <x:c r="B147" s="23" t="n">
        <x:v>45383</x:v>
      </x:c>
      <x:c r="C147" s="23" t="n">
        <x:v>45398</x:v>
      </x:c>
      <x:c r="D147" s="23" t="n">
        <x:v>45395</x:v>
      </x:c>
      <x:c r="E147" s="13" t="str">
        <x:v>Banco Integra</x:v>
      </x:c>
      <x:c r="F147" s="13" t="str">
        <x:v>Serviços bancários</x:v>
      </x:c>
      <x:c r="G147" s="17" t="n">
        <x:v>15680.55</x:v>
      </x:c>
      <x:c r="H147" s="17" t="n">
        <x:v>16114.29</x:v>
      </x:c>
      <x:c r="I147" s="13" t="str">
        <x:v>Financeiro</x:v>
      </x:c>
      <x:c r="J147" s="13" t="str">
        <x:v>Pago</x:v>
      </x:c>
      <x:c r="K147" s="13" t="str">
        <x:v>Base controlada</x:v>
      </x:c>
      <x:c r="L147" s="17" t="n">
        <x:f>H147-G147</x:f>
        <x:v>433.7400000000016</x:v>
      </x:c>
      <x:c r="M147" s="19" t="n">
        <x:f>IFERROR(L147/G147,0)</x:f>
        <x:v>0.027661019543319693</x:v>
      </x:c>
      <x:c r="N147" s="13" t="n">
        <x:f>D147-C147</x:f>
        <x:v>-3</x:v>
      </x:c>
    </x:row>
    <x:row r="148">
      <x:c r="A148" s="13" t="str">
        <x:v>PAG-000147</x:v>
      </x:c>
      <x:c r="B148" s="23" t="n">
        <x:v>45400</x:v>
      </x:c>
      <x:c r="C148" s="23" t="n">
        <x:v>45407</x:v>
      </x:c>
      <x:c r="D148" s="23" t="n">
        <x:v>45405</x:v>
      </x:c>
      <x:c r="E148" s="13" t="str">
        <x:v>Conta Certa</x:v>
      </x:c>
      <x:c r="F148" s="13" t="str">
        <x:v>Contabilidade</x:v>
      </x:c>
      <x:c r="G148" s="17" t="n">
        <x:v>24092.33</x:v>
      </x:c>
      <x:c r="H148" s="17" t="n">
        <x:v>24212.63</x:v>
      </x:c>
      <x:c r="I148" s="13" t="str">
        <x:v>Financeiro</x:v>
      </x:c>
      <x:c r="J148" s="13" t="str">
        <x:v>Pago</x:v>
      </x:c>
      <x:c r="K148" s="13" t="str">
        <x:v>Base controlada</x:v>
      </x:c>
      <x:c r="L148" s="17" t="n">
        <x:f>H148-G148</x:f>
        <x:v>120.29999999999927</x:v>
      </x:c>
      <x:c r="M148" s="19" t="n">
        <x:f>IFERROR(L148/G148,0)</x:f>
        <x:v>0.004993290395740024</x:v>
      </x:c>
      <x:c r="N148" s="13" t="n">
        <x:f>D148-C148</x:f>
        <x:v>-2</x:v>
      </x:c>
    </x:row>
    <x:row r="149">
      <x:c r="A149" s="13" t="str">
        <x:v>PAG-000148</x:v>
      </x:c>
      <x:c r="B149" s="23" t="n">
        <x:v>45397</x:v>
      </x:c>
      <x:c r="C149" s="23" t="n">
        <x:v>45427</x:v>
      </x:c>
      <x:c r="D149" s="23" t="n">
        <x:v>45427</x:v>
      </x:c>
      <x:c r="E149" s="13" t="str">
        <x:v>Insight BI</x:v>
      </x:c>
      <x:c r="F149" s="13" t="str">
        <x:v>Dados e Analytics</x:v>
      </x:c>
      <x:c r="G149" s="17" t="n">
        <x:v>4814.63</x:v>
      </x:c>
      <x:c r="H149" s="17" t="n">
        <x:v>4951.06</x:v>
      </x:c>
      <x:c r="I149" s="13" t="str">
        <x:v>Financeiro</x:v>
      </x:c>
      <x:c r="J149" s="13" t="str">
        <x:v>Pago</x:v>
      </x:c>
      <x:c r="K149" s="13" t="str">
        <x:v>Base controlada</x:v>
      </x:c>
      <x:c r="L149" s="17" t="n">
        <x:f>H149-G149</x:f>
        <x:v>136.4300000000003</x:v>
      </x:c>
      <x:c r="M149" s="19" t="n">
        <x:f>IFERROR(L149/G149,0)</x:f>
        <x:v>0.028336549226004967</x:v>
      </x:c>
      <x:c r="N149" s="13" t="n">
        <x:f>D149-C149</x:f>
        <x:v>0</x:v>
      </x:c>
    </x:row>
    <x:row r="150">
      <x:c r="A150" s="13" t="str">
        <x:v>PAG-000149</x:v>
      </x:c>
      <x:c r="B150" s="23" t="n">
        <x:v>45384</x:v>
      </x:c>
      <x:c r="C150" s="23" t="n">
        <x:v>45404</x:v>
      </x:c>
      <x:c r="D150" s="23" t="n">
        <x:v>45406</x:v>
      </x:c>
      <x:c r="E150" s="13" t="str">
        <x:v>MarketLab</x:v>
      </x:c>
      <x:c r="F150" s="13" t="str">
        <x:v>Marketing</x:v>
      </x:c>
      <x:c r="G150" s="17" t="n">
        <x:v>23310.08</x:v>
      </x:c>
      <x:c r="H150" s="17" t="n">
        <x:v>22603.52</x:v>
      </x:c>
      <x:c r="I150" s="13" t="str">
        <x:v>Financeiro</x:v>
      </x:c>
      <x:c r="J150" s="13" t="str">
        <x:v>Pago</x:v>
      </x:c>
      <x:c r="K150" s="13" t="str">
        <x:v>Base controlada</x:v>
      </x:c>
      <x:c r="L150" s="17" t="n">
        <x:f>H150-G150</x:f>
        <x:v>-706.5600000000013</x:v>
      </x:c>
      <x:c r="M150" s="19" t="n">
        <x:f>IFERROR(L150/G150,0)</x:f>
        <x:v>-0.030311350282796166</x:v>
      </x:c>
      <x:c r="N150" s="13" t="n">
        <x:f>D150-C150</x:f>
        <x:v>2</x:v>
      </x:c>
    </x:row>
    <x:row r="151">
      <x:c r="A151" s="13" t="str">
        <x:v>PAG-000150</x:v>
      </x:c>
      <x:c r="B151" s="23" t="n">
        <x:v>45389</x:v>
      </x:c>
      <x:c r="C151" s="23" t="n">
        <x:v>45404</x:v>
      </x:c>
      <x:c r="D151" s="23" t="n">
        <x:v>45401</x:v>
      </x:c>
      <x:c r="E151" s="13" t="str">
        <x:v>Banco Integra</x:v>
      </x:c>
      <x:c r="F151" s="13" t="str">
        <x:v>Serviços bancários</x:v>
      </x:c>
      <x:c r="G151" s="17" t="n">
        <x:v>406.14</x:v>
      </x:c>
      <x:c r="H151" s="17" t="n">
        <x:v>415.76</x:v>
      </x:c>
      <x:c r="I151" s="13" t="str">
        <x:v>Diretoria</x:v>
      </x:c>
      <x:c r="J151" s="13" t="str">
        <x:v>Pago</x:v>
      </x:c>
      <x:c r="K151" s="13" t="str">
        <x:v>Base controlada</x:v>
      </x:c>
      <x:c r="L151" s="17" t="n">
        <x:f>H151-G151</x:f>
        <x:v>9.620000000000005</x:v>
      </x:c>
      <x:c r="M151" s="19" t="n">
        <x:f>IFERROR(L151/G151,0)</x:f>
        <x:v>0.023686413551977162</x:v>
      </x:c>
      <x:c r="N151" s="13" t="n">
        <x:f>D151-C151</x:f>
        <x:v>-3</x:v>
      </x:c>
    </x:row>
    <x:row r="152">
      <x:c r="A152" s="13" t="str">
        <x:v>PAG-000151</x:v>
      </x:c>
      <x:c r="B152" s="23" t="n">
        <x:v>45398</x:v>
      </x:c>
      <x:c r="C152" s="23" t="n">
        <x:v>45405</x:v>
      </x:c>
      <x:c r="D152" s="23" t="n">
        <x:v>45406</x:v>
      </x:c>
      <x:c r="E152" s="13" t="str">
        <x:v>DataSafe</x:v>
      </x:c>
      <x:c r="F152" s="13" t="str">
        <x:v>Segurança da informação</x:v>
      </x:c>
      <x:c r="G152" s="17" t="n">
        <x:v>17698.39</x:v>
      </x:c>
      <x:c r="H152" s="17" t="n">
        <x:v>17531.96</x:v>
      </x:c>
      <x:c r="I152" s="13" t="str">
        <x:v>Diretoria</x:v>
      </x:c>
      <x:c r="J152" s="13" t="str">
        <x:v>Pago</x:v>
      </x:c>
      <x:c r="K152" s="13" t="str">
        <x:v>Base controlada</x:v>
      </x:c>
      <x:c r="L152" s="17" t="n">
        <x:f>H152-G152</x:f>
        <x:v>-166.4300000000003</x:v>
      </x:c>
      <x:c r="M152" s="19" t="n">
        <x:f>IFERROR(L152/G152,0)</x:f>
        <x:v>-0.0094036802217603</x:v>
      </x:c>
      <x:c r="N152" s="13" t="n">
        <x:f>D152-C152</x:f>
        <x:v>1</x:v>
      </x:c>
    </x:row>
    <x:row r="153">
      <x:c r="A153" s="13" t="str">
        <x:v>PAG-000152</x:v>
      </x:c>
      <x:c r="B153" s="23" t="n">
        <x:v>45401</x:v>
      </x:c>
      <x:c r="C153" s="23" t="n">
        <x:v>45416</x:v>
      </x:c>
      <x:c r="D153" s="23" t="n">
        <x:v>45418</x:v>
      </x:c>
      <x:c r="E153" s="13" t="str">
        <x:v>Conta Certa</x:v>
      </x:c>
      <x:c r="F153" s="13" t="str">
        <x:v>Contabilidade</x:v>
      </x:c>
      <x:c r="G153" s="17" t="n">
        <x:v>29009.03</x:v>
      </x:c>
      <x:c r="H153" s="17" t="n">
        <x:v>28904.04</x:v>
      </x:c>
      <x:c r="I153" s="13" t="str">
        <x:v>Financeiro</x:v>
      </x:c>
      <x:c r="J153" s="13" t="str">
        <x:v>Pago</x:v>
      </x:c>
      <x:c r="K153" s="13" t="str">
        <x:v>Base controlada</x:v>
      </x:c>
      <x:c r="L153" s="17" t="n">
        <x:f>H153-G153</x:f>
        <x:v>-104.98999999999796</x:v>
      </x:c>
      <x:c r="M153" s="19" t="n">
        <x:f>IFERROR(L153/G153,0)</x:f>
        <x:v>-0.0036192178780192915</x:v>
      </x:c>
      <x:c r="N153" s="13" t="n">
        <x:f>D153-C153</x:f>
        <x:v>2</x:v>
      </x:c>
    </x:row>
    <x:row r="154">
      <x:c r="A154" s="13" t="str">
        <x:v>PAG-000153</x:v>
      </x:c>
      <x:c r="B154" s="23" t="n">
        <x:v>45388</x:v>
      </x:c>
      <x:c r="C154" s="23" t="n">
        <x:v>45403</x:v>
      </x:c>
      <x:c r="D154" s="23" t="n">
        <x:v>45403</x:v>
      </x:c>
      <x:c r="E154" s="13" t="str">
        <x:v>LegalMais</x:v>
      </x:c>
      <x:c r="F154" s="13" t="str">
        <x:v>Jurídico</x:v>
      </x:c>
      <x:c r="G154" s="17" t="n">
        <x:v>20904.52</x:v>
      </x:c>
      <x:c r="H154" s="17" t="n">
        <x:v>21617.13</x:v>
      </x:c>
      <x:c r="I154" s="13" t="str">
        <x:v>Financeiro</x:v>
      </x:c>
      <x:c r="J154" s="13" t="str">
        <x:v>Pago</x:v>
      </x:c>
      <x:c r="K154" s="13" t="str">
        <x:v>Base controlada</x:v>
      </x:c>
      <x:c r="L154" s="17" t="n">
        <x:f>H154-G154</x:f>
        <x:v>712.6100000000006</x:v>
      </x:c>
      <x:c r="M154" s="19" t="n">
        <x:f>IFERROR(L154/G154,0)</x:f>
        <x:v>0.03408879993417694</x:v>
      </x:c>
      <x:c r="N154" s="13" t="n">
        <x:f>D154-C154</x:f>
        <x:v>0</x:v>
      </x:c>
    </x:row>
    <x:row r="155">
      <x:c r="A155" s="13" t="str">
        <x:v>PAG-000154</x:v>
      </x:c>
      <x:c r="B155" s="23" t="n">
        <x:v>45388</x:v>
      </x:c>
      <x:c r="C155" s="23" t="n">
        <x:v>45408</x:v>
      </x:c>
      <x:c r="D155" s="23" t="n">
        <x:v>45409</x:v>
      </x:c>
      <x:c r="E155" s="13" t="str">
        <x:v>Office Prime</x:v>
      </x:c>
      <x:c r="F155" s="13" t="str">
        <x:v>Escritório</x:v>
      </x:c>
      <x:c r="G155" s="17" t="n">
        <x:v>12200.16</x:v>
      </x:c>
      <x:c r="H155" s="17" t="n">
        <x:v>12538.94</x:v>
      </x:c>
      <x:c r="I155" s="13" t="str">
        <x:v>Diretoria</x:v>
      </x:c>
      <x:c r="J155" s="13" t="str">
        <x:v>Pago</x:v>
      </x:c>
      <x:c r="K155" s="13" t="str">
        <x:v>Base controlada</x:v>
      </x:c>
      <x:c r="L155" s="17" t="n">
        <x:f>H155-G155</x:f>
        <x:v>338.78000000000065</x:v>
      </x:c>
      <x:c r="M155" s="19" t="n">
        <x:f>IFERROR(L155/G155,0)</x:f>
        <x:v>0.027768488282120946</x:v>
      </x:c>
      <x:c r="N155" s="13" t="n">
        <x:f>D155-C155</x:f>
        <x:v>1</x:v>
      </x:c>
    </x:row>
    <x:row r="156">
      <x:c r="A156" s="13" t="str">
        <x:v>PAG-000155</x:v>
      </x:c>
      <x:c r="B156" s="23" t="n">
        <x:v>45397</x:v>
      </x:c>
      <x:c r="C156" s="23" t="n">
        <x:v>45404</x:v>
      </x:c>
      <x:c r="D156" s="23" t="n">
        <x:v>45404</x:v>
      </x:c>
      <x:c r="E156" s="13" t="str">
        <x:v>MarketLab</x:v>
      </x:c>
      <x:c r="F156" s="13" t="str">
        <x:v>Marketing</x:v>
      </x:c>
      <x:c r="G156" s="17" t="n">
        <x:v>22766.94</x:v>
      </x:c>
      <x:c r="H156" s="17" t="n">
        <x:v>22537.21</x:v>
      </x:c>
      <x:c r="I156" s="13" t="str">
        <x:v>Gestor da área</x:v>
      </x:c>
      <x:c r="J156" s="13" t="str">
        <x:v>Pago</x:v>
      </x:c>
      <x:c r="K156" s="13" t="str">
        <x:v>Base controlada</x:v>
      </x:c>
      <x:c r="L156" s="17" t="n">
        <x:f>H156-G156</x:f>
        <x:v>-229.72999999999956</x:v>
      </x:c>
      <x:c r="M156" s="19" t="n">
        <x:f>IFERROR(L156/G156,0)</x:f>
        <x:v>-0.010090508430206237</x:v>
      </x:c>
      <x:c r="N156" s="13" t="n">
        <x:f>D156-C156</x:f>
        <x:v>0</x:v>
      </x:c>
    </x:row>
    <x:row r="157">
      <x:c r="A157" s="13" t="str">
        <x:v>PAG-000156</x:v>
      </x:c>
      <x:c r="B157" s="23" t="n">
        <x:v>45399</x:v>
      </x:c>
      <x:c r="C157" s="23" t="n">
        <x:v>45429</x:v>
      </x:c>
      <x:c r="D157" s="23" t="n">
        <x:v>45427</x:v>
      </x:c>
      <x:c r="E157" s="13" t="str">
        <x:v>Office Prime</x:v>
      </x:c>
      <x:c r="F157" s="13" t="str">
        <x:v>Escritório</x:v>
      </x:c>
      <x:c r="G157" s="17" t="n">
        <x:v>30185.22</x:v>
      </x:c>
      <x:c r="H157" s="17" t="n">
        <x:v>31233.93</x:v>
      </x:c>
      <x:c r="I157" s="13" t="str">
        <x:v>Diretoria</x:v>
      </x:c>
      <x:c r="J157" s="13" t="str">
        <x:v>Pago</x:v>
      </x:c>
      <x:c r="K157" s="13" t="str">
        <x:v>Base controlada</x:v>
      </x:c>
      <x:c r="L157" s="17" t="n">
        <x:f>H157-G157</x:f>
        <x:v>1048.7099999999991</x:v>
      </x:c>
      <x:c r="M157" s="19" t="n">
        <x:f>IFERROR(L157/G157,0)</x:f>
        <x:v>0.034742499806196515</x:v>
      </x:c>
      <x:c r="N157" s="13" t="n">
        <x:f>D157-C157</x:f>
        <x:v>-2</x:v>
      </x:c>
    </x:row>
    <x:row r="158">
      <x:c r="A158" s="13" t="str">
        <x:v>PAG-000157</x:v>
      </x:c>
      <x:c r="B158" s="23" t="n">
        <x:v>45397</x:v>
      </x:c>
      <x:c r="C158" s="23" t="n">
        <x:v>45427</x:v>
      </x:c>
      <x:c r="D158" s="23" t="n">
        <x:v>45427</x:v>
      </x:c>
      <x:c r="E158" s="13" t="str">
        <x:v>Insight BI</x:v>
      </x:c>
      <x:c r="F158" s="13" t="str">
        <x:v>Dados e Analytics</x:v>
      </x:c>
      <x:c r="G158" s="17" t="n">
        <x:v>13933.6</x:v>
      </x:c>
      <x:c r="H158" s="17" t="n">
        <x:v>13842.87</x:v>
      </x:c>
      <x:c r="I158" s="13" t="str">
        <x:v>Financeiro</x:v>
      </x:c>
      <x:c r="J158" s="13" t="str">
        <x:v>Pago</x:v>
      </x:c>
      <x:c r="K158" s="13" t="str">
        <x:v>Base controlada</x:v>
      </x:c>
      <x:c r="L158" s="17" t="n">
        <x:f>H158-G158</x:f>
        <x:v>-90.72999999999956</x:v>
      </x:c>
      <x:c r="M158" s="19" t="n">
        <x:f>IFERROR(L158/G158,0)</x:f>
        <x:v>-0.0065115978641556785</x:v>
      </x:c>
      <x:c r="N158" s="13" t="n">
        <x:f>D158-C158</x:f>
        <x:v>0</x:v>
      </x:c>
    </x:row>
    <x:row r="159">
      <x:c r="A159" s="13" t="str">
        <x:v>PAG-000158</x:v>
      </x:c>
      <x:c r="B159" s="23" t="n">
        <x:v>45392</x:v>
      </x:c>
      <x:c r="C159" s="23" t="n">
        <x:v>45399</x:v>
      </x:c>
      <x:c r="D159" s="23" t="n">
        <x:v>45397</x:v>
      </x:c>
      <x:c r="E159" s="13" t="str">
        <x:v>WorkSpace</x:v>
      </x:c>
      <x:c r="F159" s="13" t="str">
        <x:v>Locação</x:v>
      </x:c>
      <x:c r="G159" s="17" t="n">
        <x:v>23520.84</x:v>
      </x:c>
      <x:c r="H159" s="17" t="n">
        <x:v>23382.14</x:v>
      </x:c>
      <x:c r="I159" s="13" t="str">
        <x:v>Diretoria</x:v>
      </x:c>
      <x:c r="J159" s="13" t="str">
        <x:v>Pago</x:v>
      </x:c>
      <x:c r="K159" s="13" t="str">
        <x:v>Base controlada</x:v>
      </x:c>
      <x:c r="L159" s="17" t="n">
        <x:f>H159-G159</x:f>
        <x:v>-138.70000000000073</x:v>
      </x:c>
      <x:c r="M159" s="19" t="n">
        <x:f>IFERROR(L159/G159,0)</x:f>
        <x:v>-0.005896898240028874</x:v>
      </x:c>
      <x:c r="N159" s="13" t="n">
        <x:f>D159-C159</x:f>
        <x:v>-2</x:v>
      </x:c>
    </x:row>
    <x:row r="160">
      <x:c r="A160" s="13" t="str">
        <x:v>PAG-000159</x:v>
      </x:c>
      <x:c r="B160" s="23" t="n">
        <x:v>45402</x:v>
      </x:c>
      <x:c r="C160" s="23" t="n">
        <x:v>45432</x:v>
      </x:c>
      <x:c r="D160" s="23" t="n">
        <x:v>45431</x:v>
      </x:c>
      <x:c r="E160" s="13" t="str">
        <x:v>NetLink</x:v>
      </x:c>
      <x:c r="F160" s="13" t="str">
        <x:v>Telecomunicações</x:v>
      </x:c>
      <x:c r="G160" s="17" t="n">
        <x:v>12384.38</x:v>
      </x:c>
      <x:c r="H160" s="17" t="n">
        <x:v>12166.91</x:v>
      </x:c>
      <x:c r="I160" s="13" t="str">
        <x:v>Gestor da área</x:v>
      </x:c>
      <x:c r="J160" s="13" t="str">
        <x:v>Pago</x:v>
      </x:c>
      <x:c r="K160" s="13" t="str">
        <x:v>Base controlada</x:v>
      </x:c>
      <x:c r="L160" s="17" t="n">
        <x:f>H160-G160</x:f>
        <x:v>-217.46999999999935</x:v>
      </x:c>
      <x:c r="M160" s="19" t="n">
        <x:f>IFERROR(L160/G160,0)</x:f>
        <x:v>-0.017560023190502823</x:v>
      </x:c>
      <x:c r="N160" s="13" t="n">
        <x:f>D160-C160</x:f>
        <x:v>-1</x:v>
      </x:c>
    </x:row>
    <x:row r="161">
      <x:c r="A161" s="13" t="str">
        <x:v>PAG-000160</x:v>
      </x:c>
      <x:c r="B161" s="23" t="n">
        <x:v>45395</x:v>
      </x:c>
      <x:c r="C161" s="23" t="n">
        <x:v>45402</x:v>
      </x:c>
      <x:c r="D161" s="23" t="n">
        <x:v>45402</x:v>
      </x:c>
      <x:c r="E161" s="13" t="str">
        <x:v>Banco Integra</x:v>
      </x:c>
      <x:c r="F161" s="13" t="str">
        <x:v>Serviços bancários</x:v>
      </x:c>
      <x:c r="G161" s="17" t="n">
        <x:v>10587.11</x:v>
      </x:c>
      <x:c r="H161" s="17" t="n">
        <x:v>10434.71</x:v>
      </x:c>
      <x:c r="I161" s="13" t="str">
        <x:v>Financeiro</x:v>
      </x:c>
      <x:c r="J161" s="13" t="str">
        <x:v>Pago</x:v>
      </x:c>
      <x:c r="K161" s="13" t="str">
        <x:v>Base controlada</x:v>
      </x:c>
      <x:c r="L161" s="17" t="n">
        <x:f>H161-G161</x:f>
        <x:v>-152.40000000000146</x:v>
      </x:c>
      <x:c r="M161" s="19" t="n">
        <x:f>IFERROR(L161/G161,0)</x:f>
        <x:v>-0.014394863187404442</x:v>
      </x:c>
      <x:c r="N161" s="13" t="n">
        <x:f>D161-C161</x:f>
        <x:v>0</x:v>
      </x:c>
    </x:row>
    <x:row r="162">
      <x:c r="A162" s="13" t="str">
        <x:v>PAG-000161</x:v>
      </x:c>
      <x:c r="B162" s="23" t="n">
        <x:v>45397</x:v>
      </x:c>
      <x:c r="C162" s="23" t="n">
        <x:v>45417</x:v>
      </x:c>
      <x:c r="D162" s="23" t="n">
        <x:v>45417</x:v>
      </x:c>
      <x:c r="E162" s="13" t="str">
        <x:v>WorkSpace</x:v>
      </x:c>
      <x:c r="F162" s="13" t="str">
        <x:v>Locação</x:v>
      </x:c>
      <x:c r="G162" s="17" t="n">
        <x:v>7291.63</x:v>
      </x:c>
      <x:c r="H162" s="17" t="n">
        <x:v>7088.47</x:v>
      </x:c>
      <x:c r="I162" s="13" t="str">
        <x:v>Financeiro</x:v>
      </x:c>
      <x:c r="J162" s="13" t="str">
        <x:v>Pago</x:v>
      </x:c>
      <x:c r="K162" s="13" t="str">
        <x:v>Base controlada</x:v>
      </x:c>
      <x:c r="L162" s="17" t="n">
        <x:f>H162-G162</x:f>
        <x:v>-203.15999999999985</x:v>
      </x:c>
      <x:c r="M162" s="19" t="n">
        <x:f>IFERROR(L162/G162,0)</x:f>
        <x:v>-0.02786208296361717</x:v>
      </x:c>
      <x:c r="N162" s="13" t="n">
        <x:f>D162-C162</x:f>
        <x:v>0</x:v>
      </x:c>
    </x:row>
    <x:row r="163">
      <x:c r="A163" s="13" t="str">
        <x:v>PAG-000162</x:v>
      </x:c>
      <x:c r="B163" s="23" t="n">
        <x:v>45396</x:v>
      </x:c>
      <x:c r="C163" s="23" t="n">
        <x:v>45411</x:v>
      </x:c>
      <x:c r="D163" s="23" t="n">
        <x:v>45410</x:v>
      </x:c>
      <x:c r="E163" s="13" t="str">
        <x:v>WorkSpace</x:v>
      </x:c>
      <x:c r="F163" s="13" t="str">
        <x:v>Locação</x:v>
      </x:c>
      <x:c r="G163" s="17" t="n">
        <x:v>19487.88</x:v>
      </x:c>
      <x:c r="H163" s="17" t="n">
        <x:v>19067.45</x:v>
      </x:c>
      <x:c r="I163" s="13" t="str">
        <x:v>Financeiro</x:v>
      </x:c>
      <x:c r="J163" s="13" t="str">
        <x:v>Pago</x:v>
      </x:c>
      <x:c r="K163" s="13" t="str">
        <x:v>Base controlada</x:v>
      </x:c>
      <x:c r="L163" s="17" t="n">
        <x:f>H163-G163</x:f>
        <x:v>-420.4300000000003</x:v>
      </x:c>
      <x:c r="M163" s="19" t="n">
        <x:f>IFERROR(L163/G163,0)</x:f>
        <x:v>-0.021573921842704298</x:v>
      </x:c>
      <x:c r="N163" s="13" t="n">
        <x:f>D163-C163</x:f>
        <x:v>-1</x:v>
      </x:c>
    </x:row>
    <x:row r="164">
      <x:c r="A164" s="13" t="str">
        <x:v>PAG-000163</x:v>
      </x:c>
      <x:c r="B164" s="23" t="n">
        <x:v>45386</x:v>
      </x:c>
      <x:c r="C164" s="23" t="n">
        <x:v>45406</x:v>
      </x:c>
      <x:c r="D164" s="23" t="n">
        <x:v>45405</x:v>
      </x:c>
      <x:c r="E164" s="13" t="str">
        <x:v>Banco Integra</x:v>
      </x:c>
      <x:c r="F164" s="13" t="str">
        <x:v>Serviços bancários</x:v>
      </x:c>
      <x:c r="G164" s="17" t="n">
        <x:v>28113.14</x:v>
      </x:c>
      <x:c r="H164" s="17" t="n">
        <x:v>27553.15</x:v>
      </x:c>
      <x:c r="I164" s="13" t="str">
        <x:v>Diretoria</x:v>
      </x:c>
      <x:c r="J164" s="13" t="str">
        <x:v>Pago</x:v>
      </x:c>
      <x:c r="K164" s="13" t="str">
        <x:v>Base controlada</x:v>
      </x:c>
      <x:c r="L164" s="17" t="n">
        <x:f>H164-G164</x:f>
        <x:v>-559.989999999998</x:v>
      </x:c>
      <x:c r="M164" s="19" t="n">
        <x:f>IFERROR(L164/G164,0)</x:f>
        <x:v>-0.019919155241997086</x:v>
      </x:c>
      <x:c r="N164" s="13" t="n">
        <x:f>D164-C164</x:f>
        <x:v>-1</x:v>
      </x:c>
    </x:row>
    <x:row r="165">
      <x:c r="A165" s="13" t="str">
        <x:v>PAG-000164</x:v>
      </x:c>
      <x:c r="B165" s="23" t="n">
        <x:v>45387</x:v>
      </x:c>
      <x:c r="C165" s="23" t="n">
        <x:v>45402</x:v>
      </x:c>
      <x:c r="D165" s="23" t="n">
        <x:v>45404</x:v>
      </x:c>
      <x:c r="E165" s="13" t="str">
        <x:v>CloudCore</x:v>
      </x:c>
      <x:c r="F165" s="13" t="str">
        <x:v>Tecnologia</x:v>
      </x:c>
      <x:c r="G165" s="17" t="n">
        <x:v>12714.94</x:v>
      </x:c>
      <x:c r="H165" s="17" t="n">
        <x:v>12311.93</x:v>
      </x:c>
      <x:c r="I165" s="13" t="str">
        <x:v>Diretoria</x:v>
      </x:c>
      <x:c r="J165" s="13" t="str">
        <x:v>Pago</x:v>
      </x:c>
      <x:c r="K165" s="13" t="str">
        <x:v>Base controlada</x:v>
      </x:c>
      <x:c r="L165" s="17" t="n">
        <x:f>H165-G165</x:f>
        <x:v>-403.0100000000002</x:v>
      </x:c>
      <x:c r="M165" s="19" t="n">
        <x:f>IFERROR(L165/G165,0)</x:f>
        <x:v>-0.031695784643891375</x:v>
      </x:c>
      <x:c r="N165" s="13" t="n">
        <x:f>D165-C165</x:f>
        <x:v>2</x:v>
      </x:c>
    </x:row>
    <x:row r="166">
      <x:c r="A166" s="13" t="str">
        <x:v>PAG-000165</x:v>
      </x:c>
      <x:c r="B166" s="23" t="n">
        <x:v>45387</x:v>
      </x:c>
      <x:c r="C166" s="23" t="n">
        <x:v>45402</x:v>
      </x:c>
      <x:c r="D166" s="23" t="n">
        <x:v>45400</x:v>
      </x:c>
      <x:c r="E166" s="13" t="str">
        <x:v>MarketLab</x:v>
      </x:c>
      <x:c r="F166" s="13" t="str">
        <x:v>Marketing</x:v>
      </x:c>
      <x:c r="G166" s="17" t="n">
        <x:v>18419.65</x:v>
      </x:c>
      <x:c r="H166" s="17" t="n">
        <x:v>18063.64</x:v>
      </x:c>
      <x:c r="I166" s="13" t="str">
        <x:v>Gestor da área</x:v>
      </x:c>
      <x:c r="J166" s="13" t="str">
        <x:v>Pago</x:v>
      </x:c>
      <x:c r="K166" s="13" t="str">
        <x:v>Base controlada</x:v>
      </x:c>
      <x:c r="L166" s="17" t="n">
        <x:f>H166-G166</x:f>
        <x:v>-356.01000000000204</x:v>
      </x:c>
      <x:c r="M166" s="19" t="n">
        <x:f>IFERROR(L166/G166,0)</x:f>
        <x:v>-0.01932772881135103</x:v>
      </x:c>
      <x:c r="N166" s="13" t="n">
        <x:f>D166-C166</x:f>
        <x:v>-2</x:v>
      </x:c>
    </x:row>
    <x:row r="167">
      <x:c r="A167" s="13" t="str">
        <x:v>PAG-000166</x:v>
      </x:c>
      <x:c r="B167" s="23" t="n">
        <x:v>45395</x:v>
      </x:c>
      <x:c r="C167" s="23" t="n">
        <x:v>45402</x:v>
      </x:c>
      <x:c r="D167" s="23" t="n">
        <x:v>45399</x:v>
      </x:c>
      <x:c r="E167" s="13" t="str">
        <x:v>Office Prime</x:v>
      </x:c>
      <x:c r="F167" s="13" t="str">
        <x:v>Escritório</x:v>
      </x:c>
      <x:c r="G167" s="17" t="n">
        <x:v>9808.8</x:v>
      </x:c>
      <x:c r="H167" s="17" t="n">
        <x:v>9515.5</x:v>
      </x:c>
      <x:c r="I167" s="13" t="str">
        <x:v>Diretoria</x:v>
      </x:c>
      <x:c r="J167" s="13" t="str">
        <x:v>Pago</x:v>
      </x:c>
      <x:c r="K167" s="13" t="str">
        <x:v>Base controlada</x:v>
      </x:c>
      <x:c r="L167" s="17" t="n">
        <x:f>H167-G167</x:f>
        <x:v>-293.2999999999993</x:v>
      </x:c>
      <x:c r="M167" s="19" t="n">
        <x:f>IFERROR(L167/G167,0)</x:f>
        <x:v>-0.029901720903678257</x:v>
      </x:c>
      <x:c r="N167" s="13" t="n">
        <x:f>D167-C167</x:f>
        <x:v>-3</x:v>
      </x:c>
    </x:row>
    <x:row r="168">
      <x:c r="A168" s="13" t="str">
        <x:v>PAG-000167</x:v>
      </x:c>
      <x:c r="B168" s="23" t="n">
        <x:v>45400</x:v>
      </x:c>
      <x:c r="C168" s="23" t="n">
        <x:v>45430</x:v>
      </x:c>
      <x:c r="D168" s="23" t="n">
        <x:v>45427</x:v>
      </x:c>
      <x:c r="E168" s="13" t="str">
        <x:v>WorkSpace</x:v>
      </x:c>
      <x:c r="F168" s="13" t="str">
        <x:v>Locação</x:v>
      </x:c>
      <x:c r="G168" s="17" t="n">
        <x:v>28061.75</x:v>
      </x:c>
      <x:c r="H168" s="17" t="n">
        <x:v>27694.37</x:v>
      </x:c>
      <x:c r="I168" s="13" t="str">
        <x:v>Diretoria</x:v>
      </x:c>
      <x:c r="J168" s="13" t="str">
        <x:v>Pago</x:v>
      </x:c>
      <x:c r="K168" s="13" t="str">
        <x:v>Base controlada</x:v>
      </x:c>
      <x:c r="L168" s="17" t="n">
        <x:f>H168-G168</x:f>
        <x:v>-367.380000000001</x:v>
      </x:c>
      <x:c r="M168" s="19" t="n">
        <x:f>IFERROR(L168/G168,0)</x:f>
        <x:v>-0.013091842098229833</x:v>
      </x:c>
      <x:c r="N168" s="13" t="n">
        <x:f>D168-C168</x:f>
        <x:v>-3</x:v>
      </x:c>
    </x:row>
    <x:row r="169">
      <x:c r="A169" s="13" t="str">
        <x:v>PAG-000168</x:v>
      </x:c>
      <x:c r="B169" s="23" t="n">
        <x:v>45402</x:v>
      </x:c>
      <x:c r="C169" s="23" t="n">
        <x:v>45432</x:v>
      </x:c>
      <x:c r="D169" s="23" t="n">
        <x:v>45432</x:v>
      </x:c>
      <x:c r="E169" s="13" t="str">
        <x:v>LegalMais</x:v>
      </x:c>
      <x:c r="F169" s="13" t="str">
        <x:v>Jurídico</x:v>
      </x:c>
      <x:c r="G169" s="17" t="n">
        <x:v>2878.18</x:v>
      </x:c>
      <x:c r="H169" s="17" t="n">
        <x:v>2971.93</x:v>
      </x:c>
      <x:c r="I169" s="13" t="str">
        <x:v>Financeiro</x:v>
      </x:c>
      <x:c r="J169" s="13" t="str">
        <x:v>Pago</x:v>
      </x:c>
      <x:c r="K169" s="13" t="str">
        <x:v>Base controlada</x:v>
      </x:c>
      <x:c r="L169" s="17" t="n">
        <x:f>H169-G169</x:f>
        <x:v>93.75</x:v>
      </x:c>
      <x:c r="M169" s="19" t="n">
        <x:f>IFERROR(L169/G169,0)</x:f>
        <x:v>0.032572667449568826</x:v>
      </x:c>
      <x:c r="N169" s="13" t="n">
        <x:f>D169-C169</x:f>
        <x:v>0</x:v>
      </x:c>
    </x:row>
    <x:row r="170">
      <x:c r="A170" s="13" t="str">
        <x:v>PAG-000169</x:v>
      </x:c>
      <x:c r="B170" s="23" t="n">
        <x:v>45417</x:v>
      </x:c>
      <x:c r="C170" s="23" t="n">
        <x:v>45432</x:v>
      </x:c>
      <x:c r="D170" s="23" t="n">
        <x:v>45432</x:v>
      </x:c>
      <x:c r="E170" s="13" t="str">
        <x:v>DataSafe</x:v>
      </x:c>
      <x:c r="F170" s="13" t="str">
        <x:v>Segurança da informação</x:v>
      </x:c>
      <x:c r="G170" s="17" t="n">
        <x:v>2082.58</x:v>
      </x:c>
      <x:c r="H170" s="17" t="n">
        <x:v>2132.56</x:v>
      </x:c>
      <x:c r="I170" s="13" t="str">
        <x:v>Financeiro</x:v>
      </x:c>
      <x:c r="J170" s="13" t="str">
        <x:v>Pago</x:v>
      </x:c>
      <x:c r="K170" s="13" t="str">
        <x:v>Base controlada</x:v>
      </x:c>
      <x:c r="L170" s="17" t="n">
        <x:f>H170-G170</x:f>
        <x:v>49.98000000000002</x:v>
      </x:c>
      <x:c r="M170" s="19" t="n">
        <x:f>IFERROR(L170/G170,0)</x:f>
        <x:v>0.023999078066628904</x:v>
      </x:c>
      <x:c r="N170" s="13" t="n">
        <x:f>D170-C170</x:f>
        <x:v>0</x:v>
      </x:c>
    </x:row>
    <x:row r="171">
      <x:c r="A171" s="13" t="str">
        <x:v>PAG-000170</x:v>
      </x:c>
      <x:c r="B171" s="23" t="n">
        <x:v>45423</x:v>
      </x:c>
      <x:c r="C171" s="23" t="n">
        <x:v>45443</x:v>
      </x:c>
      <x:c r="D171" s="23" t="n">
        <x:v>45445</x:v>
      </x:c>
      <x:c r="E171" s="13" t="str">
        <x:v>CloudCore</x:v>
      </x:c>
      <x:c r="F171" s="13" t="str">
        <x:v>Tecnologia</x:v>
      </x:c>
      <x:c r="G171" s="17" t="n">
        <x:v>9739.74</x:v>
      </x:c>
      <x:c r="H171" s="17" t="n">
        <x:v>9554.88</x:v>
      </x:c>
      <x:c r="I171" s="13" t="str">
        <x:v>Financeiro</x:v>
      </x:c>
      <x:c r="J171" s="13" t="str">
        <x:v>Pago</x:v>
      </x:c>
      <x:c r="K171" s="13" t="str">
        <x:v>Base controlada</x:v>
      </x:c>
      <x:c r="L171" s="17" t="n">
        <x:f>H171-G171</x:f>
        <x:v>-184.86000000000058</x:v>
      </x:c>
      <x:c r="M171" s="19" t="n">
        <x:f>IFERROR(L171/G171,0)</x:f>
        <x:v>-0.01897997277134714</x:v>
      </x:c>
      <x:c r="N171" s="13" t="n">
        <x:f>D171-C171</x:f>
        <x:v>2</x:v>
      </x:c>
    </x:row>
    <x:row r="172">
      <x:c r="A172" s="13" t="str">
        <x:v>PAG-000171</x:v>
      </x:c>
      <x:c r="B172" s="23" t="n">
        <x:v>45428</x:v>
      </x:c>
      <x:c r="C172" s="23" t="n">
        <x:v>45448</x:v>
      </x:c>
      <x:c r="D172" s="23" t="n">
        <x:v>45447</x:v>
      </x:c>
      <x:c r="E172" s="13" t="str">
        <x:v>CloudCore</x:v>
      </x:c>
      <x:c r="F172" s="13" t="str">
        <x:v>Tecnologia</x:v>
      </x:c>
      <x:c r="G172" s="17" t="n">
        <x:v>19880.39</x:v>
      </x:c>
      <x:c r="H172" s="17" t="n">
        <x:v>19775.87</x:v>
      </x:c>
      <x:c r="I172" s="13" t="str">
        <x:v>Financeiro</x:v>
      </x:c>
      <x:c r="J172" s="13" t="str">
        <x:v>Pago</x:v>
      </x:c>
      <x:c r="K172" s="13" t="str">
        <x:v>Base controlada</x:v>
      </x:c>
      <x:c r="L172" s="17" t="n">
        <x:f>H172-G172</x:f>
        <x:v>-104.52000000000044</x:v>
      </x:c>
      <x:c r="M172" s="19" t="n">
        <x:f>IFERROR(L172/G172,0)</x:f>
        <x:v>-0.005257442132674482</x:v>
      </x:c>
      <x:c r="N172" s="13" t="n">
        <x:f>D172-C172</x:f>
        <x:v>-1</x:v>
      </x:c>
    </x:row>
    <x:row r="173">
      <x:c r="A173" s="13" t="str">
        <x:v>PAG-000172</x:v>
      </x:c>
      <x:c r="B173" s="23" t="n">
        <x:v>45429</x:v>
      </x:c>
      <x:c r="C173" s="23" t="n">
        <x:v>45436</x:v>
      </x:c>
      <x:c r="D173" s="23" t="n">
        <x:v>45436</x:v>
      </x:c>
      <x:c r="E173" s="13" t="str">
        <x:v>Banco Integra</x:v>
      </x:c>
      <x:c r="F173" s="13" t="str">
        <x:v>Serviços bancários</x:v>
      </x:c>
      <x:c r="G173" s="17" t="n">
        <x:v>10459.68</x:v>
      </x:c>
      <x:c r="H173" s="17" t="n">
        <x:v>10095.44</x:v>
      </x:c>
      <x:c r="I173" s="13" t="str">
        <x:v>Diretoria</x:v>
      </x:c>
      <x:c r="J173" s="13" t="str">
        <x:v>Pago</x:v>
      </x:c>
      <x:c r="K173" s="13" t="str">
        <x:v>Base controlada</x:v>
      </x:c>
      <x:c r="L173" s="17" t="n">
        <x:f>H173-G173</x:f>
        <x:v>-364.2399999999998</x:v>
      </x:c>
      <x:c r="M173" s="19" t="n">
        <x:f>IFERROR(L173/G173,0)</x:f>
        <x:v>-0.03482324507059487</x:v>
      </x:c>
      <x:c r="N173" s="13" t="n">
        <x:f>D173-C173</x:f>
        <x:v>0</x:v>
      </x:c>
    </x:row>
    <x:row r="174">
      <x:c r="A174" s="13" t="str">
        <x:v>PAG-000173</x:v>
      </x:c>
      <x:c r="B174" s="23" t="n">
        <x:v>45432</x:v>
      </x:c>
      <x:c r="C174" s="23" t="n">
        <x:v>45462</x:v>
      </x:c>
      <x:c r="D174" s="23" t="n">
        <x:v>45459</x:v>
      </x:c>
      <x:c r="E174" s="13" t="str">
        <x:v>DataSafe</x:v>
      </x:c>
      <x:c r="F174" s="13" t="str">
        <x:v>Segurança da informação</x:v>
      </x:c>
      <x:c r="G174" s="17" t="n">
        <x:v>25884.18</x:v>
      </x:c>
      <x:c r="H174" s="17" t="n">
        <x:v>26022.09</x:v>
      </x:c>
      <x:c r="I174" s="13" t="str">
        <x:v>Diretoria</x:v>
      </x:c>
      <x:c r="J174" s="13" t="str">
        <x:v>Pago</x:v>
      </x:c>
      <x:c r="K174" s="13" t="str">
        <x:v>Base controlada</x:v>
      </x:c>
      <x:c r="L174" s="17" t="n">
        <x:f>H174-G174</x:f>
        <x:v>137.90999999999985</x:v>
      </x:c>
      <x:c r="M174" s="19" t="n">
        <x:f>IFERROR(L174/G174,0)</x:f>
        <x:v>0.00532796480321184</x:v>
      </x:c>
      <x:c r="N174" s="13" t="n">
        <x:f>D174-C174</x:f>
        <x:v>-3</x:v>
      </x:c>
    </x:row>
    <x:row r="175">
      <x:c r="A175" s="13" t="str">
        <x:v>PAG-000174</x:v>
      </x:c>
      <x:c r="B175" s="23" t="n">
        <x:v>45418</x:v>
      </x:c>
      <x:c r="C175" s="23" t="n">
        <x:v>45448</x:v>
      </x:c>
      <x:c r="D175" s="23" t="n">
        <x:v>45448</x:v>
      </x:c>
      <x:c r="E175" s="13" t="str">
        <x:v>DataSafe</x:v>
      </x:c>
      <x:c r="F175" s="13" t="str">
        <x:v>Segurança da informação</x:v>
      </x:c>
      <x:c r="G175" s="17" t="n">
        <x:v>3199.66</x:v>
      </x:c>
      <x:c r="H175" s="17" t="n">
        <x:v>3230.31</x:v>
      </x:c>
      <x:c r="I175" s="13" t="str">
        <x:v>Financeiro</x:v>
      </x:c>
      <x:c r="J175" s="13" t="str">
        <x:v>Pago</x:v>
      </x:c>
      <x:c r="K175" s="13" t="str">
        <x:v>Base controlada</x:v>
      </x:c>
      <x:c r="L175" s="17" t="n">
        <x:f>H175-G175</x:f>
        <x:v>30.65000000000009</x:v>
      </x:c>
      <x:c r="M175" s="19" t="n">
        <x:f>IFERROR(L175/G175,0)</x:f>
        <x:v>0.009579142783920821</x:v>
      </x:c>
      <x:c r="N175" s="13" t="n">
        <x:f>D175-C175</x:f>
        <x:v>0</x:v>
      </x:c>
    </x:row>
    <x:row r="176">
      <x:c r="A176" s="13" t="str">
        <x:v>PAG-000175</x:v>
      </x:c>
      <x:c r="B176" s="23" t="n">
        <x:v>45425</x:v>
      </x:c>
      <x:c r="C176" s="23" t="n">
        <x:v>45432</x:v>
      </x:c>
      <x:c r="D176" s="23" t="n">
        <x:v>45432</x:v>
      </x:c>
      <x:c r="E176" s="13" t="str">
        <x:v>MarketLab</x:v>
      </x:c>
      <x:c r="F176" s="13" t="str">
        <x:v>Marketing</x:v>
      </x:c>
      <x:c r="G176" s="17" t="n">
        <x:v>937.63</x:v>
      </x:c>
      <x:c r="H176" s="17" t="n">
        <x:v>937.65</x:v>
      </x:c>
      <x:c r="I176" s="13" t="str">
        <x:v>Financeiro</x:v>
      </x:c>
      <x:c r="J176" s="13" t="str">
        <x:v>Pago</x:v>
      </x:c>
      <x:c r="K176" s="13" t="str">
        <x:v>Base controlada</x:v>
      </x:c>
      <x:c r="L176" s="17" t="n">
        <x:f>H176-G176</x:f>
        <x:v>0.01999999999998181</x:v>
      </x:c>
      <x:c r="M176" s="19" t="n">
        <x:f>IFERROR(L176/G176,0)</x:f>
        <x:v>0.000021330375521241653</x:v>
      </x:c>
      <x:c r="N176" s="13" t="n">
        <x:f>D176-C176</x:f>
        <x:v>0</x:v>
      </x:c>
    </x:row>
    <x:row r="177">
      <x:c r="A177" s="13" t="str">
        <x:v>PAG-000176</x:v>
      </x:c>
      <x:c r="B177" s="23" t="n">
        <x:v>45432</x:v>
      </x:c>
      <x:c r="C177" s="23" t="n">
        <x:v>45462</x:v>
      </x:c>
      <x:c r="D177" s="23" t="n">
        <x:v>45464</x:v>
      </x:c>
      <x:c r="E177" s="13" t="str">
        <x:v>Conta Certa</x:v>
      </x:c>
      <x:c r="F177" s="13" t="str">
        <x:v>Contabilidade</x:v>
      </x:c>
      <x:c r="G177" s="17" t="n">
        <x:v>3638.96</x:v>
      </x:c>
      <x:c r="H177" s="17" t="n">
        <x:v>3526.4</x:v>
      </x:c>
      <x:c r="I177" s="13" t="str">
        <x:v>Diretoria</x:v>
      </x:c>
      <x:c r="J177" s="13" t="str">
        <x:v>Pago</x:v>
      </x:c>
      <x:c r="K177" s="13" t="str">
        <x:v>Base controlada</x:v>
      </x:c>
      <x:c r="L177" s="17" t="n">
        <x:f>H177-G177</x:f>
        <x:v>-112.55999999999995</x:v>
      </x:c>
      <x:c r="M177" s="19" t="n">
        <x:f>IFERROR(L177/G177,0)</x:f>
        <x:v>-0.03093191461296633</x:v>
      </x:c>
      <x:c r="N177" s="13" t="n">
        <x:f>D177-C177</x:f>
        <x:v>2</x:v>
      </x:c>
    </x:row>
    <x:row r="178">
      <x:c r="A178" s="13" t="str">
        <x:v>PAG-000177</x:v>
      </x:c>
      <x:c r="B178" s="23" t="n">
        <x:v>45416</x:v>
      </x:c>
      <x:c r="C178" s="23" t="n">
        <x:v>45446</x:v>
      </x:c>
      <x:c r="D178" s="23" t="n">
        <x:v>45444</x:v>
      </x:c>
      <x:c r="E178" s="13" t="str">
        <x:v>LegalMais</x:v>
      </x:c>
      <x:c r="F178" s="13" t="str">
        <x:v>Jurídico</x:v>
      </x:c>
      <x:c r="G178" s="17" t="n">
        <x:v>2242.48</x:v>
      </x:c>
      <x:c r="H178" s="17" t="n">
        <x:v>2319.08</x:v>
      </x:c>
      <x:c r="I178" s="13" t="str">
        <x:v>Gestor da área</x:v>
      </x:c>
      <x:c r="J178" s="13" t="str">
        <x:v>Pago</x:v>
      </x:c>
      <x:c r="K178" s="13" t="str">
        <x:v>Base controlada</x:v>
      </x:c>
      <x:c r="L178" s="17" t="n">
        <x:f>H178-G178</x:f>
        <x:v>76.59999999999991</x:v>
      </x:c>
      <x:c r="M178" s="19" t="n">
        <x:f>IFERROR(L178/G178,0)</x:f>
        <x:v>0.034158610110235056</x:v>
      </x:c>
      <x:c r="N178" s="13" t="n">
        <x:f>D178-C178</x:f>
        <x:v>-2</x:v>
      </x:c>
    </x:row>
    <x:row r="179">
      <x:c r="A179" s="13" t="str">
        <x:v>PAG-000178</x:v>
      </x:c>
      <x:c r="B179" s="23" t="n">
        <x:v>45414</x:v>
      </x:c>
      <x:c r="C179" s="23" t="n">
        <x:v>45434</x:v>
      </x:c>
      <x:c r="D179" s="23" t="n">
        <x:v>45431</x:v>
      </x:c>
      <x:c r="E179" s="13" t="str">
        <x:v>WorkSpace</x:v>
      </x:c>
      <x:c r="F179" s="13" t="str">
        <x:v>Locação</x:v>
      </x:c>
      <x:c r="G179" s="17" t="n">
        <x:v>18903.29</x:v>
      </x:c>
      <x:c r="H179" s="17" t="n">
        <x:v>18609.05</x:v>
      </x:c>
      <x:c r="I179" s="13" t="str">
        <x:v>Gestor da área</x:v>
      </x:c>
      <x:c r="J179" s="13" t="str">
        <x:v>Pago</x:v>
      </x:c>
      <x:c r="K179" s="13" t="str">
        <x:v>Base controlada</x:v>
      </x:c>
      <x:c r="L179" s="17" t="n">
        <x:f>H179-G179</x:f>
        <x:v>-294.2400000000016</x:v>
      </x:c>
      <x:c r="M179" s="19" t="n">
        <x:f>IFERROR(L179/G179,0)</x:f>
        <x:v>-0.015565544410523331</x:v>
      </x:c>
      <x:c r="N179" s="13" t="n">
        <x:f>D179-C179</x:f>
        <x:v>-3</x:v>
      </x:c>
    </x:row>
    <x:row r="180">
      <x:c r="A180" s="13" t="str">
        <x:v>PAG-000179</x:v>
      </x:c>
      <x:c r="B180" s="23" t="n">
        <x:v>45414</x:v>
      </x:c>
      <x:c r="C180" s="23" t="n">
        <x:v>45434</x:v>
      </x:c>
      <x:c r="D180" s="23" t="n">
        <x:v>45431</x:v>
      </x:c>
      <x:c r="E180" s="13" t="str">
        <x:v>WorkSpace</x:v>
      </x:c>
      <x:c r="F180" s="13" t="str">
        <x:v>Locação</x:v>
      </x:c>
      <x:c r="G180" s="17" t="n">
        <x:v>30446.27</x:v>
      </x:c>
      <x:c r="H180" s="17" t="n">
        <x:v>31406.36</x:v>
      </x:c>
      <x:c r="I180" s="13" t="str">
        <x:v>Diretoria</x:v>
      </x:c>
      <x:c r="J180" s="13" t="str">
        <x:v>Pago</x:v>
      </x:c>
      <x:c r="K180" s="13" t="str">
        <x:v>Base controlada</x:v>
      </x:c>
      <x:c r="L180" s="17" t="n">
        <x:f>H180-G180</x:f>
        <x:v>960.0900000000001</x:v>
      </x:c>
      <x:c r="M180" s="19" t="n">
        <x:f>IFERROR(L180/G180,0)</x:f>
        <x:v>0.031533912035858584</x:v>
      </x:c>
      <x:c r="N180" s="13" t="n">
        <x:f>D180-C180</x:f>
        <x:v>-3</x:v>
      </x:c>
    </x:row>
    <x:row r="181">
      <x:c r="A181" s="13" t="str">
        <x:v>PAG-000180</x:v>
      </x:c>
      <x:c r="B181" s="23" t="n">
        <x:v>45430</x:v>
      </x:c>
      <x:c r="C181" s="23" t="n">
        <x:v>45450</x:v>
      </x:c>
      <x:c r="D181" s="23" t="n">
        <x:v>45450</x:v>
      </x:c>
      <x:c r="E181" s="13" t="str">
        <x:v>MarketLab</x:v>
      </x:c>
      <x:c r="F181" s="13" t="str">
        <x:v>Marketing</x:v>
      </x:c>
      <x:c r="G181" s="17" t="n">
        <x:v>30039.78</x:v>
      </x:c>
      <x:c r="H181" s="17" t="n">
        <x:v>29008.69</x:v>
      </x:c>
      <x:c r="I181" s="13" t="str">
        <x:v>Diretoria</x:v>
      </x:c>
      <x:c r="J181" s="13" t="str">
        <x:v>Pago</x:v>
      </x:c>
      <x:c r="K181" s="13" t="str">
        <x:v>Base controlada</x:v>
      </x:c>
      <x:c r="L181" s="17" t="n">
        <x:f>H181-G181</x:f>
        <x:v>-1031.0900000000001</x:v>
      </x:c>
      <x:c r="M181" s="19" t="n">
        <x:f>IFERROR(L181/G181,0)</x:f>
        <x:v>-0.03432415284000083</x:v>
      </x:c>
      <x:c r="N181" s="13" t="n">
        <x:f>D181-C181</x:f>
        <x:v>0</x:v>
      </x:c>
    </x:row>
    <x:row r="182">
      <x:c r="A182" s="13" t="str">
        <x:v>PAG-000181</x:v>
      </x:c>
      <x:c r="B182" s="23" t="n">
        <x:v>45422</x:v>
      </x:c>
      <x:c r="C182" s="23" t="n">
        <x:v>45452</x:v>
      </x:c>
      <x:c r="D182" s="23" t="n">
        <x:v>45451</x:v>
      </x:c>
      <x:c r="E182" s="13" t="str">
        <x:v>WorkSpace</x:v>
      </x:c>
      <x:c r="F182" s="13" t="str">
        <x:v>Locação</x:v>
      </x:c>
      <x:c r="G182" s="17" t="n">
        <x:v>4756.58</x:v>
      </x:c>
      <x:c r="H182" s="17" t="n">
        <x:v>4694.75</x:v>
      </x:c>
      <x:c r="I182" s="13" t="str">
        <x:v>Financeiro</x:v>
      </x:c>
      <x:c r="J182" s="13" t="str">
        <x:v>Pago</x:v>
      </x:c>
      <x:c r="K182" s="13" t="str">
        <x:v>Base controlada</x:v>
      </x:c>
      <x:c r="L182" s="17" t="n">
        <x:f>H182-G182</x:f>
        <x:v>-61.82999999999993</x:v>
      </x:c>
      <x:c r="M182" s="19" t="n">
        <x:f>IFERROR(L182/G182,0)</x:f>
        <x:v>-0.012998835297629794</x:v>
      </x:c>
      <x:c r="N182" s="13" t="n">
        <x:f>D182-C182</x:f>
        <x:v>-1</x:v>
      </x:c>
    </x:row>
    <x:row r="183">
      <x:c r="A183" s="13" t="str">
        <x:v>PAG-000182</x:v>
      </x:c>
      <x:c r="B183" s="23" t="n">
        <x:v>45427</x:v>
      </x:c>
      <x:c r="C183" s="23" t="n">
        <x:v>45442</x:v>
      </x:c>
      <x:c r="D183" s="23" t="n">
        <x:v>45443</x:v>
      </x:c>
      <x:c r="E183" s="13" t="str">
        <x:v>NetLink</x:v>
      </x:c>
      <x:c r="F183" s="13" t="str">
        <x:v>Telecomunicações</x:v>
      </x:c>
      <x:c r="G183" s="17" t="n">
        <x:v>14661.93</x:v>
      </x:c>
      <x:c r="H183" s="17" t="n">
        <x:v>15021.08</x:v>
      </x:c>
      <x:c r="I183" s="13" t="str">
        <x:v>Financeiro</x:v>
      </x:c>
      <x:c r="J183" s="13" t="str">
        <x:v>Pago</x:v>
      </x:c>
      <x:c r="K183" s="13" t="str">
        <x:v>Base controlada</x:v>
      </x:c>
      <x:c r="L183" s="17" t="n">
        <x:f>H183-G183</x:f>
        <x:v>359.14999999999964</x:v>
      </x:c>
      <x:c r="M183" s="19" t="n">
        <x:f>IFERROR(L183/G183,0)</x:f>
        <x:v>0.024495410904294294</x:v>
      </x:c>
      <x:c r="N183" s="13" t="n">
        <x:f>D183-C183</x:f>
        <x:v>1</x:v>
      </x:c>
    </x:row>
    <x:row r="184">
      <x:c r="A184" s="13" t="str">
        <x:v>PAG-000183</x:v>
      </x:c>
      <x:c r="B184" s="23" t="n">
        <x:v>45423</x:v>
      </x:c>
      <x:c r="C184" s="23" t="n">
        <x:v>45438</x:v>
      </x:c>
      <x:c r="D184" s="23" t="n">
        <x:v>45437</x:v>
      </x:c>
      <x:c r="E184" s="13" t="str">
        <x:v>DataSafe</x:v>
      </x:c>
      <x:c r="F184" s="13" t="str">
        <x:v>Segurança da informação</x:v>
      </x:c>
      <x:c r="G184" s="17" t="n">
        <x:v>12952.42</x:v>
      </x:c>
      <x:c r="H184" s="17" t="n">
        <x:v>12505.14</x:v>
      </x:c>
      <x:c r="I184" s="13" t="str">
        <x:v>Financeiro</x:v>
      </x:c>
      <x:c r="J184" s="13" t="str">
        <x:v>Pago</x:v>
      </x:c>
      <x:c r="K184" s="13" t="str">
        <x:v>Base controlada</x:v>
      </x:c>
      <x:c r="L184" s="17" t="n">
        <x:f>H184-G184</x:f>
        <x:v>-447.28000000000065</x:v>
      </x:c>
      <x:c r="M184" s="19" t="n">
        <x:f>IFERROR(L184/G184,0)</x:f>
        <x:v>-0.03453254295336321</x:v>
      </x:c>
      <x:c r="N184" s="13" t="n">
        <x:f>D184-C184</x:f>
        <x:v>-1</x:v>
      </x:c>
    </x:row>
    <x:row r="185">
      <x:c r="A185" s="13" t="str">
        <x:v>PAG-000184</x:v>
      </x:c>
      <x:c r="B185" s="23" t="n">
        <x:v>45413</x:v>
      </x:c>
      <x:c r="C185" s="23" t="n">
        <x:v>45443</x:v>
      </x:c>
      <x:c r="D185" s="23" t="n">
        <x:v>45443</x:v>
      </x:c>
      <x:c r="E185" s="13" t="str">
        <x:v>Banco Integra</x:v>
      </x:c>
      <x:c r="F185" s="13" t="str">
        <x:v>Serviços bancários</x:v>
      </x:c>
      <x:c r="G185" s="17" t="n">
        <x:v>20030.56</x:v>
      </x:c>
      <x:c r="H185" s="17" t="n">
        <x:v>20266.43</x:v>
      </x:c>
      <x:c r="I185" s="13" t="str">
        <x:v>Diretoria</x:v>
      </x:c>
      <x:c r="J185" s="13" t="str">
        <x:v>Pago</x:v>
      </x:c>
      <x:c r="K185" s="13" t="str">
        <x:v>Base controlada</x:v>
      </x:c>
      <x:c r="L185" s="17" t="n">
        <x:f>H185-G185</x:f>
        <x:v>235.86999999999898</x:v>
      </x:c>
      <x:c r="M185" s="19" t="n">
        <x:f>IFERROR(L185/G185,0)</x:f>
        <x:v>0.011775507025265343</x:v>
      </x:c>
      <x:c r="N185" s="13" t="n">
        <x:f>D185-C185</x:f>
        <x:v>0</x:v>
      </x:c>
    </x:row>
    <x:row r="186">
      <x:c r="A186" s="13" t="str">
        <x:v>PAG-000185</x:v>
      </x:c>
      <x:c r="B186" s="23" t="n">
        <x:v>45432</x:v>
      </x:c>
      <x:c r="C186" s="23" t="n">
        <x:v>45452</x:v>
      </x:c>
      <x:c r="D186" s="23" t="n">
        <x:v>45452</x:v>
      </x:c>
      <x:c r="E186" s="13" t="str">
        <x:v>LegalMais</x:v>
      </x:c>
      <x:c r="F186" s="13" t="str">
        <x:v>Jurídico</x:v>
      </x:c>
      <x:c r="G186" s="17" t="n">
        <x:v>10823.17</x:v>
      </x:c>
      <x:c r="H186" s="17" t="n">
        <x:v>10548.63</x:v>
      </x:c>
      <x:c r="I186" s="13" t="str">
        <x:v>Diretoria</x:v>
      </x:c>
      <x:c r="J186" s="13" t="str">
        <x:v>Pago</x:v>
      </x:c>
      <x:c r="K186" s="13" t="str">
        <x:v>Base controlada</x:v>
      </x:c>
      <x:c r="L186" s="17" t="n">
        <x:f>H186-G186</x:f>
        <x:v>-274.5400000000009</x:v>
      </x:c>
      <x:c r="M186" s="19" t="n">
        <x:f>IFERROR(L186/G186,0)</x:f>
        <x:v>-0.025365951010655922</x:v>
      </x:c>
      <x:c r="N186" s="13" t="n">
        <x:f>D186-C186</x:f>
        <x:v>0</x:v>
      </x:c>
    </x:row>
    <x:row r="187">
      <x:c r="A187" s="13" t="str">
        <x:v>PAG-000186</x:v>
      </x:c>
      <x:c r="B187" s="23" t="n">
        <x:v>45413</x:v>
      </x:c>
      <x:c r="C187" s="23" t="n">
        <x:v>45443</x:v>
      </x:c>
      <x:c r="D187" s="23" t="n">
        <x:v>45443</x:v>
      </x:c>
      <x:c r="E187" s="13" t="str">
        <x:v>CloudCore</x:v>
      </x:c>
      <x:c r="F187" s="13" t="str">
        <x:v>Tecnologia</x:v>
      </x:c>
      <x:c r="G187" s="17" t="n">
        <x:v>5647.65</x:v>
      </x:c>
      <x:c r="H187" s="17" t="n">
        <x:v>5553.05</x:v>
      </x:c>
      <x:c r="I187" s="13" t="str">
        <x:v>Financeiro</x:v>
      </x:c>
      <x:c r="J187" s="13" t="str">
        <x:v>Pago</x:v>
      </x:c>
      <x:c r="K187" s="13" t="str">
        <x:v>Base controlada</x:v>
      </x:c>
      <x:c r="L187" s="17" t="n">
        <x:f>H187-G187</x:f>
        <x:v>-94.59999999999945</x:v>
      </x:c>
      <x:c r="M187" s="19" t="n">
        <x:f>IFERROR(L187/G187,0)</x:f>
        <x:v>-0.01675032978318406</x:v>
      </x:c>
      <x:c r="N187" s="13" t="n">
        <x:f>D187-C187</x:f>
        <x:v>0</x:v>
      </x:c>
    </x:row>
    <x:row r="188">
      <x:c r="A188" s="13" t="str">
        <x:v>PAG-000187</x:v>
      </x:c>
      <x:c r="B188" s="23" t="n">
        <x:v>45424</x:v>
      </x:c>
      <x:c r="C188" s="23" t="n">
        <x:v>45454</x:v>
      </x:c>
      <x:c r="D188" s="23" t="n">
        <x:v>45454</x:v>
      </x:c>
      <x:c r="E188" s="13" t="str">
        <x:v>DataSafe</x:v>
      </x:c>
      <x:c r="F188" s="13" t="str">
        <x:v>Segurança da informação</x:v>
      </x:c>
      <x:c r="G188" s="17" t="n">
        <x:v>14369.51</x:v>
      </x:c>
      <x:c r="H188" s="17" t="n">
        <x:v>14167.51</x:v>
      </x:c>
      <x:c r="I188" s="13" t="str">
        <x:v>Gestor da área</x:v>
      </x:c>
      <x:c r="J188" s="13" t="str">
        <x:v>Pago</x:v>
      </x:c>
      <x:c r="K188" s="13" t="str">
        <x:v>Base controlada</x:v>
      </x:c>
      <x:c r="L188" s="17" t="n">
        <x:f>H188-G188</x:f>
        <x:v>-202</x:v>
      </x:c>
      <x:c r="M188" s="19" t="n">
        <x:f>IFERROR(L188/G188,0)</x:f>
        <x:v>-0.014057542671949148</x:v>
      </x:c>
      <x:c r="N188" s="13" t="n">
        <x:f>D188-C188</x:f>
        <x:v>0</x:v>
      </x:c>
    </x:row>
    <x:row r="189">
      <x:c r="A189" s="13" t="str">
        <x:v>PAG-000188</x:v>
      </x:c>
      <x:c r="B189" s="23" t="n">
        <x:v>45428</x:v>
      </x:c>
      <x:c r="C189" s="23" t="n">
        <x:v>45458</x:v>
      </x:c>
      <x:c r="D189" s="23" t="n">
        <x:v>45459</x:v>
      </x:c>
      <x:c r="E189" s="13" t="str">
        <x:v>LegalMais</x:v>
      </x:c>
      <x:c r="F189" s="13" t="str">
        <x:v>Jurídico</x:v>
      </x:c>
      <x:c r="G189" s="17" t="n">
        <x:v>2698.39</x:v>
      </x:c>
      <x:c r="H189" s="17" t="n">
        <x:v>2757.51</x:v>
      </x:c>
      <x:c r="I189" s="13" t="str">
        <x:v>Gestor da área</x:v>
      </x:c>
      <x:c r="J189" s="13" t="str">
        <x:v>Pago</x:v>
      </x:c>
      <x:c r="K189" s="13" t="str">
        <x:v>Base controlada</x:v>
      </x:c>
      <x:c r="L189" s="17" t="n">
        <x:f>H189-G189</x:f>
        <x:v>59.120000000000346</x:v>
      </x:c>
      <x:c r="M189" s="19" t="n">
        <x:f>IFERROR(L189/G189,0)</x:f>
        <x:v>0.021909360766975992</x:v>
      </x:c>
      <x:c r="N189" s="13" t="n">
        <x:f>D189-C189</x:f>
        <x:v>1</x:v>
      </x:c>
    </x:row>
    <x:row r="190">
      <x:c r="A190" s="13" t="str">
        <x:v>PAG-000189</x:v>
      </x:c>
      <x:c r="B190" s="23" t="n">
        <x:v>45422</x:v>
      </x:c>
      <x:c r="C190" s="23" t="n">
        <x:v>45452</x:v>
      </x:c>
      <x:c r="D190" s="23" t="n">
        <x:v>45452</x:v>
      </x:c>
      <x:c r="E190" s="13" t="str">
        <x:v>Office Prime</x:v>
      </x:c>
      <x:c r="F190" s="13" t="str">
        <x:v>Escritório</x:v>
      </x:c>
      <x:c r="G190" s="17" t="n">
        <x:v>8507.35</x:v>
      </x:c>
      <x:c r="H190" s="17" t="n">
        <x:v>8838.02</x:v>
      </x:c>
      <x:c r="I190" s="13" t="str">
        <x:v>Financeiro</x:v>
      </x:c>
      <x:c r="J190" s="13" t="str">
        <x:v>Pago</x:v>
      </x:c>
      <x:c r="K190" s="13" t="str">
        <x:v>Base controlada</x:v>
      </x:c>
      <x:c r="L190" s="17" t="n">
        <x:f>H190-G190</x:f>
        <x:v>330.6700000000001</x:v>
      </x:c>
      <x:c r="M190" s="19" t="n">
        <x:f>IFERROR(L190/G190,0)</x:f>
        <x:v>0.03886874291054207</x:v>
      </x:c>
      <x:c r="N190" s="13" t="n">
        <x:f>D190-C190</x:f>
        <x:v>0</x:v>
      </x:c>
    </x:row>
    <x:row r="191">
      <x:c r="A191" s="13" t="str">
        <x:v>PAG-000190</x:v>
      </x:c>
      <x:c r="B191" s="23" t="n">
        <x:v>45423</x:v>
      </x:c>
      <x:c r="C191" s="23" t="n">
        <x:v>45453</x:v>
      </x:c>
      <x:c r="D191" s="23" t="n">
        <x:v>45453</x:v>
      </x:c>
      <x:c r="E191" s="13" t="str">
        <x:v>WorkSpace</x:v>
      </x:c>
      <x:c r="F191" s="13" t="str">
        <x:v>Locação</x:v>
      </x:c>
      <x:c r="G191" s="17" t="n">
        <x:v>25363.84</x:v>
      </x:c>
      <x:c r="H191" s="17" t="n">
        <x:v>25155.36</x:v>
      </x:c>
      <x:c r="I191" s="13" t="str">
        <x:v>Gestor da área</x:v>
      </x:c>
      <x:c r="J191" s="13" t="str">
        <x:v>Pago</x:v>
      </x:c>
      <x:c r="K191" s="13" t="str">
        <x:v>Base controlada</x:v>
      </x:c>
      <x:c r="L191" s="17" t="n">
        <x:f>H191-G191</x:f>
        <x:v>-208.47999999999956</x:v>
      </x:c>
      <x:c r="M191" s="19" t="n">
        <x:f>IFERROR(L191/G191,0)</x:f>
        <x:v>-0.008219575584769481</x:v>
      </x:c>
      <x:c r="N191" s="13" t="n">
        <x:f>D191-C191</x:f>
        <x:v>0</x:v>
      </x:c>
    </x:row>
    <x:row r="192">
      <x:c r="A192" s="13" t="str">
        <x:v>PAG-000191</x:v>
      </x:c>
      <x:c r="B192" s="23" t="n">
        <x:v>45429</x:v>
      </x:c>
      <x:c r="C192" s="23" t="n">
        <x:v>45436</x:v>
      </x:c>
      <x:c r="D192" s="23" t="n">
        <x:v>45434</x:v>
      </x:c>
      <x:c r="E192" s="13" t="str">
        <x:v>CloudCore</x:v>
      </x:c>
      <x:c r="F192" s="13" t="str">
        <x:v>Tecnologia</x:v>
      </x:c>
      <x:c r="G192" s="17" t="n">
        <x:v>18107.68</x:v>
      </x:c>
      <x:c r="H192" s="17" t="n">
        <x:v>18695.44</x:v>
      </x:c>
      <x:c r="I192" s="13" t="str">
        <x:v>Diretoria</x:v>
      </x:c>
      <x:c r="J192" s="13" t="str">
        <x:v>Pago</x:v>
      </x:c>
      <x:c r="K192" s="13" t="str">
        <x:v>Base controlada</x:v>
      </x:c>
      <x:c r="L192" s="17" t="n">
        <x:f>H192-G192</x:f>
        <x:v>587.7599999999984</x:v>
      </x:c>
      <x:c r="M192" s="19" t="n">
        <x:f>IFERROR(L192/G192,0)</x:f>
        <x:v>0.0324591554522721</x:v>
      </x:c>
      <x:c r="N192" s="13" t="n">
        <x:f>D192-C192</x:f>
        <x:v>-2</x:v>
      </x:c>
    </x:row>
    <x:row r="193">
      <x:c r="A193" s="13" t="str">
        <x:v>PAG-000192</x:v>
      </x:c>
      <x:c r="B193" s="23" t="n">
        <x:v>45425</x:v>
      </x:c>
      <x:c r="C193" s="23" t="n">
        <x:v>45432</x:v>
      </x:c>
      <x:c r="D193" s="23" t="n">
        <x:v>45433</x:v>
      </x:c>
      <x:c r="E193" s="13" t="str">
        <x:v>Insight BI</x:v>
      </x:c>
      <x:c r="F193" s="13" t="str">
        <x:v>Dados e Analytics</x:v>
      </x:c>
      <x:c r="G193" s="17" t="n">
        <x:v>5612.65</x:v>
      </x:c>
      <x:c r="H193" s="17" t="n">
        <x:v>5504.48</x:v>
      </x:c>
      <x:c r="I193" s="13" t="str">
        <x:v>Financeiro</x:v>
      </x:c>
      <x:c r="J193" s="13" t="str">
        <x:v>Pago</x:v>
      </x:c>
      <x:c r="K193" s="13" t="str">
        <x:v>Base controlada</x:v>
      </x:c>
      <x:c r="L193" s="17" t="n">
        <x:f>H193-G193</x:f>
        <x:v>-108.17000000000007</x:v>
      </x:c>
      <x:c r="M193" s="19" t="n">
        <x:f>IFERROR(L193/G193,0)</x:f>
        <x:v>-0.01927253614602729</x:v>
      </x:c>
      <x:c r="N193" s="13" t="n">
        <x:f>D193-C193</x:f>
        <x:v>1</x:v>
      </x:c>
    </x:row>
    <x:row r="194">
      <x:c r="A194" s="13" t="str">
        <x:v>PAG-000193</x:v>
      </x:c>
      <x:c r="B194" s="23" t="n">
        <x:v>45429</x:v>
      </x:c>
      <x:c r="C194" s="23" t="n">
        <x:v>45436</x:v>
      </x:c>
      <x:c r="D194" s="23" t="n">
        <x:v>45436</x:v>
      </x:c>
      <x:c r="E194" s="13" t="str">
        <x:v>Insight BI</x:v>
      </x:c>
      <x:c r="F194" s="13" t="str">
        <x:v>Dados e Analytics</x:v>
      </x:c>
      <x:c r="G194" s="17" t="n">
        <x:v>27381.9</x:v>
      </x:c>
      <x:c r="H194" s="17" t="n">
        <x:v>27687.06</x:v>
      </x:c>
      <x:c r="I194" s="13" t="str">
        <x:v>Gestor da área</x:v>
      </x:c>
      <x:c r="J194" s="13" t="str">
        <x:v>Pago</x:v>
      </x:c>
      <x:c r="K194" s="13" t="str">
        <x:v>Base controlada</x:v>
      </x:c>
      <x:c r="L194" s="17" t="n">
        <x:f>H194-G194</x:f>
        <x:v>305.15999999999985</x:v>
      </x:c>
      <x:c r="M194" s="19" t="n">
        <x:f>IFERROR(L194/G194,0)</x:f>
        <x:v>0.011144588213381827</x:v>
      </x:c>
      <x:c r="N194" s="13" t="n">
        <x:f>D194-C194</x:f>
        <x:v>0</x:v>
      </x:c>
    </x:row>
    <x:row r="195">
      <x:c r="A195" s="13" t="str">
        <x:v>PAG-000194</x:v>
      </x:c>
      <x:c r="B195" s="23" t="n">
        <x:v>45416</x:v>
      </x:c>
      <x:c r="C195" s="23" t="n">
        <x:v>45446</x:v>
      </x:c>
      <x:c r="D195" s="23" t="n">
        <x:v>45446</x:v>
      </x:c>
      <x:c r="E195" s="13" t="str">
        <x:v>LegalMais</x:v>
      </x:c>
      <x:c r="F195" s="13" t="str">
        <x:v>Jurídico</x:v>
      </x:c>
      <x:c r="G195" s="17" t="n">
        <x:v>17432.4</x:v>
      </x:c>
      <x:c r="H195" s="17" t="n">
        <x:v>17628.36</x:v>
      </x:c>
      <x:c r="I195" s="13" t="str">
        <x:v>Financeiro</x:v>
      </x:c>
      <x:c r="J195" s="13" t="str">
        <x:v>Pago</x:v>
      </x:c>
      <x:c r="K195" s="13" t="str">
        <x:v>Base controlada</x:v>
      </x:c>
      <x:c r="L195" s="17" t="n">
        <x:f>H195-G195</x:f>
        <x:v>195.95999999999913</x:v>
      </x:c>
      <x:c r="M195" s="19" t="n">
        <x:f>IFERROR(L195/G195,0)</x:f>
        <x:v>0.011241137192813331</x:v>
      </x:c>
      <x:c r="N195" s="13" t="n">
        <x:f>D195-C195</x:f>
        <x:v>0</x:v>
      </x:c>
    </x:row>
    <x:row r="196">
      <x:c r="A196" s="13" t="str">
        <x:v>PAG-000195</x:v>
      </x:c>
      <x:c r="B196" s="23" t="n">
        <x:v>45413</x:v>
      </x:c>
      <x:c r="C196" s="23" t="n">
        <x:v>45428</x:v>
      </x:c>
      <x:c r="D196" s="23" t="n">
        <x:v>45427</x:v>
      </x:c>
      <x:c r="E196" s="13" t="str">
        <x:v>LegalMais</x:v>
      </x:c>
      <x:c r="F196" s="13" t="str">
        <x:v>Jurídico</x:v>
      </x:c>
      <x:c r="G196" s="17" t="n">
        <x:v>20312.06</x:v>
      </x:c>
      <x:c r="H196" s="17" t="n">
        <x:v>19657.31</x:v>
      </x:c>
      <x:c r="I196" s="13" t="str">
        <x:v>Financeiro</x:v>
      </x:c>
      <x:c r="J196" s="13" t="str">
        <x:v>Pago</x:v>
      </x:c>
      <x:c r="K196" s="13" t="str">
        <x:v>Base controlada</x:v>
      </x:c>
      <x:c r="L196" s="17" t="n">
        <x:f>H196-G196</x:f>
        <x:v>-654.75</x:v>
      </x:c>
      <x:c r="M196" s="19" t="n">
        <x:f>IFERROR(L196/G196,0)</x:f>
        <x:v>-0.03223454440366954</x:v>
      </x:c>
      <x:c r="N196" s="13" t="n">
        <x:f>D196-C196</x:f>
        <x:v>-1</x:v>
      </x:c>
    </x:row>
    <x:row r="197">
      <x:c r="A197" s="13" t="str">
        <x:v>PAG-000196</x:v>
      </x:c>
      <x:c r="B197" s="23" t="n">
        <x:v>45419</x:v>
      </x:c>
      <x:c r="C197" s="23" t="n">
        <x:v>45434</x:v>
      </x:c>
      <x:c r="D197" s="23" t="n">
        <x:v>45431</x:v>
      </x:c>
      <x:c r="E197" s="13" t="str">
        <x:v>LegalMais</x:v>
      </x:c>
      <x:c r="F197" s="13" t="str">
        <x:v>Jurídico</x:v>
      </x:c>
      <x:c r="G197" s="17" t="n">
        <x:v>13329.07</x:v>
      </x:c>
      <x:c r="H197" s="17" t="n">
        <x:v>13212.52</x:v>
      </x:c>
      <x:c r="I197" s="13" t="str">
        <x:v>Gestor da área</x:v>
      </x:c>
      <x:c r="J197" s="13" t="str">
        <x:v>Pago</x:v>
      </x:c>
      <x:c r="K197" s="13" t="str">
        <x:v>Base controlada</x:v>
      </x:c>
      <x:c r="L197" s="17" t="n">
        <x:f>H197-G197</x:f>
        <x:v>-116.54999999999927</x:v>
      </x:c>
      <x:c r="M197" s="19" t="n">
        <x:f>IFERROR(L197/G197,0)</x:f>
        <x:v>-0.008744045908679245</x:v>
      </x:c>
      <x:c r="N197" s="13" t="n">
        <x:f>D197-C197</x:f>
        <x:v>-3</x:v>
      </x:c>
    </x:row>
    <x:row r="198">
      <x:c r="A198" s="13" t="str">
        <x:v>PAG-000197</x:v>
      </x:c>
      <x:c r="B198" s="23" t="n">
        <x:v>45414</x:v>
      </x:c>
      <x:c r="C198" s="23" t="n">
        <x:v>45444</x:v>
      </x:c>
      <x:c r="D198" s="23" t="n">
        <x:v>45442</x:v>
      </x:c>
      <x:c r="E198" s="13" t="str">
        <x:v>DataSafe</x:v>
      </x:c>
      <x:c r="F198" s="13" t="str">
        <x:v>Segurança da informação</x:v>
      </x:c>
      <x:c r="G198" s="17" t="n">
        <x:v>22011.59</x:v>
      </x:c>
      <x:c r="H198" s="17" t="n">
        <x:v>22857.49</x:v>
      </x:c>
      <x:c r="I198" s="13" t="str">
        <x:v>Financeiro</x:v>
      </x:c>
      <x:c r="J198" s="13" t="str">
        <x:v>Pago</x:v>
      </x:c>
      <x:c r="K198" s="13" t="str">
        <x:v>Base controlada</x:v>
      </x:c>
      <x:c r="L198" s="17" t="n">
        <x:f>H198-G198</x:f>
        <x:v>845.9000000000015</x:v>
      </x:c>
      <x:c r="M198" s="19" t="n">
        <x:f>IFERROR(L198/G198,0)</x:f>
        <x:v>0.03842975450660318</x:v>
      </x:c>
      <x:c r="N198" s="13" t="n">
        <x:f>D198-C198</x:f>
        <x:v>-2</x:v>
      </x:c>
    </x:row>
    <x:row r="199">
      <x:c r="A199" s="13" t="str">
        <x:v>PAG-000198</x:v>
      </x:c>
      <x:c r="B199" s="23" t="n">
        <x:v>45431</x:v>
      </x:c>
      <x:c r="C199" s="23" t="n">
        <x:v>45451</x:v>
      </x:c>
      <x:c r="D199" s="23" t="n">
        <x:v>45453</x:v>
      </x:c>
      <x:c r="E199" s="13" t="str">
        <x:v>NetLink</x:v>
      </x:c>
      <x:c r="F199" s="13" t="str">
        <x:v>Telecomunicações</x:v>
      </x:c>
      <x:c r="G199" s="17" t="n">
        <x:v>21587.81</x:v>
      </x:c>
      <x:c r="H199" s="17" t="n">
        <x:v>21754.18</x:v>
      </x:c>
      <x:c r="I199" s="13" t="str">
        <x:v>Diretoria</x:v>
      </x:c>
      <x:c r="J199" s="13" t="str">
        <x:v>Pago</x:v>
      </x:c>
      <x:c r="K199" s="13" t="str">
        <x:v>Base controlada</x:v>
      </x:c>
      <x:c r="L199" s="17" t="n">
        <x:f>H199-G199</x:f>
        <x:v>166.36999999999898</x:v>
      </x:c>
      <x:c r="M199" s="19" t="n">
        <x:f>IFERROR(L199/G199,0)</x:f>
        <x:v>0.007706664084962716</x:v>
      </x:c>
      <x:c r="N199" s="13" t="n">
        <x:f>D199-C199</x:f>
        <x:v>2</x:v>
      </x:c>
    </x:row>
    <x:row r="200">
      <x:c r="A200" s="13" t="str">
        <x:v>PAG-000199</x:v>
      </x:c>
      <x:c r="B200" s="23" t="n">
        <x:v>45425</x:v>
      </x:c>
      <x:c r="C200" s="23" t="n">
        <x:v>45440</x:v>
      </x:c>
      <x:c r="D200" s="23" t="n">
        <x:v>45439</x:v>
      </x:c>
      <x:c r="E200" s="13" t="str">
        <x:v>WorkSpace</x:v>
      </x:c>
      <x:c r="F200" s="13" t="str">
        <x:v>Locação</x:v>
      </x:c>
      <x:c r="G200" s="17" t="n">
        <x:v>7800.76</x:v>
      </x:c>
      <x:c r="H200" s="17" t="n">
        <x:v>8145.83</x:v>
      </x:c>
      <x:c r="I200" s="13" t="str">
        <x:v>Diretoria</x:v>
      </x:c>
      <x:c r="J200" s="13" t="str">
        <x:v>Pago</x:v>
      </x:c>
      <x:c r="K200" s="13" t="str">
        <x:v>Base controlada</x:v>
      </x:c>
      <x:c r="L200" s="17" t="n">
        <x:f>H200-G200</x:f>
        <x:v>345.0699999999997</x:v>
      </x:c>
      <x:c r="M200" s="19" t="n">
        <x:f>IFERROR(L200/G200,0)</x:f>
        <x:v>0.04423543347058488</x:v>
      </x:c>
      <x:c r="N200" s="13" t="n">
        <x:f>D200-C200</x:f>
        <x:v>-1</x:v>
      </x:c>
    </x:row>
    <x:row r="201">
      <x:c r="A201" s="13" t="str">
        <x:v>PAG-000200</x:v>
      </x:c>
      <x:c r="B201" s="23" t="n">
        <x:v>45426</x:v>
      </x:c>
      <x:c r="C201" s="23" t="n">
        <x:v>45441</x:v>
      </x:c>
      <x:c r="D201" s="23" t="n">
        <x:v>45441</x:v>
      </x:c>
      <x:c r="E201" s="13" t="str">
        <x:v>CloudCore</x:v>
      </x:c>
      <x:c r="F201" s="13" t="str">
        <x:v>Tecnologia</x:v>
      </x:c>
      <x:c r="G201" s="17" t="n">
        <x:v>12824.24</x:v>
      </x:c>
      <x:c r="H201" s="17" t="n">
        <x:v>13262.04</x:v>
      </x:c>
      <x:c r="I201" s="13" t="str">
        <x:v>Financeiro</x:v>
      </x:c>
      <x:c r="J201" s="13" t="str">
        <x:v>Pago</x:v>
      </x:c>
      <x:c r="K201" s="13" t="str">
        <x:v>Base controlada</x:v>
      </x:c>
      <x:c r="L201" s="17" t="n">
        <x:f>H201-G201</x:f>
        <x:v>437.8000000000011</x:v>
      </x:c>
      <x:c r="M201" s="19" t="n">
        <x:f>IFERROR(L201/G201,0)</x:f>
        <x:v>0.03413847526247178</x:v>
      </x:c>
      <x:c r="N201" s="13" t="n">
        <x:f>D201-C201</x:f>
        <x:v>0</x:v>
      </x:c>
    </x:row>
    <x:row r="202">
      <x:c r="A202" s="13" t="str">
        <x:v>PAG-000201</x:v>
      </x:c>
      <x:c r="B202" s="23" t="n">
        <x:v>45432</x:v>
      </x:c>
      <x:c r="C202" s="23" t="n">
        <x:v>45462</x:v>
      </x:c>
      <x:c r="D202" s="23" t="n">
        <x:v>45464</x:v>
      </x:c>
      <x:c r="E202" s="13" t="str">
        <x:v>Conta Certa</x:v>
      </x:c>
      <x:c r="F202" s="13" t="str">
        <x:v>Contabilidade</x:v>
      </x:c>
      <x:c r="G202" s="17" t="n">
        <x:v>27659.97</x:v>
      </x:c>
      <x:c r="H202" s="17" t="n">
        <x:v>27619.25</x:v>
      </x:c>
      <x:c r="I202" s="13" t="str">
        <x:v>Financeiro</x:v>
      </x:c>
      <x:c r="J202" s="13" t="str">
        <x:v>Pago</x:v>
      </x:c>
      <x:c r="K202" s="13" t="str">
        <x:v>Base controlada</x:v>
      </x:c>
      <x:c r="L202" s="17" t="n">
        <x:f>H202-G202</x:f>
        <x:v>-40.720000000001164</x:v>
      </x:c>
      <x:c r="M202" s="19" t="n">
        <x:f>IFERROR(L202/G202,0)</x:f>
        <x:v>-0.0014721635634457001</x:v>
      </x:c>
      <x:c r="N202" s="13" t="n">
        <x:f>D202-C202</x:f>
        <x:v>2</x:v>
      </x:c>
    </x:row>
    <x:row r="203">
      <x:c r="A203" s="13" t="str">
        <x:v>PAG-000202</x:v>
      </x:c>
      <x:c r="B203" s="23" t="n">
        <x:v>45413</x:v>
      </x:c>
      <x:c r="C203" s="23" t="n">
        <x:v>45420</x:v>
      </x:c>
      <x:c r="D203" s="23" t="n">
        <x:v>45420</x:v>
      </x:c>
      <x:c r="E203" s="13" t="str">
        <x:v>LegalMais</x:v>
      </x:c>
      <x:c r="F203" s="13" t="str">
        <x:v>Jurídico</x:v>
      </x:c>
      <x:c r="G203" s="17" t="n">
        <x:v>20198.26</x:v>
      </x:c>
      <x:c r="H203" s="17" t="n">
        <x:v>20406.63</x:v>
      </x:c>
      <x:c r="I203" s="13" t="str">
        <x:v>Financeiro</x:v>
      </x:c>
      <x:c r="J203" s="13" t="str">
        <x:v>Pago</x:v>
      </x:c>
      <x:c r="K203" s="13" t="str">
        <x:v>Base controlada</x:v>
      </x:c>
      <x:c r="L203" s="17" t="n">
        <x:f>H203-G203</x:f>
        <x:v>208.37000000000262</x:v>
      </x:c>
      <x:c r="M203" s="19" t="n">
        <x:f>IFERROR(L203/G203,0)</x:f>
        <x:v>0.01031623516085062</x:v>
      </x:c>
      <x:c r="N203" s="13" t="n">
        <x:f>D203-C203</x:f>
        <x:v>0</x:v>
      </x:c>
    </x:row>
    <x:row r="204">
      <x:c r="A204" s="13" t="str">
        <x:v>PAG-000203</x:v>
      </x:c>
      <x:c r="B204" s="23" t="n">
        <x:v>45432</x:v>
      </x:c>
      <x:c r="C204" s="23" t="n">
        <x:v>45439</x:v>
      </x:c>
      <x:c r="D204" s="23" t="n">
        <x:v>45441</x:v>
      </x:c>
      <x:c r="E204" s="13" t="str">
        <x:v>Conta Certa</x:v>
      </x:c>
      <x:c r="F204" s="13" t="str">
        <x:v>Contabilidade</x:v>
      </x:c>
      <x:c r="G204" s="17" t="n">
        <x:v>7577.43</x:v>
      </x:c>
      <x:c r="H204" s="17" t="n">
        <x:v>7807.54</x:v>
      </x:c>
      <x:c r="I204" s="13" t="str">
        <x:v>Financeiro</x:v>
      </x:c>
      <x:c r="J204" s="13" t="str">
        <x:v>Pago</x:v>
      </x:c>
      <x:c r="K204" s="13" t="str">
        <x:v>Base controlada</x:v>
      </x:c>
      <x:c r="L204" s="17" t="n">
        <x:f>H204-G204</x:f>
        <x:v>230.10999999999967</x:v>
      </x:c>
      <x:c r="M204" s="19" t="n">
        <x:f>IFERROR(L204/G204,0)</x:f>
        <x:v>0.030367816000939588</x:v>
      </x:c>
      <x:c r="N204" s="13" t="n">
        <x:f>D204-C204</x:f>
        <x:v>2</x:v>
      </x:c>
    </x:row>
    <x:row r="205">
      <x:c r="A205" s="13" t="str">
        <x:v>PAG-000204</x:v>
      </x:c>
      <x:c r="B205" s="23" t="n">
        <x:v>45413</x:v>
      </x:c>
      <x:c r="C205" s="23" t="n">
        <x:v>45433</x:v>
      </x:c>
      <x:c r="D205" s="23" t="n">
        <x:v>45431</x:v>
      </x:c>
      <x:c r="E205" s="13" t="str">
        <x:v>PeopleHub</x:v>
      </x:c>
      <x:c r="F205" s="13" t="str">
        <x:v>Recursos Humanos</x:v>
      </x:c>
      <x:c r="G205" s="17" t="n">
        <x:v>1240.04</x:v>
      </x:c>
      <x:c r="H205" s="17" t="n">
        <x:v>1209.36</x:v>
      </x:c>
      <x:c r="I205" s="13" t="str">
        <x:v>Gestor da área</x:v>
      </x:c>
      <x:c r="J205" s="13" t="str">
        <x:v>Pago</x:v>
      </x:c>
      <x:c r="K205" s="13" t="str">
        <x:v>Base controlada</x:v>
      </x:c>
      <x:c r="L205" s="17" t="n">
        <x:f>H205-G205</x:f>
        <x:v>-30.680000000000064</x:v>
      </x:c>
      <x:c r="M205" s="19" t="n">
        <x:f>IFERROR(L205/G205,0)</x:f>
        <x:v>-0.02474113738266513</x:v>
      </x:c>
      <x:c r="N205" s="13" t="n">
        <x:f>D205-C205</x:f>
        <x:v>-2</x:v>
      </x:c>
    </x:row>
    <x:row r="206">
      <x:c r="A206" s="13" t="str">
        <x:v>PAG-000205</x:v>
      </x:c>
      <x:c r="B206" s="23" t="n">
        <x:v>45423</x:v>
      </x:c>
      <x:c r="C206" s="23" t="n">
        <x:v>45443</x:v>
      </x:c>
      <x:c r="D206" s="23" t="n">
        <x:v>45441</x:v>
      </x:c>
      <x:c r="E206" s="13" t="str">
        <x:v>Insight BI</x:v>
      </x:c>
      <x:c r="F206" s="13" t="str">
        <x:v>Dados e Analytics</x:v>
      </x:c>
      <x:c r="G206" s="17" t="n">
        <x:v>10216.53</x:v>
      </x:c>
      <x:c r="H206" s="17" t="n">
        <x:v>10062.43</x:v>
      </x:c>
      <x:c r="I206" s="13" t="str">
        <x:v>Diretoria</x:v>
      </x:c>
      <x:c r="J206" s="13" t="str">
        <x:v>Pago</x:v>
      </x:c>
      <x:c r="K206" s="13" t="str">
        <x:v>Base controlada</x:v>
      </x:c>
      <x:c r="L206" s="17" t="n">
        <x:f>H206-G206</x:f>
        <x:v>-154.10000000000036</x:v>
      </x:c>
      <x:c r="M206" s="19" t="n">
        <x:f>IFERROR(L206/G206,0)</x:f>
        <x:v>-0.015083399158031186</x:v>
      </x:c>
      <x:c r="N206" s="13" t="n">
        <x:f>D206-C206</x:f>
        <x:v>-2</x:v>
      </x:c>
    </x:row>
    <x:row r="207">
      <x:c r="A207" s="13" t="str">
        <x:v>PAG-000206</x:v>
      </x:c>
      <x:c r="B207" s="23" t="n">
        <x:v>45414</x:v>
      </x:c>
      <x:c r="C207" s="23" t="n">
        <x:v>45444</x:v>
      </x:c>
      <x:c r="D207" s="23" t="n">
        <x:v>45446</x:v>
      </x:c>
      <x:c r="E207" s="13" t="str">
        <x:v>DataSafe</x:v>
      </x:c>
      <x:c r="F207" s="13" t="str">
        <x:v>Segurança da informação</x:v>
      </x:c>
      <x:c r="G207" s="17" t="n">
        <x:v>7867.75</x:v>
      </x:c>
      <x:c r="H207" s="17" t="n">
        <x:v>7976.07</x:v>
      </x:c>
      <x:c r="I207" s="13" t="str">
        <x:v>Diretoria</x:v>
      </x:c>
      <x:c r="J207" s="13" t="str">
        <x:v>Pago</x:v>
      </x:c>
      <x:c r="K207" s="13" t="str">
        <x:v>Base controlada</x:v>
      </x:c>
      <x:c r="L207" s="17" t="n">
        <x:f>H207-G207</x:f>
        <x:v>108.31999999999971</x:v>
      </x:c>
      <x:c r="M207" s="19" t="n">
        <x:f>IFERROR(L207/G207,0)</x:f>
        <x:v>0.013767595564170152</x:v>
      </x:c>
      <x:c r="N207" s="13" t="n">
        <x:f>D207-C207</x:f>
        <x:v>2</x:v>
      </x:c>
    </x:row>
    <x:row r="208">
      <x:c r="A208" s="13" t="str">
        <x:v>PAG-000207</x:v>
      </x:c>
      <x:c r="B208" s="23" t="n">
        <x:v>45427</x:v>
      </x:c>
      <x:c r="C208" s="23" t="n">
        <x:v>45457</x:v>
      </x:c>
      <x:c r="D208" s="23" t="n">
        <x:v>45457</x:v>
      </x:c>
      <x:c r="E208" s="13" t="str">
        <x:v>DataSafe</x:v>
      </x:c>
      <x:c r="F208" s="13" t="str">
        <x:v>Segurança da informação</x:v>
      </x:c>
      <x:c r="G208" s="17" t="n">
        <x:v>2497.96</x:v>
      </x:c>
      <x:c r="H208" s="17" t="n">
        <x:v>2429.27</x:v>
      </x:c>
      <x:c r="I208" s="13" t="str">
        <x:v>Gestor da área</x:v>
      </x:c>
      <x:c r="J208" s="13" t="str">
        <x:v>Pago</x:v>
      </x:c>
      <x:c r="K208" s="13" t="str">
        <x:v>Base controlada</x:v>
      </x:c>
      <x:c r="L208" s="17" t="n">
        <x:f>H208-G208</x:f>
        <x:v>-68.69000000000005</x:v>
      </x:c>
      <x:c r="M208" s="19" t="n">
        <x:f>IFERROR(L208/G208,0)</x:f>
        <x:v>-0.027498438726000437</x:v>
      </x:c>
      <x:c r="N208" s="13" t="n">
        <x:f>D208-C208</x:f>
        <x:v>0</x:v>
      </x:c>
    </x:row>
    <x:row r="209">
      <x:c r="A209" s="13" t="str">
        <x:v>PAG-000208</x:v>
      </x:c>
      <x:c r="B209" s="23" t="n">
        <x:v>45414</x:v>
      </x:c>
      <x:c r="C209" s="23" t="n">
        <x:v>45444</x:v>
      </x:c>
      <x:c r="D209" s="23" t="n">
        <x:v>45442</x:v>
      </x:c>
      <x:c r="E209" s="13" t="str">
        <x:v>MarketLab</x:v>
      </x:c>
      <x:c r="F209" s="13" t="str">
        <x:v>Marketing</x:v>
      </x:c>
      <x:c r="G209" s="17" t="n">
        <x:v>4411.15</x:v>
      </x:c>
      <x:c r="H209" s="17" t="n">
        <x:v>4520.48</x:v>
      </x:c>
      <x:c r="I209" s="13" t="str">
        <x:v>Gestor da área</x:v>
      </x:c>
      <x:c r="J209" s="13" t="str">
        <x:v>Pago</x:v>
      </x:c>
      <x:c r="K209" s="13" t="str">
        <x:v>Base controlada</x:v>
      </x:c>
      <x:c r="L209" s="17" t="n">
        <x:f>H209-G209</x:f>
        <x:v>109.32999999999993</x:v>
      </x:c>
      <x:c r="M209" s="19" t="n">
        <x:f>IFERROR(L209/G209,0)</x:f>
        <x:v>0.024784920032191137</x:v>
      </x:c>
      <x:c r="N209" s="13" t="n">
        <x:f>D209-C209</x:f>
        <x:v>-2</x:v>
      </x:c>
    </x:row>
    <x:row r="210">
      <x:c r="A210" s="13" t="str">
        <x:v>PAG-000209</x:v>
      </x:c>
      <x:c r="B210" s="23" t="n">
        <x:v>45431</x:v>
      </x:c>
      <x:c r="C210" s="23" t="n">
        <x:v>45461</x:v>
      </x:c>
      <x:c r="D210" s="23" t="n">
        <x:v>45458</x:v>
      </x:c>
      <x:c r="E210" s="13" t="str">
        <x:v>MarketLab</x:v>
      </x:c>
      <x:c r="F210" s="13" t="str">
        <x:v>Marketing</x:v>
      </x:c>
      <x:c r="G210" s="17" t="n">
        <x:v>29524.11</x:v>
      </x:c>
      <x:c r="H210" s="17" t="n">
        <x:v>29648.1</x:v>
      </x:c>
      <x:c r="I210" s="13" t="str">
        <x:v>Gestor da área</x:v>
      </x:c>
      <x:c r="J210" s="13" t="str">
        <x:v>Pago</x:v>
      </x:c>
      <x:c r="K210" s="13" t="str">
        <x:v>Base controlada</x:v>
      </x:c>
      <x:c r="L210" s="17" t="n">
        <x:f>H210-G210</x:f>
        <x:v>123.98999999999796</x:v>
      </x:c>
      <x:c r="M210" s="19" t="n">
        <x:f>IFERROR(L210/G210,0)</x:f>
        <x:v>0.0041996185490434075</x:v>
      </x:c>
      <x:c r="N210" s="13" t="n">
        <x:f>D210-C210</x:f>
        <x:v>-3</x:v>
      </x:c>
    </x:row>
    <x:row r="211">
      <x:c r="A211" s="13" t="str">
        <x:v>PAG-000210</x:v>
      </x:c>
      <x:c r="B211" s="23" t="n">
        <x:v>45420</x:v>
      </x:c>
      <x:c r="C211" s="23" t="n">
        <x:v>45435</x:v>
      </x:c>
      <x:c r="D211" s="23" t="n">
        <x:v>45435</x:v>
      </x:c>
      <x:c r="E211" s="13" t="str">
        <x:v>Conta Certa</x:v>
      </x:c>
      <x:c r="F211" s="13" t="str">
        <x:v>Contabilidade</x:v>
      </x:c>
      <x:c r="G211" s="17" t="n">
        <x:v>14084.24</x:v>
      </x:c>
      <x:c r="H211" s="17" t="n">
        <x:v>13750.16</x:v>
      </x:c>
      <x:c r="I211" s="13" t="str">
        <x:v>Financeiro</x:v>
      </x:c>
      <x:c r="J211" s="13" t="str">
        <x:v>Pago</x:v>
      </x:c>
      <x:c r="K211" s="13" t="str">
        <x:v>Base controlada</x:v>
      </x:c>
      <x:c r="L211" s="17" t="n">
        <x:f>H211-G211</x:f>
        <x:v>-334.0799999999999</x:v>
      </x:c>
      <x:c r="M211" s="19" t="n">
        <x:f>IFERROR(L211/G211,0)</x:f>
        <x:v>-0.023720129733659747</x:v>
      </x:c>
      <x:c r="N211" s="13" t="n">
        <x:f>D211-C211</x:f>
        <x:v>0</x:v>
      </x:c>
    </x:row>
    <x:row r="212">
      <x:c r="A212" s="13" t="str">
        <x:v>PAG-000211</x:v>
      </x:c>
      <x:c r="B212" s="23" t="n">
        <x:v>45457</x:v>
      </x:c>
      <x:c r="C212" s="23" t="n">
        <x:v>45472</x:v>
      </x:c>
      <x:c r="D212" s="23" t="n">
        <x:v>45474</x:v>
      </x:c>
      <x:c r="E212" s="13" t="str">
        <x:v>Office Prime</x:v>
      </x:c>
      <x:c r="F212" s="13" t="str">
        <x:v>Escritório</x:v>
      </x:c>
      <x:c r="G212" s="17" t="n">
        <x:v>23724.5</x:v>
      </x:c>
      <x:c r="H212" s="17" t="n">
        <x:v>23692.08</x:v>
      </x:c>
      <x:c r="I212" s="13" t="str">
        <x:v>Gestor da área</x:v>
      </x:c>
      <x:c r="J212" s="13" t="str">
        <x:v>Pago</x:v>
      </x:c>
      <x:c r="K212" s="13" t="str">
        <x:v>Base controlada</x:v>
      </x:c>
      <x:c r="L212" s="17" t="n">
        <x:f>H212-G212</x:f>
        <x:v>-32.419999999998254</x:v>
      </x:c>
      <x:c r="M212" s="19" t="n">
        <x:f>IFERROR(L212/G212,0)</x:f>
        <x:v>-0.0013665198423569835</x:v>
      </x:c>
      <x:c r="N212" s="13" t="n">
        <x:f>D212-C212</x:f>
        <x:v>2</x:v>
      </x:c>
    </x:row>
    <x:row r="213">
      <x:c r="A213" s="13" t="str">
        <x:v>PAG-000212</x:v>
      </x:c>
      <x:c r="B213" s="23" t="n">
        <x:v>45445</x:v>
      </x:c>
      <x:c r="C213" s="23" t="n">
        <x:v>45465</x:v>
      </x:c>
      <x:c r="D213" s="23" t="n">
        <x:v>45467</x:v>
      </x:c>
      <x:c r="E213" s="13" t="str">
        <x:v>CloudCore</x:v>
      </x:c>
      <x:c r="F213" s="13" t="str">
        <x:v>Tecnologia</x:v>
      </x:c>
      <x:c r="G213" s="17" t="n">
        <x:v>26679.31</x:v>
      </x:c>
      <x:c r="H213" s="17" t="n">
        <x:v>26930.43</x:v>
      </x:c>
      <x:c r="I213" s="13" t="str">
        <x:v>Diretoria</x:v>
      </x:c>
      <x:c r="J213" s="13" t="str">
        <x:v>Pago</x:v>
      </x:c>
      <x:c r="K213" s="13" t="str">
        <x:v>Base controlada</x:v>
      </x:c>
      <x:c r="L213" s="17" t="n">
        <x:f>H213-G213</x:f>
        <x:v>251.11999999999898</x:v>
      </x:c>
      <x:c r="M213" s="19" t="n">
        <x:f>IFERROR(L213/G213,0)</x:f>
        <x:v>0.00941253728076172</x:v>
      </x:c>
      <x:c r="N213" s="13" t="n">
        <x:f>D213-C213</x:f>
        <x:v>2</x:v>
      </x:c>
    </x:row>
    <x:row r="214">
      <x:c r="A214" s="13" t="str">
        <x:v>PAG-000213</x:v>
      </x:c>
      <x:c r="B214" s="23" t="n">
        <x:v>45458</x:v>
      </x:c>
      <x:c r="C214" s="23" t="n">
        <x:v>45473</x:v>
      </x:c>
      <x:c r="D214" s="23" t="n">
        <x:v>45473</x:v>
      </x:c>
      <x:c r="E214" s="13" t="str">
        <x:v>Banco Integra</x:v>
      </x:c>
      <x:c r="F214" s="13" t="str">
        <x:v>Serviços bancários</x:v>
      </x:c>
      <x:c r="G214" s="17" t="n">
        <x:v>18552.91</x:v>
      </x:c>
      <x:c r="H214" s="17" t="n">
        <x:v>18930.91</x:v>
      </x:c>
      <x:c r="I214" s="13" t="str">
        <x:v>Diretoria</x:v>
      </x:c>
      <x:c r="J214" s="13" t="str">
        <x:v>Pago</x:v>
      </x:c>
      <x:c r="K214" s="13" t="str">
        <x:v>Base controlada</x:v>
      </x:c>
      <x:c r="L214" s="17" t="n">
        <x:f>H214-G214</x:f>
        <x:v>378</x:v>
      </x:c>
      <x:c r="M214" s="19" t="n">
        <x:f>IFERROR(L214/G214,0)</x:f>
        <x:v>0.020374162328173854</x:v>
      </x:c>
      <x:c r="N214" s="13" t="n">
        <x:f>D214-C214</x:f>
        <x:v>0</x:v>
      </x:c>
    </x:row>
    <x:row r="215">
      <x:c r="A215" s="13" t="str">
        <x:v>PAG-000214</x:v>
      </x:c>
      <x:c r="B215" s="23" t="n">
        <x:v>45445</x:v>
      </x:c>
      <x:c r="C215" s="23" t="n">
        <x:v>45452</x:v>
      </x:c>
      <x:c r="D215" s="23" t="n">
        <x:v>45454</x:v>
      </x:c>
      <x:c r="E215" s="13" t="str">
        <x:v>Office Prime</x:v>
      </x:c>
      <x:c r="F215" s="13" t="str">
        <x:v>Escritório</x:v>
      </x:c>
      <x:c r="G215" s="17" t="n">
        <x:v>4580.45</x:v>
      </x:c>
      <x:c r="H215" s="17" t="n">
        <x:v>4692.2</x:v>
      </x:c>
      <x:c r="I215" s="13" t="str">
        <x:v>Diretoria</x:v>
      </x:c>
      <x:c r="J215" s="13" t="str">
        <x:v>Pago</x:v>
      </x:c>
      <x:c r="K215" s="13" t="str">
        <x:v>Base controlada</x:v>
      </x:c>
      <x:c r="L215" s="17" t="n">
        <x:f>H215-G215</x:f>
        <x:v>111.75</x:v>
      </x:c>
      <x:c r="M215" s="19" t="n">
        <x:f>IFERROR(L215/G215,0)</x:f>
        <x:v>0.024397166217293063</x:v>
      </x:c>
      <x:c r="N215" s="13" t="n">
        <x:f>D215-C215</x:f>
        <x:v>2</x:v>
      </x:c>
    </x:row>
    <x:row r="216">
      <x:c r="A216" s="13" t="str">
        <x:v>PAG-000215</x:v>
      </x:c>
      <x:c r="B216" s="23" t="n">
        <x:v>45447</x:v>
      </x:c>
      <x:c r="C216" s="23" t="n">
        <x:v>45467</x:v>
      </x:c>
      <x:c r="D216" s="23" t="n">
        <x:v>45467</x:v>
      </x:c>
      <x:c r="E216" s="13" t="str">
        <x:v>CloudCore</x:v>
      </x:c>
      <x:c r="F216" s="13" t="str">
        <x:v>Tecnologia</x:v>
      </x:c>
      <x:c r="G216" s="17" t="n">
        <x:v>19056.95</x:v>
      </x:c>
      <x:c r="H216" s="17" t="n">
        <x:v>19436.59</x:v>
      </x:c>
      <x:c r="I216" s="13" t="str">
        <x:v>Gestor da área</x:v>
      </x:c>
      <x:c r="J216" s="13" t="str">
        <x:v>Pago</x:v>
      </x:c>
      <x:c r="K216" s="13" t="str">
        <x:v>Base controlada</x:v>
      </x:c>
      <x:c r="L216" s="17" t="n">
        <x:f>H216-G216</x:f>
        <x:v>379.6399999999994</x:v>
      </x:c>
      <x:c r="M216" s="19" t="n">
        <x:f>IFERROR(L216/G216,0)</x:f>
        <x:v>0.019921341033061396</x:v>
      </x:c>
      <x:c r="N216" s="13" t="n">
        <x:f>D216-C216</x:f>
        <x:v>0</x:v>
      </x:c>
    </x:row>
    <x:row r="217">
      <x:c r="A217" s="13" t="str">
        <x:v>PAG-000216</x:v>
      </x:c>
      <x:c r="B217" s="23" t="n">
        <x:v>45461</x:v>
      </x:c>
      <x:c r="C217" s="23" t="n">
        <x:v>45481</x:v>
      </x:c>
      <x:c r="D217" s="23" t="n">
        <x:v>45481</x:v>
      </x:c>
      <x:c r="E217" s="13" t="str">
        <x:v>Banco Integra</x:v>
      </x:c>
      <x:c r="F217" s="13" t="str">
        <x:v>Serviços bancários</x:v>
      </x:c>
      <x:c r="G217" s="17" t="n">
        <x:v>13981.67</x:v>
      </x:c>
      <x:c r="H217" s="17" t="n">
        <x:v>13683.8</x:v>
      </x:c>
      <x:c r="I217" s="13" t="str">
        <x:v>Diretoria</x:v>
      </x:c>
      <x:c r="J217" s="13" t="str">
        <x:v>Pago</x:v>
      </x:c>
      <x:c r="K217" s="13" t="str">
        <x:v>Base controlada</x:v>
      </x:c>
      <x:c r="L217" s="17" t="n">
        <x:f>H217-G217</x:f>
        <x:v>-297.8700000000008</x:v>
      </x:c>
      <x:c r="M217" s="19" t="n">
        <x:f>IFERROR(L217/G217,0)</x:f>
        <x:v>-0.021304322015896583</x:v>
      </x:c>
      <x:c r="N217" s="13" t="n">
        <x:f>D217-C217</x:f>
        <x:v>0</x:v>
      </x:c>
    </x:row>
    <x:row r="218">
      <x:c r="A218" s="13" t="str">
        <x:v>PAG-000217</x:v>
      </x:c>
      <x:c r="B218" s="23" t="n">
        <x:v>45458</x:v>
      </x:c>
      <x:c r="C218" s="23" t="n">
        <x:v>45473</x:v>
      </x:c>
      <x:c r="D218" s="23" t="n">
        <x:v>45473</x:v>
      </x:c>
      <x:c r="E218" s="13" t="str">
        <x:v>WorkSpace</x:v>
      </x:c>
      <x:c r="F218" s="13" t="str">
        <x:v>Locação</x:v>
      </x:c>
      <x:c r="G218" s="17" t="n">
        <x:v>15955.38</x:v>
      </x:c>
      <x:c r="H218" s="17" t="n">
        <x:v>16012.52</x:v>
      </x:c>
      <x:c r="I218" s="13" t="str">
        <x:v>Diretoria</x:v>
      </x:c>
      <x:c r="J218" s="13" t="str">
        <x:v>Pago</x:v>
      </x:c>
      <x:c r="K218" s="13" t="str">
        <x:v>Base controlada</x:v>
      </x:c>
      <x:c r="L218" s="17" t="n">
        <x:f>H218-G218</x:f>
        <x:v>57.14000000000124</x:v>
      </x:c>
      <x:c r="M218" s="19" t="n">
        <x:f>IFERROR(L218/G218,0)</x:f>
        <x:v>0.0035812371751723394</x:v>
      </x:c>
      <x:c r="N218" s="13" t="n">
        <x:f>D218-C218</x:f>
        <x:v>0</x:v>
      </x:c>
    </x:row>
    <x:row r="219">
      <x:c r="A219" s="13" t="str">
        <x:v>PAG-000218</x:v>
      </x:c>
      <x:c r="B219" s="23" t="n">
        <x:v>45460</x:v>
      </x:c>
      <x:c r="C219" s="23" t="n">
        <x:v>45467</x:v>
      </x:c>
      <x:c r="D219" s="23" t="n">
        <x:v>45469</x:v>
      </x:c>
      <x:c r="E219" s="13" t="str">
        <x:v>WorkSpace</x:v>
      </x:c>
      <x:c r="F219" s="13" t="str">
        <x:v>Locação</x:v>
      </x:c>
      <x:c r="G219" s="17" t="n">
        <x:v>1339.78</x:v>
      </x:c>
      <x:c r="H219" s="17" t="n">
        <x:v>1344.94</x:v>
      </x:c>
      <x:c r="I219" s="13" t="str">
        <x:v>Financeiro</x:v>
      </x:c>
      <x:c r="J219" s="13" t="str">
        <x:v>Pago</x:v>
      </x:c>
      <x:c r="K219" s="13" t="str">
        <x:v>Base controlada</x:v>
      </x:c>
      <x:c r="L219" s="17" t="n">
        <x:f>H219-G219</x:f>
        <x:v>5.160000000000082</x:v>
      </x:c>
      <x:c r="M219" s="19" t="n">
        <x:f>IFERROR(L219/G219,0)</x:f>
        <x:v>0.003851378584543792</x:v>
      </x:c>
      <x:c r="N219" s="13" t="n">
        <x:f>D219-C219</x:f>
        <x:v>2</x:v>
      </x:c>
    </x:row>
    <x:row r="220">
      <x:c r="A220" s="13" t="str">
        <x:v>PAG-000219</x:v>
      </x:c>
      <x:c r="B220" s="23" t="n">
        <x:v>45450</x:v>
      </x:c>
      <x:c r="C220" s="23" t="n">
        <x:v>45457</x:v>
      </x:c>
      <x:c r="D220" s="23" t="n">
        <x:v>45456</x:v>
      </x:c>
      <x:c r="E220" s="13" t="str">
        <x:v>MarketLab</x:v>
      </x:c>
      <x:c r="F220" s="13" t="str">
        <x:v>Marketing</x:v>
      </x:c>
      <x:c r="G220" s="17" t="n">
        <x:v>20661.88</x:v>
      </x:c>
      <x:c r="H220" s="17" t="n">
        <x:v>21578.1</x:v>
      </x:c>
      <x:c r="I220" s="13" t="str">
        <x:v>Gestor da área</x:v>
      </x:c>
      <x:c r="J220" s="13" t="str">
        <x:v>Pago</x:v>
      </x:c>
      <x:c r="K220" s="13" t="str">
        <x:v>Base controlada</x:v>
      </x:c>
      <x:c r="L220" s="17" t="n">
        <x:f>H220-G220</x:f>
        <x:v>916.2199999999975</x:v>
      </x:c>
      <x:c r="M220" s="19" t="n">
        <x:f>IFERROR(L220/G220,0)</x:f>
        <x:v>0.04434349633237621</x:v>
      </x:c>
      <x:c r="N220" s="13" t="n">
        <x:f>D220-C220</x:f>
        <x:v>-1</x:v>
      </x:c>
    </x:row>
    <x:row r="221">
      <x:c r="A221" s="13" t="str">
        <x:v>PAG-000220</x:v>
      </x:c>
      <x:c r="B221" s="23" t="n">
        <x:v>45460</x:v>
      </x:c>
      <x:c r="C221" s="23" t="n">
        <x:v>45490</x:v>
      </x:c>
      <x:c r="D221" s="23" t="n">
        <x:v>45488</x:v>
      </x:c>
      <x:c r="E221" s="13" t="str">
        <x:v>DataSafe</x:v>
      </x:c>
      <x:c r="F221" s="13" t="str">
        <x:v>Segurança da informação</x:v>
      </x:c>
      <x:c r="G221" s="17" t="n">
        <x:v>19618.7</x:v>
      </x:c>
      <x:c r="H221" s="17" t="n">
        <x:v>20124.97</x:v>
      </x:c>
      <x:c r="I221" s="13" t="str">
        <x:v>Diretoria</x:v>
      </x:c>
      <x:c r="J221" s="13" t="str">
        <x:v>Pago</x:v>
      </x:c>
      <x:c r="K221" s="13" t="str">
        <x:v>Base controlada</x:v>
      </x:c>
      <x:c r="L221" s="17" t="n">
        <x:f>H221-G221</x:f>
        <x:v>506.27000000000044</x:v>
      </x:c>
      <x:c r="M221" s="19" t="n">
        <x:f>IFERROR(L221/G221,0)</x:f>
        <x:v>0.025805481504890763</x:v>
      </x:c>
      <x:c r="N221" s="13" t="n">
        <x:f>D221-C221</x:f>
        <x:v>-2</x:v>
      </x:c>
    </x:row>
    <x:row r="222">
      <x:c r="A222" s="13" t="str">
        <x:v>PAG-000221</x:v>
      </x:c>
      <x:c r="B222" s="23" t="n">
        <x:v>45458</x:v>
      </x:c>
      <x:c r="C222" s="23" t="n">
        <x:v>45478</x:v>
      </x:c>
      <x:c r="D222" s="23" t="n">
        <x:v>45480</x:v>
      </x:c>
      <x:c r="E222" s="13" t="str">
        <x:v>DataSafe</x:v>
      </x:c>
      <x:c r="F222" s="13" t="str">
        <x:v>Segurança da informação</x:v>
      </x:c>
      <x:c r="G222" s="17" t="n">
        <x:v>23691.96</x:v>
      </x:c>
      <x:c r="H222" s="17" t="n">
        <x:v>23115.36</x:v>
      </x:c>
      <x:c r="I222" s="13" t="str">
        <x:v>Diretoria</x:v>
      </x:c>
      <x:c r="J222" s="13" t="str">
        <x:v>Pago</x:v>
      </x:c>
      <x:c r="K222" s="13" t="str">
        <x:v>Base controlada</x:v>
      </x:c>
      <x:c r="L222" s="17" t="n">
        <x:f>H222-G222</x:f>
        <x:v>-576.5999999999985</x:v>
      </x:c>
      <x:c r="M222" s="19" t="n">
        <x:f>IFERROR(L222/G222,0)</x:f>
        <x:v>-0.02433737014582156</x:v>
      </x:c>
      <x:c r="N222" s="13" t="n">
        <x:f>D222-C222</x:f>
        <x:v>2</x:v>
      </x:c>
    </x:row>
    <x:row r="223">
      <x:c r="A223" s="13" t="str">
        <x:v>PAG-000222</x:v>
      </x:c>
      <x:c r="B223" s="23" t="n">
        <x:v>45450</x:v>
      </x:c>
      <x:c r="C223" s="23" t="n">
        <x:v>45457</x:v>
      </x:c>
      <x:c r="D223" s="23" t="n">
        <x:v>45455</x:v>
      </x:c>
      <x:c r="E223" s="13" t="str">
        <x:v>Insight BI</x:v>
      </x:c>
      <x:c r="F223" s="13" t="str">
        <x:v>Dados e Analytics</x:v>
      </x:c>
      <x:c r="G223" s="17" t="n">
        <x:v>24201.91</x:v>
      </x:c>
      <x:c r="H223" s="17" t="n">
        <x:v>24189.73</x:v>
      </x:c>
      <x:c r="I223" s="13" t="str">
        <x:v>Financeiro</x:v>
      </x:c>
      <x:c r="J223" s="13" t="str">
        <x:v>Pago</x:v>
      </x:c>
      <x:c r="K223" s="13" t="str">
        <x:v>Base controlada</x:v>
      </x:c>
      <x:c r="L223" s="17" t="n">
        <x:f>H223-G223</x:f>
        <x:v>-12.180000000000291</x:v>
      </x:c>
      <x:c r="M223" s="19" t="n">
        <x:f>IFERROR(L223/G223,0)</x:f>
        <x:v>-0.0005032660645378935</x:v>
      </x:c>
      <x:c r="N223" s="13" t="n">
        <x:f>D223-C223</x:f>
        <x:v>-2</x:v>
      </x:c>
    </x:row>
    <x:row r="224">
      <x:c r="A224" s="13" t="str">
        <x:v>PAG-000223</x:v>
      </x:c>
      <x:c r="B224" s="23" t="n">
        <x:v>45445</x:v>
      </x:c>
      <x:c r="C224" s="23" t="n">
        <x:v>45460</x:v>
      </x:c>
      <x:c r="D224" s="23" t="n">
        <x:v>45460</x:v>
      </x:c>
      <x:c r="E224" s="13" t="str">
        <x:v>PeopleHub</x:v>
      </x:c>
      <x:c r="F224" s="13" t="str">
        <x:v>Recursos Humanos</x:v>
      </x:c>
      <x:c r="G224" s="17" t="n">
        <x:v>11765.99</x:v>
      </x:c>
      <x:c r="H224" s="17" t="n">
        <x:v>12145.15</x:v>
      </x:c>
      <x:c r="I224" s="13" t="str">
        <x:v>Diretoria</x:v>
      </x:c>
      <x:c r="J224" s="13" t="str">
        <x:v>Pago</x:v>
      </x:c>
      <x:c r="K224" s="13" t="str">
        <x:v>Base controlada</x:v>
      </x:c>
      <x:c r="L224" s="17" t="n">
        <x:f>H224-G224</x:f>
        <x:v>379.15999999999985</x:v>
      </x:c>
      <x:c r="M224" s="19" t="n">
        <x:f>IFERROR(L224/G224,0)</x:f>
        <x:v>0.03222508263223068</x:v>
      </x:c>
      <x:c r="N224" s="13" t="n">
        <x:f>D224-C224</x:f>
        <x:v>0</x:v>
      </x:c>
    </x:row>
    <x:row r="225">
      <x:c r="A225" s="13" t="str">
        <x:v>PAG-000224</x:v>
      </x:c>
      <x:c r="B225" s="23" t="n">
        <x:v>45457</x:v>
      </x:c>
      <x:c r="C225" s="23" t="n">
        <x:v>45487</x:v>
      </x:c>
      <x:c r="D225" s="23" t="n">
        <x:v>45487</x:v>
      </x:c>
      <x:c r="E225" s="13" t="str">
        <x:v>Office Prime</x:v>
      </x:c>
      <x:c r="F225" s="13" t="str">
        <x:v>Escritório</x:v>
      </x:c>
      <x:c r="G225" s="17" t="n">
        <x:v>2717.78</x:v>
      </x:c>
      <x:c r="H225" s="17" t="n">
        <x:v>2799.29</x:v>
      </x:c>
      <x:c r="I225" s="13" t="str">
        <x:v>Financeiro</x:v>
      </x:c>
      <x:c r="J225" s="13" t="str">
        <x:v>Pago</x:v>
      </x:c>
      <x:c r="K225" s="13" t="str">
        <x:v>Base controlada</x:v>
      </x:c>
      <x:c r="L225" s="17" t="n">
        <x:f>H225-G225</x:f>
        <x:v>81.50999999999976</x:v>
      </x:c>
      <x:c r="M225" s="19" t="n">
        <x:f>IFERROR(L225/G225,0)</x:f>
        <x:v>0.029991390031569795</x:v>
      </x:c>
      <x:c r="N225" s="13" t="n">
        <x:f>D225-C225</x:f>
        <x:v>0</x:v>
      </x:c>
    </x:row>
    <x:row r="226">
      <x:c r="A226" s="13" t="str">
        <x:v>PAG-000225</x:v>
      </x:c>
      <x:c r="B226" s="23" t="n">
        <x:v>45462</x:v>
      </x:c>
      <x:c r="C226" s="23" t="n">
        <x:v>45482</x:v>
      </x:c>
      <x:c r="D226" s="23" t="n">
        <x:v>45482</x:v>
      </x:c>
      <x:c r="E226" s="13" t="str">
        <x:v>WorkSpace</x:v>
      </x:c>
      <x:c r="F226" s="13" t="str">
        <x:v>Locação</x:v>
      </x:c>
      <x:c r="G226" s="17" t="n">
        <x:v>8081.16</x:v>
      </x:c>
      <x:c r="H226" s="17" t="n">
        <x:v>7808.39</x:v>
      </x:c>
      <x:c r="I226" s="13" t="str">
        <x:v>Diretoria</x:v>
      </x:c>
      <x:c r="J226" s="13" t="str">
        <x:v>Pago</x:v>
      </x:c>
      <x:c r="K226" s="13" t="str">
        <x:v>Base controlada</x:v>
      </x:c>
      <x:c r="L226" s="17" t="n">
        <x:f>H226-G226</x:f>
        <x:v>-272.7699999999995</x:v>
      </x:c>
      <x:c r="M226" s="19" t="n">
        <x:f>IFERROR(L226/G226,0)</x:f>
        <x:v>-0.03375381752124689</x:v>
      </x:c>
      <x:c r="N226" s="13" t="n">
        <x:f>D226-C226</x:f>
        <x:v>0</x:v>
      </x:c>
    </x:row>
    <x:row r="227">
      <x:c r="A227" s="13" t="str">
        <x:v>PAG-000226</x:v>
      </x:c>
      <x:c r="B227" s="23" t="n">
        <x:v>45457</x:v>
      </x:c>
      <x:c r="C227" s="23" t="n">
        <x:v>45472</x:v>
      </x:c>
      <x:c r="D227" s="23" t="n">
        <x:v>45470</x:v>
      </x:c>
      <x:c r="E227" s="13" t="str">
        <x:v>Conta Certa</x:v>
      </x:c>
      <x:c r="F227" s="13" t="str">
        <x:v>Contabilidade</x:v>
      </x:c>
      <x:c r="G227" s="17" t="n">
        <x:v>31712.95</x:v>
      </x:c>
      <x:c r="H227" s="17" t="n">
        <x:v>30801.32</x:v>
      </x:c>
      <x:c r="I227" s="13" t="str">
        <x:v>Diretoria</x:v>
      </x:c>
      <x:c r="J227" s="13" t="str">
        <x:v>Pago</x:v>
      </x:c>
      <x:c r="K227" s="13" t="str">
        <x:v>Base controlada</x:v>
      </x:c>
      <x:c r="L227" s="17" t="n">
        <x:f>H227-G227</x:f>
        <x:v>-911.630000000001</x:v>
      </x:c>
      <x:c r="M227" s="19" t="n">
        <x:f>IFERROR(L227/G227,0)</x:f>
        <x:v>-0.028746300801407658</x:v>
      </x:c>
      <x:c r="N227" s="13" t="n">
        <x:f>D227-C227</x:f>
        <x:v>-2</x:v>
      </x:c>
    </x:row>
    <x:row r="228">
      <x:c r="A228" s="13" t="str">
        <x:v>PAG-000227</x:v>
      </x:c>
      <x:c r="B228" s="23" t="n">
        <x:v>45447</x:v>
      </x:c>
      <x:c r="C228" s="23" t="n">
        <x:v>45477</x:v>
      </x:c>
      <x:c r="D228" s="23" t="n">
        <x:v>45477</x:v>
      </x:c>
      <x:c r="E228" s="13" t="str">
        <x:v>Insight BI</x:v>
      </x:c>
      <x:c r="F228" s="13" t="str">
        <x:v>Dados e Analytics</x:v>
      </x:c>
      <x:c r="G228" s="17" t="n">
        <x:v>3759.43</x:v>
      </x:c>
      <x:c r="H228" s="17" t="n">
        <x:v>3827.27</x:v>
      </x:c>
      <x:c r="I228" s="13" t="str">
        <x:v>Diretoria</x:v>
      </x:c>
      <x:c r="J228" s="13" t="str">
        <x:v>Pago</x:v>
      </x:c>
      <x:c r="K228" s="13" t="str">
        <x:v>Base controlada</x:v>
      </x:c>
      <x:c r="L228" s="17" t="n">
        <x:f>H228-G228</x:f>
        <x:v>67.84000000000015</x:v>
      </x:c>
      <x:c r="M228" s="19" t="n">
        <x:f>IFERROR(L228/G228,0)</x:f>
        <x:v>0.01804528878048006</x:v>
      </x:c>
      <x:c r="N228" s="13" t="n">
        <x:f>D228-C228</x:f>
        <x:v>0</x:v>
      </x:c>
    </x:row>
    <x:row r="229">
      <x:c r="A229" s="13" t="str">
        <x:v>PAG-000228</x:v>
      </x:c>
      <x:c r="B229" s="23" t="n">
        <x:v>45459</x:v>
      </x:c>
      <x:c r="C229" s="23" t="n">
        <x:v>45479</x:v>
      </x:c>
      <x:c r="D229" s="23" t="n">
        <x:v>45479</x:v>
      </x:c>
      <x:c r="E229" s="13" t="str">
        <x:v>Insight BI</x:v>
      </x:c>
      <x:c r="F229" s="13" t="str">
        <x:v>Dados e Analytics</x:v>
      </x:c>
      <x:c r="G229" s="17" t="n">
        <x:v>24758.14</x:v>
      </x:c>
      <x:c r="H229" s="17" t="n">
        <x:v>24374.24</x:v>
      </x:c>
      <x:c r="I229" s="13" t="str">
        <x:v>Financeiro</x:v>
      </x:c>
      <x:c r="J229" s="13" t="str">
        <x:v>Pago</x:v>
      </x:c>
      <x:c r="K229" s="13" t="str">
        <x:v>Base controlada</x:v>
      </x:c>
      <x:c r="L229" s="17" t="n">
        <x:f>H229-G229</x:f>
        <x:v>-383.8999999999978</x:v>
      </x:c>
      <x:c r="M229" s="19" t="n">
        <x:f>IFERROR(L229/G229,0)</x:f>
        <x:v>-0.015506011356264962</x:v>
      </x:c>
      <x:c r="N229" s="13" t="n">
        <x:f>D229-C229</x:f>
        <x:v>0</x:v>
      </x:c>
    </x:row>
    <x:row r="230">
      <x:c r="A230" s="13" t="str">
        <x:v>PAG-000229</x:v>
      </x:c>
      <x:c r="B230" s="23" t="n">
        <x:v>45453</x:v>
      </x:c>
      <x:c r="C230" s="23" t="n">
        <x:v>45483</x:v>
      </x:c>
      <x:c r="D230" s="23" t="n">
        <x:v>45483</x:v>
      </x:c>
      <x:c r="E230" s="13" t="str">
        <x:v>EducaPro</x:v>
      </x:c>
      <x:c r="F230" s="13" t="str">
        <x:v>Treinamentos</x:v>
      </x:c>
      <x:c r="G230" s="17" t="n">
        <x:v>13617.7</x:v>
      </x:c>
      <x:c r="H230" s="17" t="n">
        <x:v>13794.47</x:v>
      </x:c>
      <x:c r="I230" s="13" t="str">
        <x:v>Financeiro</x:v>
      </x:c>
      <x:c r="J230" s="13" t="str">
        <x:v>Pago</x:v>
      </x:c>
      <x:c r="K230" s="13" t="str">
        <x:v>Base controlada</x:v>
      </x:c>
      <x:c r="L230" s="17" t="n">
        <x:f>H230-G230</x:f>
        <x:v>176.76999999999862</x:v>
      </x:c>
      <x:c r="M230" s="19" t="n">
        <x:f>IFERROR(L230/G230,0)</x:f>
        <x:v>0.012980899858272587</x:v>
      </x:c>
      <x:c r="N230" s="13" t="n">
        <x:f>D230-C230</x:f>
        <x:v>0</x:v>
      </x:c>
    </x:row>
    <x:row r="231">
      <x:c r="A231" s="13" t="str">
        <x:v>PAG-000230</x:v>
      </x:c>
      <x:c r="B231" s="23" t="n">
        <x:v>45445</x:v>
      </x:c>
      <x:c r="C231" s="23" t="n">
        <x:v>45460</x:v>
      </x:c>
      <x:c r="D231" s="23" t="n">
        <x:v>45460</x:v>
      </x:c>
      <x:c r="E231" s="13" t="str">
        <x:v>Insight BI</x:v>
      </x:c>
      <x:c r="F231" s="13" t="str">
        <x:v>Dados e Analytics</x:v>
      </x:c>
      <x:c r="G231" s="17" t="n">
        <x:v>22041.37</x:v>
      </x:c>
      <x:c r="H231" s="17" t="n">
        <x:v>22344.35</x:v>
      </x:c>
      <x:c r="I231" s="13" t="str">
        <x:v>Gestor da área</x:v>
      </x:c>
      <x:c r="J231" s="13" t="str">
        <x:v>Pago</x:v>
      </x:c>
      <x:c r="K231" s="13" t="str">
        <x:v>Base controlada</x:v>
      </x:c>
      <x:c r="L231" s="17" t="n">
        <x:f>H231-G231</x:f>
        <x:v>302.97999999999956</x:v>
      </x:c>
      <x:c r="M231" s="19" t="n">
        <x:f>IFERROR(L231/G231,0)</x:f>
        <x:v>0.013745969510969581</x:v>
      </x:c>
      <x:c r="N231" s="13" t="n">
        <x:f>D231-C231</x:f>
        <x:v>0</x:v>
      </x:c>
    </x:row>
    <x:row r="232">
      <x:c r="A232" s="13" t="str">
        <x:v>PAG-000231</x:v>
      </x:c>
      <x:c r="B232" s="23" t="n">
        <x:v>45462</x:v>
      </x:c>
      <x:c r="C232" s="23" t="n">
        <x:v>45477</x:v>
      </x:c>
      <x:c r="D232" s="23" t="n">
        <x:v>45477</x:v>
      </x:c>
      <x:c r="E232" s="13" t="str">
        <x:v>NetLink</x:v>
      </x:c>
      <x:c r="F232" s="13" t="str">
        <x:v>Telecomunicações</x:v>
      </x:c>
      <x:c r="G232" s="17" t="n">
        <x:v>9605.78</x:v>
      </x:c>
      <x:c r="H232" s="17" t="n">
        <x:v>10015.92</x:v>
      </x:c>
      <x:c r="I232" s="13" t="str">
        <x:v>Financeiro</x:v>
      </x:c>
      <x:c r="J232" s="13" t="str">
        <x:v>Pago</x:v>
      </x:c>
      <x:c r="K232" s="13" t="str">
        <x:v>Base controlada</x:v>
      </x:c>
      <x:c r="L232" s="17" t="n">
        <x:f>H232-G232</x:f>
        <x:v>410.1399999999994</x:v>
      </x:c>
      <x:c r="M232" s="19" t="n">
        <x:f>IFERROR(L232/G232,0)</x:f>
        <x:v>0.042697209388513936</x:v>
      </x:c>
      <x:c r="N232" s="13" t="n">
        <x:f>D232-C232</x:f>
        <x:v>0</x:v>
      </x:c>
    </x:row>
    <x:row r="233">
      <x:c r="A233" s="13" t="str">
        <x:v>PAG-000232</x:v>
      </x:c>
      <x:c r="B233" s="23" t="n">
        <x:v>45454</x:v>
      </x:c>
      <x:c r="C233" s="23" t="n">
        <x:v>45484</x:v>
      </x:c>
      <x:c r="D233" s="23" t="n">
        <x:v>45485</x:v>
      </x:c>
      <x:c r="E233" s="13" t="str">
        <x:v>WorkSpace</x:v>
      </x:c>
      <x:c r="F233" s="13" t="str">
        <x:v>Locação</x:v>
      </x:c>
      <x:c r="G233" s="17" t="n">
        <x:v>1124.84</x:v>
      </x:c>
      <x:c r="H233" s="17" t="n">
        <x:v>1106.76</x:v>
      </x:c>
      <x:c r="I233" s="13" t="str">
        <x:v>Gestor da área</x:v>
      </x:c>
      <x:c r="J233" s="13" t="str">
        <x:v>Pago</x:v>
      </x:c>
      <x:c r="K233" s="13" t="str">
        <x:v>Base controlada</x:v>
      </x:c>
      <x:c r="L233" s="17" t="n">
        <x:f>H233-G233</x:f>
        <x:v>-18.079999999999927</x:v>
      </x:c>
      <x:c r="M233" s="19" t="n">
        <x:f>IFERROR(L233/G233,0)</x:f>
        <x:v>-0.01607339710536603</x:v>
      </x:c>
      <x:c r="N233" s="13" t="n">
        <x:f>D233-C233</x:f>
        <x:v>1</x:v>
      </x:c>
    </x:row>
    <x:row r="234">
      <x:c r="A234" s="13" t="str">
        <x:v>PAG-000233</x:v>
      </x:c>
      <x:c r="B234" s="23" t="n">
        <x:v>45462</x:v>
      </x:c>
      <x:c r="C234" s="23" t="n">
        <x:v>45477</x:v>
      </x:c>
      <x:c r="D234" s="23" t="n">
        <x:v>45479</x:v>
      </x:c>
      <x:c r="E234" s="13" t="str">
        <x:v>MarketLab</x:v>
      </x:c>
      <x:c r="F234" s="13" t="str">
        <x:v>Marketing</x:v>
      </x:c>
      <x:c r="G234" s="17" t="n">
        <x:v>31105.46</x:v>
      </x:c>
      <x:c r="H234" s="17" t="n">
        <x:v>32024.59</x:v>
      </x:c>
      <x:c r="I234" s="13" t="str">
        <x:v>Gestor da área</x:v>
      </x:c>
      <x:c r="J234" s="13" t="str">
        <x:v>Pago</x:v>
      </x:c>
      <x:c r="K234" s="13" t="str">
        <x:v>Base controlada</x:v>
      </x:c>
      <x:c r="L234" s="17" t="n">
        <x:f>H234-G234</x:f>
        <x:v>919.130000000001</x:v>
      </x:c>
      <x:c r="M234" s="19" t="n">
        <x:f>IFERROR(L234/G234,0)</x:f>
        <x:v>0.029548831619914995</x:v>
      </x:c>
      <x:c r="N234" s="13" t="n">
        <x:f>D234-C234</x:f>
        <x:v>2</x:v>
      </x:c>
    </x:row>
    <x:row r="235">
      <x:c r="A235" s="13" t="str">
        <x:v>PAG-000234</x:v>
      </x:c>
      <x:c r="B235" s="23" t="n">
        <x:v>45446</x:v>
      </x:c>
      <x:c r="C235" s="23" t="n">
        <x:v>45466</x:v>
      </x:c>
      <x:c r="D235" s="23" t="n">
        <x:v>45468</x:v>
      </x:c>
      <x:c r="E235" s="13" t="str">
        <x:v>Office Prime</x:v>
      </x:c>
      <x:c r="F235" s="13" t="str">
        <x:v>Escritório</x:v>
      </x:c>
      <x:c r="G235" s="17" t="n">
        <x:v>6075.4</x:v>
      </x:c>
      <x:c r="H235" s="17" t="n">
        <x:v>6219.23</x:v>
      </x:c>
      <x:c r="I235" s="13" t="str">
        <x:v>Financeiro</x:v>
      </x:c>
      <x:c r="J235" s="13" t="str">
        <x:v>Pago</x:v>
      </x:c>
      <x:c r="K235" s="13" t="str">
        <x:v>Base controlada</x:v>
      </x:c>
      <x:c r="L235" s="17" t="n">
        <x:f>H235-G235</x:f>
        <x:v>143.82999999999993</x:v>
      </x:c>
      <x:c r="M235" s="19" t="n">
        <x:f>IFERROR(L235/G235,0)</x:f>
        <x:v>0.023674161372090715</x:v>
      </x:c>
      <x:c r="N235" s="13" t="n">
        <x:f>D235-C235</x:f>
        <x:v>2</x:v>
      </x:c>
    </x:row>
    <x:row r="236">
      <x:c r="A236" s="13" t="str">
        <x:v>PAG-000235</x:v>
      </x:c>
      <x:c r="B236" s="23" t="n">
        <x:v>45460</x:v>
      </x:c>
      <x:c r="C236" s="23" t="n">
        <x:v>45480</x:v>
      </x:c>
      <x:c r="D236" s="23" t="n">
        <x:v>45480</x:v>
      </x:c>
      <x:c r="E236" s="13" t="str">
        <x:v>LegalMais</x:v>
      </x:c>
      <x:c r="F236" s="13" t="str">
        <x:v>Jurídico</x:v>
      </x:c>
      <x:c r="G236" s="17" t="n">
        <x:v>8978.42</x:v>
      </x:c>
      <x:c r="H236" s="17" t="n">
        <x:v>8987.45</x:v>
      </x:c>
      <x:c r="I236" s="13" t="str">
        <x:v>Diretoria</x:v>
      </x:c>
      <x:c r="J236" s="13" t="str">
        <x:v>Pago</x:v>
      </x:c>
      <x:c r="K236" s="13" t="str">
        <x:v>Base controlada</x:v>
      </x:c>
      <x:c r="L236" s="17" t="n">
        <x:f>H236-G236</x:f>
        <x:v>9.030000000000655</x:v>
      </x:c>
      <x:c r="M236" s="19" t="n">
        <x:f>IFERROR(L236/G236,0)</x:f>
        <x:v>0.0010057448860713416</x:v>
      </x:c>
      <x:c r="N236" s="13" t="n">
        <x:f>D236-C236</x:f>
        <x:v>0</x:v>
      </x:c>
    </x:row>
    <x:row r="237">
      <x:c r="A237" s="13" t="str">
        <x:v>PAG-000236</x:v>
      </x:c>
      <x:c r="B237" s="23" t="n">
        <x:v>45454</x:v>
      </x:c>
      <x:c r="C237" s="23" t="n">
        <x:v>45469</x:v>
      </x:c>
      <x:c r="D237" s="23" t="n">
        <x:v>45468</x:v>
      </x:c>
      <x:c r="E237" s="13" t="str">
        <x:v>Banco Integra</x:v>
      </x:c>
      <x:c r="F237" s="13" t="str">
        <x:v>Serviços bancários</x:v>
      </x:c>
      <x:c r="G237" s="17" t="n">
        <x:v>8313.83</x:v>
      </x:c>
      <x:c r="H237" s="17" t="n">
        <x:v>8104.16</x:v>
      </x:c>
      <x:c r="I237" s="13" t="str">
        <x:v>Diretoria</x:v>
      </x:c>
      <x:c r="J237" s="13" t="str">
        <x:v>Pago</x:v>
      </x:c>
      <x:c r="K237" s="13" t="str">
        <x:v>Base controlada</x:v>
      </x:c>
      <x:c r="L237" s="17" t="n">
        <x:f>H237-G237</x:f>
        <x:v>-209.67000000000007</x:v>
      </x:c>
      <x:c r="M237" s="19" t="n">
        <x:f>IFERROR(L237/G237,0)</x:f>
        <x:v>-0.025219423538850334</x:v>
      </x:c>
      <x:c r="N237" s="13" t="n">
        <x:f>D237-C237</x:f>
        <x:v>-1</x:v>
      </x:c>
    </x:row>
    <x:row r="238">
      <x:c r="A238" s="13" t="str">
        <x:v>PAG-000237</x:v>
      </x:c>
      <x:c r="B238" s="23" t="n">
        <x:v>45450</x:v>
      </x:c>
      <x:c r="C238" s="23" t="n">
        <x:v>45457</x:v>
      </x:c>
      <x:c r="D238" s="23" t="n">
        <x:v>45455</x:v>
      </x:c>
      <x:c r="E238" s="13" t="str">
        <x:v>Banco Integra</x:v>
      </x:c>
      <x:c r="F238" s="13" t="str">
        <x:v>Serviços bancários</x:v>
      </x:c>
      <x:c r="G238" s="17" t="n">
        <x:v>21539.3</x:v>
      </x:c>
      <x:c r="H238" s="17" t="n">
        <x:v>21938.97</x:v>
      </x:c>
      <x:c r="I238" s="13" t="str">
        <x:v>Gestor da área</x:v>
      </x:c>
      <x:c r="J238" s="13" t="str">
        <x:v>Pago</x:v>
      </x:c>
      <x:c r="K238" s="13" t="str">
        <x:v>Base controlada</x:v>
      </x:c>
      <x:c r="L238" s="17" t="n">
        <x:f>H238-G238</x:f>
        <x:v>399.6700000000019</x:v>
      </x:c>
      <x:c r="M238" s="19" t="n">
        <x:f>IFERROR(L238/G238,0)</x:f>
        <x:v>0.018555384808234338</x:v>
      </x:c>
      <x:c r="N238" s="13" t="n">
        <x:f>D238-C238</x:f>
        <x:v>-2</x:v>
      </x:c>
    </x:row>
    <x:row r="239">
      <x:c r="A239" s="13" t="str">
        <x:v>PAG-000238</x:v>
      </x:c>
      <x:c r="B239" s="23" t="n">
        <x:v>45444</x:v>
      </x:c>
      <x:c r="C239" s="23" t="n">
        <x:v>45459</x:v>
      </x:c>
      <x:c r="D239" s="23" t="n">
        <x:v>45461</x:v>
      </x:c>
      <x:c r="E239" s="13" t="str">
        <x:v>WorkSpace</x:v>
      </x:c>
      <x:c r="F239" s="13" t="str">
        <x:v>Locação</x:v>
      </x:c>
      <x:c r="G239" s="17" t="n">
        <x:v>7392.94</x:v>
      </x:c>
      <x:c r="H239" s="17" t="n">
        <x:v>7377.91</x:v>
      </x:c>
      <x:c r="I239" s="13" t="str">
        <x:v>Gestor da área</x:v>
      </x:c>
      <x:c r="J239" s="13" t="str">
        <x:v>Pago</x:v>
      </x:c>
      <x:c r="K239" s="13" t="str">
        <x:v>Base controlada</x:v>
      </x:c>
      <x:c r="L239" s="17" t="n">
        <x:f>H239-G239</x:f>
        <x:v>-15.029999999999745</x:v>
      </x:c>
      <x:c r="M239" s="19" t="n">
        <x:f>IFERROR(L239/G239,0)</x:f>
        <x:v>-0.002033020692714907</x:v>
      </x:c>
      <x:c r="N239" s="13" t="n">
        <x:f>D239-C239</x:f>
        <x:v>2</x:v>
      </x:c>
    </x:row>
    <x:row r="240">
      <x:c r="A240" s="13" t="str">
        <x:v>PAG-000239</x:v>
      </x:c>
      <x:c r="B240" s="23" t="n">
        <x:v>45450</x:v>
      </x:c>
      <x:c r="C240" s="23" t="n">
        <x:v>45480</x:v>
      </x:c>
      <x:c r="D240" s="23" t="n">
        <x:v>45480</x:v>
      </x:c>
      <x:c r="E240" s="13" t="str">
        <x:v>Conta Certa</x:v>
      </x:c>
      <x:c r="F240" s="13" t="str">
        <x:v>Contabilidade</x:v>
      </x:c>
      <x:c r="G240" s="17" t="n">
        <x:v>27334.22</x:v>
      </x:c>
      <x:c r="H240" s="17" t="n">
        <x:v>27075.89</x:v>
      </x:c>
      <x:c r="I240" s="13" t="str">
        <x:v>Gestor da área</x:v>
      </x:c>
      <x:c r="J240" s="13" t="str">
        <x:v>Pago</x:v>
      </x:c>
      <x:c r="K240" s="13" t="str">
        <x:v>Base controlada</x:v>
      </x:c>
      <x:c r="L240" s="17" t="n">
        <x:f>H240-G240</x:f>
        <x:v>-258.33000000000175</x:v>
      </x:c>
      <x:c r="M240" s="19" t="n">
        <x:f>IFERROR(L240/G240,0)</x:f>
        <x:v>-0.009450790986536353</x:v>
      </x:c>
      <x:c r="N240" s="13" t="n">
        <x:f>D240-C240</x:f>
        <x:v>0</x:v>
      </x:c>
    </x:row>
    <x:row r="241">
      <x:c r="A241" s="13" t="str">
        <x:v>PAG-000240</x:v>
      </x:c>
      <x:c r="B241" s="23" t="n">
        <x:v>45449</x:v>
      </x:c>
      <x:c r="C241" s="23" t="n">
        <x:v>45456</x:v>
      </x:c>
      <x:c r="D241" s="23" t="n">
        <x:v>45458</x:v>
      </x:c>
      <x:c r="E241" s="13" t="str">
        <x:v>LegalMais</x:v>
      </x:c>
      <x:c r="F241" s="13" t="str">
        <x:v>Jurídico</x:v>
      </x:c>
      <x:c r="G241" s="17" t="n">
        <x:v>7388.03</x:v>
      </x:c>
      <x:c r="H241" s="17" t="n">
        <x:v>7655.03</x:v>
      </x:c>
      <x:c r="I241" s="13" t="str">
        <x:v>Diretoria</x:v>
      </x:c>
      <x:c r="J241" s="13" t="str">
        <x:v>Pago</x:v>
      </x:c>
      <x:c r="K241" s="13" t="str">
        <x:v>Base controlada</x:v>
      </x:c>
      <x:c r="L241" s="17" t="n">
        <x:f>H241-G241</x:f>
        <x:v>267</x:v>
      </x:c>
      <x:c r="M241" s="19" t="n">
        <x:f>IFERROR(L241/G241,0)</x:f>
        <x:v>0.036139539227642556</x:v>
      </x:c>
      <x:c r="N241" s="13" t="n">
        <x:f>D241-C241</x:f>
        <x:v>2</x:v>
      </x:c>
    </x:row>
    <x:row r="242">
      <x:c r="A242" s="13" t="str">
        <x:v>PAG-000241</x:v>
      </x:c>
      <x:c r="B242" s="23" t="n">
        <x:v>45454</x:v>
      </x:c>
      <x:c r="C242" s="23" t="n">
        <x:v>45484</x:v>
      </x:c>
      <x:c r="D242" s="23" t="n">
        <x:v>45481</x:v>
      </x:c>
      <x:c r="E242" s="13" t="str">
        <x:v>Office Prime</x:v>
      </x:c>
      <x:c r="F242" s="13" t="str">
        <x:v>Escritório</x:v>
      </x:c>
      <x:c r="G242" s="17" t="n">
        <x:v>16660.8</x:v>
      </x:c>
      <x:c r="H242" s="17" t="n">
        <x:v>17134.47</x:v>
      </x:c>
      <x:c r="I242" s="13" t="str">
        <x:v>Gestor da área</x:v>
      </x:c>
      <x:c r="J242" s="13" t="str">
        <x:v>Pago</x:v>
      </x:c>
      <x:c r="K242" s="13" t="str">
        <x:v>Base controlada</x:v>
      </x:c>
      <x:c r="L242" s="17" t="n">
        <x:f>H242-G242</x:f>
        <x:v>473.6700000000019</x:v>
      </x:c>
      <x:c r="M242" s="19" t="n">
        <x:f>IFERROR(L242/G242,0)</x:f>
        <x:v>0.02843020743301654</x:v>
      </x:c>
      <x:c r="N242" s="13" t="n">
        <x:f>D242-C242</x:f>
        <x:v>-3</x:v>
      </x:c>
    </x:row>
    <x:row r="243">
      <x:c r="A243" s="13" t="str">
        <x:v>PAG-000242</x:v>
      </x:c>
      <x:c r="B243" s="23" t="n">
        <x:v>45448</x:v>
      </x:c>
      <x:c r="C243" s="23" t="n">
        <x:v>45478</x:v>
      </x:c>
      <x:c r="D243" s="23" t="n">
        <x:v>45478</x:v>
      </x:c>
      <x:c r="E243" s="13" t="str">
        <x:v>PeopleHub</x:v>
      </x:c>
      <x:c r="F243" s="13" t="str">
        <x:v>Recursos Humanos</x:v>
      </x:c>
      <x:c r="G243" s="17" t="n">
        <x:v>16661.07</x:v>
      </x:c>
      <x:c r="H243" s="17" t="n">
        <x:v>16164.54</x:v>
      </x:c>
      <x:c r="I243" s="13" t="str">
        <x:v>Gestor da área</x:v>
      </x:c>
      <x:c r="J243" s="13" t="str">
        <x:v>Pago</x:v>
      </x:c>
      <x:c r="K243" s="13" t="str">
        <x:v>Base controlada</x:v>
      </x:c>
      <x:c r="L243" s="17" t="n">
        <x:f>H243-G243</x:f>
        <x:v>-496.52999999999884</x:v>
      </x:c>
      <x:c r="M243" s="19" t="n">
        <x:f>IFERROR(L243/G243,0)</x:f>
        <x:v>-0.029801807446940613</x:v>
      </x:c>
      <x:c r="N243" s="13" t="n">
        <x:f>D243-C243</x:f>
        <x:v>0</x:v>
      </x:c>
    </x:row>
    <x:row r="244">
      <x:c r="A244" s="13" t="str">
        <x:v>PAG-000243</x:v>
      </x:c>
      <x:c r="B244" s="23" t="n">
        <x:v>45449</x:v>
      </x:c>
      <x:c r="C244" s="23" t="n">
        <x:v>45469</x:v>
      </x:c>
      <x:c r="D244" s="23" t="n">
        <x:v>45467</x:v>
      </x:c>
      <x:c r="E244" s="13" t="str">
        <x:v>MarketLab</x:v>
      </x:c>
      <x:c r="F244" s="13" t="str">
        <x:v>Marketing</x:v>
      </x:c>
      <x:c r="G244" s="17" t="n">
        <x:v>11929.56</x:v>
      </x:c>
      <x:c r="H244" s="17" t="n">
        <x:v>12450.44</x:v>
      </x:c>
      <x:c r="I244" s="13" t="str">
        <x:v>Diretoria</x:v>
      </x:c>
      <x:c r="J244" s="13" t="str">
        <x:v>Pago</x:v>
      </x:c>
      <x:c r="K244" s="13" t="str">
        <x:v>Base controlada</x:v>
      </x:c>
      <x:c r="L244" s="17" t="n">
        <x:f>H244-G244</x:f>
        <x:v>520.880000000001</x:v>
      </x:c>
      <x:c r="M244" s="19" t="n">
        <x:f>IFERROR(L244/G244,0)</x:f>
        <x:v>0.04366296829053218</x:v>
      </x:c>
      <x:c r="N244" s="13" t="n">
        <x:f>D244-C244</x:f>
        <x:v>-2</x:v>
      </x:c>
    </x:row>
    <x:row r="245">
      <x:c r="A245" s="13" t="str">
        <x:v>PAG-000244</x:v>
      </x:c>
      <x:c r="B245" s="23" t="n">
        <x:v>45455</x:v>
      </x:c>
      <x:c r="C245" s="23" t="n">
        <x:v>45485</x:v>
      </x:c>
      <x:c r="D245" s="23" t="n">
        <x:v>45486</x:v>
      </x:c>
      <x:c r="E245" s="13" t="str">
        <x:v>Conta Certa</x:v>
      </x:c>
      <x:c r="F245" s="13" t="str">
        <x:v>Contabilidade</x:v>
      </x:c>
      <x:c r="G245" s="17" t="n">
        <x:v>28736.64</x:v>
      </x:c>
      <x:c r="H245" s="17" t="n">
        <x:v>29728.33</x:v>
      </x:c>
      <x:c r="I245" s="13" t="str">
        <x:v>Gestor da área</x:v>
      </x:c>
      <x:c r="J245" s="13" t="str">
        <x:v>Pago</x:v>
      </x:c>
      <x:c r="K245" s="13" t="str">
        <x:v>Base controlada</x:v>
      </x:c>
      <x:c r="L245" s="17" t="n">
        <x:f>H245-G245</x:f>
        <x:v>991.6900000000023</x:v>
      </x:c>
      <x:c r="M245" s="19" t="n">
        <x:f>IFERROR(L245/G245,0)</x:f>
        <x:v>0.03450960167924999</x:v>
      </x:c>
      <x:c r="N245" s="13" t="n">
        <x:f>D245-C245</x:f>
        <x:v>1</x:v>
      </x:c>
    </x:row>
    <x:row r="246">
      <x:c r="A246" s="13" t="str">
        <x:v>PAG-000245</x:v>
      </x:c>
      <x:c r="B246" s="23" t="n">
        <x:v>45448</x:v>
      </x:c>
      <x:c r="C246" s="23" t="n">
        <x:v>45468</x:v>
      </x:c>
      <x:c r="D246" s="23" t="n">
        <x:v>45469</x:v>
      </x:c>
      <x:c r="E246" s="13" t="str">
        <x:v>PeopleHub</x:v>
      </x:c>
      <x:c r="F246" s="13" t="str">
        <x:v>Recursos Humanos</x:v>
      </x:c>
      <x:c r="G246" s="17" t="n">
        <x:v>31427.8</x:v>
      </x:c>
      <x:c r="H246" s="17" t="n">
        <x:v>30786.85</x:v>
      </x:c>
      <x:c r="I246" s="13" t="str">
        <x:v>Diretoria</x:v>
      </x:c>
      <x:c r="J246" s="13" t="str">
        <x:v>Pago</x:v>
      </x:c>
      <x:c r="K246" s="13" t="str">
        <x:v>Base controlada</x:v>
      </x:c>
      <x:c r="L246" s="17" t="n">
        <x:f>H246-G246</x:f>
        <x:v>-640.9500000000007</x:v>
      </x:c>
      <x:c r="M246" s="19" t="n">
        <x:f>IFERROR(L246/G246,0)</x:f>
        <x:v>-0.020394364225303736</x:v>
      </x:c>
      <x:c r="N246" s="13" t="n">
        <x:f>D246-C246</x:f>
        <x:v>1</x:v>
      </x:c>
    </x:row>
    <x:row r="247">
      <x:c r="A247" s="13" t="str">
        <x:v>PAG-000246</x:v>
      </x:c>
      <x:c r="B247" s="23" t="n">
        <x:v>45462</x:v>
      </x:c>
      <x:c r="C247" s="23" t="n">
        <x:v>45469</x:v>
      </x:c>
      <x:c r="D247" s="23" t="n">
        <x:v>45467</x:v>
      </x:c>
      <x:c r="E247" s="13" t="str">
        <x:v>LegalMais</x:v>
      </x:c>
      <x:c r="F247" s="13" t="str">
        <x:v>Jurídico</x:v>
      </x:c>
      <x:c r="G247" s="17" t="n">
        <x:v>25165.15</x:v>
      </x:c>
      <x:c r="H247" s="17" t="n">
        <x:v>25883.45</x:v>
      </x:c>
      <x:c r="I247" s="13" t="str">
        <x:v>Financeiro</x:v>
      </x:c>
      <x:c r="J247" s="13" t="str">
        <x:v>Pago</x:v>
      </x:c>
      <x:c r="K247" s="13" t="str">
        <x:v>Base controlada</x:v>
      </x:c>
      <x:c r="L247" s="17" t="n">
        <x:f>H247-G247</x:f>
        <x:v>718.2999999999993</x:v>
      </x:c>
      <x:c r="M247" s="19" t="n">
        <x:f>IFERROR(L247/G247,0)</x:f>
        <x:v>0.02854344202200262</x:v>
      </x:c>
      <x:c r="N247" s="13" t="n">
        <x:f>D247-C247</x:f>
        <x:v>-2</x:v>
      </x:c>
    </x:row>
    <x:row r="248">
      <x:c r="A248" s="13" t="str">
        <x:v>PAG-000247</x:v>
      </x:c>
      <x:c r="B248" s="23" t="n">
        <x:v>45456</x:v>
      </x:c>
      <x:c r="C248" s="23" t="n">
        <x:v>45476</x:v>
      </x:c>
      <x:c r="D248" s="23" t="n">
        <x:v>45478</x:v>
      </x:c>
      <x:c r="E248" s="13" t="str">
        <x:v>PeopleHub</x:v>
      </x:c>
      <x:c r="F248" s="13" t="str">
        <x:v>Recursos Humanos</x:v>
      </x:c>
      <x:c r="G248" s="17" t="n">
        <x:v>6665.71</x:v>
      </x:c>
      <x:c r="H248" s="17" t="n">
        <x:v>6502.25</x:v>
      </x:c>
      <x:c r="I248" s="13" t="str">
        <x:v>Financeiro</x:v>
      </x:c>
      <x:c r="J248" s="13" t="str">
        <x:v>Pago</x:v>
      </x:c>
      <x:c r="K248" s="13" t="str">
        <x:v>Base controlada</x:v>
      </x:c>
      <x:c r="L248" s="17" t="n">
        <x:f>H248-G248</x:f>
        <x:v>-163.46000000000004</x:v>
      </x:c>
      <x:c r="M248" s="19" t="n">
        <x:f>IFERROR(L248/G248,0)</x:f>
        <x:v>-0.024522518981473847</x:v>
      </x:c>
      <x:c r="N248" s="13" t="n">
        <x:f>D248-C248</x:f>
        <x:v>2</x:v>
      </x:c>
    </x:row>
    <x:row r="249">
      <x:c r="A249" s="13" t="str">
        <x:v>PAG-000248</x:v>
      </x:c>
      <x:c r="B249" s="23" t="n">
        <x:v>45458</x:v>
      </x:c>
      <x:c r="C249" s="23" t="n">
        <x:v>45478</x:v>
      </x:c>
      <x:c r="D249" s="23" t="n">
        <x:v>45480</x:v>
      </x:c>
      <x:c r="E249" s="13" t="str">
        <x:v>EducaPro</x:v>
      </x:c>
      <x:c r="F249" s="13" t="str">
        <x:v>Treinamentos</x:v>
      </x:c>
      <x:c r="G249" s="17" t="n">
        <x:v>21318.94</x:v>
      </x:c>
      <x:c r="H249" s="17" t="n">
        <x:v>22126.01</x:v>
      </x:c>
      <x:c r="I249" s="13" t="str">
        <x:v>Gestor da área</x:v>
      </x:c>
      <x:c r="J249" s="13" t="str">
        <x:v>Pago</x:v>
      </x:c>
      <x:c r="K249" s="13" t="str">
        <x:v>Base controlada</x:v>
      </x:c>
      <x:c r="L249" s="17" t="n">
        <x:f>H249-G249</x:f>
        <x:v>807.0699999999997</x:v>
      </x:c>
      <x:c r="M249" s="19" t="n">
        <x:f>IFERROR(L249/G249,0)</x:f>
        <x:v>0.03785694785950895</x:v>
      </x:c>
      <x:c r="N249" s="13" t="n">
        <x:f>D249-C249</x:f>
        <x:v>2</x:v>
      </x:c>
    </x:row>
    <x:row r="250">
      <x:c r="A250" s="13" t="str">
        <x:v>PAG-000249</x:v>
      </x:c>
      <x:c r="B250" s="23" t="n">
        <x:v>45453</x:v>
      </x:c>
      <x:c r="C250" s="23" t="n">
        <x:v>45460</x:v>
      </x:c>
      <x:c r="D250" s="23" t="n">
        <x:v>45460</x:v>
      </x:c>
      <x:c r="E250" s="13" t="str">
        <x:v>Office Prime</x:v>
      </x:c>
      <x:c r="F250" s="13" t="str">
        <x:v>Escritório</x:v>
      </x:c>
      <x:c r="G250" s="17" t="n">
        <x:v>6792.75</x:v>
      </x:c>
      <x:c r="H250" s="17" t="n">
        <x:v>6766.71</x:v>
      </x:c>
      <x:c r="I250" s="13" t="str">
        <x:v>Financeiro</x:v>
      </x:c>
      <x:c r="J250" s="13" t="str">
        <x:v>Pago</x:v>
      </x:c>
      <x:c r="K250" s="13" t="str">
        <x:v>Base controlada</x:v>
      </x:c>
      <x:c r="L250" s="17" t="n">
        <x:f>H250-G250</x:f>
        <x:v>-26.039999999999964</x:v>
      </x:c>
      <x:c r="M250" s="19" t="n">
        <x:f>IFERROR(L250/G250,0)</x:f>
        <x:v>-0.003833498951087551</x:v>
      </x:c>
      <x:c r="N250" s="13" t="n">
        <x:f>D250-C250</x:f>
        <x:v>0</x:v>
      </x:c>
    </x:row>
    <x:row r="251">
      <x:c r="A251" s="13" t="str">
        <x:v>PAG-000250</x:v>
      </x:c>
      <x:c r="B251" s="23" t="n">
        <x:v>45454</x:v>
      </x:c>
      <x:c r="C251" s="23" t="n">
        <x:v>45484</x:v>
      </x:c>
      <x:c r="D251" s="23" t="n">
        <x:v>45484</x:v>
      </x:c>
      <x:c r="E251" s="13" t="str">
        <x:v>MarketLab</x:v>
      </x:c>
      <x:c r="F251" s="13" t="str">
        <x:v>Marketing</x:v>
      </x:c>
      <x:c r="G251" s="17" t="n">
        <x:v>5803.95</x:v>
      </x:c>
      <x:c r="H251" s="17" t="n">
        <x:v>5703.47</x:v>
      </x:c>
      <x:c r="I251" s="13" t="str">
        <x:v>Diretoria</x:v>
      </x:c>
      <x:c r="J251" s="13" t="str">
        <x:v>Pago</x:v>
      </x:c>
      <x:c r="K251" s="13" t="str">
        <x:v>Base controlada</x:v>
      </x:c>
      <x:c r="L251" s="17" t="n">
        <x:f>H251-G251</x:f>
        <x:v>-100.47999999999956</x:v>
      </x:c>
      <x:c r="M251" s="19" t="n">
        <x:f>IFERROR(L251/G251,0)</x:f>
        <x:v>-0.01731234762532406</x:v>
      </x:c>
      <x:c r="N251" s="13" t="n">
        <x:f>D251-C251</x:f>
        <x:v>0</x:v>
      </x:c>
    </x:row>
    <x:row r="252">
      <x:c r="A252" s="13" t="str">
        <x:v>PAG-000251</x:v>
      </x:c>
      <x:c r="B252" s="23" t="n">
        <x:v>45444</x:v>
      </x:c>
      <x:c r="C252" s="23" t="n">
        <x:v>45474</x:v>
      </x:c>
      <x:c r="D252" s="23" t="n">
        <x:v>45474</x:v>
      </x:c>
      <x:c r="E252" s="13" t="str">
        <x:v>PeopleHub</x:v>
      </x:c>
      <x:c r="F252" s="13" t="str">
        <x:v>Recursos Humanos</x:v>
      </x:c>
      <x:c r="G252" s="17" t="n">
        <x:v>5277.36</x:v>
      </x:c>
      <x:c r="H252" s="17" t="n">
        <x:v>5427.15</x:v>
      </x:c>
      <x:c r="I252" s="13" t="str">
        <x:v>Financeiro</x:v>
      </x:c>
      <x:c r="J252" s="13" t="str">
        <x:v>Pago</x:v>
      </x:c>
      <x:c r="K252" s="13" t="str">
        <x:v>Base controlada</x:v>
      </x:c>
      <x:c r="L252" s="17" t="n">
        <x:f>H252-G252</x:f>
        <x:v>149.78999999999996</x:v>
      </x:c>
      <x:c r="M252" s="19" t="n">
        <x:f>IFERROR(L252/G252,0)</x:f>
        <x:v>0.02838350993678657</x:v>
      </x:c>
      <x:c r="N252" s="13" t="n">
        <x:f>D252-C252</x:f>
        <x:v>0</x:v>
      </x:c>
    </x:row>
    <x:row r="253">
      <x:c r="A253" s="13" t="str">
        <x:v>PAG-000252</x:v>
      </x:c>
      <x:c r="B253" s="23" t="n">
        <x:v>45449</x:v>
      </x:c>
      <x:c r="C253" s="23" t="n">
        <x:v>45479</x:v>
      </x:c>
      <x:c r="D253" s="23" t="n">
        <x:v>45477</x:v>
      </x:c>
      <x:c r="E253" s="13" t="str">
        <x:v>NetLink</x:v>
      </x:c>
      <x:c r="F253" s="13" t="str">
        <x:v>Telecomunicações</x:v>
      </x:c>
      <x:c r="G253" s="17" t="n">
        <x:v>14711.43</x:v>
      </x:c>
      <x:c r="H253" s="17" t="n">
        <x:v>14646.27</x:v>
      </x:c>
      <x:c r="I253" s="13" t="str">
        <x:v>Financeiro</x:v>
      </x:c>
      <x:c r="J253" s="13" t="str">
        <x:v>Pago</x:v>
      </x:c>
      <x:c r="K253" s="13" t="str">
        <x:v>Base controlada</x:v>
      </x:c>
      <x:c r="L253" s="17" t="n">
        <x:f>H253-G253</x:f>
        <x:v>-65.15999999999985</x:v>
      </x:c>
      <x:c r="M253" s="19" t="n">
        <x:f>IFERROR(L253/G253,0)</x:f>
        <x:v>-0.004429209125149619</x:v>
      </x:c>
      <x:c r="N253" s="13" t="n">
        <x:f>D253-C253</x:f>
        <x:v>-2</x:v>
      </x:c>
    </x:row>
    <x:row r="254">
      <x:c r="A254" s="13" t="str">
        <x:v>PAG-000253</x:v>
      </x:c>
      <x:c r="B254" s="23" t="n">
        <x:v>45491</x:v>
      </x:c>
      <x:c r="C254" s="23" t="n">
        <x:v>45498</x:v>
      </x:c>
      <x:c r="D254" s="23" t="n">
        <x:v>45496</x:v>
      </x:c>
      <x:c r="E254" s="13" t="str">
        <x:v>Banco Integra</x:v>
      </x:c>
      <x:c r="F254" s="13" t="str">
        <x:v>Serviços bancários</x:v>
      </x:c>
      <x:c r="G254" s="17" t="n">
        <x:v>20576.59</x:v>
      </x:c>
      <x:c r="H254" s="17" t="n">
        <x:v>21873.26</x:v>
      </x:c>
      <x:c r="I254" s="13" t="str">
        <x:v>Financeiro</x:v>
      </x:c>
      <x:c r="J254" s="13" t="str">
        <x:v>Pago</x:v>
      </x:c>
      <x:c r="K254" s="13" t="str">
        <x:v>Crescimento sem escala</x:v>
      </x:c>
      <x:c r="L254" s="17" t="n">
        <x:f>H254-G254</x:f>
        <x:v>1296.6699999999983</x:v>
      </x:c>
      <x:c r="M254" s="19" t="n">
        <x:f>IFERROR(L254/G254,0)</x:f>
        <x:v>0.0630167583647241</x:v>
      </x:c>
      <x:c r="N254" s="13" t="n">
        <x:f>D254-C254</x:f>
        <x:v>-2</x:v>
      </x:c>
    </x:row>
    <x:row r="255">
      <x:c r="A255" s="13" t="str">
        <x:v>PAG-000254</x:v>
      </x:c>
      <x:c r="B255" s="23" t="n">
        <x:v>45478</x:v>
      </x:c>
      <x:c r="C255" s="23" t="n">
        <x:v>45493</x:v>
      </x:c>
      <x:c r="D255" s="23" t="n">
        <x:v>45491</x:v>
      </x:c>
      <x:c r="E255" s="13" t="str">
        <x:v>WorkSpace</x:v>
      </x:c>
      <x:c r="F255" s="13" t="str">
        <x:v>Locação</x:v>
      </x:c>
      <x:c r="G255" s="17" t="n">
        <x:v>31993.73</x:v>
      </x:c>
      <x:c r="H255" s="17" t="n">
        <x:v>32140.47</x:v>
      </x:c>
      <x:c r="I255" s="13" t="str">
        <x:v>Diretoria</x:v>
      </x:c>
      <x:c r="J255" s="13" t="str">
        <x:v>Pago</x:v>
      </x:c>
      <x:c r="K255" s="13" t="str">
        <x:v>Crescimento sem escala</x:v>
      </x:c>
      <x:c r="L255" s="17" t="n">
        <x:f>H255-G255</x:f>
        <x:v>146.7400000000016</x:v>
      </x:c>
      <x:c r="M255" s="19" t="n">
        <x:f>IFERROR(L255/G255,0)</x:f>
        <x:v>0.004586523671982029</x:v>
      </x:c>
      <x:c r="N255" s="13" t="n">
        <x:f>D255-C255</x:f>
        <x:v>-2</x:v>
      </x:c>
    </x:row>
    <x:row r="256">
      <x:c r="A256" s="13" t="str">
        <x:v>PAG-000255</x:v>
      </x:c>
      <x:c r="B256" s="23" t="n">
        <x:v>45483</x:v>
      </x:c>
      <x:c r="C256" s="23" t="n">
        <x:v>45498</x:v>
      </x:c>
      <x:c r="D256" s="23" t="n">
        <x:v>45498</x:v>
      </x:c>
      <x:c r="E256" s="13" t="str">
        <x:v>Conta Certa</x:v>
      </x:c>
      <x:c r="F256" s="13" t="str">
        <x:v>Contabilidade</x:v>
      </x:c>
      <x:c r="G256" s="17" t="n">
        <x:v>12228.73</x:v>
      </x:c>
      <x:c r="H256" s="17" t="n">
        <x:v>12207.59</x:v>
      </x:c>
      <x:c r="I256" s="13" t="str">
        <x:v>Financeiro</x:v>
      </x:c>
      <x:c r="J256" s="13" t="str">
        <x:v>Pago</x:v>
      </x:c>
      <x:c r="K256" s="13" t="str">
        <x:v>Crescimento sem escala</x:v>
      </x:c>
      <x:c r="L256" s="17" t="n">
        <x:f>H256-G256</x:f>
        <x:v>-21.139999999999418</x:v>
      </x:c>
      <x:c r="M256" s="19" t="n">
        <x:f>IFERROR(L256/G256,0)</x:f>
        <x:v>-0.0017287159009970307</x:v>
      </x:c>
      <x:c r="N256" s="13" t="n">
        <x:f>D256-C256</x:f>
        <x:v>0</x:v>
      </x:c>
    </x:row>
    <x:row r="257">
      <x:c r="A257" s="13" t="str">
        <x:v>PAG-000256</x:v>
      </x:c>
      <x:c r="B257" s="23" t="n">
        <x:v>45491</x:v>
      </x:c>
      <x:c r="C257" s="23" t="n">
        <x:v>45498</x:v>
      </x:c>
      <x:c r="D257" s="23" t="n">
        <x:v>45498</x:v>
      </x:c>
      <x:c r="E257" s="13" t="str">
        <x:v>Office Prime</x:v>
      </x:c>
      <x:c r="F257" s="13" t="str">
        <x:v>Escritório</x:v>
      </x:c>
      <x:c r="G257" s="17" t="n">
        <x:v>3855.33</x:v>
      </x:c>
      <x:c r="H257" s="17" t="n">
        <x:v>3832.2</x:v>
      </x:c>
      <x:c r="I257" s="13" t="str">
        <x:v>Financeiro</x:v>
      </x:c>
      <x:c r="J257" s="13" t="str">
        <x:v>Pago</x:v>
      </x:c>
      <x:c r="K257" s="13" t="str">
        <x:v>Crescimento sem escala</x:v>
      </x:c>
      <x:c r="L257" s="17" t="n">
        <x:f>H257-G257</x:f>
        <x:v>-23.13000000000011</x:v>
      </x:c>
      <x:c r="M257" s="19" t="n">
        <x:f>IFERROR(L257/G257,0)</x:f>
        <x:v>-0.0059994864252865794</x:v>
      </x:c>
      <x:c r="N257" s="13" t="n">
        <x:f>D257-C257</x:f>
        <x:v>0</x:v>
      </x:c>
    </x:row>
    <x:row r="258">
      <x:c r="A258" s="13" t="str">
        <x:v>PAG-000257</x:v>
      </x:c>
      <x:c r="B258" s="23" t="n">
        <x:v>45489</x:v>
      </x:c>
      <x:c r="C258" s="23" t="n">
        <x:v>45496</x:v>
      </x:c>
      <x:c r="D258" s="23" t="n">
        <x:v>45496</x:v>
      </x:c>
      <x:c r="E258" s="13" t="str">
        <x:v>EducaPro</x:v>
      </x:c>
      <x:c r="F258" s="13" t="str">
        <x:v>Treinamentos</x:v>
      </x:c>
      <x:c r="G258" s="17" t="n">
        <x:v>14990.74</x:v>
      </x:c>
      <x:c r="H258" s="17" t="n">
        <x:v>15198.26</x:v>
      </x:c>
      <x:c r="I258" s="13" t="str">
        <x:v>Gestor da área</x:v>
      </x:c>
      <x:c r="J258" s="13" t="str">
        <x:v>Pago</x:v>
      </x:c>
      <x:c r="K258" s="13" t="str">
        <x:v>Crescimento sem escala</x:v>
      </x:c>
      <x:c r="L258" s="17" t="n">
        <x:f>H258-G258</x:f>
        <x:v>207.52000000000044</x:v>
      </x:c>
      <x:c r="M258" s="19" t="n">
        <x:f>IFERROR(L258/G258,0)</x:f>
        <x:v>0.013843212543210038</x:v>
      </x:c>
      <x:c r="N258" s="13" t="n">
        <x:f>D258-C258</x:f>
        <x:v>0</x:v>
      </x:c>
    </x:row>
    <x:row r="259">
      <x:c r="A259" s="13" t="str">
        <x:v>PAG-000258</x:v>
      </x:c>
      <x:c r="B259" s="23" t="n">
        <x:v>45474</x:v>
      </x:c>
      <x:c r="C259" s="23" t="n">
        <x:v>45504</x:v>
      </x:c>
      <x:c r="D259" s="23" t="n">
        <x:v>45504</x:v>
      </x:c>
      <x:c r="E259" s="13" t="str">
        <x:v>Banco Integra</x:v>
      </x:c>
      <x:c r="F259" s="13" t="str">
        <x:v>Serviços bancários</x:v>
      </x:c>
      <x:c r="G259" s="17" t="n">
        <x:v>28435.57</x:v>
      </x:c>
      <x:c r="H259" s="17" t="n">
        <x:v>29982.61</x:v>
      </x:c>
      <x:c r="I259" s="13" t="str">
        <x:v>Financeiro</x:v>
      </x:c>
      <x:c r="J259" s="13" t="str">
        <x:v>Pago</x:v>
      </x:c>
      <x:c r="K259" s="13" t="str">
        <x:v>Crescimento sem escala</x:v>
      </x:c>
      <x:c r="L259" s="17" t="n">
        <x:f>H259-G259</x:f>
        <x:v>1547.0400000000009</x:v>
      </x:c>
      <x:c r="M259" s="19" t="n">
        <x:f>IFERROR(L259/G259,0)</x:f>
        <x:v>0.054405098965837534</x:v>
      </x:c>
      <x:c r="N259" s="13" t="n">
        <x:f>D259-C259</x:f>
        <x:v>0</x:v>
      </x:c>
    </x:row>
    <x:row r="260">
      <x:c r="A260" s="13" t="str">
        <x:v>PAG-000259</x:v>
      </x:c>
      <x:c r="B260" s="23" t="n">
        <x:v>45487</x:v>
      </x:c>
      <x:c r="C260" s="23" t="n">
        <x:v>45494</x:v>
      </x:c>
      <x:c r="D260" s="23" t="n">
        <x:v>45495</x:v>
      </x:c>
      <x:c r="E260" s="13" t="str">
        <x:v>EducaPro</x:v>
      </x:c>
      <x:c r="F260" s="13" t="str">
        <x:v>Treinamentos</x:v>
      </x:c>
      <x:c r="G260" s="17" t="n">
        <x:v>14733.12</x:v>
      </x:c>
      <x:c r="H260" s="17" t="n">
        <x:v>15318.17</x:v>
      </x:c>
      <x:c r="I260" s="13" t="str">
        <x:v>Diretoria</x:v>
      </x:c>
      <x:c r="J260" s="13" t="str">
        <x:v>Pago</x:v>
      </x:c>
      <x:c r="K260" s="13" t="str">
        <x:v>Crescimento sem escala</x:v>
      </x:c>
      <x:c r="L260" s="17" t="n">
        <x:f>H260-G260</x:f>
        <x:v>585.0499999999993</x:v>
      </x:c>
      <x:c r="M260" s="19" t="n">
        <x:f>IFERROR(L260/G260,0)</x:f>
        <x:v>0.0397098510023674</x:v>
      </x:c>
      <x:c r="N260" s="13" t="n">
        <x:f>D260-C260</x:f>
        <x:v>1</x:v>
      </x:c>
    </x:row>
    <x:row r="261">
      <x:c r="A261" s="13" t="str">
        <x:v>PAG-000260</x:v>
      </x:c>
      <x:c r="B261" s="23" t="n">
        <x:v>45478</x:v>
      </x:c>
      <x:c r="C261" s="23" t="n">
        <x:v>45498</x:v>
      </x:c>
      <x:c r="D261" s="23" t="n">
        <x:v>45499</x:v>
      </x:c>
      <x:c r="E261" s="13" t="str">
        <x:v>PeopleHub</x:v>
      </x:c>
      <x:c r="F261" s="13" t="str">
        <x:v>Recursos Humanos</x:v>
      </x:c>
      <x:c r="G261" s="17" t="n">
        <x:v>3906.5</x:v>
      </x:c>
      <x:c r="H261" s="17" t="n">
        <x:v>3882.14</x:v>
      </x:c>
      <x:c r="I261" s="13" t="str">
        <x:v>Diretoria</x:v>
      </x:c>
      <x:c r="J261" s="13" t="str">
        <x:v>Pago</x:v>
      </x:c>
      <x:c r="K261" s="13" t="str">
        <x:v>Crescimento sem escala</x:v>
      </x:c>
      <x:c r="L261" s="17" t="n">
        <x:f>H261-G261</x:f>
        <x:v>-24.360000000000127</x:v>
      </x:c>
      <x:c r="M261" s="19" t="n">
        <x:f>IFERROR(L261/G261,0)</x:f>
        <x:v>-0.006235760911301709</x:v>
      </x:c>
      <x:c r="N261" s="13" t="n">
        <x:f>D261-C261</x:f>
        <x:v>1</x:v>
      </x:c>
    </x:row>
    <x:row r="262">
      <x:c r="A262" s="13" t="str">
        <x:v>PAG-000261</x:v>
      </x:c>
      <x:c r="B262" s="23" t="n">
        <x:v>45475</x:v>
      </x:c>
      <x:c r="C262" s="23" t="n">
        <x:v>45490</x:v>
      </x:c>
      <x:c r="D262" s="23" t="n">
        <x:v>45488</x:v>
      </x:c>
      <x:c r="E262" s="13" t="str">
        <x:v>EducaPro</x:v>
      </x:c>
      <x:c r="F262" s="13" t="str">
        <x:v>Treinamentos</x:v>
      </x:c>
      <x:c r="G262" s="17" t="n">
        <x:v>31928.84</x:v>
      </x:c>
      <x:c r="H262" s="17" t="n">
        <x:v>33157.44</x:v>
      </x:c>
      <x:c r="I262" s="13" t="str">
        <x:v>Financeiro</x:v>
      </x:c>
      <x:c r="J262" s="13" t="str">
        <x:v>Pago</x:v>
      </x:c>
      <x:c r="K262" s="13" t="str">
        <x:v>Crescimento sem escala</x:v>
      </x:c>
      <x:c r="L262" s="17" t="n">
        <x:f>H262-G262</x:f>
        <x:v>1228.6000000000022</x:v>
      </x:c>
      <x:c r="M262" s="19" t="n">
        <x:f>IFERROR(L262/G262,0)</x:f>
        <x:v>0.03847931838425706</x:v>
      </x:c>
      <x:c r="N262" s="13" t="n">
        <x:f>D262-C262</x:f>
        <x:v>-2</x:v>
      </x:c>
    </x:row>
    <x:row r="263">
      <x:c r="A263" s="13" t="str">
        <x:v>PAG-000262</x:v>
      </x:c>
      <x:c r="B263" s="23" t="n">
        <x:v>45477</x:v>
      </x:c>
      <x:c r="C263" s="23" t="n">
        <x:v>45492</x:v>
      </x:c>
      <x:c r="D263" s="23" t="n">
        <x:v>45494</x:v>
      </x:c>
      <x:c r="E263" s="13" t="str">
        <x:v>DataSafe</x:v>
      </x:c>
      <x:c r="F263" s="13" t="str">
        <x:v>Segurança da informação</x:v>
      </x:c>
      <x:c r="G263" s="17" t="n">
        <x:v>19038.76</x:v>
      </x:c>
      <x:c r="H263" s="17" t="n">
        <x:v>19295.31</x:v>
      </x:c>
      <x:c r="I263" s="13" t="str">
        <x:v>Diretoria</x:v>
      </x:c>
      <x:c r="J263" s="13" t="str">
        <x:v>Pago</x:v>
      </x:c>
      <x:c r="K263" s="13" t="str">
        <x:v>Crescimento sem escala</x:v>
      </x:c>
      <x:c r="L263" s="17" t="n">
        <x:f>H263-G263</x:f>
        <x:v>256.5500000000029</x:v>
      </x:c>
      <x:c r="M263" s="19" t="n">
        <x:f>IFERROR(L263/G263,0)</x:f>
        <x:v>0.013475142288678618</x:v>
      </x:c>
      <x:c r="N263" s="13" t="n">
        <x:f>D263-C263</x:f>
        <x:v>2</x:v>
      </x:c>
    </x:row>
    <x:row r="264">
      <x:c r="A264" s="13" t="str">
        <x:v>PAG-000263</x:v>
      </x:c>
      <x:c r="B264" s="23" t="n">
        <x:v>45478</x:v>
      </x:c>
      <x:c r="C264" s="23" t="n">
        <x:v>45485</x:v>
      </x:c>
      <x:c r="D264" s="23" t="n">
        <x:v>45485</x:v>
      </x:c>
      <x:c r="E264" s="13" t="str">
        <x:v>WorkSpace</x:v>
      </x:c>
      <x:c r="F264" s="13" t="str">
        <x:v>Locação</x:v>
      </x:c>
      <x:c r="G264" s="17" t="n">
        <x:v>30137.79</x:v>
      </x:c>
      <x:c r="H264" s="17" t="n">
        <x:v>31985.45</x:v>
      </x:c>
      <x:c r="I264" s="13" t="str">
        <x:v>Diretoria</x:v>
      </x:c>
      <x:c r="J264" s="13" t="str">
        <x:v>Pago</x:v>
      </x:c>
      <x:c r="K264" s="13" t="str">
        <x:v>Crescimento sem escala</x:v>
      </x:c>
      <x:c r="L264" s="17" t="n">
        <x:f>H264-G264</x:f>
        <x:v>1847.6599999999999</x:v>
      </x:c>
      <x:c r="M264" s="19" t="n">
        <x:f>IFERROR(L264/G264,0)</x:f>
        <x:v>0.06130708323337577</x:v>
      </x:c>
      <x:c r="N264" s="13" t="n">
        <x:f>D264-C264</x:f>
        <x:v>0</x:v>
      </x:c>
    </x:row>
    <x:row r="265">
      <x:c r="A265" s="13" t="str">
        <x:v>PAG-000264</x:v>
      </x:c>
      <x:c r="B265" s="23" t="n">
        <x:v>45490</x:v>
      </x:c>
      <x:c r="C265" s="23" t="n">
        <x:v>45510</x:v>
      </x:c>
      <x:c r="D265" s="23" t="n">
        <x:v>45508</x:v>
      </x:c>
      <x:c r="E265" s="13" t="str">
        <x:v>DataSafe</x:v>
      </x:c>
      <x:c r="F265" s="13" t="str">
        <x:v>Segurança da informação</x:v>
      </x:c>
      <x:c r="G265" s="17" t="n">
        <x:v>25864</x:v>
      </x:c>
      <x:c r="H265" s="17" t="n">
        <x:v>26021.67</x:v>
      </x:c>
      <x:c r="I265" s="13" t="str">
        <x:v>Diretoria</x:v>
      </x:c>
      <x:c r="J265" s="13" t="str">
        <x:v>Pago</x:v>
      </x:c>
      <x:c r="K265" s="13" t="str">
        <x:v>Crescimento sem escala</x:v>
      </x:c>
      <x:c r="L265" s="17" t="n">
        <x:f>H265-G265</x:f>
        <x:v>157.66999999999825</x:v>
      </x:c>
      <x:c r="M265" s="19" t="n">
        <x:f>IFERROR(L265/G265,0)</x:f>
        <x:v>0.006096118156510913</x:v>
      </x:c>
      <x:c r="N265" s="13" t="n">
        <x:f>D265-C265</x:f>
        <x:v>-2</x:v>
      </x:c>
    </x:row>
    <x:row r="266">
      <x:c r="A266" s="13" t="str">
        <x:v>PAG-000265</x:v>
      </x:c>
      <x:c r="B266" s="23" t="n">
        <x:v>45482</x:v>
      </x:c>
      <x:c r="C266" s="23" t="n">
        <x:v>45497</x:v>
      </x:c>
      <x:c r="D266" s="23" t="n">
        <x:v>45499</x:v>
      </x:c>
      <x:c r="E266" s="13" t="str">
        <x:v>MarketLab</x:v>
      </x:c>
      <x:c r="F266" s="13" t="str">
        <x:v>Marketing</x:v>
      </x:c>
      <x:c r="G266" s="17" t="n">
        <x:v>13488.02</x:v>
      </x:c>
      <x:c r="H266" s="17" t="n">
        <x:v>13760.03</x:v>
      </x:c>
      <x:c r="I266" s="13" t="str">
        <x:v>Financeiro</x:v>
      </x:c>
      <x:c r="J266" s="13" t="str">
        <x:v>Pago</x:v>
      </x:c>
      <x:c r="K266" s="13" t="str">
        <x:v>Crescimento sem escala</x:v>
      </x:c>
      <x:c r="L266" s="17" t="n">
        <x:f>H266-G266</x:f>
        <x:v>272.0100000000002</x:v>
      </x:c>
      <x:c r="M266" s="19" t="n">
        <x:f>IFERROR(L266/G266,0)</x:f>
        <x:v>0.02016678504331994</x:v>
      </x:c>
      <x:c r="N266" s="13" t="n">
        <x:f>D266-C266</x:f>
        <x:v>2</x:v>
      </x:c>
    </x:row>
    <x:row r="267">
      <x:c r="A267" s="13" t="str">
        <x:v>PAG-000266</x:v>
      </x:c>
      <x:c r="B267" s="23" t="n">
        <x:v>45480</x:v>
      </x:c>
      <x:c r="C267" s="23" t="n">
        <x:v>45500</x:v>
      </x:c>
      <x:c r="D267" s="23" t="n">
        <x:v>45499</x:v>
      </x:c>
      <x:c r="E267" s="13" t="str">
        <x:v>MarketLab</x:v>
      </x:c>
      <x:c r="F267" s="13" t="str">
        <x:v>Marketing</x:v>
      </x:c>
      <x:c r="G267" s="17" t="n">
        <x:v>2614.67</x:v>
      </x:c>
      <x:c r="H267" s="17" t="n">
        <x:v>2652.12</x:v>
      </x:c>
      <x:c r="I267" s="13" t="str">
        <x:v>Gestor da área</x:v>
      </x:c>
      <x:c r="J267" s="13" t="str">
        <x:v>Pago</x:v>
      </x:c>
      <x:c r="K267" s="13" t="str">
        <x:v>Crescimento sem escala</x:v>
      </x:c>
      <x:c r="L267" s="17" t="n">
        <x:f>H267-G267</x:f>
        <x:v>37.44999999999982</x:v>
      </x:c>
      <x:c r="M267" s="19" t="n">
        <x:f>IFERROR(L267/G267,0)</x:f>
        <x:v>0.014323031204702626</x:v>
      </x:c>
      <x:c r="N267" s="13" t="n">
        <x:f>D267-C267</x:f>
        <x:v>-1</x:v>
      </x:c>
    </x:row>
    <x:row r="268">
      <x:c r="A268" s="13" t="str">
        <x:v>PAG-000267</x:v>
      </x:c>
      <x:c r="B268" s="23" t="n">
        <x:v>45475</x:v>
      </x:c>
      <x:c r="C268" s="23" t="n">
        <x:v>45482</x:v>
      </x:c>
      <x:c r="D268" s="23" t="n">
        <x:v>45481</x:v>
      </x:c>
      <x:c r="E268" s="13" t="str">
        <x:v>DataSafe</x:v>
      </x:c>
      <x:c r="F268" s="13" t="str">
        <x:v>Segurança da informação</x:v>
      </x:c>
      <x:c r="G268" s="17" t="n">
        <x:v>16385.92</x:v>
      </x:c>
      <x:c r="H268" s="17" t="n">
        <x:v>16335.5</x:v>
      </x:c>
      <x:c r="I268" s="13" t="str">
        <x:v>Diretoria</x:v>
      </x:c>
      <x:c r="J268" s="13" t="str">
        <x:v>Pago</x:v>
      </x:c>
      <x:c r="K268" s="13" t="str">
        <x:v>Crescimento sem escala</x:v>
      </x:c>
      <x:c r="L268" s="17" t="n">
        <x:f>H268-G268</x:f>
        <x:v>-50.419999999998254</x:v>
      </x:c>
      <x:c r="M268" s="19" t="n">
        <x:f>IFERROR(L268/G268,0)</x:f>
        <x:v>-0.0030770319884387484</x:v>
      </x:c>
      <x:c r="N268" s="13" t="n">
        <x:f>D268-C268</x:f>
        <x:v>-1</x:v>
      </x:c>
    </x:row>
    <x:row r="269">
      <x:c r="A269" s="13" t="str">
        <x:v>PAG-000268</x:v>
      </x:c>
      <x:c r="B269" s="23" t="n">
        <x:v>45478</x:v>
      </x:c>
      <x:c r="C269" s="23" t="n">
        <x:v>45508</x:v>
      </x:c>
      <x:c r="D269" s="23" t="n">
        <x:v>45509</x:v>
      </x:c>
      <x:c r="E269" s="13" t="str">
        <x:v>Banco Integra</x:v>
      </x:c>
      <x:c r="F269" s="13" t="str">
        <x:v>Serviços bancários</x:v>
      </x:c>
      <x:c r="G269" s="17" t="n">
        <x:v>24554.22</x:v>
      </x:c>
      <x:c r="H269" s="17" t="n">
        <x:v>25490.31</x:v>
      </x:c>
      <x:c r="I269" s="13" t="str">
        <x:v>Diretoria</x:v>
      </x:c>
      <x:c r="J269" s="13" t="str">
        <x:v>Pago</x:v>
      </x:c>
      <x:c r="K269" s="13" t="str">
        <x:v>Crescimento sem escala</x:v>
      </x:c>
      <x:c r="L269" s="17" t="n">
        <x:f>H269-G269</x:f>
        <x:v>936.0900000000001</x:v>
      </x:c>
      <x:c r="M269" s="19" t="n">
        <x:f>IFERROR(L269/G269,0)</x:f>
        <x:v>0.03812338571536787</x:v>
      </x:c>
      <x:c r="N269" s="13" t="n">
        <x:f>D269-C269</x:f>
        <x:v>1</x:v>
      </x:c>
    </x:row>
    <x:row r="270">
      <x:c r="A270" s="13" t="str">
        <x:v>PAG-000269</x:v>
      </x:c>
      <x:c r="B270" s="23" t="n">
        <x:v>45477</x:v>
      </x:c>
      <x:c r="C270" s="23" t="n">
        <x:v>45507</x:v>
      </x:c>
      <x:c r="D270" s="23" t="n">
        <x:v>45507</x:v>
      </x:c>
      <x:c r="E270" s="13" t="str">
        <x:v>DataSafe</x:v>
      </x:c>
      <x:c r="F270" s="13" t="str">
        <x:v>Segurança da informação</x:v>
      </x:c>
      <x:c r="G270" s="17" t="n">
        <x:v>29556.87</x:v>
      </x:c>
      <x:c r="H270" s="17" t="n">
        <x:v>30342.2</x:v>
      </x:c>
      <x:c r="I270" s="13" t="str">
        <x:v>Diretoria</x:v>
      </x:c>
      <x:c r="J270" s="13" t="str">
        <x:v>Pago</x:v>
      </x:c>
      <x:c r="K270" s="13" t="str">
        <x:v>Crescimento sem escala</x:v>
      </x:c>
      <x:c r="L270" s="17" t="n">
        <x:f>H270-G270</x:f>
        <x:v>785.3300000000017</x:v>
      </x:c>
      <x:c r="M270" s="19" t="n">
        <x:f>IFERROR(L270/G270,0)</x:f>
        <x:v>0.026570134117719562</x:v>
      </x:c>
      <x:c r="N270" s="13" t="n">
        <x:f>D270-C270</x:f>
        <x:v>0</x:v>
      </x:c>
    </x:row>
    <x:row r="271">
      <x:c r="A271" s="13" t="str">
        <x:v>PAG-000270</x:v>
      </x:c>
      <x:c r="B271" s="23" t="n">
        <x:v>45482</x:v>
      </x:c>
      <x:c r="C271" s="23" t="n">
        <x:v>45489</x:v>
      </x:c>
      <x:c r="D271" s="23" t="n">
        <x:v>45489</x:v>
      </x:c>
      <x:c r="E271" s="13" t="str">
        <x:v>DataSafe</x:v>
      </x:c>
      <x:c r="F271" s="13" t="str">
        <x:v>Segurança da informação</x:v>
      </x:c>
      <x:c r="G271" s="17" t="n">
        <x:v>8412.9</x:v>
      </x:c>
      <x:c r="H271" s="17" t="n">
        <x:v>8788.74</x:v>
      </x:c>
      <x:c r="I271" s="13" t="str">
        <x:v>Gestor da área</x:v>
      </x:c>
      <x:c r="J271" s="13" t="str">
        <x:v>Pago</x:v>
      </x:c>
      <x:c r="K271" s="13" t="str">
        <x:v>Crescimento sem escala</x:v>
      </x:c>
      <x:c r="L271" s="17" t="n">
        <x:f>H271-G271</x:f>
        <x:v>375.84000000000015</x:v>
      </x:c>
      <x:c r="M271" s="19" t="n">
        <x:f>IFERROR(L271/G271,0)</x:f>
        <x:v>0.04467425025853156</x:v>
      </x:c>
      <x:c r="N271" s="13" t="n">
        <x:f>D271-C271</x:f>
        <x:v>0</x:v>
      </x:c>
    </x:row>
    <x:row r="272">
      <x:c r="A272" s="13" t="str">
        <x:v>PAG-000271</x:v>
      </x:c>
      <x:c r="B272" s="23" t="n">
        <x:v>45490</x:v>
      </x:c>
      <x:c r="C272" s="23" t="n">
        <x:v>45510</x:v>
      </x:c>
      <x:c r="D272" s="23" t="n">
        <x:v>45508</x:v>
      </x:c>
      <x:c r="E272" s="13" t="str">
        <x:v>Conta Certa</x:v>
      </x:c>
      <x:c r="F272" s="13" t="str">
        <x:v>Contabilidade</x:v>
      </x:c>
      <x:c r="G272" s="17" t="n">
        <x:v>13244.25</x:v>
      </x:c>
      <x:c r="H272" s="17" t="n">
        <x:v>13857.89</x:v>
      </x:c>
      <x:c r="I272" s="13" t="str">
        <x:v>Diretoria</x:v>
      </x:c>
      <x:c r="J272" s="13" t="str">
        <x:v>Pago</x:v>
      </x:c>
      <x:c r="K272" s="13" t="str">
        <x:v>Crescimento sem escala</x:v>
      </x:c>
      <x:c r="L272" s="17" t="n">
        <x:f>H272-G272</x:f>
        <x:v>613.6399999999994</x:v>
      </x:c>
      <x:c r="M272" s="19" t="n">
        <x:f>IFERROR(L272/G272,0)</x:f>
        <x:v>0.046332559412575226</x:v>
      </x:c>
      <x:c r="N272" s="13" t="n">
        <x:f>D272-C272</x:f>
        <x:v>-2</x:v>
      </x:c>
    </x:row>
    <x:row r="273">
      <x:c r="A273" s="13" t="str">
        <x:v>PAG-000272</x:v>
      </x:c>
      <x:c r="B273" s="23" t="n">
        <x:v>45474</x:v>
      </x:c>
      <x:c r="C273" s="23" t="n">
        <x:v>45489</x:v>
      </x:c>
      <x:c r="D273" s="23" t="n">
        <x:v>45486</x:v>
      </x:c>
      <x:c r="E273" s="13" t="str">
        <x:v>WorkSpace</x:v>
      </x:c>
      <x:c r="F273" s="13" t="str">
        <x:v>Locação</x:v>
      </x:c>
      <x:c r="G273" s="17" t="n">
        <x:v>16626.97</x:v>
      </x:c>
      <x:c r="H273" s="17" t="n">
        <x:v>16938.52</x:v>
      </x:c>
      <x:c r="I273" s="13" t="str">
        <x:v>Gestor da área</x:v>
      </x:c>
      <x:c r="J273" s="13" t="str">
        <x:v>Pago</x:v>
      </x:c>
      <x:c r="K273" s="13" t="str">
        <x:v>Crescimento sem escala</x:v>
      </x:c>
      <x:c r="L273" s="17" t="n">
        <x:f>H273-G273</x:f>
        <x:v>311.5499999999993</x:v>
      </x:c>
      <x:c r="M273" s="19" t="n">
        <x:f>IFERROR(L273/G273,0)</x:f>
        <x:v>0.018737629285431996</x:v>
      </x:c>
      <x:c r="N273" s="13" t="n">
        <x:f>D273-C273</x:f>
        <x:v>-3</x:v>
      </x:c>
    </x:row>
    <x:row r="274">
      <x:c r="A274" s="13" t="str">
        <x:v>PAG-000273</x:v>
      </x:c>
      <x:c r="B274" s="23" t="n">
        <x:v>45488</x:v>
      </x:c>
      <x:c r="C274" s="23" t="n">
        <x:v>45495</x:v>
      </x:c>
      <x:c r="D274" s="23" t="n">
        <x:v>45493</x:v>
      </x:c>
      <x:c r="E274" s="13" t="str">
        <x:v>EducaPro</x:v>
      </x:c>
      <x:c r="F274" s="13" t="str">
        <x:v>Treinamentos</x:v>
      </x:c>
      <x:c r="G274" s="17" t="n">
        <x:v>18492.56</x:v>
      </x:c>
      <x:c r="H274" s="17" t="n">
        <x:v>19865.52</x:v>
      </x:c>
      <x:c r="I274" s="13" t="str">
        <x:v>Financeiro</x:v>
      </x:c>
      <x:c r="J274" s="13" t="str">
        <x:v>Pago</x:v>
      </x:c>
      <x:c r="K274" s="13" t="str">
        <x:v>Crescimento sem escala</x:v>
      </x:c>
      <x:c r="L274" s="17" t="n">
        <x:f>H274-G274</x:f>
        <x:v>1372.9599999999991</x:v>
      </x:c>
      <x:c r="M274" s="19" t="n">
        <x:f>IFERROR(L274/G274,0)</x:f>
        <x:v>0.07424391214629013</x:v>
      </x:c>
      <x:c r="N274" s="13" t="n">
        <x:f>D274-C274</x:f>
        <x:v>-2</x:v>
      </x:c>
    </x:row>
    <x:row r="275">
      <x:c r="A275" s="13" t="str">
        <x:v>PAG-000274</x:v>
      </x:c>
      <x:c r="B275" s="23" t="n">
        <x:v>45475</x:v>
      </x:c>
      <x:c r="C275" s="23" t="n">
        <x:v>45495</x:v>
      </x:c>
      <x:c r="D275" s="23" t="n">
        <x:v>45495</x:v>
      </x:c>
      <x:c r="E275" s="13" t="str">
        <x:v>MarketLab</x:v>
      </x:c>
      <x:c r="F275" s="13" t="str">
        <x:v>Marketing</x:v>
      </x:c>
      <x:c r="G275" s="17" t="n">
        <x:v>2532.6</x:v>
      </x:c>
      <x:c r="H275" s="17" t="n">
        <x:v>2671.59</x:v>
      </x:c>
      <x:c r="I275" s="13" t="str">
        <x:v>Gestor da área</x:v>
      </x:c>
      <x:c r="J275" s="13" t="str">
        <x:v>Pago</x:v>
      </x:c>
      <x:c r="K275" s="13" t="str">
        <x:v>Crescimento sem escala</x:v>
      </x:c>
      <x:c r="L275" s="17" t="n">
        <x:f>H275-G275</x:f>
        <x:v>138.99000000000024</x:v>
      </x:c>
      <x:c r="M275" s="19" t="n">
        <x:f>IFERROR(L275/G275,0)</x:f>
        <x:v>0.0548803601042408</x:v>
      </x:c>
      <x:c r="N275" s="13" t="n">
        <x:f>D275-C275</x:f>
        <x:v>0</x:v>
      </x:c>
    </x:row>
    <x:row r="276">
      <x:c r="A276" s="13" t="str">
        <x:v>PAG-000275</x:v>
      </x:c>
      <x:c r="B276" s="23" t="n">
        <x:v>45493</x:v>
      </x:c>
      <x:c r="C276" s="23" t="n">
        <x:v>45500</x:v>
      </x:c>
      <x:c r="D276" s="23" t="n">
        <x:v>45500</x:v>
      </x:c>
      <x:c r="E276" s="13" t="str">
        <x:v>WorkSpace</x:v>
      </x:c>
      <x:c r="F276" s="13" t="str">
        <x:v>Locação</x:v>
      </x:c>
      <x:c r="G276" s="17" t="n">
        <x:v>20818.95</x:v>
      </x:c>
      <x:c r="H276" s="17" t="n">
        <x:v>21747.99</x:v>
      </x:c>
      <x:c r="I276" s="13" t="str">
        <x:v>Financeiro</x:v>
      </x:c>
      <x:c r="J276" s="13" t="str">
        <x:v>Pago</x:v>
      </x:c>
      <x:c r="K276" s="13" t="str">
        <x:v>Crescimento sem escala</x:v>
      </x:c>
      <x:c r="L276" s="17" t="n">
        <x:f>H276-G276</x:f>
        <x:v>929.0400000000009</x:v>
      </x:c>
      <x:c r="M276" s="19" t="n">
        <x:f>IFERROR(L276/G276,0)</x:f>
        <x:v>0.044624728912841465</x:v>
      </x:c>
      <x:c r="N276" s="13" t="n">
        <x:f>D276-C276</x:f>
        <x:v>0</x:v>
      </x:c>
    </x:row>
    <x:row r="277">
      <x:c r="A277" s="13" t="str">
        <x:v>PAG-000276</x:v>
      </x:c>
      <x:c r="B277" s="23" t="n">
        <x:v>45475</x:v>
      </x:c>
      <x:c r="C277" s="23" t="n">
        <x:v>45490</x:v>
      </x:c>
      <x:c r="D277" s="23" t="n">
        <x:v>45489</x:v>
      </x:c>
      <x:c r="E277" s="13" t="str">
        <x:v>Office Prime</x:v>
      </x:c>
      <x:c r="F277" s="13" t="str">
        <x:v>Escritório</x:v>
      </x:c>
      <x:c r="G277" s="17" t="n">
        <x:v>20782.1</x:v>
      </x:c>
      <x:c r="H277" s="17" t="n">
        <x:v>20753.04</x:v>
      </x:c>
      <x:c r="I277" s="13" t="str">
        <x:v>Diretoria</x:v>
      </x:c>
      <x:c r="J277" s="13" t="str">
        <x:v>Pago</x:v>
      </x:c>
      <x:c r="K277" s="13" t="str">
        <x:v>Crescimento sem escala</x:v>
      </x:c>
      <x:c r="L277" s="17" t="n">
        <x:f>H277-G277</x:f>
        <x:v>-29.05999999999767</x:v>
      </x:c>
      <x:c r="M277" s="19" t="n">
        <x:f>IFERROR(L277/G277,0)</x:f>
        <x:v>-0.0013983187454587203</x:v>
      </x:c>
      <x:c r="N277" s="13" t="n">
        <x:f>D277-C277</x:f>
        <x:v>-1</x:v>
      </x:c>
    </x:row>
    <x:row r="278">
      <x:c r="A278" s="13" t="str">
        <x:v>PAG-000277</x:v>
      </x:c>
      <x:c r="B278" s="23" t="n">
        <x:v>45484</x:v>
      </x:c>
      <x:c r="C278" s="23" t="n">
        <x:v>45514</x:v>
      </x:c>
      <x:c r="D278" s="23" t="n">
        <x:v>45514</x:v>
      </x:c>
      <x:c r="E278" s="13" t="str">
        <x:v>MarketLab</x:v>
      </x:c>
      <x:c r="F278" s="13" t="str">
        <x:v>Marketing</x:v>
      </x:c>
      <x:c r="G278" s="17" t="n">
        <x:v>17317.25</x:v>
      </x:c>
      <x:c r="H278" s="17" t="n">
        <x:v>18144.59</x:v>
      </x:c>
      <x:c r="I278" s="13" t="str">
        <x:v>Diretoria</x:v>
      </x:c>
      <x:c r="J278" s="13" t="str">
        <x:v>Pago</x:v>
      </x:c>
      <x:c r="K278" s="13" t="str">
        <x:v>Crescimento sem escala</x:v>
      </x:c>
      <x:c r="L278" s="17" t="n">
        <x:f>H278-G278</x:f>
        <x:v>827.3400000000001</x:v>
      </x:c>
      <x:c r="M278" s="19" t="n">
        <x:f>IFERROR(L278/G278,0)</x:f>
        <x:v>0.047775483982733985</x:v>
      </x:c>
      <x:c r="N278" s="13" t="n">
        <x:f>D278-C278</x:f>
        <x:v>0</x:v>
      </x:c>
    </x:row>
    <x:row r="279">
      <x:c r="A279" s="13" t="str">
        <x:v>PAG-000278</x:v>
      </x:c>
      <x:c r="B279" s="23" t="n">
        <x:v>45483</x:v>
      </x:c>
      <x:c r="C279" s="23" t="n">
        <x:v>45498</x:v>
      </x:c>
      <x:c r="D279" s="23" t="n">
        <x:v>45495</x:v>
      </x:c>
      <x:c r="E279" s="13" t="str">
        <x:v>DataSafe</x:v>
      </x:c>
      <x:c r="F279" s="13" t="str">
        <x:v>Segurança da informação</x:v>
      </x:c>
      <x:c r="G279" s="17" t="n">
        <x:v>4516.09</x:v>
      </x:c>
      <x:c r="H279" s="17" t="n">
        <x:v>4708.22</x:v>
      </x:c>
      <x:c r="I279" s="13" t="str">
        <x:v>Financeiro</x:v>
      </x:c>
      <x:c r="J279" s="13" t="str">
        <x:v>Pago</x:v>
      </x:c>
      <x:c r="K279" s="13" t="str">
        <x:v>Crescimento sem escala</x:v>
      </x:c>
      <x:c r="L279" s="17" t="n">
        <x:f>H279-G279</x:f>
        <x:v>192.1300000000001</x:v>
      </x:c>
      <x:c r="M279" s="19" t="n">
        <x:f>IFERROR(L279/G279,0)</x:f>
        <x:v>0.042543439125438176</x:v>
      </x:c>
      <x:c r="N279" s="13" t="n">
        <x:f>D279-C279</x:f>
        <x:v>-3</x:v>
      </x:c>
    </x:row>
    <x:row r="280">
      <x:c r="A280" s="13" t="str">
        <x:v>PAG-000279</x:v>
      </x:c>
      <x:c r="B280" s="23" t="n">
        <x:v>45475</x:v>
      </x:c>
      <x:c r="C280" s="23" t="n">
        <x:v>45505</x:v>
      </x:c>
      <x:c r="D280" s="23" t="n">
        <x:v>45505</x:v>
      </x:c>
      <x:c r="E280" s="13" t="str">
        <x:v>PeopleHub</x:v>
      </x:c>
      <x:c r="F280" s="13" t="str">
        <x:v>Recursos Humanos</x:v>
      </x:c>
      <x:c r="G280" s="17" t="n">
        <x:v>6055</x:v>
      </x:c>
      <x:c r="H280" s="17" t="n">
        <x:v>6329.17</x:v>
      </x:c>
      <x:c r="I280" s="13" t="str">
        <x:v>Gestor da área</x:v>
      </x:c>
      <x:c r="J280" s="13" t="str">
        <x:v>Pago</x:v>
      </x:c>
      <x:c r="K280" s="13" t="str">
        <x:v>Crescimento sem escala</x:v>
      </x:c>
      <x:c r="L280" s="17" t="n">
        <x:f>H280-G280</x:f>
        <x:v>274.1700000000001</x:v>
      </x:c>
      <x:c r="M280" s="19" t="n">
        <x:f>IFERROR(L280/G280,0)</x:f>
        <x:v>0.045279933938893485</x:v>
      </x:c>
      <x:c r="N280" s="13" t="n">
        <x:f>D280-C280</x:f>
        <x:v>0</x:v>
      </x:c>
    </x:row>
    <x:row r="281">
      <x:c r="A281" s="13" t="str">
        <x:v>PAG-000280</x:v>
      </x:c>
      <x:c r="B281" s="23" t="n">
        <x:v>45490</x:v>
      </x:c>
      <x:c r="C281" s="23" t="n">
        <x:v>45497</x:v>
      </x:c>
      <x:c r="D281" s="23" t="n">
        <x:v>45497</x:v>
      </x:c>
      <x:c r="E281" s="13" t="str">
        <x:v>Insight BI</x:v>
      </x:c>
      <x:c r="F281" s="13" t="str">
        <x:v>Dados e Analytics</x:v>
      </x:c>
      <x:c r="G281" s="17" t="n">
        <x:v>24065.09</x:v>
      </x:c>
      <x:c r="H281" s="17" t="n">
        <x:v>25499.86</x:v>
      </x:c>
      <x:c r="I281" s="13" t="str">
        <x:v>Gestor da área</x:v>
      </x:c>
      <x:c r="J281" s="13" t="str">
        <x:v>Pago</x:v>
      </x:c>
      <x:c r="K281" s="13" t="str">
        <x:v>Crescimento sem escala</x:v>
      </x:c>
      <x:c r="L281" s="17" t="n">
        <x:f>H281-G281</x:f>
        <x:v>1434.7700000000004</x:v>
      </x:c>
      <x:c r="M281" s="19" t="n">
        <x:f>IFERROR(L281/G281,0)</x:f>
        <x:v>0.059620387873055965</x:v>
      </x:c>
      <x:c r="N281" s="13" t="n">
        <x:f>D281-C281</x:f>
        <x:v>0</x:v>
      </x:c>
    </x:row>
    <x:row r="282">
      <x:c r="A282" s="13" t="str">
        <x:v>PAG-000281</x:v>
      </x:c>
      <x:c r="B282" s="23" t="n">
        <x:v>45477</x:v>
      </x:c>
      <x:c r="C282" s="23" t="n">
        <x:v>45507</x:v>
      </x:c>
      <x:c r="D282" s="23" t="n">
        <x:v>45504</x:v>
      </x:c>
      <x:c r="E282" s="13" t="str">
        <x:v>WorkSpace</x:v>
      </x:c>
      <x:c r="F282" s="13" t="str">
        <x:v>Locação</x:v>
      </x:c>
      <x:c r="G282" s="17" t="n">
        <x:v>20149.4</x:v>
      </x:c>
      <x:c r="H282" s="17" t="n">
        <x:v>20945.18</x:v>
      </x:c>
      <x:c r="I282" s="13" t="str">
        <x:v>Diretoria</x:v>
      </x:c>
      <x:c r="J282" s="13" t="str">
        <x:v>Pago</x:v>
      </x:c>
      <x:c r="K282" s="13" t="str">
        <x:v>Crescimento sem escala</x:v>
      </x:c>
      <x:c r="L282" s="17" t="n">
        <x:f>H282-G282</x:f>
        <x:v>795.7799999999988</x:v>
      </x:c>
      <x:c r="M282" s="19" t="n">
        <x:f>IFERROR(L282/G282,0)</x:f>
        <x:v>0.03949397996962683</x:v>
      </x:c>
      <x:c r="N282" s="13" t="n">
        <x:f>D282-C282</x:f>
        <x:v>-3</x:v>
      </x:c>
    </x:row>
    <x:row r="283">
      <x:c r="A283" s="13" t="str">
        <x:v>PAG-000282</x:v>
      </x:c>
      <x:c r="B283" s="23" t="n">
        <x:v>45477</x:v>
      </x:c>
      <x:c r="C283" s="23" t="n">
        <x:v>45492</x:v>
      </x:c>
      <x:c r="D283" s="23" t="n">
        <x:v>45489</x:v>
      </x:c>
      <x:c r="E283" s="13" t="str">
        <x:v>MarketLab</x:v>
      </x:c>
      <x:c r="F283" s="13" t="str">
        <x:v>Marketing</x:v>
      </x:c>
      <x:c r="G283" s="17" t="n">
        <x:v>10954.54</x:v>
      </x:c>
      <x:c r="H283" s="17" t="n">
        <x:v>11733.22</x:v>
      </x:c>
      <x:c r="I283" s="13" t="str">
        <x:v>Gestor da área</x:v>
      </x:c>
      <x:c r="J283" s="13" t="str">
        <x:v>Pago</x:v>
      </x:c>
      <x:c r="K283" s="13" t="str">
        <x:v>Crescimento sem escala</x:v>
      </x:c>
      <x:c r="L283" s="17" t="n">
        <x:f>H283-G283</x:f>
        <x:v>778.6799999999985</x:v>
      </x:c>
      <x:c r="M283" s="19" t="n">
        <x:f>IFERROR(L283/G283,0)</x:f>
        <x:v>0.07108285697071702</x:v>
      </x:c>
      <x:c r="N283" s="13" t="n">
        <x:f>D283-C283</x:f>
        <x:v>-3</x:v>
      </x:c>
    </x:row>
    <x:row r="284">
      <x:c r="A284" s="13" t="str">
        <x:v>PAG-000283</x:v>
      </x:c>
      <x:c r="B284" s="23" t="n">
        <x:v>45477</x:v>
      </x:c>
      <x:c r="C284" s="23" t="n">
        <x:v>45497</x:v>
      </x:c>
      <x:c r="D284" s="23" t="n">
        <x:v>45497</x:v>
      </x:c>
      <x:c r="E284" s="13" t="str">
        <x:v>Conta Certa</x:v>
      </x:c>
      <x:c r="F284" s="13" t="str">
        <x:v>Contabilidade</x:v>
      </x:c>
      <x:c r="G284" s="17" t="n">
        <x:v>5774.46</x:v>
      </x:c>
      <x:c r="H284" s="17" t="n">
        <x:v>6007.08</x:v>
      </x:c>
      <x:c r="I284" s="13" t="str">
        <x:v>Diretoria</x:v>
      </x:c>
      <x:c r="J284" s="13" t="str">
        <x:v>Pago</x:v>
      </x:c>
      <x:c r="K284" s="13" t="str">
        <x:v>Crescimento sem escala</x:v>
      </x:c>
      <x:c r="L284" s="17" t="n">
        <x:f>H284-G284</x:f>
        <x:v>232.6199999999999</x:v>
      </x:c>
      <x:c r="M284" s="19" t="n">
        <x:f>IFERROR(L284/G284,0)</x:f>
        <x:v>0.04028428632287692</x:v>
      </x:c>
      <x:c r="N284" s="13" t="n">
        <x:f>D284-C284</x:f>
        <x:v>0</x:v>
      </x:c>
    </x:row>
    <x:row r="285">
      <x:c r="A285" s="13" t="str">
        <x:v>PAG-000284</x:v>
      </x:c>
      <x:c r="B285" s="23" t="n">
        <x:v>45493</x:v>
      </x:c>
      <x:c r="C285" s="23" t="n">
        <x:v>45508</x:v>
      </x:c>
      <x:c r="D285" s="23" t="n">
        <x:v>45508</x:v>
      </x:c>
      <x:c r="E285" s="13" t="str">
        <x:v>Banco Integra</x:v>
      </x:c>
      <x:c r="F285" s="13" t="str">
        <x:v>Serviços bancários</x:v>
      </x:c>
      <x:c r="G285" s="17" t="n">
        <x:v>23000.65</x:v>
      </x:c>
      <x:c r="H285" s="17" t="n">
        <x:v>23642.33</x:v>
      </x:c>
      <x:c r="I285" s="13" t="str">
        <x:v>Diretoria</x:v>
      </x:c>
      <x:c r="J285" s="13" t="str">
        <x:v>Pago</x:v>
      </x:c>
      <x:c r="K285" s="13" t="str">
        <x:v>Crescimento sem escala</x:v>
      </x:c>
      <x:c r="L285" s="17" t="n">
        <x:f>H285-G285</x:f>
        <x:v>641.6800000000003</x:v>
      </x:c>
      <x:c r="M285" s="19" t="n">
        <x:f>IFERROR(L285/G285,0)</x:f>
        <x:v>0.027898342003378176</x:v>
      </x:c>
      <x:c r="N285" s="13" t="n">
        <x:f>D285-C285</x:f>
        <x:v>0</x:v>
      </x:c>
    </x:row>
    <x:row r="286">
      <x:c r="A286" s="13" t="str">
        <x:v>PAG-000285</x:v>
      </x:c>
      <x:c r="B286" s="23" t="n">
        <x:v>45490</x:v>
      </x:c>
      <x:c r="C286" s="23" t="n">
        <x:v>45505</x:v>
      </x:c>
      <x:c r="D286" s="23" t="n">
        <x:v>45503</x:v>
      </x:c>
      <x:c r="E286" s="13" t="str">
        <x:v>Insight BI</x:v>
      </x:c>
      <x:c r="F286" s="13" t="str">
        <x:v>Dados e Analytics</x:v>
      </x:c>
      <x:c r="G286" s="17" t="n">
        <x:v>12431.09</x:v>
      </x:c>
      <x:c r="H286" s="17" t="n">
        <x:v>12925.08</x:v>
      </x:c>
      <x:c r="I286" s="13" t="str">
        <x:v>Financeiro</x:v>
      </x:c>
      <x:c r="J286" s="13" t="str">
        <x:v>Pago</x:v>
      </x:c>
      <x:c r="K286" s="13" t="str">
        <x:v>Crescimento sem escala</x:v>
      </x:c>
      <x:c r="L286" s="17" t="n">
        <x:f>H286-G286</x:f>
        <x:v>493.9899999999998</x:v>
      </x:c>
      <x:c r="M286" s="19" t="n">
        <x:f>IFERROR(L286/G286,0)</x:f>
        <x:v>0.03973826913006018</x:v>
      </x:c>
      <x:c r="N286" s="13" t="n">
        <x:f>D286-C286</x:f>
        <x:v>-2</x:v>
      </x:c>
    </x:row>
    <x:row r="287">
      <x:c r="A287" s="13" t="str">
        <x:v>PAG-000286</x:v>
      </x:c>
      <x:c r="B287" s="23" t="n">
        <x:v>45477</x:v>
      </x:c>
      <x:c r="C287" s="23" t="n">
        <x:v>45484</x:v>
      </x:c>
      <x:c r="D287" s="23" t="n">
        <x:v>45484</x:v>
      </x:c>
      <x:c r="E287" s="13" t="str">
        <x:v>Conta Certa</x:v>
      </x:c>
      <x:c r="F287" s="13" t="str">
        <x:v>Contabilidade</x:v>
      </x:c>
      <x:c r="G287" s="17" t="n">
        <x:v>7019.1</x:v>
      </x:c>
      <x:c r="H287" s="17" t="n">
        <x:v>7216.28</x:v>
      </x:c>
      <x:c r="I287" s="13" t="str">
        <x:v>Gestor da área</x:v>
      </x:c>
      <x:c r="J287" s="13" t="str">
        <x:v>Pago</x:v>
      </x:c>
      <x:c r="K287" s="13" t="str">
        <x:v>Crescimento sem escala</x:v>
      </x:c>
      <x:c r="L287" s="17" t="n">
        <x:f>H287-G287</x:f>
        <x:v>197.17999999999938</x:v>
      </x:c>
      <x:c r="M287" s="19" t="n">
        <x:f>IFERROR(L287/G287,0)</x:f>
        <x:v>0.028091920616603178</x:v>
      </x:c>
      <x:c r="N287" s="13" t="n">
        <x:f>D287-C287</x:f>
        <x:v>0</x:v>
      </x:c>
    </x:row>
    <x:row r="288">
      <x:c r="A288" s="13" t="str">
        <x:v>PAG-000287</x:v>
      </x:c>
      <x:c r="B288" s="23" t="n">
        <x:v>45480</x:v>
      </x:c>
      <x:c r="C288" s="23" t="n">
        <x:v>45510</x:v>
      </x:c>
      <x:c r="D288" s="23" t="n">
        <x:v>45511</x:v>
      </x:c>
      <x:c r="E288" s="13" t="str">
        <x:v>MarketLab</x:v>
      </x:c>
      <x:c r="F288" s="13" t="str">
        <x:v>Marketing</x:v>
      </x:c>
      <x:c r="G288" s="17" t="n">
        <x:v>9294.35</x:v>
      </x:c>
      <x:c r="H288" s="17" t="n">
        <x:v>9489.82</x:v>
      </x:c>
      <x:c r="I288" s="13" t="str">
        <x:v>Financeiro</x:v>
      </x:c>
      <x:c r="J288" s="13" t="str">
        <x:v>Pago</x:v>
      </x:c>
      <x:c r="K288" s="13" t="str">
        <x:v>Crescimento sem escala</x:v>
      </x:c>
      <x:c r="L288" s="17" t="n">
        <x:f>H288-G288</x:f>
        <x:v>195.46999999999935</x:v>
      </x:c>
      <x:c r="M288" s="19" t="n">
        <x:f>IFERROR(L288/G288,0)</x:f>
        <x:v>0.02103105650206839</x:v>
      </x:c>
      <x:c r="N288" s="13" t="n">
        <x:f>D288-C288</x:f>
        <x:v>1</x:v>
      </x:c>
    </x:row>
    <x:row r="289">
      <x:c r="A289" s="13" t="str">
        <x:v>PAG-000288</x:v>
      </x:c>
      <x:c r="B289" s="23" t="n">
        <x:v>45487</x:v>
      </x:c>
      <x:c r="C289" s="23" t="n">
        <x:v>45507</x:v>
      </x:c>
      <x:c r="D289" s="23" t="n">
        <x:v>45504</x:v>
      </x:c>
      <x:c r="E289" s="13" t="str">
        <x:v>MarketLab</x:v>
      </x:c>
      <x:c r="F289" s="13" t="str">
        <x:v>Marketing</x:v>
      </x:c>
      <x:c r="G289" s="17" t="n">
        <x:v>23778.39</x:v>
      </x:c>
      <x:c r="H289" s="17" t="n">
        <x:v>24588.46</x:v>
      </x:c>
      <x:c r="I289" s="13" t="str">
        <x:v>Gestor da área</x:v>
      </x:c>
      <x:c r="J289" s="13" t="str">
        <x:v>Pago</x:v>
      </x:c>
      <x:c r="K289" s="13" t="str">
        <x:v>Crescimento sem escala</x:v>
      </x:c>
      <x:c r="L289" s="17" t="n">
        <x:f>H289-G289</x:f>
        <x:v>810.0699999999997</x:v>
      </x:c>
      <x:c r="M289" s="19" t="n">
        <x:f>IFERROR(L289/G289,0)</x:f>
        <x:v>0.03406748732777954</x:v>
      </x:c>
      <x:c r="N289" s="13" t="n">
        <x:f>D289-C289</x:f>
        <x:v>-3</x:v>
      </x:c>
    </x:row>
    <x:row r="290">
      <x:c r="A290" s="13" t="str">
        <x:v>PAG-000289</x:v>
      </x:c>
      <x:c r="B290" s="23" t="n">
        <x:v>45479</x:v>
      </x:c>
      <x:c r="C290" s="23" t="n">
        <x:v>45499</x:v>
      </x:c>
      <x:c r="D290" s="23" t="n">
        <x:v>45501</x:v>
      </x:c>
      <x:c r="E290" s="13" t="str">
        <x:v>DataSafe</x:v>
      </x:c>
      <x:c r="F290" s="13" t="str">
        <x:v>Segurança da informação</x:v>
      </x:c>
      <x:c r="G290" s="17" t="n">
        <x:v>3065.21</x:v>
      </x:c>
      <x:c r="H290" s="17" t="n">
        <x:v>3200.75</x:v>
      </x:c>
      <x:c r="I290" s="13" t="str">
        <x:v>Financeiro</x:v>
      </x:c>
      <x:c r="J290" s="13" t="str">
        <x:v>Pago</x:v>
      </x:c>
      <x:c r="K290" s="13" t="str">
        <x:v>Crescimento sem escala</x:v>
      </x:c>
      <x:c r="L290" s="17" t="n">
        <x:f>H290-G290</x:f>
        <x:v>135.53999999999996</x:v>
      </x:c>
      <x:c r="M290" s="19" t="n">
        <x:f>IFERROR(L290/G290,0)</x:f>
        <x:v>0.04421883003122134</x:v>
      </x:c>
      <x:c r="N290" s="13" t="n">
        <x:f>D290-C290</x:f>
        <x:v>2</x:v>
      </x:c>
    </x:row>
    <x:row r="291">
      <x:c r="A291" s="13" t="str">
        <x:v>PAG-000290</x:v>
      </x:c>
      <x:c r="B291" s="23" t="n">
        <x:v>45477</x:v>
      </x:c>
      <x:c r="C291" s="23" t="n">
        <x:v>45484</x:v>
      </x:c>
      <x:c r="D291" s="23" t="n">
        <x:v>45484</x:v>
      </x:c>
      <x:c r="E291" s="13" t="str">
        <x:v>PeopleHub</x:v>
      </x:c>
      <x:c r="F291" s="13" t="str">
        <x:v>Recursos Humanos</x:v>
      </x:c>
      <x:c r="G291" s="17" t="n">
        <x:v>20289.56</x:v>
      </x:c>
      <x:c r="H291" s="17" t="n">
        <x:v>21115.34</x:v>
      </x:c>
      <x:c r="I291" s="13" t="str">
        <x:v>Financeiro</x:v>
      </x:c>
      <x:c r="J291" s="13" t="str">
        <x:v>Pago</x:v>
      </x:c>
      <x:c r="K291" s="13" t="str">
        <x:v>Crescimento sem escala</x:v>
      </x:c>
      <x:c r="L291" s="17" t="n">
        <x:f>H291-G291</x:f>
        <x:v>825.7799999999988</x:v>
      </x:c>
      <x:c r="M291" s="19" t="n">
        <x:f>IFERROR(L291/G291,0)</x:f>
        <x:v>0.04069974903349303</x:v>
      </x:c>
      <x:c r="N291" s="13" t="n">
        <x:f>D291-C291</x:f>
        <x:v>0</x:v>
      </x:c>
    </x:row>
    <x:row r="292">
      <x:c r="A292" s="13" t="str">
        <x:v>PAG-000291</x:v>
      </x:c>
      <x:c r="B292" s="23" t="n">
        <x:v>45474</x:v>
      </x:c>
      <x:c r="C292" s="23" t="n">
        <x:v>45504</x:v>
      </x:c>
      <x:c r="D292" s="23" t="n">
        <x:v>45506</x:v>
      </x:c>
      <x:c r="E292" s="13" t="str">
        <x:v>CloudCore</x:v>
      </x:c>
      <x:c r="F292" s="13" t="str">
        <x:v>Tecnologia</x:v>
      </x:c>
      <x:c r="G292" s="17" t="n">
        <x:v>7127.65</x:v>
      </x:c>
      <x:c r="H292" s="17" t="n">
        <x:v>7338.63</x:v>
      </x:c>
      <x:c r="I292" s="13" t="str">
        <x:v>Gestor da área</x:v>
      </x:c>
      <x:c r="J292" s="13" t="str">
        <x:v>Pago</x:v>
      </x:c>
      <x:c r="K292" s="13" t="str">
        <x:v>Crescimento sem escala</x:v>
      </x:c>
      <x:c r="L292" s="17" t="n">
        <x:f>H292-G292</x:f>
        <x:v>210.98000000000047</x:v>
      </x:c>
      <x:c r="M292" s="19" t="n">
        <x:f>IFERROR(L292/G292,0)</x:f>
        <x:v>0.02960021886596571</x:v>
      </x:c>
      <x:c r="N292" s="13" t="n">
        <x:f>D292-C292</x:f>
        <x:v>2</x:v>
      </x:c>
    </x:row>
    <x:row r="293">
      <x:c r="A293" s="13" t="str">
        <x:v>PAG-000292</x:v>
      </x:c>
      <x:c r="B293" s="23" t="n">
        <x:v>45478</x:v>
      </x:c>
      <x:c r="C293" s="23" t="n">
        <x:v>45485</x:v>
      </x:c>
      <x:c r="D293" s="23" t="n">
        <x:v>45486</x:v>
      </x:c>
      <x:c r="E293" s="13" t="str">
        <x:v>Office Prime</x:v>
      </x:c>
      <x:c r="F293" s="13" t="str">
        <x:v>Escritório</x:v>
      </x:c>
      <x:c r="G293" s="17" t="n">
        <x:v>8011.78</x:v>
      </x:c>
      <x:c r="H293" s="17" t="n">
        <x:v>7832.87</x:v>
      </x:c>
      <x:c r="I293" s="13" t="str">
        <x:v>Gestor da área</x:v>
      </x:c>
      <x:c r="J293" s="13" t="str">
        <x:v>Pago</x:v>
      </x:c>
      <x:c r="K293" s="13" t="str">
        <x:v>Crescimento sem escala</x:v>
      </x:c>
      <x:c r="L293" s="17" t="n">
        <x:f>H293-G293</x:f>
        <x:v>-178.90999999999985</x:v>
      </x:c>
      <x:c r="M293" s="19" t="n">
        <x:f>IFERROR(L293/G293,0)</x:f>
        <x:v>-0.02233086779716865</x:v>
      </x:c>
      <x:c r="N293" s="13" t="n">
        <x:f>D293-C293</x:f>
        <x:v>1</x:v>
      </x:c>
    </x:row>
    <x:row r="294">
      <x:c r="A294" s="13" t="str">
        <x:v>PAG-000293</x:v>
      </x:c>
      <x:c r="B294" s="23" t="n">
        <x:v>45476</x:v>
      </x:c>
      <x:c r="C294" s="23" t="n">
        <x:v>45506</x:v>
      </x:c>
      <x:c r="D294" s="23" t="n">
        <x:v>45508</x:v>
      </x:c>
      <x:c r="E294" s="13" t="str">
        <x:v>EducaPro</x:v>
      </x:c>
      <x:c r="F294" s="13" t="str">
        <x:v>Treinamentos</x:v>
      </x:c>
      <x:c r="G294" s="17" t="n">
        <x:v>24450.68</x:v>
      </x:c>
      <x:c r="H294" s="17" t="n">
        <x:v>25635.99</x:v>
      </x:c>
      <x:c r="I294" s="13" t="str">
        <x:v>Diretoria</x:v>
      </x:c>
      <x:c r="J294" s="13" t="str">
        <x:v>Pago</x:v>
      </x:c>
      <x:c r="K294" s="13" t="str">
        <x:v>Crescimento sem escala</x:v>
      </x:c>
      <x:c r="L294" s="17" t="n">
        <x:f>H294-G294</x:f>
        <x:v>1185.3100000000013</x:v>
      </x:c>
      <x:c r="M294" s="19" t="n">
        <x:f>IFERROR(L294/G294,0)</x:f>
        <x:v>0.048477588353371</x:v>
      </x:c>
      <x:c r="N294" s="13" t="n">
        <x:f>D294-C294</x:f>
        <x:v>2</x:v>
      </x:c>
    </x:row>
    <x:row r="295">
      <x:c r="A295" s="13" t="str">
        <x:v>PAG-000294</x:v>
      </x:c>
      <x:c r="B295" s="23" t="n">
        <x:v>45474</x:v>
      </x:c>
      <x:c r="C295" s="23" t="n">
        <x:v>45481</x:v>
      </x:c>
      <x:c r="D295" s="23" t="n">
        <x:v>45482</x:v>
      </x:c>
      <x:c r="E295" s="13" t="str">
        <x:v>Banco Integra</x:v>
      </x:c>
      <x:c r="F295" s="13" t="str">
        <x:v>Serviços bancários</x:v>
      </x:c>
      <x:c r="G295" s="17" t="n">
        <x:v>25701.39</x:v>
      </x:c>
      <x:c r="H295" s="17" t="n">
        <x:v>27026.52</x:v>
      </x:c>
      <x:c r="I295" s="13" t="str">
        <x:v>Financeiro</x:v>
      </x:c>
      <x:c r="J295" s="13" t="str">
        <x:v>Pago</x:v>
      </x:c>
      <x:c r="K295" s="13" t="str">
        <x:v>Crescimento sem escala</x:v>
      </x:c>
      <x:c r="L295" s="17" t="n">
        <x:f>H295-G295</x:f>
        <x:v>1325.130000000001</x:v>
      </x:c>
      <x:c r="M295" s="19" t="n">
        <x:f>IFERROR(L295/G295,0)</x:f>
        <x:v>0.051558690016376585</x:v>
      </x:c>
      <x:c r="N295" s="13" t="n">
        <x:f>D295-C295</x:f>
        <x:v>1</x:v>
      </x:c>
    </x:row>
    <x:row r="296">
      <x:c r="A296" s="13" t="str">
        <x:v>PAG-000295</x:v>
      </x:c>
      <x:c r="B296" s="23" t="n">
        <x:v>45523</x:v>
      </x:c>
      <x:c r="C296" s="23" t="n">
        <x:v>45553</x:v>
      </x:c>
      <x:c r="D296" s="23" t="n">
        <x:v>45550</x:v>
      </x:c>
      <x:c r="E296" s="13" t="str">
        <x:v>Insight BI</x:v>
      </x:c>
      <x:c r="F296" s="13" t="str">
        <x:v>Dados e Analytics</x:v>
      </x:c>
      <x:c r="G296" s="17" t="n">
        <x:v>25598.28</x:v>
      </x:c>
      <x:c r="H296" s="17" t="n">
        <x:v>27281.92</x:v>
      </x:c>
      <x:c r="I296" s="13" t="str">
        <x:v>Gestor da área</x:v>
      </x:c>
      <x:c r="J296" s="13" t="str">
        <x:v>Pago</x:v>
      </x:c>
      <x:c r="K296" s="13" t="str">
        <x:v>Crescimento sem escala</x:v>
      </x:c>
      <x:c r="L296" s="17" t="n">
        <x:f>H296-G296</x:f>
        <x:v>1683.6399999999994</x:v>
      </x:c>
      <x:c r="M296" s="19" t="n">
        <x:f>IFERROR(L296/G296,0)</x:f>
        <x:v>0.0657716065298137</x:v>
      </x:c>
      <x:c r="N296" s="13" t="n">
        <x:f>D296-C296</x:f>
        <x:v>-3</x:v>
      </x:c>
    </x:row>
    <x:row r="297">
      <x:c r="A297" s="13" t="str">
        <x:v>PAG-000296</x:v>
      </x:c>
      <x:c r="B297" s="23" t="n">
        <x:v>45511</x:v>
      </x:c>
      <x:c r="C297" s="23" t="n">
        <x:v>45526</x:v>
      </x:c>
      <x:c r="D297" s="23" t="n">
        <x:v>45526</x:v>
      </x:c>
      <x:c r="E297" s="13" t="str">
        <x:v>CloudCore</x:v>
      </x:c>
      <x:c r="F297" s="13" t="str">
        <x:v>Tecnologia</x:v>
      </x:c>
      <x:c r="G297" s="17" t="n">
        <x:v>528.18</x:v>
      </x:c>
      <x:c r="H297" s="17" t="n">
        <x:v>526.43</x:v>
      </x:c>
      <x:c r="I297" s="13" t="str">
        <x:v>Gestor da área</x:v>
      </x:c>
      <x:c r="J297" s="13" t="str">
        <x:v>Pago</x:v>
      </x:c>
      <x:c r="K297" s="13" t="str">
        <x:v>Crescimento sem escala</x:v>
      </x:c>
      <x:c r="L297" s="17" t="n">
        <x:f>H297-G297</x:f>
        <x:v>-1.75</x:v>
      </x:c>
      <x:c r="M297" s="19" t="n">
        <x:f>IFERROR(L297/G297,0)</x:f>
        <x:v>-0.003313264417433451</x:v>
      </x:c>
      <x:c r="N297" s="13" t="n">
        <x:f>D297-C297</x:f>
        <x:v>0</x:v>
      </x:c>
    </x:row>
    <x:row r="298">
      <x:c r="A298" s="13" t="str">
        <x:v>PAG-000297</x:v>
      </x:c>
      <x:c r="B298" s="23" t="n">
        <x:v>45516</x:v>
      </x:c>
      <x:c r="C298" s="23" t="n">
        <x:v>45546</x:v>
      </x:c>
      <x:c r="D298" s="23" t="n">
        <x:v>45546</x:v>
      </x:c>
      <x:c r="E298" s="13" t="str">
        <x:v>Office Prime</x:v>
      </x:c>
      <x:c r="F298" s="13" t="str">
        <x:v>Escritório</x:v>
      </x:c>
      <x:c r="G298" s="17" t="n">
        <x:v>5187.71</x:v>
      </x:c>
      <x:c r="H298" s="17" t="n">
        <x:v>5184.42</x:v>
      </x:c>
      <x:c r="I298" s="13" t="str">
        <x:v>Gestor da área</x:v>
      </x:c>
      <x:c r="J298" s="13" t="str">
        <x:v>Pago</x:v>
      </x:c>
      <x:c r="K298" s="13" t="str">
        <x:v>Crescimento sem escala</x:v>
      </x:c>
      <x:c r="L298" s="17" t="n">
        <x:f>H298-G298</x:f>
        <x:v>-3.2899999999999636</x:v>
      </x:c>
      <x:c r="M298" s="19" t="n">
        <x:f>IFERROR(L298/G298,0)</x:f>
        <x:v>-0.0006341911941877945</x:v>
      </x:c>
      <x:c r="N298" s="13" t="n">
        <x:f>D298-C298</x:f>
        <x:v>0</x:v>
      </x:c>
    </x:row>
    <x:row r="299">
      <x:c r="A299" s="13" t="str">
        <x:v>PAG-000298</x:v>
      </x:c>
      <x:c r="B299" s="23" t="n">
        <x:v>45517</x:v>
      </x:c>
      <x:c r="C299" s="23" t="n">
        <x:v>45532</x:v>
      </x:c>
      <x:c r="D299" s="23" t="n">
        <x:v>45532</x:v>
      </x:c>
      <x:c r="E299" s="13" t="str">
        <x:v>Insight BI</x:v>
      </x:c>
      <x:c r="F299" s="13" t="str">
        <x:v>Dados e Analytics</x:v>
      </x:c>
      <x:c r="G299" s="17" t="n">
        <x:v>2469.52</x:v>
      </x:c>
      <x:c r="H299" s="17" t="n">
        <x:v>2534.7</x:v>
      </x:c>
      <x:c r="I299" s="13" t="str">
        <x:v>Diretoria</x:v>
      </x:c>
      <x:c r="J299" s="13" t="str">
        <x:v>Pago</x:v>
      </x:c>
      <x:c r="K299" s="13" t="str">
        <x:v>Crescimento sem escala</x:v>
      </x:c>
      <x:c r="L299" s="17" t="n">
        <x:f>H299-G299</x:f>
        <x:v>65.17999999999984</x:v>
      </x:c>
      <x:c r="M299" s="19" t="n">
        <x:f>IFERROR(L299/G299,0)</x:f>
        <x:v>0.02639379312578956</x:v>
      </x:c>
      <x:c r="N299" s="13" t="n">
        <x:f>D299-C299</x:f>
        <x:v>0</x:v>
      </x:c>
    </x:row>
    <x:row r="300">
      <x:c r="A300" s="13" t="str">
        <x:v>PAG-000299</x:v>
      </x:c>
      <x:c r="B300" s="23" t="n">
        <x:v>45524</x:v>
      </x:c>
      <x:c r="C300" s="23" t="n">
        <x:v>45539</x:v>
      </x:c>
      <x:c r="D300" s="23" t="n">
        <x:v>45539</x:v>
      </x:c>
      <x:c r="E300" s="13" t="str">
        <x:v>MarketLab</x:v>
      </x:c>
      <x:c r="F300" s="13" t="str">
        <x:v>Marketing</x:v>
      </x:c>
      <x:c r="G300" s="17" t="n">
        <x:v>10812.36</x:v>
      </x:c>
      <x:c r="H300" s="17" t="n">
        <x:v>10975.21</x:v>
      </x:c>
      <x:c r="I300" s="13" t="str">
        <x:v>Diretoria</x:v>
      </x:c>
      <x:c r="J300" s="13" t="str">
        <x:v>Pago</x:v>
      </x:c>
      <x:c r="K300" s="13" t="str">
        <x:v>Crescimento sem escala</x:v>
      </x:c>
      <x:c r="L300" s="17" t="n">
        <x:f>H300-G300</x:f>
        <x:v>162.84999999999854</x:v>
      </x:c>
      <x:c r="M300" s="19" t="n">
        <x:f>IFERROR(L300/G300,0)</x:f>
        <x:v>0.015061466691822926</x:v>
      </x:c>
      <x:c r="N300" s="13" t="n">
        <x:f>D300-C300</x:f>
        <x:v>0</x:v>
      </x:c>
    </x:row>
    <x:row r="301">
      <x:c r="A301" s="13" t="str">
        <x:v>PAG-000300</x:v>
      </x:c>
      <x:c r="B301" s="23" t="n">
        <x:v>45511</x:v>
      </x:c>
      <x:c r="C301" s="23" t="n">
        <x:v>45531</x:v>
      </x:c>
      <x:c r="D301" s="23" t="n">
        <x:v>45533</x:v>
      </x:c>
      <x:c r="E301" s="13" t="str">
        <x:v>Office Prime</x:v>
      </x:c>
      <x:c r="F301" s="13" t="str">
        <x:v>Escritório</x:v>
      </x:c>
      <x:c r="G301" s="17" t="n">
        <x:v>6064.89</x:v>
      </x:c>
      <x:c r="H301" s="17" t="n">
        <x:v>6201.2</x:v>
      </x:c>
      <x:c r="I301" s="13" t="str">
        <x:v>Financeiro</x:v>
      </x:c>
      <x:c r="J301" s="13" t="str">
        <x:v>Pago</x:v>
      </x:c>
      <x:c r="K301" s="13" t="str">
        <x:v>Crescimento sem escala</x:v>
      </x:c>
      <x:c r="L301" s="17" t="n">
        <x:f>H301-G301</x:f>
        <x:v>136.3099999999995</x:v>
      </x:c>
      <x:c r="M301" s="19" t="n">
        <x:f>IFERROR(L301/G301,0)</x:f>
        <x:v>0.022475263360093832</x:v>
      </x:c>
      <x:c r="N301" s="13" t="n">
        <x:f>D301-C301</x:f>
        <x:v>2</x:v>
      </x:c>
    </x:row>
    <x:row r="302">
      <x:c r="A302" s="13" t="str">
        <x:v>PAG-000301</x:v>
      </x:c>
      <x:c r="B302" s="23" t="n">
        <x:v>45506</x:v>
      </x:c>
      <x:c r="C302" s="23" t="n">
        <x:v>45536</x:v>
      </x:c>
      <x:c r="D302" s="23" t="n">
        <x:v>45536</x:v>
      </x:c>
      <x:c r="E302" s="13" t="str">
        <x:v>PeopleHub</x:v>
      </x:c>
      <x:c r="F302" s="13" t="str">
        <x:v>Recursos Humanos</x:v>
      </x:c>
      <x:c r="G302" s="17" t="n">
        <x:v>16665.78</x:v>
      </x:c>
      <x:c r="H302" s="17" t="n">
        <x:v>16935.22</x:v>
      </x:c>
      <x:c r="I302" s="13" t="str">
        <x:v>Financeiro</x:v>
      </x:c>
      <x:c r="J302" s="13" t="str">
        <x:v>Pago</x:v>
      </x:c>
      <x:c r="K302" s="13" t="str">
        <x:v>Crescimento sem escala</x:v>
      </x:c>
      <x:c r="L302" s="17" t="n">
        <x:f>H302-G302</x:f>
        <x:v>269.4400000000023</x:v>
      </x:c>
      <x:c r="M302" s="19" t="n">
        <x:f>IFERROR(L302/G302,0)</x:f>
        <x:v>0.016167260098237365</x:v>
      </x:c>
      <x:c r="N302" s="13" t="n">
        <x:f>D302-C302</x:f>
        <x:v>0</x:v>
      </x:c>
    </x:row>
    <x:row r="303">
      <x:c r="A303" s="13" t="str">
        <x:v>PAG-000302</x:v>
      </x:c>
      <x:c r="B303" s="23" t="n">
        <x:v>45513</x:v>
      </x:c>
      <x:c r="C303" s="23" t="n">
        <x:v>45543</x:v>
      </x:c>
      <x:c r="D303" s="23" t="n">
        <x:v>45541</x:v>
      </x:c>
      <x:c r="E303" s="13" t="str">
        <x:v>PeopleHub</x:v>
      </x:c>
      <x:c r="F303" s="13" t="str">
        <x:v>Recursos Humanos</x:v>
      </x:c>
      <x:c r="G303" s="17" t="n">
        <x:v>1137.73</x:v>
      </x:c>
      <x:c r="H303" s="17" t="n">
        <x:v>1127.49</x:v>
      </x:c>
      <x:c r="I303" s="13" t="str">
        <x:v>Gestor da área</x:v>
      </x:c>
      <x:c r="J303" s="13" t="str">
        <x:v>Pago</x:v>
      </x:c>
      <x:c r="K303" s="13" t="str">
        <x:v>Crescimento sem escala</x:v>
      </x:c>
      <x:c r="L303" s="17" t="n">
        <x:f>H303-G303</x:f>
        <x:v>-10.240000000000009</x:v>
      </x:c>
      <x:c r="M303" s="19" t="n">
        <x:f>IFERROR(L303/G303,0)</x:f>
        <x:v>-0.00900037794555827</x:v>
      </x:c>
      <x:c r="N303" s="13" t="n">
        <x:f>D303-C303</x:f>
        <x:v>-2</x:v>
      </x:c>
    </x:row>
    <x:row r="304">
      <x:c r="A304" s="13" t="str">
        <x:v>PAG-000303</x:v>
      </x:c>
      <x:c r="B304" s="23" t="n">
        <x:v>45521</x:v>
      </x:c>
      <x:c r="C304" s="23" t="n">
        <x:v>45541</x:v>
      </x:c>
      <x:c r="D304" s="23" t="n">
        <x:v>45543</x:v>
      </x:c>
      <x:c r="E304" s="13" t="str">
        <x:v>Insight BI</x:v>
      </x:c>
      <x:c r="F304" s="13" t="str">
        <x:v>Dados e Analytics</x:v>
      </x:c>
      <x:c r="G304" s="17" t="n">
        <x:v>4749.86</x:v>
      </x:c>
      <x:c r="H304" s="17" t="n">
        <x:v>5001.77</x:v>
      </x:c>
      <x:c r="I304" s="13" t="str">
        <x:v>Financeiro</x:v>
      </x:c>
      <x:c r="J304" s="13" t="str">
        <x:v>Pago</x:v>
      </x:c>
      <x:c r="K304" s="13" t="str">
        <x:v>Crescimento sem escala</x:v>
      </x:c>
      <x:c r="L304" s="17" t="n">
        <x:f>H304-G304</x:f>
        <x:v>251.91000000000076</x:v>
      </x:c>
      <x:c r="M304" s="19" t="n">
        <x:f>IFERROR(L304/G304,0)</x:f>
        <x:v>0.05303524735465904</x:v>
      </x:c>
      <x:c r="N304" s="13" t="n">
        <x:f>D304-C304</x:f>
        <x:v>2</x:v>
      </x:c>
    </x:row>
    <x:row r="305">
      <x:c r="A305" s="13" t="str">
        <x:v>PAG-000304</x:v>
      </x:c>
      <x:c r="B305" s="23" t="n">
        <x:v>45507</x:v>
      </x:c>
      <x:c r="C305" s="23" t="n">
        <x:v>45537</x:v>
      </x:c>
      <x:c r="D305" s="23" t="n">
        <x:v>45535</x:v>
      </x:c>
      <x:c r="E305" s="13" t="str">
        <x:v>EducaPro</x:v>
      </x:c>
      <x:c r="F305" s="13" t="str">
        <x:v>Treinamentos</x:v>
      </x:c>
      <x:c r="G305" s="17" t="n">
        <x:v>26730.99</x:v>
      </x:c>
      <x:c r="H305" s="17" t="n">
        <x:v>27777.09</x:v>
      </x:c>
      <x:c r="I305" s="13" t="str">
        <x:v>Diretoria</x:v>
      </x:c>
      <x:c r="J305" s="13" t="str">
        <x:v>Pago</x:v>
      </x:c>
      <x:c r="K305" s="13" t="str">
        <x:v>Crescimento sem escala</x:v>
      </x:c>
      <x:c r="L305" s="17" t="n">
        <x:f>H305-G305</x:f>
        <x:v>1046.0999999999985</x:v>
      </x:c>
      <x:c r="M305" s="19" t="n">
        <x:f>IFERROR(L305/G305,0)</x:f>
        <x:v>0.03913435304865246</x:v>
      </x:c>
      <x:c r="N305" s="13" t="n">
        <x:f>D305-C305</x:f>
        <x:v>-2</x:v>
      </x:c>
    </x:row>
    <x:row r="306">
      <x:c r="A306" s="13" t="str">
        <x:v>PAG-000305</x:v>
      </x:c>
      <x:c r="B306" s="23" t="n">
        <x:v>45515</x:v>
      </x:c>
      <x:c r="C306" s="23" t="n">
        <x:v>45522</x:v>
      </x:c>
      <x:c r="D306" s="23" t="n">
        <x:v>45522</x:v>
      </x:c>
      <x:c r="E306" s="13" t="str">
        <x:v>WorkSpace</x:v>
      </x:c>
      <x:c r="F306" s="13" t="str">
        <x:v>Locação</x:v>
      </x:c>
      <x:c r="G306" s="17" t="n">
        <x:v>31826.31</x:v>
      </x:c>
      <x:c r="H306" s="17" t="n">
        <x:v>32048.52</x:v>
      </x:c>
      <x:c r="I306" s="13" t="str">
        <x:v>Gestor da área</x:v>
      </x:c>
      <x:c r="J306" s="13" t="str">
        <x:v>Pago</x:v>
      </x:c>
      <x:c r="K306" s="13" t="str">
        <x:v>Crescimento sem escala</x:v>
      </x:c>
      <x:c r="L306" s="17" t="n">
        <x:f>H306-G306</x:f>
        <x:v>222.20999999999913</x:v>
      </x:c>
      <x:c r="M306" s="19" t="n">
        <x:f>IFERROR(L306/G306,0)</x:f>
        <x:v>0.006981959265777249</x:v>
      </x:c>
      <x:c r="N306" s="13" t="n">
        <x:f>D306-C306</x:f>
        <x:v>0</x:v>
      </x:c>
    </x:row>
    <x:row r="307">
      <x:c r="A307" s="13" t="str">
        <x:v>PAG-000306</x:v>
      </x:c>
      <x:c r="B307" s="23" t="n">
        <x:v>45520</x:v>
      </x:c>
      <x:c r="C307" s="23" t="n">
        <x:v>45527</x:v>
      </x:c>
      <x:c r="D307" s="23" t="n">
        <x:v>45527</x:v>
      </x:c>
      <x:c r="E307" s="13" t="str">
        <x:v>CloudCore</x:v>
      </x:c>
      <x:c r="F307" s="13" t="str">
        <x:v>Tecnologia</x:v>
      </x:c>
      <x:c r="G307" s="17" t="n">
        <x:v>16927.03</x:v>
      </x:c>
      <x:c r="H307" s="17" t="n">
        <x:v>17387.13</x:v>
      </x:c>
      <x:c r="I307" s="13" t="str">
        <x:v>Financeiro</x:v>
      </x:c>
      <x:c r="J307" s="13" t="str">
        <x:v>Pago</x:v>
      </x:c>
      <x:c r="K307" s="13" t="str">
        <x:v>Crescimento sem escala</x:v>
      </x:c>
      <x:c r="L307" s="17" t="n">
        <x:f>H307-G307</x:f>
        <x:v>460.1000000000022</x:v>
      </x:c>
      <x:c r="M307" s="19" t="n">
        <x:f>IFERROR(L307/G307,0)</x:f>
        <x:v>0.027181377949941733</x:v>
      </x:c>
      <x:c r="N307" s="13" t="n">
        <x:f>D307-C307</x:f>
        <x:v>0</x:v>
      </x:c>
    </x:row>
    <x:row r="308">
      <x:c r="A308" s="13" t="str">
        <x:v>PAG-000307</x:v>
      </x:c>
      <x:c r="B308" s="23" t="n">
        <x:v>45520</x:v>
      </x:c>
      <x:c r="C308" s="23" t="n">
        <x:v>45540</x:v>
      </x:c>
      <x:c r="D308" s="23" t="n">
        <x:v>45540</x:v>
      </x:c>
      <x:c r="E308" s="13" t="str">
        <x:v>Office Prime</x:v>
      </x:c>
      <x:c r="F308" s="13" t="str">
        <x:v>Escritório</x:v>
      </x:c>
      <x:c r="G308" s="17" t="n">
        <x:v>12078.66</x:v>
      </x:c>
      <x:c r="H308" s="17" t="n">
        <x:v>12234.14</x:v>
      </x:c>
      <x:c r="I308" s="13" t="str">
        <x:v>Diretoria</x:v>
      </x:c>
      <x:c r="J308" s="13" t="str">
        <x:v>Pago</x:v>
      </x:c>
      <x:c r="K308" s="13" t="str">
        <x:v>Crescimento sem escala</x:v>
      </x:c>
      <x:c r="L308" s="17" t="n">
        <x:f>H308-G308</x:f>
        <x:v>155.47999999999956</x:v>
      </x:c>
      <x:c r="M308" s="19" t="n">
        <x:f>IFERROR(L308/G308,0)</x:f>
        <x:v>0.012872288813494176</x:v>
      </x:c>
      <x:c r="N308" s="13" t="n">
        <x:f>D308-C308</x:f>
        <x:v>0</x:v>
      </x:c>
    </x:row>
    <x:row r="309">
      <x:c r="A309" s="13" t="str">
        <x:v>PAG-000308</x:v>
      </x:c>
      <x:c r="B309" s="23" t="n">
        <x:v>45521</x:v>
      </x:c>
      <x:c r="C309" s="23" t="n">
        <x:v>45541</x:v>
      </x:c>
      <x:c r="D309" s="23" t="n">
        <x:v>45538</x:v>
      </x:c>
      <x:c r="E309" s="13" t="str">
        <x:v>Conta Certa</x:v>
      </x:c>
      <x:c r="F309" s="13" t="str">
        <x:v>Contabilidade</x:v>
      </x:c>
      <x:c r="G309" s="17" t="n">
        <x:v>27971.27</x:v>
      </x:c>
      <x:c r="H309" s="17" t="n">
        <x:v>29040.7</x:v>
      </x:c>
      <x:c r="I309" s="13" t="str">
        <x:v>Gestor da área</x:v>
      </x:c>
      <x:c r="J309" s="13" t="str">
        <x:v>Pago</x:v>
      </x:c>
      <x:c r="K309" s="13" t="str">
        <x:v>Crescimento sem escala</x:v>
      </x:c>
      <x:c r="L309" s="17" t="n">
        <x:f>H309-G309</x:f>
        <x:v>1069.4300000000003</x:v>
      </x:c>
      <x:c r="M309" s="19" t="n">
        <x:f>IFERROR(L309/G309,0)</x:f>
        <x:v>0.03823315852301309</x:v>
      </x:c>
      <x:c r="N309" s="13" t="n">
        <x:f>D309-C309</x:f>
        <x:v>-3</x:v>
      </x:c>
    </x:row>
    <x:row r="310">
      <x:c r="A310" s="13" t="str">
        <x:v>PAG-000309</x:v>
      </x:c>
      <x:c r="B310" s="23" t="n">
        <x:v>45509</x:v>
      </x:c>
      <x:c r="C310" s="23" t="n">
        <x:v>45516</x:v>
      </x:c>
      <x:c r="D310" s="23" t="n">
        <x:v>45515</x:v>
      </x:c>
      <x:c r="E310" s="13" t="str">
        <x:v>NetLink</x:v>
      </x:c>
      <x:c r="F310" s="13" t="str">
        <x:v>Telecomunicações</x:v>
      </x:c>
      <x:c r="G310" s="17" t="n">
        <x:v>1662.75</x:v>
      </x:c>
      <x:c r="H310" s="17" t="n">
        <x:v>1666.5</x:v>
      </x:c>
      <x:c r="I310" s="13" t="str">
        <x:v>Diretoria</x:v>
      </x:c>
      <x:c r="J310" s="13" t="str">
        <x:v>Pago</x:v>
      </x:c>
      <x:c r="K310" s="13" t="str">
        <x:v>Crescimento sem escala</x:v>
      </x:c>
      <x:c r="L310" s="17" t="n">
        <x:f>H310-G310</x:f>
        <x:v>3.75</x:v>
      </x:c>
      <x:c r="M310" s="19" t="n">
        <x:f>IFERROR(L310/G310,0)</x:f>
        <x:v>0.0022552999548940008</x:v>
      </x:c>
      <x:c r="N310" s="13" t="n">
        <x:f>D310-C310</x:f>
        <x:v>-1</x:v>
      </x:c>
    </x:row>
    <x:row r="311">
      <x:c r="A311" s="13" t="str">
        <x:v>PAG-000310</x:v>
      </x:c>
      <x:c r="B311" s="23" t="n">
        <x:v>45522</x:v>
      </x:c>
      <x:c r="C311" s="23" t="n">
        <x:v>45542</x:v>
      </x:c>
      <x:c r="D311" s="23" t="n">
        <x:v>45542</x:v>
      </x:c>
      <x:c r="E311" s="13" t="str">
        <x:v>LegalMais</x:v>
      </x:c>
      <x:c r="F311" s="13" t="str">
        <x:v>Jurídico</x:v>
      </x:c>
      <x:c r="G311" s="17" t="n">
        <x:v>15850.06</x:v>
      </x:c>
      <x:c r="H311" s="17" t="n">
        <x:v>15957.06</x:v>
      </x:c>
      <x:c r="I311" s="13" t="str">
        <x:v>Diretoria</x:v>
      </x:c>
      <x:c r="J311" s="13" t="str">
        <x:v>Pago</x:v>
      </x:c>
      <x:c r="K311" s="13" t="str">
        <x:v>Crescimento sem escala</x:v>
      </x:c>
      <x:c r="L311" s="17" t="n">
        <x:f>H311-G311</x:f>
        <x:v>107</x:v>
      </x:c>
      <x:c r="M311" s="19" t="n">
        <x:f>IFERROR(L311/G311,0)</x:f>
        <x:v>0.006750763088593986</x:v>
      </x:c>
      <x:c r="N311" s="13" t="n">
        <x:f>D311-C311</x:f>
        <x:v>0</x:v>
      </x:c>
    </x:row>
    <x:row r="312">
      <x:c r="A312" s="13" t="str">
        <x:v>PAG-000311</x:v>
      </x:c>
      <x:c r="B312" s="23" t="n">
        <x:v>45512</x:v>
      </x:c>
      <x:c r="C312" s="23" t="n">
        <x:v>45519</x:v>
      </x:c>
      <x:c r="D312" s="23" t="n">
        <x:v>45516</x:v>
      </x:c>
      <x:c r="E312" s="13" t="str">
        <x:v>MarketLab</x:v>
      </x:c>
      <x:c r="F312" s="13" t="str">
        <x:v>Marketing</x:v>
      </x:c>
      <x:c r="G312" s="17" t="n">
        <x:v>2566.37</x:v>
      </x:c>
      <x:c r="H312" s="17" t="n">
        <x:v>2676.77</x:v>
      </x:c>
      <x:c r="I312" s="13" t="str">
        <x:v>Financeiro</x:v>
      </x:c>
      <x:c r="J312" s="13" t="str">
        <x:v>Pago</x:v>
      </x:c>
      <x:c r="K312" s="13" t="str">
        <x:v>Crescimento sem escala</x:v>
      </x:c>
      <x:c r="L312" s="17" t="n">
        <x:f>H312-G312</x:f>
        <x:v>110.40000000000009</x:v>
      </x:c>
      <x:c r="M312" s="19" t="n">
        <x:f>IFERROR(L312/G312,0)</x:f>
        <x:v>0.04301795921866297</x:v>
      </x:c>
      <x:c r="N312" s="13" t="n">
        <x:f>D312-C312</x:f>
        <x:v>-3</x:v>
      </x:c>
    </x:row>
    <x:row r="313">
      <x:c r="A313" s="13" t="str">
        <x:v>PAG-000312</x:v>
      </x:c>
      <x:c r="B313" s="23" t="n">
        <x:v>45517</x:v>
      </x:c>
      <x:c r="C313" s="23" t="n">
        <x:v>45524</x:v>
      </x:c>
      <x:c r="D313" s="23" t="n">
        <x:v>45521</x:v>
      </x:c>
      <x:c r="E313" s="13" t="str">
        <x:v>Office Prime</x:v>
      </x:c>
      <x:c r="F313" s="13" t="str">
        <x:v>Escritório</x:v>
      </x:c>
      <x:c r="G313" s="17" t="n">
        <x:v>28481.26</x:v>
      </x:c>
      <x:c r="H313" s="17" t="n">
        <x:v>29066.54</x:v>
      </x:c>
      <x:c r="I313" s="13" t="str">
        <x:v>Financeiro</x:v>
      </x:c>
      <x:c r="J313" s="13" t="str">
        <x:v>Pago</x:v>
      </x:c>
      <x:c r="K313" s="13" t="str">
        <x:v>Crescimento sem escala</x:v>
      </x:c>
      <x:c r="L313" s="17" t="n">
        <x:f>H313-G313</x:f>
        <x:v>585.2800000000025</x:v>
      </x:c>
      <x:c r="M313" s="19" t="n">
        <x:f>IFERROR(L313/G313,0)</x:f>
        <x:v>0.02054965264879442</x:v>
      </x:c>
      <x:c r="N313" s="13" t="n">
        <x:f>D313-C313</x:f>
        <x:v>-3</x:v>
      </x:c>
    </x:row>
    <x:row r="314">
      <x:c r="A314" s="13" t="str">
        <x:v>PAG-000313</x:v>
      </x:c>
      <x:c r="B314" s="23" t="n">
        <x:v>45517</x:v>
      </x:c>
      <x:c r="C314" s="23" t="n">
        <x:v>45547</x:v>
      </x:c>
      <x:c r="D314" s="23" t="n">
        <x:v>45544</x:v>
      </x:c>
      <x:c r="E314" s="13" t="str">
        <x:v>Banco Integra</x:v>
      </x:c>
      <x:c r="F314" s="13" t="str">
        <x:v>Serviços bancários</x:v>
      </x:c>
      <x:c r="G314" s="17" t="n">
        <x:v>31351.94</x:v>
      </x:c>
      <x:c r="H314" s="17" t="n">
        <x:v>31282.48</x:v>
      </x:c>
      <x:c r="I314" s="13" t="str">
        <x:v>Gestor da área</x:v>
      </x:c>
      <x:c r="J314" s="13" t="str">
        <x:v>Pago</x:v>
      </x:c>
      <x:c r="K314" s="13" t="str">
        <x:v>Crescimento sem escala</x:v>
      </x:c>
      <x:c r="L314" s="17" t="n">
        <x:f>H314-G314</x:f>
        <x:v>-69.45999999999913</x:v>
      </x:c>
      <x:c r="M314" s="19" t="n">
        <x:f>IFERROR(L314/G314,0)</x:f>
        <x:v>-0.00221549288496977</x:v>
      </x:c>
      <x:c r="N314" s="13" t="n">
        <x:f>D314-C314</x:f>
        <x:v>-3</x:v>
      </x:c>
    </x:row>
    <x:row r="315">
      <x:c r="A315" s="13" t="str">
        <x:v>PAG-000314</x:v>
      </x:c>
      <x:c r="B315" s="23" t="n">
        <x:v>45505</x:v>
      </x:c>
      <x:c r="C315" s="23" t="n">
        <x:v>45535</x:v>
      </x:c>
      <x:c r="D315" s="23" t="n">
        <x:v>45535</x:v>
      </x:c>
      <x:c r="E315" s="13" t="str">
        <x:v>LegalMais</x:v>
      </x:c>
      <x:c r="F315" s="13" t="str">
        <x:v>Jurídico</x:v>
      </x:c>
      <x:c r="G315" s="17" t="n">
        <x:v>1379.84</x:v>
      </x:c>
      <x:c r="H315" s="17" t="n">
        <x:v>1360.55</x:v>
      </x:c>
      <x:c r="I315" s="13" t="str">
        <x:v>Gestor da área</x:v>
      </x:c>
      <x:c r="J315" s="13" t="str">
        <x:v>Pago</x:v>
      </x:c>
      <x:c r="K315" s="13" t="str">
        <x:v>Crescimento sem escala</x:v>
      </x:c>
      <x:c r="L315" s="17" t="n">
        <x:f>H315-G315</x:f>
        <x:v>-19.289999999999964</x:v>
      </x:c>
      <x:c r="M315" s="19" t="n">
        <x:f>IFERROR(L315/G315,0)</x:f>
        <x:v>-0.013979881725417415</x:v>
      </x:c>
      <x:c r="N315" s="13" t="n">
        <x:f>D315-C315</x:f>
        <x:v>0</x:v>
      </x:c>
    </x:row>
    <x:row r="316">
      <x:c r="A316" s="13" t="str">
        <x:v>PAG-000315</x:v>
      </x:c>
      <x:c r="B316" s="23" t="n">
        <x:v>45524</x:v>
      </x:c>
      <x:c r="C316" s="23" t="n">
        <x:v>45554</x:v>
      </x:c>
      <x:c r="D316" s="23" t="n">
        <x:v>45554</x:v>
      </x:c>
      <x:c r="E316" s="13" t="str">
        <x:v>Banco Integra</x:v>
      </x:c>
      <x:c r="F316" s="13" t="str">
        <x:v>Serviços bancários</x:v>
      </x:c>
      <x:c r="G316" s="17" t="n">
        <x:v>19661.06</x:v>
      </x:c>
      <x:c r="H316" s="17" t="n">
        <x:v>19862.89</x:v>
      </x:c>
      <x:c r="I316" s="13" t="str">
        <x:v>Gestor da área</x:v>
      </x:c>
      <x:c r="J316" s="13" t="str">
        <x:v>Pago</x:v>
      </x:c>
      <x:c r="K316" s="13" t="str">
        <x:v>Crescimento sem escala</x:v>
      </x:c>
      <x:c r="L316" s="17" t="n">
        <x:f>H316-G316</x:f>
        <x:v>201.8299999999981</x:v>
      </x:c>
      <x:c r="M316" s="19" t="n">
        <x:f>IFERROR(L316/G316,0)</x:f>
        <x:v>0.01026546890147317</x:v>
      </x:c>
      <x:c r="N316" s="13" t="n">
        <x:f>D316-C316</x:f>
        <x:v>0</x:v>
      </x:c>
    </x:row>
    <x:row r="317">
      <x:c r="A317" s="13" t="str">
        <x:v>PAG-000316</x:v>
      </x:c>
      <x:c r="B317" s="23" t="n">
        <x:v>45506</x:v>
      </x:c>
      <x:c r="C317" s="23" t="n">
        <x:v>45513</x:v>
      </x:c>
      <x:c r="D317" s="23" t="n">
        <x:v>45513</x:v>
      </x:c>
      <x:c r="E317" s="13" t="str">
        <x:v>MarketLab</x:v>
      </x:c>
      <x:c r="F317" s="13" t="str">
        <x:v>Marketing</x:v>
      </x:c>
      <x:c r="G317" s="17" t="n">
        <x:v>9494.4</x:v>
      </x:c>
      <x:c r="H317" s="17" t="n">
        <x:v>9559.5</x:v>
      </x:c>
      <x:c r="I317" s="13" t="str">
        <x:v>Diretoria</x:v>
      </x:c>
      <x:c r="J317" s="13" t="str">
        <x:v>Pago</x:v>
      </x:c>
      <x:c r="K317" s="13" t="str">
        <x:v>Crescimento sem escala</x:v>
      </x:c>
      <x:c r="L317" s="17" t="n">
        <x:f>H317-G317</x:f>
        <x:v>65.10000000000036</x:v>
      </x:c>
      <x:c r="M317" s="19" t="n">
        <x:f>IFERROR(L317/G317,0)</x:f>
        <x:v>0.006856673407482344</x:v>
      </x:c>
      <x:c r="N317" s="13" t="n">
        <x:f>D317-C317</x:f>
        <x:v>0</x:v>
      </x:c>
    </x:row>
    <x:row r="318">
      <x:c r="A318" s="13" t="str">
        <x:v>PAG-000317</x:v>
      </x:c>
      <x:c r="B318" s="23" t="n">
        <x:v>45522</x:v>
      </x:c>
      <x:c r="C318" s="23" t="n">
        <x:v>45552</x:v>
      </x:c>
      <x:c r="D318" s="23" t="n">
        <x:v>45549</x:v>
      </x:c>
      <x:c r="E318" s="13" t="str">
        <x:v>LegalMais</x:v>
      </x:c>
      <x:c r="F318" s="13" t="str">
        <x:v>Jurídico</x:v>
      </x:c>
      <x:c r="G318" s="17" t="n">
        <x:v>24451.87</x:v>
      </x:c>
      <x:c r="H318" s="17" t="n">
        <x:v>24272.93</x:v>
      </x:c>
      <x:c r="I318" s="13" t="str">
        <x:v>Financeiro</x:v>
      </x:c>
      <x:c r="J318" s="13" t="str">
        <x:v>Pago</x:v>
      </x:c>
      <x:c r="K318" s="13" t="str">
        <x:v>Crescimento sem escala</x:v>
      </x:c>
      <x:c r="L318" s="17" t="n">
        <x:f>H318-G318</x:f>
        <x:v>-178.9399999999987</x:v>
      </x:c>
      <x:c r="M318" s="19" t="n">
        <x:f>IFERROR(L318/G318,0)</x:f>
        <x:v>-0.007318049703355968</x:v>
      </x:c>
      <x:c r="N318" s="13" t="n">
        <x:f>D318-C318</x:f>
        <x:v>-3</x:v>
      </x:c>
    </x:row>
    <x:row r="319">
      <x:c r="A319" s="13" t="str">
        <x:v>PAG-000318</x:v>
      </x:c>
      <x:c r="B319" s="23" t="n">
        <x:v>45513</x:v>
      </x:c>
      <x:c r="C319" s="23" t="n">
        <x:v>45533</x:v>
      </x:c>
      <x:c r="D319" s="23" t="n">
        <x:v>45534</x:v>
      </x:c>
      <x:c r="E319" s="13" t="str">
        <x:v>DataSafe</x:v>
      </x:c>
      <x:c r="F319" s="13" t="str">
        <x:v>Segurança da informação</x:v>
      </x:c>
      <x:c r="G319" s="17" t="n">
        <x:v>31192.05</x:v>
      </x:c>
      <x:c r="H319" s="17" t="n">
        <x:v>31176.26</x:v>
      </x:c>
      <x:c r="I319" s="13" t="str">
        <x:v>Diretoria</x:v>
      </x:c>
      <x:c r="J319" s="13" t="str">
        <x:v>Pago</x:v>
      </x:c>
      <x:c r="K319" s="13" t="str">
        <x:v>Crescimento sem escala</x:v>
      </x:c>
      <x:c r="L319" s="17" t="n">
        <x:f>H319-G319</x:f>
        <x:v>-15.790000000000873</x:v>
      </x:c>
      <x:c r="M319" s="19" t="n">
        <x:f>IFERROR(L319/G319,0)</x:f>
        <x:v>-0.0005062187320166797</x:v>
      </x:c>
      <x:c r="N319" s="13" t="n">
        <x:f>D319-C319</x:f>
        <x:v>1</x:v>
      </x:c>
    </x:row>
    <x:row r="320">
      <x:c r="A320" s="13" t="str">
        <x:v>PAG-000319</x:v>
      </x:c>
      <x:c r="B320" s="23" t="n">
        <x:v>45513</x:v>
      </x:c>
      <x:c r="C320" s="23" t="n">
        <x:v>45520</x:v>
      </x:c>
      <x:c r="D320" s="23" t="n">
        <x:v>45520</x:v>
      </x:c>
      <x:c r="E320" s="13" t="str">
        <x:v>Insight BI</x:v>
      </x:c>
      <x:c r="F320" s="13" t="str">
        <x:v>Dados e Analytics</x:v>
      </x:c>
      <x:c r="G320" s="17" t="n">
        <x:v>4134.57</x:v>
      </x:c>
      <x:c r="H320" s="17" t="n">
        <x:v>4353.46</x:v>
      </x:c>
      <x:c r="I320" s="13" t="str">
        <x:v>Diretoria</x:v>
      </x:c>
      <x:c r="J320" s="13" t="str">
        <x:v>Pago</x:v>
      </x:c>
      <x:c r="K320" s="13" t="str">
        <x:v>Crescimento sem escala</x:v>
      </x:c>
      <x:c r="L320" s="17" t="n">
        <x:f>H320-G320</x:f>
        <x:v>218.89000000000033</x:v>
      </x:c>
      <x:c r="M320" s="19" t="n">
        <x:f>IFERROR(L320/G320,0)</x:f>
        <x:v>0.0529414183337083</x:v>
      </x:c>
      <x:c r="N320" s="13" t="n">
        <x:f>D320-C320</x:f>
        <x:v>0</x:v>
      </x:c>
    </x:row>
    <x:row r="321">
      <x:c r="A321" s="13" t="str">
        <x:v>PAG-000320</x:v>
      </x:c>
      <x:c r="B321" s="23" t="n">
        <x:v>45512</x:v>
      </x:c>
      <x:c r="C321" s="23" t="n">
        <x:v>45542</x:v>
      </x:c>
      <x:c r="D321" s="23" t="n">
        <x:v>45544</x:v>
      </x:c>
      <x:c r="E321" s="13" t="str">
        <x:v>NetLink</x:v>
      </x:c>
      <x:c r="F321" s="13" t="str">
        <x:v>Telecomunicações</x:v>
      </x:c>
      <x:c r="G321" s="17" t="n">
        <x:v>30533.44</x:v>
      </x:c>
      <x:c r="H321" s="17" t="n">
        <x:v>31244.63</x:v>
      </x:c>
      <x:c r="I321" s="13" t="str">
        <x:v>Gestor da área</x:v>
      </x:c>
      <x:c r="J321" s="13" t="str">
        <x:v>Pago</x:v>
      </x:c>
      <x:c r="K321" s="13" t="str">
        <x:v>Crescimento sem escala</x:v>
      </x:c>
      <x:c r="L321" s="17" t="n">
        <x:f>H321-G321</x:f>
        <x:v>711.1900000000023</x:v>
      </x:c>
      <x:c r="M321" s="19" t="n">
        <x:f>IFERROR(L321/G321,0)</x:f>
        <x:v>0.02329216753827942</x:v>
      </x:c>
      <x:c r="N321" s="13" t="n">
        <x:f>D321-C321</x:f>
        <x:v>2</x:v>
      </x:c>
    </x:row>
    <x:row r="322">
      <x:c r="A322" s="13" t="str">
        <x:v>PAG-000321</x:v>
      </x:c>
      <x:c r="B322" s="23" t="n">
        <x:v>45514</x:v>
      </x:c>
      <x:c r="C322" s="23" t="n">
        <x:v>45544</x:v>
      </x:c>
      <x:c r="D322" s="23" t="n">
        <x:v>45541</x:v>
      </x:c>
      <x:c r="E322" s="13" t="str">
        <x:v>LegalMais</x:v>
      </x:c>
      <x:c r="F322" s="13" t="str">
        <x:v>Jurídico</x:v>
      </x:c>
      <x:c r="G322" s="17" t="n">
        <x:v>12917.51</x:v>
      </x:c>
      <x:c r="H322" s="17" t="n">
        <x:v>12876.17</x:v>
      </x:c>
      <x:c r="I322" s="13" t="str">
        <x:v>Financeiro</x:v>
      </x:c>
      <x:c r="J322" s="13" t="str">
        <x:v>Pago</x:v>
      </x:c>
      <x:c r="K322" s="13" t="str">
        <x:v>Crescimento sem escala</x:v>
      </x:c>
      <x:c r="L322" s="17" t="n">
        <x:f>H322-G322</x:f>
        <x:v>-41.340000000000146</x:v>
      </x:c>
      <x:c r="M322" s="19" t="n">
        <x:f>IFERROR(L322/G322,0)</x:f>
        <x:v>-0.0032003071799441337</x:v>
      </x:c>
      <x:c r="N322" s="13" t="n">
        <x:f>D322-C322</x:f>
        <x:v>-3</x:v>
      </x:c>
    </x:row>
    <x:row r="323">
      <x:c r="A323" s="13" t="str">
        <x:v>PAG-000322</x:v>
      </x:c>
      <x:c r="B323" s="23" t="n">
        <x:v>45524</x:v>
      </x:c>
      <x:c r="C323" s="23" t="n">
        <x:v>45539</x:v>
      </x:c>
      <x:c r="D323" s="23" t="n">
        <x:v>45538</x:v>
      </x:c>
      <x:c r="E323" s="13" t="str">
        <x:v>Insight BI</x:v>
      </x:c>
      <x:c r="F323" s="13" t="str">
        <x:v>Dados e Analytics</x:v>
      </x:c>
      <x:c r="G323" s="17" t="n">
        <x:v>9961.8</x:v>
      </x:c>
      <x:c r="H323" s="17" t="n">
        <x:v>10632.8</x:v>
      </x:c>
      <x:c r="I323" s="13" t="str">
        <x:v>Financeiro</x:v>
      </x:c>
      <x:c r="J323" s="13" t="str">
        <x:v>Pago</x:v>
      </x:c>
      <x:c r="K323" s="13" t="str">
        <x:v>Crescimento sem escala</x:v>
      </x:c>
      <x:c r="L323" s="17" t="n">
        <x:f>H323-G323</x:f>
        <x:v>671</x:v>
      </x:c>
      <x:c r="M323" s="19" t="n">
        <x:f>IFERROR(L323/G323,0)</x:f>
        <x:v>0.0673573049047361</x:v>
      </x:c>
      <x:c r="N323" s="13" t="n">
        <x:f>D323-C323</x:f>
        <x:v>-1</x:v>
      </x:c>
    </x:row>
    <x:row r="324">
      <x:c r="A324" s="13" t="str">
        <x:v>PAG-000323</x:v>
      </x:c>
      <x:c r="B324" s="23" t="n">
        <x:v>45522</x:v>
      </x:c>
      <x:c r="C324" s="23" t="n">
        <x:v>45537</x:v>
      </x:c>
      <x:c r="D324" s="23" t="n">
        <x:v>45535</x:v>
      </x:c>
      <x:c r="E324" s="13" t="str">
        <x:v>NetLink</x:v>
      </x:c>
      <x:c r="F324" s="13" t="str">
        <x:v>Telecomunicações</x:v>
      </x:c>
      <x:c r="G324" s="17" t="n">
        <x:v>5465.6</x:v>
      </x:c>
      <x:c r="H324" s="17" t="n">
        <x:v>5700.57</x:v>
      </x:c>
      <x:c r="I324" s="13" t="str">
        <x:v>Financeiro</x:v>
      </x:c>
      <x:c r="J324" s="13" t="str">
        <x:v>Pago</x:v>
      </x:c>
      <x:c r="K324" s="13" t="str">
        <x:v>Crescimento sem escala</x:v>
      </x:c>
      <x:c r="L324" s="17" t="n">
        <x:f>H324-G324</x:f>
        <x:v>234.96999999999935</x:v>
      </x:c>
      <x:c r="M324" s="19" t="n">
        <x:f>IFERROR(L324/G324,0)</x:f>
        <x:v>0.042990705503512756</x:v>
      </x:c>
      <x:c r="N324" s="13" t="n">
        <x:f>D324-C324</x:f>
        <x:v>-2</x:v>
      </x:c>
    </x:row>
    <x:row r="325">
      <x:c r="A325" s="13" t="str">
        <x:v>PAG-000324</x:v>
      </x:c>
      <x:c r="B325" s="23" t="n">
        <x:v>45524</x:v>
      </x:c>
      <x:c r="C325" s="23" t="n">
        <x:v>45531</x:v>
      </x:c>
      <x:c r="D325" s="23" t="n">
        <x:v>45533</x:v>
      </x:c>
      <x:c r="E325" s="13" t="str">
        <x:v>DataSafe</x:v>
      </x:c>
      <x:c r="F325" s="13" t="str">
        <x:v>Segurança da informação</x:v>
      </x:c>
      <x:c r="G325" s="17" t="n">
        <x:v>27500.88</x:v>
      </x:c>
      <x:c r="H325" s="17" t="n">
        <x:v>28967.97</x:v>
      </x:c>
      <x:c r="I325" s="13" t="str">
        <x:v>Diretoria</x:v>
      </x:c>
      <x:c r="J325" s="13" t="str">
        <x:v>Pago</x:v>
      </x:c>
      <x:c r="K325" s="13" t="str">
        <x:v>Crescimento sem escala</x:v>
      </x:c>
      <x:c r="L325" s="17" t="n">
        <x:f>H325-G325</x:f>
        <x:v>1467.0900000000001</x:v>
      </x:c>
      <x:c r="M325" s="19" t="n">
        <x:f>IFERROR(L325/G325,0)</x:f>
        <x:v>0.0533470201680819</x:v>
      </x:c>
      <x:c r="N325" s="13" t="n">
        <x:f>D325-C325</x:f>
        <x:v>2</x:v>
      </x:c>
    </x:row>
    <x:row r="326">
      <x:c r="A326" s="13" t="str">
        <x:v>PAG-000325</x:v>
      </x:c>
      <x:c r="B326" s="23" t="n">
        <x:v>45505</x:v>
      </x:c>
      <x:c r="C326" s="23" t="n">
        <x:v>45535</x:v>
      </x:c>
      <x:c r="D326" s="23" t="n">
        <x:v>45533</x:v>
      </x:c>
      <x:c r="E326" s="13" t="str">
        <x:v>Banco Integra</x:v>
      </x:c>
      <x:c r="F326" s="13" t="str">
        <x:v>Serviços bancários</x:v>
      </x:c>
      <x:c r="G326" s="17" t="n">
        <x:v>13286.21</x:v>
      </x:c>
      <x:c r="H326" s="17" t="n">
        <x:v>13492.83</x:v>
      </x:c>
      <x:c r="I326" s="13" t="str">
        <x:v>Diretoria</x:v>
      </x:c>
      <x:c r="J326" s="13" t="str">
        <x:v>Pago</x:v>
      </x:c>
      <x:c r="K326" s="13" t="str">
        <x:v>Crescimento sem escala</x:v>
      </x:c>
      <x:c r="L326" s="17" t="n">
        <x:f>H326-G326</x:f>
        <x:v>206.6200000000008</x:v>
      </x:c>
      <x:c r="M326" s="19" t="n">
        <x:f>IFERROR(L326/G326,0)</x:f>
        <x:v>0.01555146275724987</x:v>
      </x:c>
      <x:c r="N326" s="13" t="n">
        <x:f>D326-C326</x:f>
        <x:v>-2</x:v>
      </x:c>
    </x:row>
    <x:row r="327">
      <x:c r="A327" s="13" t="str">
        <x:v>PAG-000326</x:v>
      </x:c>
      <x:c r="B327" s="23" t="n">
        <x:v>45514</x:v>
      </x:c>
      <x:c r="C327" s="23" t="n">
        <x:v>45534</x:v>
      </x:c>
      <x:c r="D327" s="23" t="n">
        <x:v>45534</x:v>
      </x:c>
      <x:c r="E327" s="13" t="str">
        <x:v>EducaPro</x:v>
      </x:c>
      <x:c r="F327" s="13" t="str">
        <x:v>Treinamentos</x:v>
      </x:c>
      <x:c r="G327" s="17" t="n">
        <x:v>3393.03</x:v>
      </x:c>
      <x:c r="H327" s="17" t="n">
        <x:v>3366.69</x:v>
      </x:c>
      <x:c r="I327" s="13" t="str">
        <x:v>Financeiro</x:v>
      </x:c>
      <x:c r="J327" s="13" t="str">
        <x:v>Pago</x:v>
      </x:c>
      <x:c r="K327" s="13" t="str">
        <x:v>Crescimento sem escala</x:v>
      </x:c>
      <x:c r="L327" s="17" t="n">
        <x:f>H327-G327</x:f>
        <x:v>-26.340000000000146</x:v>
      </x:c>
      <x:c r="M327" s="19" t="n">
        <x:f>IFERROR(L327/G327,0)</x:f>
        <x:v>-0.007762972918011378</x:v>
      </x:c>
      <x:c r="N327" s="13" t="n">
        <x:f>D327-C327</x:f>
        <x:v>0</x:v>
      </x:c>
    </x:row>
    <x:row r="328">
      <x:c r="A328" s="13" t="str">
        <x:v>PAG-000327</x:v>
      </x:c>
      <x:c r="B328" s="23" t="n">
        <x:v>45518</x:v>
      </x:c>
      <x:c r="C328" s="23" t="n">
        <x:v>45548</x:v>
      </x:c>
      <x:c r="D328" s="23" t="n">
        <x:v>45546</x:v>
      </x:c>
      <x:c r="E328" s="13" t="str">
        <x:v>Insight BI</x:v>
      </x:c>
      <x:c r="F328" s="13" t="str">
        <x:v>Dados e Analytics</x:v>
      </x:c>
      <x:c r="G328" s="17" t="n">
        <x:v>28995.75</x:v>
      </x:c>
      <x:c r="H328" s="17" t="n">
        <x:v>30480.43</x:v>
      </x:c>
      <x:c r="I328" s="13" t="str">
        <x:v>Gestor da área</x:v>
      </x:c>
      <x:c r="J328" s="13" t="str">
        <x:v>Pago</x:v>
      </x:c>
      <x:c r="K328" s="13" t="str">
        <x:v>Crescimento sem escala</x:v>
      </x:c>
      <x:c r="L328" s="17" t="n">
        <x:f>H328-G328</x:f>
        <x:v>1484.6800000000003</x:v>
      </x:c>
      <x:c r="M328" s="19" t="n">
        <x:f>IFERROR(L328/G328,0)</x:f>
        <x:v>0.05120336601053604</x:v>
      </x:c>
      <x:c r="N328" s="13" t="n">
        <x:f>D328-C328</x:f>
        <x:v>-2</x:v>
      </x:c>
    </x:row>
    <x:row r="329">
      <x:c r="A329" s="13" t="str">
        <x:v>PAG-000328</x:v>
      </x:c>
      <x:c r="B329" s="23" t="n">
        <x:v>45522</x:v>
      </x:c>
      <x:c r="C329" s="23" t="n">
        <x:v>45529</x:v>
      </x:c>
      <x:c r="D329" s="23" t="n">
        <x:v>45527</x:v>
      </x:c>
      <x:c r="E329" s="13" t="str">
        <x:v>CloudCore</x:v>
      </x:c>
      <x:c r="F329" s="13" t="str">
        <x:v>Tecnologia</x:v>
      </x:c>
      <x:c r="G329" s="17" t="n">
        <x:v>2538.81</x:v>
      </x:c>
      <x:c r="H329" s="17" t="n">
        <x:v>2648.13</x:v>
      </x:c>
      <x:c r="I329" s="13" t="str">
        <x:v>Financeiro</x:v>
      </x:c>
      <x:c r="J329" s="13" t="str">
        <x:v>Pago</x:v>
      </x:c>
      <x:c r="K329" s="13" t="str">
        <x:v>Crescimento sem escala</x:v>
      </x:c>
      <x:c r="L329" s="17" t="n">
        <x:f>H329-G329</x:f>
        <x:v>109.32000000000016</x:v>
      </x:c>
      <x:c r="M329" s="19" t="n">
        <x:f>IFERROR(L329/G329,0)</x:f>
        <x:v>0.04305954364446342</x:v>
      </x:c>
      <x:c r="N329" s="13" t="n">
        <x:f>D329-C329</x:f>
        <x:v>-2</x:v>
      </x:c>
    </x:row>
    <x:row r="330">
      <x:c r="A330" s="13" t="str">
        <x:v>PAG-000329</x:v>
      </x:c>
      <x:c r="B330" s="23" t="n">
        <x:v>45510</x:v>
      </x:c>
      <x:c r="C330" s="23" t="n">
        <x:v>45525</x:v>
      </x:c>
      <x:c r="D330" s="23" t="n">
        <x:v>45527</x:v>
      </x:c>
      <x:c r="E330" s="13" t="str">
        <x:v>NetLink</x:v>
      </x:c>
      <x:c r="F330" s="13" t="str">
        <x:v>Telecomunicações</x:v>
      </x:c>
      <x:c r="G330" s="17" t="n">
        <x:v>28534.71</x:v>
      </x:c>
      <x:c r="H330" s="17" t="n">
        <x:v>29996.03</x:v>
      </x:c>
      <x:c r="I330" s="13" t="str">
        <x:v>Financeiro</x:v>
      </x:c>
      <x:c r="J330" s="13" t="str">
        <x:v>Pago</x:v>
      </x:c>
      <x:c r="K330" s="13" t="str">
        <x:v>Crescimento sem escala</x:v>
      </x:c>
      <x:c r="L330" s="17" t="n">
        <x:f>H330-G330</x:f>
        <x:v>1461.3199999999997</x:v>
      </x:c>
      <x:c r="M330" s="19" t="n">
        <x:f>IFERROR(L330/G330,0)</x:f>
        <x:v>0.051212015121233044</x:v>
      </x:c>
      <x:c r="N330" s="13" t="n">
        <x:f>D330-C330</x:f>
        <x:v>2</x:v>
      </x:c>
    </x:row>
    <x:row r="331">
      <x:c r="A331" s="13" t="str">
        <x:v>PAG-000330</x:v>
      </x:c>
      <x:c r="B331" s="23" t="n">
        <x:v>45506</x:v>
      </x:c>
      <x:c r="C331" s="23" t="n">
        <x:v>45526</x:v>
      </x:c>
      <x:c r="D331" s="23" t="n">
        <x:v>45523</x:v>
      </x:c>
      <x:c r="E331" s="13" t="str">
        <x:v>Office Prime</x:v>
      </x:c>
      <x:c r="F331" s="13" t="str">
        <x:v>Escritório</x:v>
      </x:c>
      <x:c r="G331" s="17" t="n">
        <x:v>20028.37</x:v>
      </x:c>
      <x:c r="H331" s="17" t="n">
        <x:v>21311.18</x:v>
      </x:c>
      <x:c r="I331" s="13" t="str">
        <x:v>Financeiro</x:v>
      </x:c>
      <x:c r="J331" s="13" t="str">
        <x:v>Pago</x:v>
      </x:c>
      <x:c r="K331" s="13" t="str">
        <x:v>Crescimento sem escala</x:v>
      </x:c>
      <x:c r="L331" s="17" t="n">
        <x:f>H331-G331</x:f>
        <x:v>1282.8100000000013</x:v>
      </x:c>
      <x:c r="M331" s="19" t="n">
        <x:f>IFERROR(L331/G331,0)</x:f>
        <x:v>0.06404964557774803</x:v>
      </x:c>
      <x:c r="N331" s="13" t="n">
        <x:f>D331-C331</x:f>
        <x:v>-3</x:v>
      </x:c>
    </x:row>
    <x:row r="332">
      <x:c r="A332" s="13" t="str">
        <x:v>PAG-000331</x:v>
      </x:c>
      <x:c r="B332" s="23" t="n">
        <x:v>45517</x:v>
      </x:c>
      <x:c r="C332" s="23" t="n">
        <x:v>45524</x:v>
      </x:c>
      <x:c r="D332" s="23" t="n">
        <x:v>45523</x:v>
      </x:c>
      <x:c r="E332" s="13" t="str">
        <x:v>PeopleHub</x:v>
      </x:c>
      <x:c r="F332" s="13" t="str">
        <x:v>Recursos Humanos</x:v>
      </x:c>
      <x:c r="G332" s="17" t="n">
        <x:v>27385.22</x:v>
      </x:c>
      <x:c r="H332" s="17" t="n">
        <x:v>28338.93</x:v>
      </x:c>
      <x:c r="I332" s="13" t="str">
        <x:v>Financeiro</x:v>
      </x:c>
      <x:c r="J332" s="13" t="str">
        <x:v>Pago</x:v>
      </x:c>
      <x:c r="K332" s="13" t="str">
        <x:v>Crescimento sem escala</x:v>
      </x:c>
      <x:c r="L332" s="17" t="n">
        <x:f>H332-G332</x:f>
        <x:v>953.7099999999991</x:v>
      </x:c>
      <x:c r="M332" s="19" t="n">
        <x:f>IFERROR(L332/G332,0)</x:f>
        <x:v>0.03482571985910645</x:v>
      </x:c>
      <x:c r="N332" s="13" t="n">
        <x:f>D332-C332</x:f>
        <x:v>-1</x:v>
      </x:c>
    </x:row>
    <x:row r="333">
      <x:c r="A333" s="13" t="str">
        <x:v>PAG-000332</x:v>
      </x:c>
      <x:c r="B333" s="23" t="n">
        <x:v>45507</x:v>
      </x:c>
      <x:c r="C333" s="23" t="n">
        <x:v>45514</x:v>
      </x:c>
      <x:c r="D333" s="23" t="n">
        <x:v>45515</x:v>
      </x:c>
      <x:c r="E333" s="13" t="str">
        <x:v>NetLink</x:v>
      </x:c>
      <x:c r="F333" s="13" t="str">
        <x:v>Telecomunicações</x:v>
      </x:c>
      <x:c r="G333" s="17" t="n">
        <x:v>11139.12</x:v>
      </x:c>
      <x:c r="H333" s="17" t="n">
        <x:v>11213.75</x:v>
      </x:c>
      <x:c r="I333" s="13" t="str">
        <x:v>Gestor da área</x:v>
      </x:c>
      <x:c r="J333" s="13" t="str">
        <x:v>Pago</x:v>
      </x:c>
      <x:c r="K333" s="13" t="str">
        <x:v>Crescimento sem escala</x:v>
      </x:c>
      <x:c r="L333" s="17" t="n">
        <x:f>H333-G333</x:f>
        <x:v>74.6299999999992</x:v>
      </x:c>
      <x:c r="M333" s="19" t="n">
        <x:f>IFERROR(L333/G333,0)</x:f>
        <x:v>0.006699811116138366</x:v>
      </x:c>
      <x:c r="N333" s="13" t="n">
        <x:f>D333-C333</x:f>
        <x:v>1</x:v>
      </x:c>
    </x:row>
    <x:row r="334">
      <x:c r="A334" s="13" t="str">
        <x:v>PAG-000333</x:v>
      </x:c>
      <x:c r="B334" s="23" t="n">
        <x:v>45518</x:v>
      </x:c>
      <x:c r="C334" s="23" t="n">
        <x:v>45538</x:v>
      </x:c>
      <x:c r="D334" s="23" t="n">
        <x:v>45535</x:v>
      </x:c>
      <x:c r="E334" s="13" t="str">
        <x:v>LegalMais</x:v>
      </x:c>
      <x:c r="F334" s="13" t="str">
        <x:v>Jurídico</x:v>
      </x:c>
      <x:c r="G334" s="17" t="n">
        <x:v>5543.83</x:v>
      </x:c>
      <x:c r="H334" s="17" t="n">
        <x:v>5875.93</x:v>
      </x:c>
      <x:c r="I334" s="13" t="str">
        <x:v>Gestor da área</x:v>
      </x:c>
      <x:c r="J334" s="13" t="str">
        <x:v>Pago</x:v>
      </x:c>
      <x:c r="K334" s="13" t="str">
        <x:v>Crescimento sem escala</x:v>
      </x:c>
      <x:c r="L334" s="17" t="n">
        <x:f>H334-G334</x:f>
        <x:v>332.10000000000036</x:v>
      </x:c>
      <x:c r="M334" s="19" t="n">
        <x:f>IFERROR(L334/G334,0)</x:f>
        <x:v>0.059904434299031604</x:v>
      </x:c>
      <x:c r="N334" s="13" t="n">
        <x:f>D334-C334</x:f>
        <x:v>-3</x:v>
      </x:c>
    </x:row>
    <x:row r="335">
      <x:c r="A335" s="13" t="str">
        <x:v>PAG-000334</x:v>
      </x:c>
      <x:c r="B335" s="23" t="n">
        <x:v>45507</x:v>
      </x:c>
      <x:c r="C335" s="23" t="n">
        <x:v>45522</x:v>
      </x:c>
      <x:c r="D335" s="23" t="n">
        <x:v>45523</x:v>
      </x:c>
      <x:c r="E335" s="13" t="str">
        <x:v>DataSafe</x:v>
      </x:c>
      <x:c r="F335" s="13" t="str">
        <x:v>Segurança da informação</x:v>
      </x:c>
      <x:c r="G335" s="17" t="n">
        <x:v>12240.63</x:v>
      </x:c>
      <x:c r="H335" s="17" t="n">
        <x:v>13073.53</x:v>
      </x:c>
      <x:c r="I335" s="13" t="str">
        <x:v>Diretoria</x:v>
      </x:c>
      <x:c r="J335" s="13" t="str">
        <x:v>Pago</x:v>
      </x:c>
      <x:c r="K335" s="13" t="str">
        <x:v>Crescimento sem escala</x:v>
      </x:c>
      <x:c r="L335" s="17" t="n">
        <x:f>H335-G335</x:f>
        <x:v>832.9000000000015</x:v>
      </x:c>
      <x:c r="M335" s="19" t="n">
        <x:f>IFERROR(L335/G335,0)</x:f>
        <x:v>0.06804388336221269</x:v>
      </x:c>
      <x:c r="N335" s="13" t="n">
        <x:f>D335-C335</x:f>
        <x:v>1</x:v>
      </x:c>
    </x:row>
    <x:row r="336">
      <x:c r="A336" s="13" t="str">
        <x:v>PAG-000335</x:v>
      </x:c>
      <x:c r="B336" s="23" t="n">
        <x:v>45521</x:v>
      </x:c>
      <x:c r="C336" s="23" t="n">
        <x:v>45528</x:v>
      </x:c>
      <x:c r="D336" s="23" t="n">
        <x:v>45527</x:v>
      </x:c>
      <x:c r="E336" s="13" t="str">
        <x:v>Conta Certa</x:v>
      </x:c>
      <x:c r="F336" s="13" t="str">
        <x:v>Contabilidade</x:v>
      </x:c>
      <x:c r="G336" s="17" t="n">
        <x:v>9447.38</x:v>
      </x:c>
      <x:c r="H336" s="17" t="n">
        <x:v>9392.88</x:v>
      </x:c>
      <x:c r="I336" s="13" t="str">
        <x:v>Diretoria</x:v>
      </x:c>
      <x:c r="J336" s="13" t="str">
        <x:v>Pago</x:v>
      </x:c>
      <x:c r="K336" s="13" t="str">
        <x:v>Crescimento sem escala</x:v>
      </x:c>
      <x:c r="L336" s="17" t="n">
        <x:f>H336-G336</x:f>
        <x:v>-54.5</x:v>
      </x:c>
      <x:c r="M336" s="19" t="n">
        <x:f>IFERROR(L336/G336,0)</x:f>
        <x:v>-0.005768795158022648</x:v>
      </x:c>
      <x:c r="N336" s="13" t="n">
        <x:f>D336-C336</x:f>
        <x:v>-1</x:v>
      </x:c>
    </x:row>
    <x:row r="337">
      <x:c r="A337" s="13" t="str">
        <x:v>PAG-000336</x:v>
      </x:c>
      <x:c r="B337" s="23" t="n">
        <x:v>45516</x:v>
      </x:c>
      <x:c r="C337" s="23" t="n">
        <x:v>45546</x:v>
      </x:c>
      <x:c r="D337" s="23" t="n">
        <x:v>45548</x:v>
      </x:c>
      <x:c r="E337" s="13" t="str">
        <x:v>MarketLab</x:v>
      </x:c>
      <x:c r="F337" s="13" t="str">
        <x:v>Marketing</x:v>
      </x:c>
      <x:c r="G337" s="17" t="n">
        <x:v>27521</x:v>
      </x:c>
      <x:c r="H337" s="17" t="n">
        <x:v>27233.58</x:v>
      </x:c>
      <x:c r="I337" s="13" t="str">
        <x:v>Diretoria</x:v>
      </x:c>
      <x:c r="J337" s="13" t="str">
        <x:v>Pago</x:v>
      </x:c>
      <x:c r="K337" s="13" t="str">
        <x:v>Crescimento sem escala</x:v>
      </x:c>
      <x:c r="L337" s="17" t="n">
        <x:f>H337-G337</x:f>
        <x:v>-287.41999999999825</x:v>
      </x:c>
      <x:c r="M337" s="19" t="n">
        <x:f>IFERROR(L337/G337,0)</x:f>
        <x:v>-0.010443661204171296</x:v>
      </x:c>
      <x:c r="N337" s="13" t="n">
        <x:f>D337-C337</x:f>
        <x:v>2</x:v>
      </x:c>
    </x:row>
    <x:row r="338">
      <x:c r="A338" s="13" t="str">
        <x:v>PAG-000337</x:v>
      </x:c>
      <x:c r="B338" s="23" t="n">
        <x:v>45548</x:v>
      </x:c>
      <x:c r="C338" s="23" t="n">
        <x:v>45568</x:v>
      </x:c>
      <x:c r="D338" s="23" t="n">
        <x:v>45568</x:v>
      </x:c>
      <x:c r="E338" s="13" t="str">
        <x:v>NetLink</x:v>
      </x:c>
      <x:c r="F338" s="13" t="str">
        <x:v>Telecomunicações</x:v>
      </x:c>
      <x:c r="G338" s="17" t="n">
        <x:v>27123.41</x:v>
      </x:c>
      <x:c r="H338" s="17" t="n">
        <x:v>28098.26</x:v>
      </x:c>
      <x:c r="I338" s="13" t="str">
        <x:v>Gestor da área</x:v>
      </x:c>
      <x:c r="J338" s="13" t="str">
        <x:v>Pago</x:v>
      </x:c>
      <x:c r="K338" s="13" t="str">
        <x:v>Crescimento sem escala</x:v>
      </x:c>
      <x:c r="L338" s="17" t="n">
        <x:f>H338-G338</x:f>
        <x:v>974.8499999999985</x:v>
      </x:c>
      <x:c r="M338" s="19" t="n">
        <x:f>IFERROR(L338/G338,0)</x:f>
        <x:v>0.03594127729514831</x:v>
      </x:c>
      <x:c r="N338" s="13" t="n">
        <x:f>D338-C338</x:f>
        <x:v>0</x:v>
      </x:c>
    </x:row>
    <x:row r="339">
      <x:c r="A339" s="13" t="str">
        <x:v>PAG-000338</x:v>
      </x:c>
      <x:c r="B339" s="23" t="n">
        <x:v>45555</x:v>
      </x:c>
      <x:c r="C339" s="23" t="n">
        <x:v>45575</x:v>
      </x:c>
      <x:c r="D339" s="23" t="n">
        <x:v>45573</x:v>
      </x:c>
      <x:c r="E339" s="13" t="str">
        <x:v>PeopleHub</x:v>
      </x:c>
      <x:c r="F339" s="13" t="str">
        <x:v>Recursos Humanos</x:v>
      </x:c>
      <x:c r="G339" s="17" t="n">
        <x:v>31497.36</x:v>
      </x:c>
      <x:c r="H339" s="17" t="n">
        <x:v>32082.53</x:v>
      </x:c>
      <x:c r="I339" s="13" t="str">
        <x:v>Financeiro</x:v>
      </x:c>
      <x:c r="J339" s="13" t="str">
        <x:v>Pago</x:v>
      </x:c>
      <x:c r="K339" s="13" t="str">
        <x:v>Crescimento sem escala</x:v>
      </x:c>
      <x:c r="L339" s="17" t="n">
        <x:f>H339-G339</x:f>
        <x:v>585.1699999999983</x:v>
      </x:c>
      <x:c r="M339" s="19" t="n">
        <x:f>IFERROR(L339/G339,0)</x:f>
        <x:v>0.018578382442210974</x:v>
      </x:c>
      <x:c r="N339" s="13" t="n">
        <x:f>D339-C339</x:f>
        <x:v>-2</x:v>
      </x:c>
    </x:row>
    <x:row r="340">
      <x:c r="A340" s="13" t="str">
        <x:v>PAG-000339</x:v>
      </x:c>
      <x:c r="B340" s="23" t="n">
        <x:v>45538</x:v>
      </x:c>
      <x:c r="C340" s="23" t="n">
        <x:v>45545</x:v>
      </x:c>
      <x:c r="D340" s="23" t="n">
        <x:v>45545</x:v>
      </x:c>
      <x:c r="E340" s="13" t="str">
        <x:v>EducaPro</x:v>
      </x:c>
      <x:c r="F340" s="13" t="str">
        <x:v>Treinamentos</x:v>
      </x:c>
      <x:c r="G340" s="17" t="n">
        <x:v>20152.55</x:v>
      </x:c>
      <x:c r="H340" s="17" t="n">
        <x:v>21299.33</x:v>
      </x:c>
      <x:c r="I340" s="13" t="str">
        <x:v>Gestor da área</x:v>
      </x:c>
      <x:c r="J340" s="13" t="str">
        <x:v>Pago</x:v>
      </x:c>
      <x:c r="K340" s="13" t="str">
        <x:v>Crescimento sem escala</x:v>
      </x:c>
      <x:c r="L340" s="17" t="n">
        <x:f>H340-G340</x:f>
        <x:v>1146.7800000000025</x:v>
      </x:c>
      <x:c r="M340" s="19" t="n">
        <x:f>IFERROR(L340/G340,0)</x:f>
        <x:v>0.056904957437148275</x:v>
      </x:c>
      <x:c r="N340" s="13" t="n">
        <x:f>D340-C340</x:f>
        <x:v>0</x:v>
      </x:c>
    </x:row>
    <x:row r="341">
      <x:c r="A341" s="13" t="str">
        <x:v>PAG-000340</x:v>
      </x:c>
      <x:c r="B341" s="23" t="n">
        <x:v>45546</x:v>
      </x:c>
      <x:c r="C341" s="23" t="n">
        <x:v>45553</x:v>
      </x:c>
      <x:c r="D341" s="23" t="n">
        <x:v>45550</x:v>
      </x:c>
      <x:c r="E341" s="13" t="str">
        <x:v>Conta Certa</x:v>
      </x:c>
      <x:c r="F341" s="13" t="str">
        <x:v>Contabilidade</x:v>
      </x:c>
      <x:c r="G341" s="17" t="n">
        <x:v>26740.77</x:v>
      </x:c>
      <x:c r="H341" s="17" t="n">
        <x:v>27090.39</x:v>
      </x:c>
      <x:c r="I341" s="13" t="str">
        <x:v>Financeiro</x:v>
      </x:c>
      <x:c r="J341" s="13" t="str">
        <x:v>Pago</x:v>
      </x:c>
      <x:c r="K341" s="13" t="str">
        <x:v>Crescimento sem escala</x:v>
      </x:c>
      <x:c r="L341" s="17" t="n">
        <x:f>H341-G341</x:f>
        <x:v>349.619999999999</x:v>
      </x:c>
      <x:c r="M341" s="19" t="n">
        <x:f>IFERROR(L341/G341,0)</x:f>
        <x:v>0.013074417827160512</x:v>
      </x:c>
      <x:c r="N341" s="13" t="n">
        <x:f>D341-C341</x:f>
        <x:v>-3</x:v>
      </x:c>
    </x:row>
    <x:row r="342">
      <x:c r="A342" s="13" t="str">
        <x:v>PAG-000341</x:v>
      </x:c>
      <x:c r="B342" s="23" t="n">
        <x:v>45544</x:v>
      </x:c>
      <x:c r="C342" s="23" t="n">
        <x:v>45559</x:v>
      </x:c>
      <x:c r="D342" s="23" t="n">
        <x:v>45558</x:v>
      </x:c>
      <x:c r="E342" s="13" t="str">
        <x:v>LegalMais</x:v>
      </x:c>
      <x:c r="F342" s="13" t="str">
        <x:v>Jurídico</x:v>
      </x:c>
      <x:c r="G342" s="17" t="n">
        <x:v>18082.28</x:v>
      </x:c>
      <x:c r="H342" s="17" t="n">
        <x:v>18291.75</x:v>
      </x:c>
      <x:c r="I342" s="13" t="str">
        <x:v>Financeiro</x:v>
      </x:c>
      <x:c r="J342" s="13" t="str">
        <x:v>Pago</x:v>
      </x:c>
      <x:c r="K342" s="13" t="str">
        <x:v>Crescimento sem escala</x:v>
      </x:c>
      <x:c r="L342" s="17" t="n">
        <x:f>H342-G342</x:f>
        <x:v>209.47000000000116</x:v>
      </x:c>
      <x:c r="M342" s="19" t="n">
        <x:f>IFERROR(L342/G342,0)</x:f>
        <x:v>0.011584269240383468</x:v>
      </x:c>
      <x:c r="N342" s="13" t="n">
        <x:f>D342-C342</x:f>
        <x:v>-1</x:v>
      </x:c>
    </x:row>
    <x:row r="343">
      <x:c r="A343" s="13" t="str">
        <x:v>PAG-000342</x:v>
      </x:c>
      <x:c r="B343" s="23" t="n">
        <x:v>45539</x:v>
      </x:c>
      <x:c r="C343" s="23" t="n">
        <x:v>45559</x:v>
      </x:c>
      <x:c r="D343" s="23" t="n">
        <x:v>45556</x:v>
      </x:c>
      <x:c r="E343" s="13" t="str">
        <x:v>MarketLab</x:v>
      </x:c>
      <x:c r="F343" s="13" t="str">
        <x:v>Marketing</x:v>
      </x:c>
      <x:c r="G343" s="17" t="n">
        <x:v>18404.71</x:v>
      </x:c>
      <x:c r="H343" s="17" t="n">
        <x:v>18883.01</x:v>
      </x:c>
      <x:c r="I343" s="13" t="str">
        <x:v>Diretoria</x:v>
      </x:c>
      <x:c r="J343" s="13" t="str">
        <x:v>Pago</x:v>
      </x:c>
      <x:c r="K343" s="13" t="str">
        <x:v>Crescimento sem escala</x:v>
      </x:c>
      <x:c r="L343" s="17" t="n">
        <x:f>H343-G343</x:f>
        <x:v>478.2999999999993</x:v>
      </x:c>
      <x:c r="M343" s="19" t="n">
        <x:f>IFERROR(L343/G343,0)</x:f>
        <x:v>0.02598791287664947</x:v>
      </x:c>
      <x:c r="N343" s="13" t="n">
        <x:f>D343-C343</x:f>
        <x:v>-3</x:v>
      </x:c>
    </x:row>
    <x:row r="344">
      <x:c r="A344" s="13" t="str">
        <x:v>PAG-000343</x:v>
      </x:c>
      <x:c r="B344" s="23" t="n">
        <x:v>45540</x:v>
      </x:c>
      <x:c r="C344" s="23" t="n">
        <x:v>45555</x:v>
      </x:c>
      <x:c r="D344" s="23" t="n">
        <x:v>45552</x:v>
      </x:c>
      <x:c r="E344" s="13" t="str">
        <x:v>Insight BI</x:v>
      </x:c>
      <x:c r="F344" s="13" t="str">
        <x:v>Dados e Analytics</x:v>
      </x:c>
      <x:c r="G344" s="17" t="n">
        <x:v>30657.86</x:v>
      </x:c>
      <x:c r="H344" s="17" t="n">
        <x:v>31636.14</x:v>
      </x:c>
      <x:c r="I344" s="13" t="str">
        <x:v>Gestor da área</x:v>
      </x:c>
      <x:c r="J344" s="13" t="str">
        <x:v>Pago</x:v>
      </x:c>
      <x:c r="K344" s="13" t="str">
        <x:v>Crescimento sem escala</x:v>
      </x:c>
      <x:c r="L344" s="17" t="n">
        <x:f>H344-G344</x:f>
        <x:v>978.2799999999988</x:v>
      </x:c>
      <x:c r="M344" s="19" t="n">
        <x:f>IFERROR(L344/G344,0)</x:f>
        <x:v>0.03190959838684105</x:v>
      </x:c>
      <x:c r="N344" s="13" t="n">
        <x:f>D344-C344</x:f>
        <x:v>-3</x:v>
      </x:c>
    </x:row>
    <x:row r="345">
      <x:c r="A345" s="13" t="str">
        <x:v>PAG-000344</x:v>
      </x:c>
      <x:c r="B345" s="23" t="n">
        <x:v>45541</x:v>
      </x:c>
      <x:c r="C345" s="23" t="n">
        <x:v>45561</x:v>
      </x:c>
      <x:c r="D345" s="23" t="n">
        <x:v>45563</x:v>
      </x:c>
      <x:c r="E345" s="13" t="str">
        <x:v>Conta Certa</x:v>
      </x:c>
      <x:c r="F345" s="13" t="str">
        <x:v>Contabilidade</x:v>
      </x:c>
      <x:c r="G345" s="17" t="n">
        <x:v>8603.81</x:v>
      </x:c>
      <x:c r="H345" s="17" t="n">
        <x:v>8455.85</x:v>
      </x:c>
      <x:c r="I345" s="13" t="str">
        <x:v>Gestor da área</x:v>
      </x:c>
      <x:c r="J345" s="13" t="str">
        <x:v>Pago</x:v>
      </x:c>
      <x:c r="K345" s="13" t="str">
        <x:v>Crescimento sem escala</x:v>
      </x:c>
      <x:c r="L345" s="17" t="n">
        <x:f>H345-G345</x:f>
        <x:v>-147.95999999999913</x:v>
      </x:c>
      <x:c r="M345" s="19" t="n">
        <x:f>IFERROR(L345/G345,0)</x:f>
        <x:v>-0.01719703247747209</x:v>
      </x:c>
      <x:c r="N345" s="13" t="n">
        <x:f>D345-C345</x:f>
        <x:v>2</x:v>
      </x:c>
    </x:row>
    <x:row r="346">
      <x:c r="A346" s="13" t="str">
        <x:v>PAG-000345</x:v>
      </x:c>
      <x:c r="B346" s="23" t="n">
        <x:v>45541</x:v>
      </x:c>
      <x:c r="C346" s="23" t="n">
        <x:v>45556</x:v>
      </x:c>
      <x:c r="D346" s="23" t="n">
        <x:v>45555</x:v>
      </x:c>
      <x:c r="E346" s="13" t="str">
        <x:v>CloudCore</x:v>
      </x:c>
      <x:c r="F346" s="13" t="str">
        <x:v>Tecnologia</x:v>
      </x:c>
      <x:c r="G346" s="17" t="n">
        <x:v>12992.72</x:v>
      </x:c>
      <x:c r="H346" s="17" t="n">
        <x:v>13381.28</x:v>
      </x:c>
      <x:c r="I346" s="13" t="str">
        <x:v>Diretoria</x:v>
      </x:c>
      <x:c r="J346" s="13" t="str">
        <x:v>Pago</x:v>
      </x:c>
      <x:c r="K346" s="13" t="str">
        <x:v>Crescimento sem escala</x:v>
      </x:c>
      <x:c r="L346" s="17" t="n">
        <x:f>H346-G346</x:f>
        <x:v>388.5600000000013</x:v>
      </x:c>
      <x:c r="M346" s="19" t="n">
        <x:f>IFERROR(L346/G346,0)</x:f>
        <x:v>0.02990597811697638</x:v>
      </x:c>
      <x:c r="N346" s="13" t="n">
        <x:f>D346-C346</x:f>
        <x:v>-1</x:v>
      </x:c>
    </x:row>
    <x:row r="347">
      <x:c r="A347" s="13" t="str">
        <x:v>PAG-000346</x:v>
      </x:c>
      <x:c r="B347" s="23" t="n">
        <x:v>45542</x:v>
      </x:c>
      <x:c r="C347" s="23" t="n">
        <x:v>45557</x:v>
      </x:c>
      <x:c r="D347" s="23" t="n">
        <x:v>45555</x:v>
      </x:c>
      <x:c r="E347" s="13" t="str">
        <x:v>LegalMais</x:v>
      </x:c>
      <x:c r="F347" s="13" t="str">
        <x:v>Jurídico</x:v>
      </x:c>
      <x:c r="G347" s="17" t="n">
        <x:v>28452.11</x:v>
      </x:c>
      <x:c r="H347" s="17" t="n">
        <x:v>29403.24</x:v>
      </x:c>
      <x:c r="I347" s="13" t="str">
        <x:v>Diretoria</x:v>
      </x:c>
      <x:c r="J347" s="13" t="str">
        <x:v>Pago</x:v>
      </x:c>
      <x:c r="K347" s="13" t="str">
        <x:v>Crescimento sem escala</x:v>
      </x:c>
      <x:c r="L347" s="17" t="n">
        <x:f>H347-G347</x:f>
        <x:v>951.130000000001</x:v>
      </x:c>
      <x:c r="M347" s="19" t="n">
        <x:f>IFERROR(L347/G347,0)</x:f>
        <x:v>0.03342915516634798</x:v>
      </x:c>
      <x:c r="N347" s="13" t="n">
        <x:f>D347-C347</x:f>
        <x:v>-2</x:v>
      </x:c>
    </x:row>
    <x:row r="348">
      <x:c r="A348" s="13" t="str">
        <x:v>PAG-000347</x:v>
      </x:c>
      <x:c r="B348" s="23" t="n">
        <x:v>45555</x:v>
      </x:c>
      <x:c r="C348" s="23" t="n">
        <x:v>45562</x:v>
      </x:c>
      <x:c r="D348" s="23" t="n">
        <x:v>45562</x:v>
      </x:c>
      <x:c r="E348" s="13" t="str">
        <x:v>NetLink</x:v>
      </x:c>
      <x:c r="F348" s="13" t="str">
        <x:v>Telecomunicações</x:v>
      </x:c>
      <x:c r="G348" s="17" t="n">
        <x:v>29530.78</x:v>
      </x:c>
      <x:c r="H348" s="17" t="n">
        <x:v>29936.54</x:v>
      </x:c>
      <x:c r="I348" s="13" t="str">
        <x:v>Financeiro</x:v>
      </x:c>
      <x:c r="J348" s="13" t="str">
        <x:v>Pago</x:v>
      </x:c>
      <x:c r="K348" s="13" t="str">
        <x:v>Crescimento sem escala</x:v>
      </x:c>
      <x:c r="L348" s="17" t="n">
        <x:f>H348-G348</x:f>
        <x:v>405.76000000000204</x:v>
      </x:c>
      <x:c r="M348" s="19" t="n">
        <x:f>IFERROR(L348/G348,0)</x:f>
        <x:v>0.01374023984466384</x:v>
      </x:c>
      <x:c r="N348" s="13" t="n">
        <x:f>D348-C348</x:f>
        <x:v>0</x:v>
      </x:c>
    </x:row>
    <x:row r="349">
      <x:c r="A349" s="13" t="str">
        <x:v>PAG-000348</x:v>
      </x:c>
      <x:c r="B349" s="23" t="n">
        <x:v>45545</x:v>
      </x:c>
      <x:c r="C349" s="23" t="n">
        <x:v>45560</x:v>
      </x:c>
      <x:c r="D349" s="23" t="n">
        <x:v>45560</x:v>
      </x:c>
      <x:c r="E349" s="13" t="str">
        <x:v>LegalMais</x:v>
      </x:c>
      <x:c r="F349" s="13" t="str">
        <x:v>Jurídico</x:v>
      </x:c>
      <x:c r="G349" s="17" t="n">
        <x:v>7692.2</x:v>
      </x:c>
      <x:c r="H349" s="17" t="n">
        <x:v>7927.76</x:v>
      </x:c>
      <x:c r="I349" s="13" t="str">
        <x:v>Financeiro</x:v>
      </x:c>
      <x:c r="J349" s="13" t="str">
        <x:v>Pago</x:v>
      </x:c>
      <x:c r="K349" s="13" t="str">
        <x:v>Crescimento sem escala</x:v>
      </x:c>
      <x:c r="L349" s="17" t="n">
        <x:f>H349-G349</x:f>
        <x:v>235.5600000000004</x:v>
      </x:c>
      <x:c r="M349" s="19" t="n">
        <x:f>IFERROR(L349/G349,0)</x:f>
        <x:v>0.030623228725202206</x:v>
      </x:c>
      <x:c r="N349" s="13" t="n">
        <x:f>D349-C349</x:f>
        <x:v>0</x:v>
      </x:c>
    </x:row>
    <x:row r="350">
      <x:c r="A350" s="13" t="str">
        <x:v>PAG-000349</x:v>
      </x:c>
      <x:c r="B350" s="23" t="n">
        <x:v>45536</x:v>
      </x:c>
      <x:c r="C350" s="23" t="n">
        <x:v>45543</x:v>
      </x:c>
      <x:c r="D350" s="23" t="n">
        <x:v>45541</x:v>
      </x:c>
      <x:c r="E350" s="13" t="str">
        <x:v>DataSafe</x:v>
      </x:c>
      <x:c r="F350" s="13" t="str">
        <x:v>Segurança da informação</x:v>
      </x:c>
      <x:c r="G350" s="17" t="n">
        <x:v>21120.52</x:v>
      </x:c>
      <x:c r="H350" s="17" t="n">
        <x:v>21738.75</x:v>
      </x:c>
      <x:c r="I350" s="13" t="str">
        <x:v>Gestor da área</x:v>
      </x:c>
      <x:c r="J350" s="13" t="str">
        <x:v>Pago</x:v>
      </x:c>
      <x:c r="K350" s="13" t="str">
        <x:v>Crescimento sem escala</x:v>
      </x:c>
      <x:c r="L350" s="17" t="n">
        <x:f>H350-G350</x:f>
        <x:v>618.2299999999996</x:v>
      </x:c>
      <x:c r="M350" s="19" t="n">
        <x:f>IFERROR(L350/G350,0)</x:f>
        <x:v>0.029271533087253512</x:v>
      </x:c>
      <x:c r="N350" s="13" t="n">
        <x:f>D350-C350</x:f>
        <x:v>-2</x:v>
      </x:c>
    </x:row>
    <x:row r="351">
      <x:c r="A351" s="13" t="str">
        <x:v>PAG-000350</x:v>
      </x:c>
      <x:c r="B351" s="23" t="n">
        <x:v>45542</x:v>
      </x:c>
      <x:c r="C351" s="23" t="n">
        <x:v>45557</x:v>
      </x:c>
      <x:c r="D351" s="23" t="n">
        <x:v>45554</x:v>
      </x:c>
      <x:c r="E351" s="13" t="str">
        <x:v>PeopleHub</x:v>
      </x:c>
      <x:c r="F351" s="13" t="str">
        <x:v>Recursos Humanos</x:v>
      </x:c>
      <x:c r="G351" s="17" t="n">
        <x:v>16268.7</x:v>
      </x:c>
      <x:c r="H351" s="17" t="n">
        <x:v>16020.5</x:v>
      </x:c>
      <x:c r="I351" s="13" t="str">
        <x:v>Diretoria</x:v>
      </x:c>
      <x:c r="J351" s="13" t="str">
        <x:v>Pago</x:v>
      </x:c>
      <x:c r="K351" s="13" t="str">
        <x:v>Crescimento sem escala</x:v>
      </x:c>
      <x:c r="L351" s="17" t="n">
        <x:f>H351-G351</x:f>
        <x:v>-248.20000000000073</x:v>
      </x:c>
      <x:c r="M351" s="19" t="n">
        <x:f>IFERROR(L351/G351,0)</x:f>
        <x:v>-0.015256289685100882</x:v>
      </x:c>
      <x:c r="N351" s="13" t="n">
        <x:f>D351-C351</x:f>
        <x:v>-3</x:v>
      </x:c>
    </x:row>
    <x:row r="352">
      <x:c r="A352" s="13" t="str">
        <x:v>PAG-000351</x:v>
      </x:c>
      <x:c r="B352" s="23" t="n">
        <x:v>45552</x:v>
      </x:c>
      <x:c r="C352" s="23" t="n">
        <x:v>45559</x:v>
      </x:c>
      <x:c r="D352" s="23" t="n">
        <x:v>45559</x:v>
      </x:c>
      <x:c r="E352" s="13" t="str">
        <x:v>WorkSpace</x:v>
      </x:c>
      <x:c r="F352" s="13" t="str">
        <x:v>Locação</x:v>
      </x:c>
      <x:c r="G352" s="17" t="n">
        <x:v>31639.95</x:v>
      </x:c>
      <x:c r="H352" s="17" t="n">
        <x:v>33452.24</x:v>
      </x:c>
      <x:c r="I352" s="13" t="str">
        <x:v>Gestor da área</x:v>
      </x:c>
      <x:c r="J352" s="13" t="str">
        <x:v>Pago</x:v>
      </x:c>
      <x:c r="K352" s="13" t="str">
        <x:v>Crescimento sem escala</x:v>
      </x:c>
      <x:c r="L352" s="17" t="n">
        <x:f>H352-G352</x:f>
        <x:v>1812.2899999999972</x:v>
      </x:c>
      <x:c r="M352" s="19" t="n">
        <x:f>IFERROR(L352/G352,0)</x:f>
        <x:v>0.05727853552233797</x:v>
      </x:c>
      <x:c r="N352" s="13" t="n">
        <x:f>D352-C352</x:f>
        <x:v>0</x:v>
      </x:c>
    </x:row>
    <x:row r="353">
      <x:c r="A353" s="13" t="str">
        <x:v>PAG-000352</x:v>
      </x:c>
      <x:c r="B353" s="23" t="n">
        <x:v>45547</x:v>
      </x:c>
      <x:c r="C353" s="23" t="n">
        <x:v>45567</x:v>
      </x:c>
      <x:c r="D353" s="23" t="n">
        <x:v>45564</x:v>
      </x:c>
      <x:c r="E353" s="13" t="str">
        <x:v>PeopleHub</x:v>
      </x:c>
      <x:c r="F353" s="13" t="str">
        <x:v>Recursos Humanos</x:v>
      </x:c>
      <x:c r="G353" s="17" t="n">
        <x:v>7073.58</x:v>
      </x:c>
      <x:c r="H353" s="17" t="n">
        <x:v>7595.51</x:v>
      </x:c>
      <x:c r="I353" s="13" t="str">
        <x:v>Diretoria</x:v>
      </x:c>
      <x:c r="J353" s="13" t="str">
        <x:v>Pago</x:v>
      </x:c>
      <x:c r="K353" s="13" t="str">
        <x:v>Crescimento sem escala</x:v>
      </x:c>
      <x:c r="L353" s="17" t="n">
        <x:f>H353-G353</x:f>
        <x:v>521.9300000000003</x:v>
      </x:c>
      <x:c r="M353" s="19" t="n">
        <x:f>IFERROR(L353/G353,0)</x:f>
        <x:v>0.07378583404725758</x:v>
      </x:c>
      <x:c r="N353" s="13" t="n">
        <x:f>D353-C353</x:f>
        <x:v>-3</x:v>
      </x:c>
    </x:row>
    <x:row r="354">
      <x:c r="A354" s="13" t="str">
        <x:v>PAG-000353</x:v>
      </x:c>
      <x:c r="B354" s="23" t="n">
        <x:v>45544</x:v>
      </x:c>
      <x:c r="C354" s="23" t="n">
        <x:v>45574</x:v>
      </x:c>
      <x:c r="D354" s="23" t="n">
        <x:v>45574</x:v>
      </x:c>
      <x:c r="E354" s="13" t="str">
        <x:v>MarketLab</x:v>
      </x:c>
      <x:c r="F354" s="13" t="str">
        <x:v>Marketing</x:v>
      </x:c>
      <x:c r="G354" s="17" t="n">
        <x:v>7339.12</x:v>
      </x:c>
      <x:c r="H354" s="17" t="n">
        <x:v>7303.67</x:v>
      </x:c>
      <x:c r="I354" s="13" t="str">
        <x:v>Gestor da área</x:v>
      </x:c>
      <x:c r="J354" s="13" t="str">
        <x:v>Pago</x:v>
      </x:c>
      <x:c r="K354" s="13" t="str">
        <x:v>Crescimento sem escala</x:v>
      </x:c>
      <x:c r="L354" s="17" t="n">
        <x:f>H354-G354</x:f>
        <x:v>-35.44999999999982</x:v>
      </x:c>
      <x:c r="M354" s="19" t="n">
        <x:f>IFERROR(L354/G354,0)</x:f>
        <x:v>-0.0048302793795441164</x:v>
      </x:c>
      <x:c r="N354" s="13" t="n">
        <x:f>D354-C354</x:f>
        <x:v>0</x:v>
      </x:c>
    </x:row>
    <x:row r="355">
      <x:c r="A355" s="13" t="str">
        <x:v>PAG-000354</x:v>
      </x:c>
      <x:c r="B355" s="23" t="n">
        <x:v>45544</x:v>
      </x:c>
      <x:c r="C355" s="23" t="n">
        <x:v>45559</x:v>
      </x:c>
      <x:c r="D355" s="23" t="n">
        <x:v>45559</x:v>
      </x:c>
      <x:c r="E355" s="13" t="str">
        <x:v>Insight BI</x:v>
      </x:c>
      <x:c r="F355" s="13" t="str">
        <x:v>Dados e Analytics</x:v>
      </x:c>
      <x:c r="G355" s="17" t="n">
        <x:v>31333.42</x:v>
      </x:c>
      <x:c r="H355" s="17" t="n">
        <x:v>32701.66</x:v>
      </x:c>
      <x:c r="I355" s="13" t="str">
        <x:v>Diretoria</x:v>
      </x:c>
      <x:c r="J355" s="13" t="str">
        <x:v>Pago</x:v>
      </x:c>
      <x:c r="K355" s="13" t="str">
        <x:v>Crescimento sem escala</x:v>
      </x:c>
      <x:c r="L355" s="17" t="n">
        <x:f>H355-G355</x:f>
        <x:v>1368.2400000000016</x:v>
      </x:c>
      <x:c r="M355" s="19" t="n">
        <x:f>IFERROR(L355/G355,0)</x:f>
        <x:v>0.04366711326117614</x:v>
      </x:c>
      <x:c r="N355" s="13" t="n">
        <x:f>D355-C355</x:f>
        <x:v>0</x:v>
      </x:c>
    </x:row>
    <x:row r="356">
      <x:c r="A356" s="13" t="str">
        <x:v>PAG-000355</x:v>
      </x:c>
      <x:c r="B356" s="23" t="n">
        <x:v>45540</x:v>
      </x:c>
      <x:c r="C356" s="23" t="n">
        <x:v>45560</x:v>
      </x:c>
      <x:c r="D356" s="23" t="n">
        <x:v>45560</x:v>
      </x:c>
      <x:c r="E356" s="13" t="str">
        <x:v>EducaPro</x:v>
      </x:c>
      <x:c r="F356" s="13" t="str">
        <x:v>Treinamentos</x:v>
      </x:c>
      <x:c r="G356" s="17" t="n">
        <x:v>8801.47</x:v>
      </x:c>
      <x:c r="H356" s="17" t="n">
        <x:v>8870.22</x:v>
      </x:c>
      <x:c r="I356" s="13" t="str">
        <x:v>Financeiro</x:v>
      </x:c>
      <x:c r="J356" s="13" t="str">
        <x:v>Pago</x:v>
      </x:c>
      <x:c r="K356" s="13" t="str">
        <x:v>Crescimento sem escala</x:v>
      </x:c>
      <x:c r="L356" s="17" t="n">
        <x:f>H356-G356</x:f>
        <x:v>68.75</x:v>
      </x:c>
      <x:c r="M356" s="19" t="n">
        <x:f>IFERROR(L356/G356,0)</x:f>
        <x:v>0.0078111951753513905</x:v>
      </x:c>
      <x:c r="N356" s="13" t="n">
        <x:f>D356-C356</x:f>
        <x:v>0</x:v>
      </x:c>
    </x:row>
    <x:row r="357">
      <x:c r="A357" s="13" t="str">
        <x:v>PAG-000356</x:v>
      </x:c>
      <x:c r="B357" s="23" t="n">
        <x:v>45550</x:v>
      </x:c>
      <x:c r="C357" s="23" t="n">
        <x:v>45565</x:v>
      </x:c>
      <x:c r="D357" s="23" t="n">
        <x:v>45563</x:v>
      </x:c>
      <x:c r="E357" s="13" t="str">
        <x:v>LegalMais</x:v>
      </x:c>
      <x:c r="F357" s="13" t="str">
        <x:v>Jurídico</x:v>
      </x:c>
      <x:c r="G357" s="17" t="n">
        <x:v>16551.81</x:v>
      </x:c>
      <x:c r="H357" s="17" t="n">
        <x:v>17489.05</x:v>
      </x:c>
      <x:c r="I357" s="13" t="str">
        <x:v>Gestor da área</x:v>
      </x:c>
      <x:c r="J357" s="13" t="str">
        <x:v>Pago</x:v>
      </x:c>
      <x:c r="K357" s="13" t="str">
        <x:v>Crescimento sem escala</x:v>
      </x:c>
      <x:c r="L357" s="17" t="n">
        <x:f>H357-G357</x:f>
        <x:v>937.239999999998</x:v>
      </x:c>
      <x:c r="M357" s="19" t="n">
        <x:f>IFERROR(L357/G357,0)</x:f>
        <x:v>0.05662462292643511</x:v>
      </x:c>
      <x:c r="N357" s="13" t="n">
        <x:f>D357-C357</x:f>
        <x:v>-2</x:v>
      </x:c>
    </x:row>
    <x:row r="358">
      <x:c r="A358" s="13" t="str">
        <x:v>PAG-000357</x:v>
      </x:c>
      <x:c r="B358" s="23" t="n">
        <x:v>45554</x:v>
      </x:c>
      <x:c r="C358" s="23" t="n">
        <x:v>45569</x:v>
      </x:c>
      <x:c r="D358" s="23" t="n">
        <x:v>45569</x:v>
      </x:c>
      <x:c r="E358" s="13" t="str">
        <x:v>MarketLab</x:v>
      </x:c>
      <x:c r="F358" s="13" t="str">
        <x:v>Marketing</x:v>
      </x:c>
      <x:c r="G358" s="17" t="n">
        <x:v>18193.29</x:v>
      </x:c>
      <x:c r="H358" s="17" t="n">
        <x:v>18738.15</x:v>
      </x:c>
      <x:c r="I358" s="13" t="str">
        <x:v>Gestor da área</x:v>
      </x:c>
      <x:c r="J358" s="13" t="str">
        <x:v>Pago</x:v>
      </x:c>
      <x:c r="K358" s="13" t="str">
        <x:v>Crescimento sem escala</x:v>
      </x:c>
      <x:c r="L358" s="17" t="n">
        <x:f>H358-G358</x:f>
        <x:v>544.8600000000006</x:v>
      </x:c>
      <x:c r="M358" s="19" t="n">
        <x:f>IFERROR(L358/G358,0)</x:f>
        <x:v>0.029948404054461867</x:v>
      </x:c>
      <x:c r="N358" s="13" t="n">
        <x:f>D358-C358</x:f>
        <x:v>0</x:v>
      </x:c>
    </x:row>
    <x:row r="359">
      <x:c r="A359" s="13" t="str">
        <x:v>PAG-000358</x:v>
      </x:c>
      <x:c r="B359" s="23" t="n">
        <x:v>45551</x:v>
      </x:c>
      <x:c r="C359" s="23" t="n">
        <x:v>45566</x:v>
      </x:c>
      <x:c r="D359" s="23" t="n">
        <x:v>45566</x:v>
      </x:c>
      <x:c r="E359" s="13" t="str">
        <x:v>Conta Certa</x:v>
      </x:c>
      <x:c r="F359" s="13" t="str">
        <x:v>Contabilidade</x:v>
      </x:c>
      <x:c r="G359" s="17" t="n">
        <x:v>14050.62</x:v>
      </x:c>
      <x:c r="H359" s="17" t="n">
        <x:v>14217.23</x:v>
      </x:c>
      <x:c r="I359" s="13" t="str">
        <x:v>Diretoria</x:v>
      </x:c>
      <x:c r="J359" s="13" t="str">
        <x:v>Pago</x:v>
      </x:c>
      <x:c r="K359" s="13" t="str">
        <x:v>Crescimento sem escala</x:v>
      </x:c>
      <x:c r="L359" s="17" t="n">
        <x:f>H359-G359</x:f>
        <x:v>166.60999999999876</x:v>
      </x:c>
      <x:c r="M359" s="19" t="n">
        <x:f>IFERROR(L359/G359,0)</x:f>
        <x:v>0.011857839725222</x:v>
      </x:c>
      <x:c r="N359" s="13" t="n">
        <x:f>D359-C359</x:f>
        <x:v>0</x:v>
      </x:c>
    </x:row>
    <x:row r="360">
      <x:c r="A360" s="13" t="str">
        <x:v>PAG-000359</x:v>
      </x:c>
      <x:c r="B360" s="23" t="n">
        <x:v>45539</x:v>
      </x:c>
      <x:c r="C360" s="23" t="n">
        <x:v>45546</x:v>
      </x:c>
      <x:c r="D360" s="23" t="n">
        <x:v>45544</x:v>
      </x:c>
      <x:c r="E360" s="13" t="str">
        <x:v>EducaPro</x:v>
      </x:c>
      <x:c r="F360" s="13" t="str">
        <x:v>Treinamentos</x:v>
      </x:c>
      <x:c r="G360" s="17" t="n">
        <x:v>26825.44</x:v>
      </x:c>
      <x:c r="H360" s="17" t="n">
        <x:v>27351</x:v>
      </x:c>
      <x:c r="I360" s="13" t="str">
        <x:v>Diretoria</x:v>
      </x:c>
      <x:c r="J360" s="13" t="str">
        <x:v>Pago</x:v>
      </x:c>
      <x:c r="K360" s="13" t="str">
        <x:v>Crescimento sem escala</x:v>
      </x:c>
      <x:c r="L360" s="17" t="n">
        <x:f>H360-G360</x:f>
        <x:v>525.5600000000013</x:v>
      </x:c>
      <x:c r="M360" s="19" t="n">
        <x:f>IFERROR(L360/G360,0)</x:f>
        <x:v>0.019591850124359614</x:v>
      </x:c>
      <x:c r="N360" s="13" t="n">
        <x:f>D360-C360</x:f>
        <x:v>-2</x:v>
      </x:c>
    </x:row>
    <x:row r="361">
      <x:c r="A361" s="13" t="str">
        <x:v>PAG-000360</x:v>
      </x:c>
      <x:c r="B361" s="23" t="n">
        <x:v>45542</x:v>
      </x:c>
      <x:c r="C361" s="23" t="n">
        <x:v>45562</x:v>
      </x:c>
      <x:c r="D361" s="23" t="n">
        <x:v>45562</x:v>
      </x:c>
      <x:c r="E361" s="13" t="str">
        <x:v>LegalMais</x:v>
      </x:c>
      <x:c r="F361" s="13" t="str">
        <x:v>Jurídico</x:v>
      </x:c>
      <x:c r="G361" s="17" t="n">
        <x:v>4314.7</x:v>
      </x:c>
      <x:c r="H361" s="17" t="n">
        <x:v>4571.55</x:v>
      </x:c>
      <x:c r="I361" s="13" t="str">
        <x:v>Financeiro</x:v>
      </x:c>
      <x:c r="J361" s="13" t="str">
        <x:v>Pago</x:v>
      </x:c>
      <x:c r="K361" s="13" t="str">
        <x:v>Crescimento sem escala</x:v>
      </x:c>
      <x:c r="L361" s="17" t="n">
        <x:f>H361-G361</x:f>
        <x:v>256.85000000000036</x:v>
      </x:c>
      <x:c r="M361" s="19" t="n">
        <x:f>IFERROR(L361/G361,0)</x:f>
        <x:v>0.059529051846014876</x:v>
      </x:c>
      <x:c r="N361" s="13" t="n">
        <x:f>D361-C361</x:f>
        <x:v>0</x:v>
      </x:c>
    </x:row>
    <x:row r="362">
      <x:c r="A362" s="13" t="str">
        <x:v>PAG-000361</x:v>
      </x:c>
      <x:c r="B362" s="23" t="n">
        <x:v>45547</x:v>
      </x:c>
      <x:c r="C362" s="23" t="n">
        <x:v>45562</x:v>
      </x:c>
      <x:c r="D362" s="23" t="n">
        <x:v>45564</x:v>
      </x:c>
      <x:c r="E362" s="13" t="str">
        <x:v>DataSafe</x:v>
      </x:c>
      <x:c r="F362" s="13" t="str">
        <x:v>Segurança da informação</x:v>
      </x:c>
      <x:c r="G362" s="17" t="n">
        <x:v>26293.79</x:v>
      </x:c>
      <x:c r="H362" s="17" t="n">
        <x:v>27708.23</x:v>
      </x:c>
      <x:c r="I362" s="13" t="str">
        <x:v>Gestor da área</x:v>
      </x:c>
      <x:c r="J362" s="13" t="str">
        <x:v>Pago</x:v>
      </x:c>
      <x:c r="K362" s="13" t="str">
        <x:v>Crescimento sem escala</x:v>
      </x:c>
      <x:c r="L362" s="17" t="n">
        <x:f>H362-G362</x:f>
        <x:v>1414.4399999999987</x:v>
      </x:c>
      <x:c r="M362" s="19" t="n">
        <x:f>IFERROR(L362/G362,0)</x:f>
        <x:v>0.05379369044934179</x:v>
      </x:c>
      <x:c r="N362" s="13" t="n">
        <x:f>D362-C362</x:f>
        <x:v>2</x:v>
      </x:c>
    </x:row>
    <x:row r="363">
      <x:c r="A363" s="13" t="str">
        <x:v>PAG-000362</x:v>
      </x:c>
      <x:c r="B363" s="23" t="n">
        <x:v>45539</x:v>
      </x:c>
      <x:c r="C363" s="23" t="n">
        <x:v>45554</x:v>
      </x:c>
      <x:c r="D363" s="23" t="n">
        <x:v>45554</x:v>
      </x:c>
      <x:c r="E363" s="13" t="str">
        <x:v>LegalMais</x:v>
      </x:c>
      <x:c r="F363" s="13" t="str">
        <x:v>Jurídico</x:v>
      </x:c>
      <x:c r="G363" s="17" t="n">
        <x:v>28069.84</x:v>
      </x:c>
      <x:c r="H363" s="17" t="n">
        <x:v>27717.16</x:v>
      </x:c>
      <x:c r="I363" s="13" t="str">
        <x:v>Diretoria</x:v>
      </x:c>
      <x:c r="J363" s="13" t="str">
        <x:v>Pago</x:v>
      </x:c>
      <x:c r="K363" s="13" t="str">
        <x:v>Crescimento sem escala</x:v>
      </x:c>
      <x:c r="L363" s="17" t="n">
        <x:f>H363-G363</x:f>
        <x:v>-352.6800000000003</x:v>
      </x:c>
      <x:c r="M363" s="19" t="n">
        <x:f>IFERROR(L363/G363,0)</x:f>
        <x:v>-0.012564375144282984</x:v>
      </x:c>
      <x:c r="N363" s="13" t="n">
        <x:f>D363-C363</x:f>
        <x:v>0</x:v>
      </x:c>
    </x:row>
    <x:row r="364">
      <x:c r="A364" s="13" t="str">
        <x:v>PAG-000363</x:v>
      </x:c>
      <x:c r="B364" s="23" t="n">
        <x:v>45554</x:v>
      </x:c>
      <x:c r="C364" s="23" t="n">
        <x:v>45584</x:v>
      </x:c>
      <x:c r="D364" s="23" t="n">
        <x:v>45582</x:v>
      </x:c>
      <x:c r="E364" s="13" t="str">
        <x:v>Banco Integra</x:v>
      </x:c>
      <x:c r="F364" s="13" t="str">
        <x:v>Serviços bancários</x:v>
      </x:c>
      <x:c r="G364" s="17" t="n">
        <x:v>8077.85</x:v>
      </x:c>
      <x:c r="H364" s="17" t="n">
        <x:v>8088.98</x:v>
      </x:c>
      <x:c r="I364" s="13" t="str">
        <x:v>Diretoria</x:v>
      </x:c>
      <x:c r="J364" s="13" t="str">
        <x:v>Pago</x:v>
      </x:c>
      <x:c r="K364" s="13" t="str">
        <x:v>Crescimento sem escala</x:v>
      </x:c>
      <x:c r="L364" s="17" t="n">
        <x:f>H364-G364</x:f>
        <x:v>11.1299999999992</x:v>
      </x:c>
      <x:c r="M364" s="19" t="n">
        <x:f>IFERROR(L364/G364,0)</x:f>
        <x:v>0.0013778418762417227</x:v>
      </x:c>
      <x:c r="N364" s="13" t="n">
        <x:f>D364-C364</x:f>
        <x:v>-2</x:v>
      </x:c>
    </x:row>
    <x:row r="365">
      <x:c r="A365" s="13" t="str">
        <x:v>PAG-000364</x:v>
      </x:c>
      <x:c r="B365" s="23" t="n">
        <x:v>45552</x:v>
      </x:c>
      <x:c r="C365" s="23" t="n">
        <x:v>45572</x:v>
      </x:c>
      <x:c r="D365" s="23" t="n">
        <x:v>45570</x:v>
      </x:c>
      <x:c r="E365" s="13" t="str">
        <x:v>Conta Certa</x:v>
      </x:c>
      <x:c r="F365" s="13" t="str">
        <x:v>Contabilidade</x:v>
      </x:c>
      <x:c r="G365" s="17" t="n">
        <x:v>24523.82</x:v>
      </x:c>
      <x:c r="H365" s="17" t="n">
        <x:v>24439.89</x:v>
      </x:c>
      <x:c r="I365" s="13" t="str">
        <x:v>Gestor da área</x:v>
      </x:c>
      <x:c r="J365" s="13" t="str">
        <x:v>Pago</x:v>
      </x:c>
      <x:c r="K365" s="13" t="str">
        <x:v>Crescimento sem escala</x:v>
      </x:c>
      <x:c r="L365" s="17" t="n">
        <x:f>H365-G365</x:f>
        <x:v>-83.93000000000029</x:v>
      </x:c>
      <x:c r="M365" s="19" t="n">
        <x:f>IFERROR(L365/G365,0)</x:f>
        <x:v>-0.00342238688752406</x:v>
      </x:c>
      <x:c r="N365" s="13" t="n">
        <x:f>D365-C365</x:f>
        <x:v>-2</x:v>
      </x:c>
    </x:row>
    <x:row r="366">
      <x:c r="A366" s="13" t="str">
        <x:v>PAG-000365</x:v>
      </x:c>
      <x:c r="B366" s="23" t="n">
        <x:v>45543</x:v>
      </x:c>
      <x:c r="C366" s="23" t="n">
        <x:v>45563</x:v>
      </x:c>
      <x:c r="D366" s="23" t="n">
        <x:v>45565</x:v>
      </x:c>
      <x:c r="E366" s="13" t="str">
        <x:v>LegalMais</x:v>
      </x:c>
      <x:c r="F366" s="13" t="str">
        <x:v>Jurídico</x:v>
      </x:c>
      <x:c r="G366" s="17" t="n">
        <x:v>26726.83</x:v>
      </x:c>
      <x:c r="H366" s="17" t="n">
        <x:v>27114.7</x:v>
      </x:c>
      <x:c r="I366" s="13" t="str">
        <x:v>Gestor da área</x:v>
      </x:c>
      <x:c r="J366" s="13" t="str">
        <x:v>Pago</x:v>
      </x:c>
      <x:c r="K366" s="13" t="str">
        <x:v>Crescimento sem escala</x:v>
      </x:c>
      <x:c r="L366" s="17" t="n">
        <x:f>H366-G366</x:f>
        <x:v>387.869999999999</x:v>
      </x:c>
      <x:c r="M366" s="19" t="n">
        <x:f>IFERROR(L366/G366,0)</x:f>
        <x:v>0.01451238324934154</x:v>
      </x:c>
      <x:c r="N366" s="13" t="n">
        <x:f>D366-C366</x:f>
        <x:v>2</x:v>
      </x:c>
    </x:row>
    <x:row r="367">
      <x:c r="A367" s="13" t="str">
        <x:v>PAG-000366</x:v>
      </x:c>
      <x:c r="B367" s="23" t="n">
        <x:v>45537</x:v>
      </x:c>
      <x:c r="C367" s="23" t="n">
        <x:v>45557</x:v>
      </x:c>
      <x:c r="D367" s="23" t="n">
        <x:v>45559</x:v>
      </x:c>
      <x:c r="E367" s="13" t="str">
        <x:v>LegalMais</x:v>
      </x:c>
      <x:c r="F367" s="13" t="str">
        <x:v>Jurídico</x:v>
      </x:c>
      <x:c r="G367" s="17" t="n">
        <x:v>31776.8</x:v>
      </x:c>
      <x:c r="H367" s="17" t="n">
        <x:v>31621.85</x:v>
      </x:c>
      <x:c r="I367" s="13" t="str">
        <x:v>Diretoria</x:v>
      </x:c>
      <x:c r="J367" s="13" t="str">
        <x:v>Pago</x:v>
      </x:c>
      <x:c r="K367" s="13" t="str">
        <x:v>Crescimento sem escala</x:v>
      </x:c>
      <x:c r="L367" s="17" t="n">
        <x:f>H367-G367</x:f>
        <x:v>-154.95000000000073</x:v>
      </x:c>
      <x:c r="M367" s="19" t="n">
        <x:f>IFERROR(L367/G367,0)</x:f>
        <x:v>-0.0048761989879409105</x:v>
      </x:c>
      <x:c r="N367" s="13" t="n">
        <x:f>D367-C367</x:f>
        <x:v>2</x:v>
      </x:c>
    </x:row>
    <x:row r="368">
      <x:c r="A368" s="13" t="str">
        <x:v>PAG-000367</x:v>
      </x:c>
      <x:c r="B368" s="23" t="n">
        <x:v>45542</x:v>
      </x:c>
      <x:c r="C368" s="23" t="n">
        <x:v>45562</x:v>
      </x:c>
      <x:c r="D368" s="23" t="n">
        <x:v>45564</x:v>
      </x:c>
      <x:c r="E368" s="13" t="str">
        <x:v>LegalMais</x:v>
      </x:c>
      <x:c r="F368" s="13" t="str">
        <x:v>Jurídico</x:v>
      </x:c>
      <x:c r="G368" s="17" t="n">
        <x:v>21196.08</x:v>
      </x:c>
      <x:c r="H368" s="17" t="n">
        <x:v>21086.01</x:v>
      </x:c>
      <x:c r="I368" s="13" t="str">
        <x:v>Gestor da área</x:v>
      </x:c>
      <x:c r="J368" s="13" t="str">
        <x:v>Pago</x:v>
      </x:c>
      <x:c r="K368" s="13" t="str">
        <x:v>Crescimento sem escala</x:v>
      </x:c>
      <x:c r="L368" s="17" t="n">
        <x:f>H368-G368</x:f>
        <x:v>-110.07000000000335</x:v>
      </x:c>
      <x:c r="M368" s="19" t="n">
        <x:f>IFERROR(L368/G368,0)</x:f>
        <x:v>-0.005192941336322723</x:v>
      </x:c>
      <x:c r="N368" s="13" t="n">
        <x:f>D368-C368</x:f>
        <x:v>2</x:v>
      </x:c>
    </x:row>
    <x:row r="369">
      <x:c r="A369" s="13" t="str">
        <x:v>PAG-000368</x:v>
      </x:c>
      <x:c r="B369" s="23" t="n">
        <x:v>45554</x:v>
      </x:c>
      <x:c r="C369" s="23" t="n">
        <x:v>45584</x:v>
      </x:c>
      <x:c r="D369" s="23" t="n">
        <x:v>45581</x:v>
      </x:c>
      <x:c r="E369" s="13" t="str">
        <x:v>LegalMais</x:v>
      </x:c>
      <x:c r="F369" s="13" t="str">
        <x:v>Jurídico</x:v>
      </x:c>
      <x:c r="G369" s="17" t="n">
        <x:v>19341.1</x:v>
      </x:c>
      <x:c r="H369" s="17" t="n">
        <x:v>20159.89</x:v>
      </x:c>
      <x:c r="I369" s="13" t="str">
        <x:v>Financeiro</x:v>
      </x:c>
      <x:c r="J369" s="13" t="str">
        <x:v>Pago</x:v>
      </x:c>
      <x:c r="K369" s="13" t="str">
        <x:v>Crescimento sem escala</x:v>
      </x:c>
      <x:c r="L369" s="17" t="n">
        <x:f>H369-G369</x:f>
        <x:v>818.7900000000009</x:v>
      </x:c>
      <x:c r="M369" s="19" t="n">
        <x:f>IFERROR(L369/G369,0)</x:f>
        <x:v>0.0423342002264608</x:v>
      </x:c>
      <x:c r="N369" s="13" t="n">
        <x:f>D369-C369</x:f>
        <x:v>-3</x:v>
      </x:c>
    </x:row>
    <x:row r="370">
      <x:c r="A370" s="13" t="str">
        <x:v>PAG-000369</x:v>
      </x:c>
      <x:c r="B370" s="23" t="n">
        <x:v>45540</x:v>
      </x:c>
      <x:c r="C370" s="23" t="n">
        <x:v>45555</x:v>
      </x:c>
      <x:c r="D370" s="23" t="n">
        <x:v>45554</x:v>
      </x:c>
      <x:c r="E370" s="13" t="str">
        <x:v>Insight BI</x:v>
      </x:c>
      <x:c r="F370" s="13" t="str">
        <x:v>Dados e Analytics</x:v>
      </x:c>
      <x:c r="G370" s="17" t="n">
        <x:v>365.06</x:v>
      </x:c>
      <x:c r="H370" s="17" t="n">
        <x:v>375.51</x:v>
      </x:c>
      <x:c r="I370" s="13" t="str">
        <x:v>Diretoria</x:v>
      </x:c>
      <x:c r="J370" s="13" t="str">
        <x:v>Pago</x:v>
      </x:c>
      <x:c r="K370" s="13" t="str">
        <x:v>Crescimento sem escala</x:v>
      </x:c>
      <x:c r="L370" s="17" t="n">
        <x:f>H370-G370</x:f>
        <x:v>10.449999999999989</x:v>
      </x:c>
      <x:c r="M370" s="19" t="n">
        <x:f>IFERROR(L370/G370,0)</x:f>
        <x:v>0.02862543143592831</x:v>
      </x:c>
      <x:c r="N370" s="13" t="n">
        <x:f>D370-C370</x:f>
        <x:v>-1</x:v>
      </x:c>
    </x:row>
    <x:row r="371">
      <x:c r="A371" s="13" t="str">
        <x:v>PAG-000370</x:v>
      </x:c>
      <x:c r="B371" s="23" t="n">
        <x:v>45551</x:v>
      </x:c>
      <x:c r="C371" s="23" t="n">
        <x:v>45566</x:v>
      </x:c>
      <x:c r="D371" s="23" t="n">
        <x:v>45564</x:v>
      </x:c>
      <x:c r="E371" s="13" t="str">
        <x:v>LegalMais</x:v>
      </x:c>
      <x:c r="F371" s="13" t="str">
        <x:v>Jurídico</x:v>
      </x:c>
      <x:c r="G371" s="17" t="n">
        <x:v>22437.61</x:v>
      </x:c>
      <x:c r="H371" s="17" t="n">
        <x:v>23349.7</x:v>
      </x:c>
      <x:c r="I371" s="13" t="str">
        <x:v>Diretoria</x:v>
      </x:c>
      <x:c r="J371" s="13" t="str">
        <x:v>Pago</x:v>
      </x:c>
      <x:c r="K371" s="13" t="str">
        <x:v>Crescimento sem escala</x:v>
      </x:c>
      <x:c r="L371" s="17" t="n">
        <x:f>H371-G371</x:f>
        <x:v>912.0900000000001</x:v>
      </x:c>
      <x:c r="M371" s="19" t="n">
        <x:f>IFERROR(L371/G371,0)</x:f>
        <x:v>0.04065005140921872</x:v>
      </x:c>
      <x:c r="N371" s="13" t="n">
        <x:f>D371-C371</x:f>
        <x:v>-2</x:v>
      </x:c>
    </x:row>
    <x:row r="372">
      <x:c r="A372" s="13" t="str">
        <x:v>PAG-000371</x:v>
      </x:c>
      <x:c r="B372" s="23" t="n">
        <x:v>45536</x:v>
      </x:c>
      <x:c r="C372" s="23" t="n">
        <x:v>45543</x:v>
      </x:c>
      <x:c r="D372" s="23" t="n">
        <x:v>45544</x:v>
      </x:c>
      <x:c r="E372" s="13" t="str">
        <x:v>WorkSpace</x:v>
      </x:c>
      <x:c r="F372" s="13" t="str">
        <x:v>Locação</x:v>
      </x:c>
      <x:c r="G372" s="17" t="n">
        <x:v>9581.38</x:v>
      </x:c>
      <x:c r="H372" s="17" t="n">
        <x:v>9637.28</x:v>
      </x:c>
      <x:c r="I372" s="13" t="str">
        <x:v>Diretoria</x:v>
      </x:c>
      <x:c r="J372" s="13" t="str">
        <x:v>Pago</x:v>
      </x:c>
      <x:c r="K372" s="13" t="str">
        <x:v>Crescimento sem escala</x:v>
      </x:c>
      <x:c r="L372" s="17" t="n">
        <x:f>H372-G372</x:f>
        <x:v>55.900000000001455</x:v>
      </x:c>
      <x:c r="M372" s="19" t="n">
        <x:f>IFERROR(L372/G372,0)</x:f>
        <x:v>0.005834232647071868</x:v>
      </x:c>
      <x:c r="N372" s="13" t="n">
        <x:f>D372-C372</x:f>
        <x:v>1</x:v>
      </x:c>
    </x:row>
    <x:row r="373">
      <x:c r="A373" s="13" t="str">
        <x:v>PAG-000372</x:v>
      </x:c>
      <x:c r="B373" s="23" t="n">
        <x:v>45537</x:v>
      </x:c>
      <x:c r="C373" s="23" t="n">
        <x:v>45544</x:v>
      </x:c>
      <x:c r="D373" s="23" t="n">
        <x:v>45546</x:v>
      </x:c>
      <x:c r="E373" s="13" t="str">
        <x:v>NetLink</x:v>
      </x:c>
      <x:c r="F373" s="13" t="str">
        <x:v>Telecomunicações</x:v>
      </x:c>
      <x:c r="G373" s="17" t="n">
        <x:v>2114.96</x:v>
      </x:c>
      <x:c r="H373" s="17" t="n">
        <x:v>2238.2</x:v>
      </x:c>
      <x:c r="I373" s="13" t="str">
        <x:v>Diretoria</x:v>
      </x:c>
      <x:c r="J373" s="13" t="str">
        <x:v>Pago</x:v>
      </x:c>
      <x:c r="K373" s="13" t="str">
        <x:v>Crescimento sem escala</x:v>
      </x:c>
      <x:c r="L373" s="17" t="n">
        <x:f>H373-G373</x:f>
        <x:v>123.23999999999978</x:v>
      </x:c>
      <x:c r="M373" s="19" t="n">
        <x:f>IFERROR(L373/G373,0)</x:f>
        <x:v>0.058270605590649366</x:v>
      </x:c>
      <x:c r="N373" s="13" t="n">
        <x:f>D373-C373</x:f>
        <x:v>2</x:v>
      </x:c>
    </x:row>
    <x:row r="374">
      <x:c r="A374" s="13" t="str">
        <x:v>PAG-000373</x:v>
      </x:c>
      <x:c r="B374" s="23" t="n">
        <x:v>45555</x:v>
      </x:c>
      <x:c r="C374" s="23" t="n">
        <x:v>45575</x:v>
      </x:c>
      <x:c r="D374" s="23" t="n">
        <x:v>45577</x:v>
      </x:c>
      <x:c r="E374" s="13" t="str">
        <x:v>DataSafe</x:v>
      </x:c>
      <x:c r="F374" s="13" t="str">
        <x:v>Segurança da informação</x:v>
      </x:c>
      <x:c r="G374" s="17" t="n">
        <x:v>28967.89</x:v>
      </x:c>
      <x:c r="H374" s="17" t="n">
        <x:v>29290.25</x:v>
      </x:c>
      <x:c r="I374" s="13" t="str">
        <x:v>Financeiro</x:v>
      </x:c>
      <x:c r="J374" s="13" t="str">
        <x:v>Pago</x:v>
      </x:c>
      <x:c r="K374" s="13" t="str">
        <x:v>Crescimento sem escala</x:v>
      </x:c>
      <x:c r="L374" s="17" t="n">
        <x:f>H374-G374</x:f>
        <x:v>322.3600000000006</x:v>
      </x:c>
      <x:c r="M374" s="19" t="n">
        <x:f>IFERROR(L374/G374,0)</x:f>
        <x:v>0.011128183654384238</x:v>
      </x:c>
      <x:c r="N374" s="13" t="n">
        <x:f>D374-C374</x:f>
        <x:v>2</x:v>
      </x:c>
    </x:row>
    <x:row r="375">
      <x:c r="A375" s="13" t="str">
        <x:v>PAG-000374</x:v>
      </x:c>
      <x:c r="B375" s="23" t="n">
        <x:v>45550</x:v>
      </x:c>
      <x:c r="C375" s="23" t="n">
        <x:v>45565</x:v>
      </x:c>
      <x:c r="D375" s="23" t="n">
        <x:v>45565</x:v>
      </x:c>
      <x:c r="E375" s="13" t="str">
        <x:v>NetLink</x:v>
      </x:c>
      <x:c r="F375" s="13" t="str">
        <x:v>Telecomunicações</x:v>
      </x:c>
      <x:c r="G375" s="17" t="n">
        <x:v>26900.02</x:v>
      </x:c>
      <x:c r="H375" s="17" t="n">
        <x:v>28147.13</x:v>
      </x:c>
      <x:c r="I375" s="13" t="str">
        <x:v>Gestor da área</x:v>
      </x:c>
      <x:c r="J375" s="13" t="str">
        <x:v>Pago</x:v>
      </x:c>
      <x:c r="K375" s="13" t="str">
        <x:v>Crescimento sem escala</x:v>
      </x:c>
      <x:c r="L375" s="17" t="n">
        <x:f>H375-G375</x:f>
        <x:v>1247.1100000000006</x:v>
      </x:c>
      <x:c r="M375" s="19" t="n">
        <x:f>IFERROR(L375/G375,0)</x:f>
        <x:v>0.04636093207365647</x:v>
      </x:c>
      <x:c r="N375" s="13" t="n">
        <x:f>D375-C375</x:f>
        <x:v>0</x:v>
      </x:c>
    </x:row>
    <x:row r="376">
      <x:c r="A376" s="13" t="str">
        <x:v>PAG-000375</x:v>
      </x:c>
      <x:c r="B376" s="23" t="n">
        <x:v>45554</x:v>
      </x:c>
      <x:c r="C376" s="23" t="n">
        <x:v>45574</x:v>
      </x:c>
      <x:c r="D376" s="23" t="n">
        <x:v>45574</x:v>
      </x:c>
      <x:c r="E376" s="13" t="str">
        <x:v>Banco Integra</x:v>
      </x:c>
      <x:c r="F376" s="13" t="str">
        <x:v>Serviços bancários</x:v>
      </x:c>
      <x:c r="G376" s="17" t="n">
        <x:v>18794.11</x:v>
      </x:c>
      <x:c r="H376" s="17" t="n">
        <x:v>20006.89</x:v>
      </x:c>
      <x:c r="I376" s="13" t="str">
        <x:v>Gestor da área</x:v>
      </x:c>
      <x:c r="J376" s="13" t="str">
        <x:v>Pago</x:v>
      </x:c>
      <x:c r="K376" s="13" t="str">
        <x:v>Crescimento sem escala</x:v>
      </x:c>
      <x:c r="L376" s="17" t="n">
        <x:f>H376-G376</x:f>
        <x:v>1212.7799999999988</x:v>
      </x:c>
      <x:c r="M376" s="19" t="n">
        <x:f>IFERROR(L376/G376,0)</x:f>
        <x:v>0.0645297915144691</x:v>
      </x:c>
      <x:c r="N376" s="13" t="n">
        <x:f>D376-C376</x:f>
        <x:v>0</x:v>
      </x:c>
    </x:row>
    <x:row r="377">
      <x:c r="A377" s="13" t="str">
        <x:v>PAG-000376</x:v>
      </x:c>
      <x:c r="B377" s="23" t="n">
        <x:v>45547</x:v>
      </x:c>
      <x:c r="C377" s="23" t="n">
        <x:v>45554</x:v>
      </x:c>
      <x:c r="D377" s="23" t="n">
        <x:v>45552</x:v>
      </x:c>
      <x:c r="E377" s="13" t="str">
        <x:v>Conta Certa</x:v>
      </x:c>
      <x:c r="F377" s="13" t="str">
        <x:v>Contabilidade</x:v>
      </x:c>
      <x:c r="G377" s="17" t="n">
        <x:v>25654.53</x:v>
      </x:c>
      <x:c r="H377" s="17" t="n">
        <x:v>25878.42</x:v>
      </x:c>
      <x:c r="I377" s="13" t="str">
        <x:v>Diretoria</x:v>
      </x:c>
      <x:c r="J377" s="13" t="str">
        <x:v>Pago</x:v>
      </x:c>
      <x:c r="K377" s="13" t="str">
        <x:v>Crescimento sem escala</x:v>
      </x:c>
      <x:c r="L377" s="17" t="n">
        <x:f>H377-G377</x:f>
        <x:v>223.88999999999942</x:v>
      </x:c>
      <x:c r="M377" s="19" t="n">
        <x:f>IFERROR(L377/G377,0)</x:f>
        <x:v>0.008727113691032322</x:v>
      </x:c>
      <x:c r="N377" s="13" t="n">
        <x:f>D377-C377</x:f>
        <x:v>-2</x:v>
      </x:c>
    </x:row>
    <x:row r="378">
      <x:c r="A378" s="13" t="str">
        <x:v>PAG-000377</x:v>
      </x:c>
      <x:c r="B378" s="23" t="n">
        <x:v>45536</x:v>
      </x:c>
      <x:c r="C378" s="23" t="n">
        <x:v>45543</x:v>
      </x:c>
      <x:c r="D378" s="23" t="n">
        <x:v>45542</x:v>
      </x:c>
      <x:c r="E378" s="13" t="str">
        <x:v>Office Prime</x:v>
      </x:c>
      <x:c r="F378" s="13" t="str">
        <x:v>Escritório</x:v>
      </x:c>
      <x:c r="G378" s="17" t="n">
        <x:v>4349.97</x:v>
      </x:c>
      <x:c r="H378" s="17" t="n">
        <x:v>4609.53</x:v>
      </x:c>
      <x:c r="I378" s="13" t="str">
        <x:v>Financeiro</x:v>
      </x:c>
      <x:c r="J378" s="13" t="str">
        <x:v>Pago</x:v>
      </x:c>
      <x:c r="K378" s="13" t="str">
        <x:v>Crescimento sem escala</x:v>
      </x:c>
      <x:c r="L378" s="17" t="n">
        <x:f>H378-G378</x:f>
        <x:v>259.5599999999995</x:v>
      </x:c>
      <x:c r="M378" s="19" t="n">
        <x:f>IFERROR(L378/G378,0)</x:f>
        <x:v>0.059669377030186294</x:v>
      </x:c>
      <x:c r="N378" s="13" t="n">
        <x:f>D378-C378</x:f>
        <x:v>-1</x:v>
      </x:c>
    </x:row>
    <x:row r="379">
      <x:c r="A379" s="13" t="str">
        <x:v>PAG-000378</x:v>
      </x:c>
      <x:c r="B379" s="23" t="n">
        <x:v>45547</x:v>
      </x:c>
      <x:c r="C379" s="23" t="n">
        <x:v>45562</x:v>
      </x:c>
      <x:c r="D379" s="23" t="n">
        <x:v>45562</x:v>
      </x:c>
      <x:c r="E379" s="13" t="str">
        <x:v>LegalMais</x:v>
      </x:c>
      <x:c r="F379" s="13" t="str">
        <x:v>Jurídico</x:v>
      </x:c>
      <x:c r="G379" s="17" t="n">
        <x:v>5570.34</x:v>
      </x:c>
      <x:c r="H379" s="17" t="n">
        <x:v>5912.54</x:v>
      </x:c>
      <x:c r="I379" s="13" t="str">
        <x:v>Gestor da área</x:v>
      </x:c>
      <x:c r="J379" s="13" t="str">
        <x:v>Pago</x:v>
      </x:c>
      <x:c r="K379" s="13" t="str">
        <x:v>Crescimento sem escala</x:v>
      </x:c>
      <x:c r="L379" s="17" t="n">
        <x:f>H379-G379</x:f>
        <x:v>342.1999999999998</x:v>
      </x:c>
      <x:c r="M379" s="19" t="n">
        <x:f>IFERROR(L379/G379,0)</x:f>
        <x:v>0.061432515788982324</x:v>
      </x:c>
      <x:c r="N379" s="13" t="n">
        <x:f>D379-C379</x:f>
        <x:v>0</x:v>
      </x:c>
    </x:row>
    <x:row r="380">
      <x:c r="A380" s="13" t="str">
        <x:v>PAG-000379</x:v>
      </x:c>
      <x:c r="B380" s="23" t="n">
        <x:v>45576</x:v>
      </x:c>
      <x:c r="C380" s="23" t="n">
        <x:v>45606</x:v>
      </x:c>
      <x:c r="D380" s="23" t="n">
        <x:v>45607</x:v>
      </x:c>
      <x:c r="E380" s="13" t="str">
        <x:v>Insight BI</x:v>
      </x:c>
      <x:c r="F380" s="13" t="str">
        <x:v>Dados e Analytics</x:v>
      </x:c>
      <x:c r="G380" s="17" t="n">
        <x:v>11254.94</x:v>
      </x:c>
      <x:c r="H380" s="17" t="n">
        <x:v>11489.56</x:v>
      </x:c>
      <x:c r="I380" s="13" t="str">
        <x:v>Financeiro</x:v>
      </x:c>
      <x:c r="J380" s="13" t="str">
        <x:v>Pago</x:v>
      </x:c>
      <x:c r="K380" s="13" t="str">
        <x:v>Crescimento sem escala</x:v>
      </x:c>
      <x:c r="L380" s="17" t="n">
        <x:f>H380-G380</x:f>
        <x:v>234.61999999999898</x:v>
      </x:c>
      <x:c r="M380" s="19" t="n">
        <x:f>IFERROR(L380/G380,0)</x:f>
        <x:v>0.02084595741958633</x:v>
      </x:c>
      <x:c r="N380" s="13" t="n">
        <x:f>D380-C380</x:f>
        <x:v>1</x:v>
      </x:c>
    </x:row>
    <x:row r="381">
      <x:c r="A381" s="13" t="str">
        <x:v>PAG-000380</x:v>
      </x:c>
      <x:c r="B381" s="23" t="n">
        <x:v>45570</x:v>
      </x:c>
      <x:c r="C381" s="23" t="n">
        <x:v>45577</x:v>
      </x:c>
      <x:c r="D381" s="23" t="n">
        <x:v>45577</x:v>
      </x:c>
      <x:c r="E381" s="13" t="str">
        <x:v>DataSafe</x:v>
      </x:c>
      <x:c r="F381" s="13" t="str">
        <x:v>Segurança da informação</x:v>
      </x:c>
      <x:c r="G381" s="17" t="n">
        <x:v>14042.83</x:v>
      </x:c>
      <x:c r="H381" s="17" t="n">
        <x:v>14471.41</x:v>
      </x:c>
      <x:c r="I381" s="13" t="str">
        <x:v>Financeiro</x:v>
      </x:c>
      <x:c r="J381" s="13" t="str">
        <x:v>Pago</x:v>
      </x:c>
      <x:c r="K381" s="13" t="str">
        <x:v>Crescimento sem escala</x:v>
      </x:c>
      <x:c r="L381" s="17" t="n">
        <x:f>H381-G381</x:f>
        <x:v>428.5799999999999</x:v>
      </x:c>
      <x:c r="M381" s="19" t="n">
        <x:f>IFERROR(L381/G381,0)</x:f>
        <x:v>0.03051948930521839</x:v>
      </x:c>
      <x:c r="N381" s="13" t="n">
        <x:f>D381-C381</x:f>
        <x:v>0</x:v>
      </x:c>
    </x:row>
    <x:row r="382">
      <x:c r="A382" s="13" t="str">
        <x:v>PAG-000381</x:v>
      </x:c>
      <x:c r="B382" s="23" t="n">
        <x:v>45581</x:v>
      </x:c>
      <x:c r="C382" s="23" t="n">
        <x:v>45588</x:v>
      </x:c>
      <x:c r="D382" s="23" t="n">
        <x:v>45590</x:v>
      </x:c>
      <x:c r="E382" s="13" t="str">
        <x:v>LegalMais</x:v>
      </x:c>
      <x:c r="F382" s="13" t="str">
        <x:v>Jurídico</x:v>
      </x:c>
      <x:c r="G382" s="17" t="n">
        <x:v>26984.02</x:v>
      </x:c>
      <x:c r="H382" s="17" t="n">
        <x:v>28765.34</x:v>
      </x:c>
      <x:c r="I382" s="13" t="str">
        <x:v>Gestor da área</x:v>
      </x:c>
      <x:c r="J382" s="13" t="str">
        <x:v>Pago</x:v>
      </x:c>
      <x:c r="K382" s="13" t="str">
        <x:v>Crescimento sem escala</x:v>
      </x:c>
      <x:c r="L382" s="17" t="n">
        <x:f>H382-G382</x:f>
        <x:v>1781.3199999999997</x:v>
      </x:c>
      <x:c r="M382" s="19" t="n">
        <x:f>IFERROR(L382/G382,0)</x:f>
        <x:v>0.06601388525505095</x:v>
      </x:c>
      <x:c r="N382" s="13" t="n">
        <x:f>D382-C382</x:f>
        <x:v>2</x:v>
      </x:c>
    </x:row>
    <x:row r="383">
      <x:c r="A383" s="13" t="str">
        <x:v>PAG-000382</x:v>
      </x:c>
      <x:c r="B383" s="23" t="n">
        <x:v>45568</x:v>
      </x:c>
      <x:c r="C383" s="23" t="n">
        <x:v>45575</x:v>
      </x:c>
      <x:c r="D383" s="23" t="n">
        <x:v>45575</x:v>
      </x:c>
      <x:c r="E383" s="13" t="str">
        <x:v>MarketLab</x:v>
      </x:c>
      <x:c r="F383" s="13" t="str">
        <x:v>Marketing</x:v>
      </x:c>
      <x:c r="G383" s="17" t="n">
        <x:v>4886.36</x:v>
      </x:c>
      <x:c r="H383" s="17" t="n">
        <x:v>5215.17</x:v>
      </x:c>
      <x:c r="I383" s="13" t="str">
        <x:v>Financeiro</x:v>
      </x:c>
      <x:c r="J383" s="13" t="str">
        <x:v>Pago</x:v>
      </x:c>
      <x:c r="K383" s="13" t="str">
        <x:v>Crescimento sem escala</x:v>
      </x:c>
      <x:c r="L383" s="17" t="n">
        <x:f>H383-G383</x:f>
        <x:v>328.8100000000004</x:v>
      </x:c>
      <x:c r="M383" s="19" t="n">
        <x:f>IFERROR(L383/G383,0)</x:f>
        <x:v>0.06729139891452951</x:v>
      </x:c>
      <x:c r="N383" s="13" t="n">
        <x:f>D383-C383</x:f>
        <x:v>0</x:v>
      </x:c>
    </x:row>
    <x:row r="384">
      <x:c r="A384" s="13" t="str">
        <x:v>PAG-000383</x:v>
      </x:c>
      <x:c r="B384" s="23" t="n">
        <x:v>45575</x:v>
      </x:c>
      <x:c r="C384" s="23" t="n">
        <x:v>45582</x:v>
      </x:c>
      <x:c r="D384" s="23" t="n">
        <x:v>45580</x:v>
      </x:c>
      <x:c r="E384" s="13" t="str">
        <x:v>Banco Integra</x:v>
      </x:c>
      <x:c r="F384" s="13" t="str">
        <x:v>Serviços bancários</x:v>
      </x:c>
      <x:c r="G384" s="17" t="n">
        <x:v>12141.03</x:v>
      </x:c>
      <x:c r="H384" s="17" t="n">
        <x:v>12776.01</x:v>
      </x:c>
      <x:c r="I384" s="13" t="str">
        <x:v>Gestor da área</x:v>
      </x:c>
      <x:c r="J384" s="13" t="str">
        <x:v>Pago</x:v>
      </x:c>
      <x:c r="K384" s="13" t="str">
        <x:v>Crescimento sem escala</x:v>
      </x:c>
      <x:c r="L384" s="17" t="n">
        <x:f>H384-G384</x:f>
        <x:v>634.9799999999996</x:v>
      </x:c>
      <x:c r="M384" s="19" t="n">
        <x:f>IFERROR(L384/G384,0)</x:f>
        <x:v>0.05230034025119776</x:v>
      </x:c>
      <x:c r="N384" s="13" t="n">
        <x:f>D384-C384</x:f>
        <x:v>-2</x:v>
      </x:c>
    </x:row>
    <x:row r="385">
      <x:c r="A385" s="13" t="str">
        <x:v>PAG-000384</x:v>
      </x:c>
      <x:c r="B385" s="23" t="n">
        <x:v>45568</x:v>
      </x:c>
      <x:c r="C385" s="23" t="n">
        <x:v>45575</x:v>
      </x:c>
      <x:c r="D385" s="23" t="n">
        <x:v>45575</x:v>
      </x:c>
      <x:c r="E385" s="13" t="str">
        <x:v>DataSafe</x:v>
      </x:c>
      <x:c r="F385" s="13" t="str">
        <x:v>Segurança da informação</x:v>
      </x:c>
      <x:c r="G385" s="17" t="n">
        <x:v>15211.53</x:v>
      </x:c>
      <x:c r="H385" s="17" t="n">
        <x:v>15250.38</x:v>
      </x:c>
      <x:c r="I385" s="13" t="str">
        <x:v>Gestor da área</x:v>
      </x:c>
      <x:c r="J385" s="13" t="str">
        <x:v>Pago</x:v>
      </x:c>
      <x:c r="K385" s="13" t="str">
        <x:v>Crescimento sem escala</x:v>
      </x:c>
      <x:c r="L385" s="17" t="n">
        <x:f>H385-G385</x:f>
        <x:v>38.849999999998545</x:v>
      </x:c>
      <x:c r="M385" s="19" t="n">
        <x:f>IFERROR(L385/G385,0)</x:f>
        <x:v>0.002553983721558485</x:v>
      </x:c>
      <x:c r="N385" s="13" t="n">
        <x:f>D385-C385</x:f>
        <x:v>0</x:v>
      </x:c>
    </x:row>
    <x:row r="386">
      <x:c r="A386" s="13" t="str">
        <x:v>PAG-000385</x:v>
      </x:c>
      <x:c r="B386" s="23" t="n">
        <x:v>45573</x:v>
      </x:c>
      <x:c r="C386" s="23" t="n">
        <x:v>45588</x:v>
      </x:c>
      <x:c r="D386" s="23" t="n">
        <x:v>45586</x:v>
      </x:c>
      <x:c r="E386" s="13" t="str">
        <x:v>CloudCore</x:v>
      </x:c>
      <x:c r="F386" s="13" t="str">
        <x:v>Tecnologia</x:v>
      </x:c>
      <x:c r="G386" s="17" t="n">
        <x:v>5567.77</x:v>
      </x:c>
      <x:c r="H386" s="17" t="n">
        <x:v>5912.18</x:v>
      </x:c>
      <x:c r="I386" s="13" t="str">
        <x:v>Gestor da área</x:v>
      </x:c>
      <x:c r="J386" s="13" t="str">
        <x:v>Pago</x:v>
      </x:c>
      <x:c r="K386" s="13" t="str">
        <x:v>Crescimento sem escala</x:v>
      </x:c>
      <x:c r="L386" s="17" t="n">
        <x:f>H386-G386</x:f>
        <x:v>344.40999999999985</x:v>
      </x:c>
      <x:c r="M386" s="19" t="n">
        <x:f>IFERROR(L386/G386,0)</x:f>
        <x:v>0.06185779944214646</x:v>
      </x:c>
      <x:c r="N386" s="13" t="n">
        <x:f>D386-C386</x:f>
        <x:v>-2</x:v>
      </x:c>
    </x:row>
    <x:row r="387">
      <x:c r="A387" s="13" t="str">
        <x:v>PAG-000386</x:v>
      </x:c>
      <x:c r="B387" s="23" t="n">
        <x:v>45576</x:v>
      </x:c>
      <x:c r="C387" s="23" t="n">
        <x:v>45606</x:v>
      </x:c>
      <x:c r="D387" s="23" t="n">
        <x:v>45606</x:v>
      </x:c>
      <x:c r="E387" s="13" t="str">
        <x:v>Banco Integra</x:v>
      </x:c>
      <x:c r="F387" s="13" t="str">
        <x:v>Serviços bancários</x:v>
      </x:c>
      <x:c r="G387" s="17" t="n">
        <x:v>7463.35</x:v>
      </x:c>
      <x:c r="H387" s="17" t="n">
        <x:v>7791.35</x:v>
      </x:c>
      <x:c r="I387" s="13" t="str">
        <x:v>Diretoria</x:v>
      </x:c>
      <x:c r="J387" s="13" t="str">
        <x:v>Pago</x:v>
      </x:c>
      <x:c r="K387" s="13" t="str">
        <x:v>Crescimento sem escala</x:v>
      </x:c>
      <x:c r="L387" s="17" t="n">
        <x:f>H387-G387</x:f>
        <x:v>328</x:v>
      </x:c>
      <x:c r="M387" s="19" t="n">
        <x:f>IFERROR(L387/G387,0)</x:f>
        <x:v>0.04394809301453101</x:v>
      </x:c>
      <x:c r="N387" s="13" t="n">
        <x:f>D387-C387</x:f>
        <x:v>0</x:v>
      </x:c>
    </x:row>
    <x:row r="388">
      <x:c r="A388" s="13" t="str">
        <x:v>PAG-000387</x:v>
      </x:c>
      <x:c r="B388" s="23" t="n">
        <x:v>45569</x:v>
      </x:c>
      <x:c r="C388" s="23" t="n">
        <x:v>45576</x:v>
      </x:c>
      <x:c r="D388" s="23" t="n">
        <x:v>45575</x:v>
      </x:c>
      <x:c r="E388" s="13" t="str">
        <x:v>DataSafe</x:v>
      </x:c>
      <x:c r="F388" s="13" t="str">
        <x:v>Segurança da informação</x:v>
      </x:c>
      <x:c r="G388" s="17" t="n">
        <x:v>18454.06</x:v>
      </x:c>
      <x:c r="H388" s="17" t="n">
        <x:v>19522.96</x:v>
      </x:c>
      <x:c r="I388" s="13" t="str">
        <x:v>Diretoria</x:v>
      </x:c>
      <x:c r="J388" s="13" t="str">
        <x:v>Pago</x:v>
      </x:c>
      <x:c r="K388" s="13" t="str">
        <x:v>Crescimento sem escala</x:v>
      </x:c>
      <x:c r="L388" s="17" t="n">
        <x:f>H388-G388</x:f>
        <x:v>1068.8999999999978</x:v>
      </x:c>
      <x:c r="M388" s="19" t="n">
        <x:f>IFERROR(L388/G388,0)</x:f>
        <x:v>0.0579222133232469</x:v>
      </x:c>
      <x:c r="N388" s="13" t="n">
        <x:f>D388-C388</x:f>
        <x:v>-1</x:v>
      </x:c>
    </x:row>
    <x:row r="389">
      <x:c r="A389" s="13" t="str">
        <x:v>PAG-000388</x:v>
      </x:c>
      <x:c r="B389" s="23" t="n">
        <x:v>45582</x:v>
      </x:c>
      <x:c r="C389" s="23" t="n">
        <x:v>45597</x:v>
      </x:c>
      <x:c r="D389" s="23" t="n">
        <x:v>45597</x:v>
      </x:c>
      <x:c r="E389" s="13" t="str">
        <x:v>WorkSpace</x:v>
      </x:c>
      <x:c r="F389" s="13" t="str">
        <x:v>Locação</x:v>
      </x:c>
      <x:c r="G389" s="17" t="n">
        <x:v>19170.06</x:v>
      </x:c>
      <x:c r="H389" s="17" t="n">
        <x:v>19164.55</x:v>
      </x:c>
      <x:c r="I389" s="13" t="str">
        <x:v>Diretoria</x:v>
      </x:c>
      <x:c r="J389" s="13" t="str">
        <x:v>Pago</x:v>
      </x:c>
      <x:c r="K389" s="13" t="str">
        <x:v>Crescimento sem escala</x:v>
      </x:c>
      <x:c r="L389" s="17" t="n">
        <x:f>H389-G389</x:f>
        <x:v>-5.510000000002037</x:v>
      </x:c>
      <x:c r="M389" s="19" t="n">
        <x:f>IFERROR(L389/G389,0)</x:f>
        <x:v>-0.0002874273737276794</x:v>
      </x:c>
      <x:c r="N389" s="13" t="n">
        <x:f>D389-C389</x:f>
        <x:v>0</x:v>
      </x:c>
    </x:row>
    <x:row r="390">
      <x:c r="A390" s="13" t="str">
        <x:v>PAG-000389</x:v>
      </x:c>
      <x:c r="B390" s="23" t="n">
        <x:v>45582</x:v>
      </x:c>
      <x:c r="C390" s="23" t="n">
        <x:v>45597</x:v>
      </x:c>
      <x:c r="D390" s="23" t="n">
        <x:v>45597</x:v>
      </x:c>
      <x:c r="E390" s="13" t="str">
        <x:v>DataSafe</x:v>
      </x:c>
      <x:c r="F390" s="13" t="str">
        <x:v>Segurança da informação</x:v>
      </x:c>
      <x:c r="G390" s="17" t="n">
        <x:v>15115.92</x:v>
      </x:c>
      <x:c r="H390" s="17" t="n">
        <x:v>15159.67</x:v>
      </x:c>
      <x:c r="I390" s="13" t="str">
        <x:v>Gestor da área</x:v>
      </x:c>
      <x:c r="J390" s="13" t="str">
        <x:v>Pago</x:v>
      </x:c>
      <x:c r="K390" s="13" t="str">
        <x:v>Crescimento sem escala</x:v>
      </x:c>
      <x:c r="L390" s="17" t="n">
        <x:f>H390-G390</x:f>
        <x:v>43.75</x:v>
      </x:c>
      <x:c r="M390" s="19" t="n">
        <x:f>IFERROR(L390/G390,0)</x:f>
        <x:v>0.00289429951997629</x:v>
      </x:c>
      <x:c r="N390" s="13" t="n">
        <x:f>D390-C390</x:f>
        <x:v>0</x:v>
      </x:c>
    </x:row>
    <x:row r="391">
      <x:c r="A391" s="13" t="str">
        <x:v>PAG-000390</x:v>
      </x:c>
      <x:c r="B391" s="23" t="n">
        <x:v>45579</x:v>
      </x:c>
      <x:c r="C391" s="23" t="n">
        <x:v>45609</x:v>
      </x:c>
      <x:c r="D391" s="23" t="n">
        <x:v>45608</x:v>
      </x:c>
      <x:c r="E391" s="13" t="str">
        <x:v>EducaPro</x:v>
      </x:c>
      <x:c r="F391" s="13" t="str">
        <x:v>Treinamentos</x:v>
      </x:c>
      <x:c r="G391" s="17" t="n">
        <x:v>14068.69</x:v>
      </x:c>
      <x:c r="H391" s="17" t="n">
        <x:v>14804.9</x:v>
      </x:c>
      <x:c r="I391" s="13" t="str">
        <x:v>Diretoria</x:v>
      </x:c>
      <x:c r="J391" s="13" t="str">
        <x:v>Pago</x:v>
      </x:c>
      <x:c r="K391" s="13" t="str">
        <x:v>Crescimento sem escala</x:v>
      </x:c>
      <x:c r="L391" s="17" t="n">
        <x:f>H391-G391</x:f>
        <x:v>736.2099999999991</x:v>
      </x:c>
      <x:c r="M391" s="19" t="n">
        <x:f>IFERROR(L391/G391,0)</x:f>
        <x:v>0.052329676750287275</x:v>
      </x:c>
      <x:c r="N391" s="13" t="n">
        <x:f>D391-C391</x:f>
        <x:v>-1</x:v>
      </x:c>
    </x:row>
    <x:row r="392">
      <x:c r="A392" s="13" t="str">
        <x:v>PAG-000391</x:v>
      </x:c>
      <x:c r="B392" s="23" t="n">
        <x:v>45570</x:v>
      </x:c>
      <x:c r="C392" s="23" t="n">
        <x:v>45585</x:v>
      </x:c>
      <x:c r="D392" s="23" t="n">
        <x:v>45585</x:v>
      </x:c>
      <x:c r="E392" s="13" t="str">
        <x:v>EducaPro</x:v>
      </x:c>
      <x:c r="F392" s="13" t="str">
        <x:v>Treinamentos</x:v>
      </x:c>
      <x:c r="G392" s="17" t="n">
        <x:v>6686.15</x:v>
      </x:c>
      <x:c r="H392" s="17" t="n">
        <x:v>6889.72</x:v>
      </x:c>
      <x:c r="I392" s="13" t="str">
        <x:v>Financeiro</x:v>
      </x:c>
      <x:c r="J392" s="13" t="str">
        <x:v>Pago</x:v>
      </x:c>
      <x:c r="K392" s="13" t="str">
        <x:v>Crescimento sem escala</x:v>
      </x:c>
      <x:c r="L392" s="17" t="n">
        <x:f>H392-G392</x:f>
        <x:v>203.57000000000062</x:v>
      </x:c>
      <x:c r="M392" s="19" t="n">
        <x:f>IFERROR(L392/G392,0)</x:f>
        <x:v>0.03044652004516809</x:v>
      </x:c>
      <x:c r="N392" s="13" t="n">
        <x:f>D392-C392</x:f>
        <x:v>0</x:v>
      </x:c>
    </x:row>
    <x:row r="393">
      <x:c r="A393" s="13" t="str">
        <x:v>PAG-000392</x:v>
      </x:c>
      <x:c r="B393" s="23" t="n">
        <x:v>45566</x:v>
      </x:c>
      <x:c r="C393" s="23" t="n">
        <x:v>45573</x:v>
      </x:c>
      <x:c r="D393" s="23" t="n">
        <x:v>45572</x:v>
      </x:c>
      <x:c r="E393" s="13" t="str">
        <x:v>PeopleHub</x:v>
      </x:c>
      <x:c r="F393" s="13" t="str">
        <x:v>Recursos Humanos</x:v>
      </x:c>
      <x:c r="G393" s="17" t="n">
        <x:v>29859.86</x:v>
      </x:c>
      <x:c r="H393" s="17" t="n">
        <x:v>30366.64</x:v>
      </x:c>
      <x:c r="I393" s="13" t="str">
        <x:v>Gestor da área</x:v>
      </x:c>
      <x:c r="J393" s="13" t="str">
        <x:v>Pago</x:v>
      </x:c>
      <x:c r="K393" s="13" t="str">
        <x:v>Crescimento sem escala</x:v>
      </x:c>
      <x:c r="L393" s="17" t="n">
        <x:f>H393-G393</x:f>
        <x:v>506.77999999999884</x:v>
      </x:c>
      <x:c r="M393" s="19" t="n">
        <x:f>IFERROR(L393/G393,0)</x:f>
        <x:v>0.016971948294466178</x:v>
      </x:c>
      <x:c r="N393" s="13" t="n">
        <x:f>D393-C393</x:f>
        <x:v>-1</x:v>
      </x:c>
    </x:row>
    <x:row r="394">
      <x:c r="A394" s="13" t="str">
        <x:v>PAG-000393</x:v>
      </x:c>
      <x:c r="B394" s="23" t="n">
        <x:v>45569</x:v>
      </x:c>
      <x:c r="C394" s="23" t="n">
        <x:v>45589</x:v>
      </x:c>
      <x:c r="D394" s="23" t="n">
        <x:v>45589</x:v>
      </x:c>
      <x:c r="E394" s="13" t="str">
        <x:v>Banco Integra</x:v>
      </x:c>
      <x:c r="F394" s="13" t="str">
        <x:v>Serviços bancários</x:v>
      </x:c>
      <x:c r="G394" s="17" t="n">
        <x:v>31081.32</x:v>
      </x:c>
      <x:c r="H394" s="17" t="n">
        <x:v>30703.83</x:v>
      </x:c>
      <x:c r="I394" s="13" t="str">
        <x:v>Diretoria</x:v>
      </x:c>
      <x:c r="J394" s="13" t="str">
        <x:v>Pago</x:v>
      </x:c>
      <x:c r="K394" s="13" t="str">
        <x:v>Crescimento sem escala</x:v>
      </x:c>
      <x:c r="L394" s="17" t="n">
        <x:f>H394-G394</x:f>
        <x:v>-377.48999999999796</x:v>
      </x:c>
      <x:c r="M394" s="19" t="n">
        <x:f>IFERROR(L394/G394,0)</x:f>
        <x:v>-0.012145237074873203</x:v>
      </x:c>
      <x:c r="N394" s="13" t="n">
        <x:f>D394-C394</x:f>
        <x:v>0</x:v>
      </x:c>
    </x:row>
    <x:row r="395">
      <x:c r="A395" s="13" t="str">
        <x:v>PAG-000394</x:v>
      </x:c>
      <x:c r="B395" s="23" t="n">
        <x:v>45579</x:v>
      </x:c>
      <x:c r="C395" s="23" t="n">
        <x:v>45594</x:v>
      </x:c>
      <x:c r="D395" s="23" t="n">
        <x:v>45595</x:v>
      </x:c>
      <x:c r="E395" s="13" t="str">
        <x:v>DataSafe</x:v>
      </x:c>
      <x:c r="F395" s="13" t="str">
        <x:v>Segurança da informação</x:v>
      </x:c>
      <x:c r="G395" s="17" t="n">
        <x:v>17775.09</x:v>
      </x:c>
      <x:c r="H395" s="17" t="n">
        <x:v>18450.42</x:v>
      </x:c>
      <x:c r="I395" s="13" t="str">
        <x:v>Diretoria</x:v>
      </x:c>
      <x:c r="J395" s="13" t="str">
        <x:v>Pago</x:v>
      </x:c>
      <x:c r="K395" s="13" t="str">
        <x:v>Crescimento sem escala</x:v>
      </x:c>
      <x:c r="L395" s="17" t="n">
        <x:f>H395-G395</x:f>
        <x:v>675.3299999999981</x:v>
      </x:c>
      <x:c r="M395" s="19" t="n">
        <x:f>IFERROR(L395/G395,0)</x:f>
        <x:v>0.03799305657524086</x:v>
      </x:c>
      <x:c r="N395" s="13" t="n">
        <x:f>D395-C395</x:f>
        <x:v>1</x:v>
      </x:c>
    </x:row>
    <x:row r="396">
      <x:c r="A396" s="13" t="str">
        <x:v>PAG-000395</x:v>
      </x:c>
      <x:c r="B396" s="23" t="n">
        <x:v>45572</x:v>
      </x:c>
      <x:c r="C396" s="23" t="n">
        <x:v>45592</x:v>
      </x:c>
      <x:c r="D396" s="23" t="n">
        <x:v>45591</x:v>
      </x:c>
      <x:c r="E396" s="13" t="str">
        <x:v>DataSafe</x:v>
      </x:c>
      <x:c r="F396" s="13" t="str">
        <x:v>Segurança da informação</x:v>
      </x:c>
      <x:c r="G396" s="17" t="n">
        <x:v>9491.04</x:v>
      </x:c>
      <x:c r="H396" s="17" t="n">
        <x:v>10065.87</x:v>
      </x:c>
      <x:c r="I396" s="13" t="str">
        <x:v>Gestor da área</x:v>
      </x:c>
      <x:c r="J396" s="13" t="str">
        <x:v>Pago</x:v>
      </x:c>
      <x:c r="K396" s="13" t="str">
        <x:v>Crescimento sem escala</x:v>
      </x:c>
      <x:c r="L396" s="17" t="n">
        <x:f>H396-G396</x:f>
        <x:v>574.8299999999999</x:v>
      </x:c>
      <x:c r="M396" s="19" t="n">
        <x:f>IFERROR(L396/G396,0)</x:f>
        <x:v>0.06056554392353208</x:v>
      </x:c>
      <x:c r="N396" s="13" t="n">
        <x:f>D396-C396</x:f>
        <x:v>-1</x:v>
      </x:c>
    </x:row>
    <x:row r="397">
      <x:c r="A397" s="13" t="str">
        <x:v>PAG-000396</x:v>
      </x:c>
      <x:c r="B397" s="23" t="n">
        <x:v>45574</x:v>
      </x:c>
      <x:c r="C397" s="23" t="n">
        <x:v>45594</x:v>
      </x:c>
      <x:c r="D397" s="23" t="n">
        <x:v>45592</x:v>
      </x:c>
      <x:c r="E397" s="13" t="str">
        <x:v>Banco Integra</x:v>
      </x:c>
      <x:c r="F397" s="13" t="str">
        <x:v>Serviços bancários</x:v>
      </x:c>
      <x:c r="G397" s="17" t="n">
        <x:v>21989.32</x:v>
      </x:c>
      <x:c r="H397" s="17" t="n">
        <x:v>22424.81</x:v>
      </x:c>
      <x:c r="I397" s="13" t="str">
        <x:v>Gestor da área</x:v>
      </x:c>
      <x:c r="J397" s="13" t="str">
        <x:v>Pago</x:v>
      </x:c>
      <x:c r="K397" s="13" t="str">
        <x:v>Crescimento sem escala</x:v>
      </x:c>
      <x:c r="L397" s="17" t="n">
        <x:f>H397-G397</x:f>
        <x:v>435.4900000000016</x:v>
      </x:c>
      <x:c r="M397" s="19" t="n">
        <x:f>IFERROR(L397/G397,0)</x:f>
        <x:v>0.019804614240003855</x:v>
      </x:c>
      <x:c r="N397" s="13" t="n">
        <x:f>D397-C397</x:f>
        <x:v>-2</x:v>
      </x:c>
    </x:row>
    <x:row r="398">
      <x:c r="A398" s="13" t="str">
        <x:v>PAG-000397</x:v>
      </x:c>
      <x:c r="B398" s="23" t="n">
        <x:v>45576</x:v>
      </x:c>
      <x:c r="C398" s="23" t="n">
        <x:v>45606</x:v>
      </x:c>
      <x:c r="D398" s="23" t="n">
        <x:v>45608</x:v>
      </x:c>
      <x:c r="E398" s="13" t="str">
        <x:v>MarketLab</x:v>
      </x:c>
      <x:c r="F398" s="13" t="str">
        <x:v>Marketing</x:v>
      </x:c>
      <x:c r="G398" s="17" t="n">
        <x:v>28372.09</x:v>
      </x:c>
      <x:c r="H398" s="17" t="n">
        <x:v>29555.52</x:v>
      </x:c>
      <x:c r="I398" s="13" t="str">
        <x:v>Gestor da área</x:v>
      </x:c>
      <x:c r="J398" s="13" t="str">
        <x:v>Pago</x:v>
      </x:c>
      <x:c r="K398" s="13" t="str">
        <x:v>Crescimento sem escala</x:v>
      </x:c>
      <x:c r="L398" s="17" t="n">
        <x:f>H398-G398</x:f>
        <x:v>1183.4300000000003</x:v>
      </x:c>
      <x:c r="M398" s="19" t="n">
        <x:f>IFERROR(L398/G398,0)</x:f>
        <x:v>0.04171106182167053</x:v>
      </x:c>
      <x:c r="N398" s="13" t="n">
        <x:f>D398-C398</x:f>
        <x:v>2</x:v>
      </x:c>
    </x:row>
    <x:row r="399">
      <x:c r="A399" s="13" t="str">
        <x:v>PAG-000398</x:v>
      </x:c>
      <x:c r="B399" s="23" t="n">
        <x:v>45567</x:v>
      </x:c>
      <x:c r="C399" s="23" t="n">
        <x:v>45582</x:v>
      </x:c>
      <x:c r="D399" s="23" t="n">
        <x:v>45582</x:v>
      </x:c>
      <x:c r="E399" s="13" t="str">
        <x:v>PeopleHub</x:v>
      </x:c>
      <x:c r="F399" s="13" t="str">
        <x:v>Recursos Humanos</x:v>
      </x:c>
      <x:c r="G399" s="17" t="n">
        <x:v>25511.97</x:v>
      </x:c>
      <x:c r="H399" s="17" t="n">
        <x:v>26032.07</x:v>
      </x:c>
      <x:c r="I399" s="13" t="str">
        <x:v>Diretoria</x:v>
      </x:c>
      <x:c r="J399" s="13" t="str">
        <x:v>Pago</x:v>
      </x:c>
      <x:c r="K399" s="13" t="str">
        <x:v>Crescimento sem escala</x:v>
      </x:c>
      <x:c r="L399" s="17" t="n">
        <x:f>H399-G399</x:f>
        <x:v>520.0999999999985</x:v>
      </x:c>
      <x:c r="M399" s="19" t="n">
        <x:f>IFERROR(L399/G399,0)</x:f>
        <x:v>0.020386508764317243</x:v>
      </x:c>
      <x:c r="N399" s="13" t="n">
        <x:f>D399-C399</x:f>
        <x:v>0</x:v>
      </x:c>
    </x:row>
    <x:row r="400">
      <x:c r="A400" s="13" t="str">
        <x:v>PAG-000399</x:v>
      </x:c>
      <x:c r="B400" s="23" t="n">
        <x:v>45578</x:v>
      </x:c>
      <x:c r="C400" s="23" t="n">
        <x:v>45585</x:v>
      </x:c>
      <x:c r="D400" s="23" t="n">
        <x:v>45585</x:v>
      </x:c>
      <x:c r="E400" s="13" t="str">
        <x:v>LegalMais</x:v>
      </x:c>
      <x:c r="F400" s="13" t="str">
        <x:v>Jurídico</x:v>
      </x:c>
      <x:c r="G400" s="17" t="n">
        <x:v>19724.78</x:v>
      </x:c>
      <x:c r="H400" s="17" t="n">
        <x:v>20038.6</x:v>
      </x:c>
      <x:c r="I400" s="13" t="str">
        <x:v>Diretoria</x:v>
      </x:c>
      <x:c r="J400" s="13" t="str">
        <x:v>Pago</x:v>
      </x:c>
      <x:c r="K400" s="13" t="str">
        <x:v>Crescimento sem escala</x:v>
      </x:c>
      <x:c r="L400" s="17" t="n">
        <x:f>H400-G400</x:f>
        <x:v>313.8199999999997</x:v>
      </x:c>
      <x:c r="M400" s="19" t="n">
        <x:f>IFERROR(L400/G400,0)</x:f>
        <x:v>0.015909936638076556</x:v>
      </x:c>
      <x:c r="N400" s="13" t="n">
        <x:f>D400-C400</x:f>
        <x:v>0</x:v>
      </x:c>
    </x:row>
    <x:row r="401">
      <x:c r="A401" s="13" t="str">
        <x:v>PAG-000400</x:v>
      </x:c>
      <x:c r="B401" s="23" t="n">
        <x:v>45579</x:v>
      </x:c>
      <x:c r="C401" s="23" t="n">
        <x:v>45586</x:v>
      </x:c>
      <x:c r="D401" s="23" t="n">
        <x:v>45588</x:v>
      </x:c>
      <x:c r="E401" s="13" t="str">
        <x:v>EducaPro</x:v>
      </x:c>
      <x:c r="F401" s="13" t="str">
        <x:v>Treinamentos</x:v>
      </x:c>
      <x:c r="G401" s="17" t="n">
        <x:v>23696.38</x:v>
      </x:c>
      <x:c r="H401" s="17" t="n">
        <x:v>24175.06</x:v>
      </x:c>
      <x:c r="I401" s="13" t="str">
        <x:v>Financeiro</x:v>
      </x:c>
      <x:c r="J401" s="13" t="str">
        <x:v>Pago</x:v>
      </x:c>
      <x:c r="K401" s="13" t="str">
        <x:v>Crescimento sem escala</x:v>
      </x:c>
      <x:c r="L401" s="17" t="n">
        <x:f>H401-G401</x:f>
        <x:v>478.6800000000003</x:v>
      </x:c>
      <x:c r="M401" s="19" t="n">
        <x:f>IFERROR(L401/G401,0)</x:f>
        <x:v>0.020200553839869222</x:v>
      </x:c>
      <x:c r="N401" s="13" t="n">
        <x:f>D401-C401</x:f>
        <x:v>2</x:v>
      </x:c>
    </x:row>
    <x:row r="402">
      <x:c r="A402" s="13" t="str">
        <x:v>PAG-000401</x:v>
      </x:c>
      <x:c r="B402" s="23" t="n">
        <x:v>45580</x:v>
      </x:c>
      <x:c r="C402" s="23" t="n">
        <x:v>45610</x:v>
      </x:c>
      <x:c r="D402" s="23" t="n">
        <x:v>45609</x:v>
      </x:c>
      <x:c r="E402" s="13" t="str">
        <x:v>Conta Certa</x:v>
      </x:c>
      <x:c r="F402" s="13" t="str">
        <x:v>Contabilidade</x:v>
      </x:c>
      <x:c r="G402" s="17" t="n">
        <x:v>5367.92</x:v>
      </x:c>
      <x:c r="H402" s="17" t="n">
        <x:v>5555.52</x:v>
      </x:c>
      <x:c r="I402" s="13" t="str">
        <x:v>Gestor da área</x:v>
      </x:c>
      <x:c r="J402" s="13" t="str">
        <x:v>Pago</x:v>
      </x:c>
      <x:c r="K402" s="13" t="str">
        <x:v>Crescimento sem escala</x:v>
      </x:c>
      <x:c r="L402" s="17" t="n">
        <x:f>H402-G402</x:f>
        <x:v>187.60000000000036</x:v>
      </x:c>
      <x:c r="M402" s="19" t="n">
        <x:f>IFERROR(L402/G402,0)</x:f>
        <x:v>0.03494835988613846</x:v>
      </x:c>
      <x:c r="N402" s="13" t="n">
        <x:f>D402-C402</x:f>
        <x:v>-1</x:v>
      </x:c>
    </x:row>
    <x:row r="403">
      <x:c r="A403" s="13" t="str">
        <x:v>PAG-000402</x:v>
      </x:c>
      <x:c r="B403" s="23" t="n">
        <x:v>45570</x:v>
      </x:c>
      <x:c r="C403" s="23" t="n">
        <x:v>45585</x:v>
      </x:c>
      <x:c r="D403" s="23" t="n">
        <x:v>45585</x:v>
      </x:c>
      <x:c r="E403" s="13" t="str">
        <x:v>LegalMais</x:v>
      </x:c>
      <x:c r="F403" s="13" t="str">
        <x:v>Jurídico</x:v>
      </x:c>
      <x:c r="G403" s="17" t="n">
        <x:v>903.03</x:v>
      </x:c>
      <x:c r="H403" s="17" t="n">
        <x:v>887.45</x:v>
      </x:c>
      <x:c r="I403" s="13" t="str">
        <x:v>Diretoria</x:v>
      </x:c>
      <x:c r="J403" s="13" t="str">
        <x:v>Pago</x:v>
      </x:c>
      <x:c r="K403" s="13" t="str">
        <x:v>Crescimento sem escala</x:v>
      </x:c>
      <x:c r="L403" s="17" t="n">
        <x:f>H403-G403</x:f>
        <x:v>-15.579999999999927</x:v>
      </x:c>
      <x:c r="M403" s="19" t="n">
        <x:f>IFERROR(L403/G403,0)</x:f>
        <x:v>-0.017253025923834122</x:v>
      </x:c>
      <x:c r="N403" s="13" t="n">
        <x:f>D403-C403</x:f>
        <x:v>0</x:v>
      </x:c>
    </x:row>
    <x:row r="404">
      <x:c r="A404" s="13" t="str">
        <x:v>PAG-000403</x:v>
      </x:c>
      <x:c r="B404" s="23" t="n">
        <x:v>45580</x:v>
      </x:c>
      <x:c r="C404" s="23" t="n">
        <x:v>45600</x:v>
      </x:c>
      <x:c r="D404" s="23" t="n">
        <x:v>45600</x:v>
      </x:c>
      <x:c r="E404" s="13" t="str">
        <x:v>Banco Integra</x:v>
      </x:c>
      <x:c r="F404" s="13" t="str">
        <x:v>Serviços bancários</x:v>
      </x:c>
      <x:c r="G404" s="17" t="n">
        <x:v>29546.29</x:v>
      </x:c>
      <x:c r="H404" s="17" t="n">
        <x:v>30407.94</x:v>
      </x:c>
      <x:c r="I404" s="13" t="str">
        <x:v>Gestor da área</x:v>
      </x:c>
      <x:c r="J404" s="13" t="str">
        <x:v>Pago</x:v>
      </x:c>
      <x:c r="K404" s="13" t="str">
        <x:v>Crescimento sem escala</x:v>
      </x:c>
      <x:c r="L404" s="17" t="n">
        <x:f>H404-G404</x:f>
        <x:v>861.6499999999978</x:v>
      </x:c>
      <x:c r="M404" s="19" t="n">
        <x:f>IFERROR(L404/G404,0)</x:f>
        <x:v>0.02916271382972271</x:v>
      </x:c>
      <x:c r="N404" s="13" t="n">
        <x:f>D404-C404</x:f>
        <x:v>0</x:v>
      </x:c>
    </x:row>
    <x:row r="405">
      <x:c r="A405" s="13" t="str">
        <x:v>PAG-000404</x:v>
      </x:c>
      <x:c r="B405" s="23" t="n">
        <x:v>45577</x:v>
      </x:c>
      <x:c r="C405" s="23" t="n">
        <x:v>45597</x:v>
      </x:c>
      <x:c r="D405" s="23" t="n">
        <x:v>45594</x:v>
      </x:c>
      <x:c r="E405" s="13" t="str">
        <x:v>CloudCore</x:v>
      </x:c>
      <x:c r="F405" s="13" t="str">
        <x:v>Tecnologia</x:v>
      </x:c>
      <x:c r="G405" s="17" t="n">
        <x:v>8431.81</x:v>
      </x:c>
      <x:c r="H405" s="17" t="n">
        <x:v>8590.98</x:v>
      </x:c>
      <x:c r="I405" s="13" t="str">
        <x:v>Financeiro</x:v>
      </x:c>
      <x:c r="J405" s="13" t="str">
        <x:v>Pago</x:v>
      </x:c>
      <x:c r="K405" s="13" t="str">
        <x:v>Crescimento sem escala</x:v>
      </x:c>
      <x:c r="L405" s="17" t="n">
        <x:f>H405-G405</x:f>
        <x:v>159.17000000000007</x:v>
      </x:c>
      <x:c r="M405" s="19" t="n">
        <x:f>IFERROR(L405/G405,0)</x:f>
        <x:v>0.018877322899828162</x:v>
      </x:c>
      <x:c r="N405" s="13" t="n">
        <x:f>D405-C405</x:f>
        <x:v>-3</x:v>
      </x:c>
    </x:row>
    <x:row r="406">
      <x:c r="A406" s="13" t="str">
        <x:v>PAG-000405</x:v>
      </x:c>
      <x:c r="B406" s="23" t="n">
        <x:v>45569</x:v>
      </x:c>
      <x:c r="C406" s="23" t="n">
        <x:v>45584</x:v>
      </x:c>
      <x:c r="D406" s="23" t="n">
        <x:v>45582</x:v>
      </x:c>
      <x:c r="E406" s="13" t="str">
        <x:v>EducaPro</x:v>
      </x:c>
      <x:c r="F406" s="13" t="str">
        <x:v>Treinamentos</x:v>
      </x:c>
      <x:c r="G406" s="17" t="n">
        <x:v>2171.71</x:v>
      </x:c>
      <x:c r="H406" s="17" t="n">
        <x:v>2191.07</x:v>
      </x:c>
      <x:c r="I406" s="13" t="str">
        <x:v>Diretoria</x:v>
      </x:c>
      <x:c r="J406" s="13" t="str">
        <x:v>Pago</x:v>
      </x:c>
      <x:c r="K406" s="13" t="str">
        <x:v>Crescimento sem escala</x:v>
      </x:c>
      <x:c r="L406" s="17" t="n">
        <x:f>H406-G406</x:f>
        <x:v>19.360000000000127</x:v>
      </x:c>
      <x:c r="M406" s="19" t="n">
        <x:f>IFERROR(L406/G406,0)</x:f>
        <x:v>0.008914634090187053</x:v>
      </x:c>
      <x:c r="N406" s="13" t="n">
        <x:f>D406-C406</x:f>
        <x:v>-2</x:v>
      </x:c>
    </x:row>
    <x:row r="407">
      <x:c r="A407" s="13" t="str">
        <x:v>PAG-000406</x:v>
      </x:c>
      <x:c r="B407" s="23" t="n">
        <x:v>45584</x:v>
      </x:c>
      <x:c r="C407" s="23" t="n">
        <x:v>45604</x:v>
      </x:c>
      <x:c r="D407" s="23" t="n">
        <x:v>45604</x:v>
      </x:c>
      <x:c r="E407" s="13" t="str">
        <x:v>NetLink</x:v>
      </x:c>
      <x:c r="F407" s="13" t="str">
        <x:v>Telecomunicações</x:v>
      </x:c>
      <x:c r="G407" s="17" t="n">
        <x:v>10078.75</x:v>
      </x:c>
      <x:c r="H407" s="17" t="n">
        <x:v>10166.51</x:v>
      </x:c>
      <x:c r="I407" s="13" t="str">
        <x:v>Financeiro</x:v>
      </x:c>
      <x:c r="J407" s="13" t="str">
        <x:v>Pago</x:v>
      </x:c>
      <x:c r="K407" s="13" t="str">
        <x:v>Crescimento sem escala</x:v>
      </x:c>
      <x:c r="L407" s="17" t="n">
        <x:f>H407-G407</x:f>
        <x:v>87.76000000000022</x:v>
      </x:c>
      <x:c r="M407" s="19" t="n">
        <x:f>IFERROR(L407/G407,0)</x:f>
        <x:v>0.008707428996651391</x:v>
      </x:c>
      <x:c r="N407" s="13" t="n">
        <x:f>D407-C407</x:f>
        <x:v>0</x:v>
      </x:c>
    </x:row>
    <x:row r="408">
      <x:c r="A408" s="13" t="str">
        <x:v>PAG-000407</x:v>
      </x:c>
      <x:c r="B408" s="23" t="n">
        <x:v>45578</x:v>
      </x:c>
      <x:c r="C408" s="23" t="n">
        <x:v>45593</x:v>
      </x:c>
      <x:c r="D408" s="23" t="n">
        <x:v>45594</x:v>
      </x:c>
      <x:c r="E408" s="13" t="str">
        <x:v>CloudCore</x:v>
      </x:c>
      <x:c r="F408" s="13" t="str">
        <x:v>Tecnologia</x:v>
      </x:c>
      <x:c r="G408" s="17" t="n">
        <x:v>20741.47</x:v>
      </x:c>
      <x:c r="H408" s="17" t="n">
        <x:v>20708.49</x:v>
      </x:c>
      <x:c r="I408" s="13" t="str">
        <x:v>Gestor da área</x:v>
      </x:c>
      <x:c r="J408" s="13" t="str">
        <x:v>Pago</x:v>
      </x:c>
      <x:c r="K408" s="13" t="str">
        <x:v>Crescimento sem escala</x:v>
      </x:c>
      <x:c r="L408" s="17" t="n">
        <x:f>H408-G408</x:f>
        <x:v>-32.97999999999956</x:v>
      </x:c>
      <x:c r="M408" s="19" t="n">
        <x:f>IFERROR(L408/G408,0)</x:f>
        <x:v>-0.00159005123551993</x:v>
      </x:c>
      <x:c r="N408" s="13" t="n">
        <x:f>D408-C408</x:f>
        <x:v>1</x:v>
      </x:c>
    </x:row>
    <x:row r="409">
      <x:c r="A409" s="13" t="str">
        <x:v>PAG-000408</x:v>
      </x:c>
      <x:c r="B409" s="23" t="n">
        <x:v>45569</x:v>
      </x:c>
      <x:c r="C409" s="23" t="n">
        <x:v>45576</x:v>
      </x:c>
      <x:c r="D409" s="23" t="n">
        <x:v>45576</x:v>
      </x:c>
      <x:c r="E409" s="13" t="str">
        <x:v>EducaPro</x:v>
      </x:c>
      <x:c r="F409" s="13" t="str">
        <x:v>Treinamentos</x:v>
      </x:c>
      <x:c r="G409" s="17" t="n">
        <x:v>7411.27</x:v>
      </x:c>
      <x:c r="H409" s="17" t="n">
        <x:v>7783.74</x:v>
      </x:c>
      <x:c r="I409" s="13" t="str">
        <x:v>Gestor da área</x:v>
      </x:c>
      <x:c r="J409" s="13" t="str">
        <x:v>Pago</x:v>
      </x:c>
      <x:c r="K409" s="13" t="str">
        <x:v>Crescimento sem escala</x:v>
      </x:c>
      <x:c r="L409" s="17" t="n">
        <x:f>H409-G409</x:f>
        <x:v>372.46999999999935</x:v>
      </x:c>
      <x:c r="M409" s="19" t="n">
        <x:f>IFERROR(L409/G409,0)</x:f>
        <x:v>0.0502572433604496</x:v>
      </x:c>
      <x:c r="N409" s="13" t="n">
        <x:f>D409-C409</x:f>
        <x:v>0</x:v>
      </x:c>
    </x:row>
    <x:row r="410">
      <x:c r="A410" s="13" t="str">
        <x:v>PAG-000409</x:v>
      </x:c>
      <x:c r="B410" s="23" t="n">
        <x:v>45574</x:v>
      </x:c>
      <x:c r="C410" s="23" t="n">
        <x:v>45604</x:v>
      </x:c>
      <x:c r="D410" s="23" t="n">
        <x:v>45605</x:v>
      </x:c>
      <x:c r="E410" s="13" t="str">
        <x:v>PeopleHub</x:v>
      </x:c>
      <x:c r="F410" s="13" t="str">
        <x:v>Recursos Humanos</x:v>
      </x:c>
      <x:c r="G410" s="17" t="n">
        <x:v>20052.4</x:v>
      </x:c>
      <x:c r="H410" s="17" t="n">
        <x:v>20080.88</x:v>
      </x:c>
      <x:c r="I410" s="13" t="str">
        <x:v>Financeiro</x:v>
      </x:c>
      <x:c r="J410" s="13" t="str">
        <x:v>Pago</x:v>
      </x:c>
      <x:c r="K410" s="13" t="str">
        <x:v>Crescimento sem escala</x:v>
      </x:c>
      <x:c r="L410" s="17" t="n">
        <x:f>H410-G410</x:f>
        <x:v>28.479999999999563</x:v>
      </x:c>
      <x:c r="M410" s="19" t="n">
        <x:f>IFERROR(L410/G410,0)</x:f>
        <x:v>0.001420278869362249</x:v>
      </x:c>
      <x:c r="N410" s="13" t="n">
        <x:f>D410-C410</x:f>
        <x:v>1</x:v>
      </x:c>
    </x:row>
    <x:row r="411">
      <x:c r="A411" s="13" t="str">
        <x:v>PAG-000410</x:v>
      </x:c>
      <x:c r="B411" s="23" t="n">
        <x:v>45570</x:v>
      </x:c>
      <x:c r="C411" s="23" t="n">
        <x:v>45590</x:v>
      </x:c>
      <x:c r="D411" s="23" t="n">
        <x:v>45590</x:v>
      </x:c>
      <x:c r="E411" s="13" t="str">
        <x:v>NetLink</x:v>
      </x:c>
      <x:c r="F411" s="13" t="str">
        <x:v>Telecomunicações</x:v>
      </x:c>
      <x:c r="G411" s="17" t="n">
        <x:v>27036.15</x:v>
      </x:c>
      <x:c r="H411" s="17" t="n">
        <x:v>28659.53</x:v>
      </x:c>
      <x:c r="I411" s="13" t="str">
        <x:v>Financeiro</x:v>
      </x:c>
      <x:c r="J411" s="13" t="str">
        <x:v>Pago</x:v>
      </x:c>
      <x:c r="K411" s="13" t="str">
        <x:v>Crescimento sem escala</x:v>
      </x:c>
      <x:c r="L411" s="17" t="n">
        <x:f>H411-G411</x:f>
        <x:v>1623.3799999999974</x:v>
      </x:c>
      <x:c r="M411" s="19" t="n">
        <x:f>IFERROR(L411/G411,0)</x:f>
        <x:v>0.06004479188050064</x:v>
      </x:c>
      <x:c r="N411" s="13" t="n">
        <x:f>D411-C411</x:f>
        <x:v>0</x:v>
      </x:c>
    </x:row>
    <x:row r="412">
      <x:c r="A412" s="13" t="str">
        <x:v>PAG-000411</x:v>
      </x:c>
      <x:c r="B412" s="23" t="n">
        <x:v>45583</x:v>
      </x:c>
      <x:c r="C412" s="23" t="n">
        <x:v>45590</x:v>
      </x:c>
      <x:c r="D412" s="23" t="n">
        <x:v>45589</x:v>
      </x:c>
      <x:c r="E412" s="13" t="str">
        <x:v>Insight BI</x:v>
      </x:c>
      <x:c r="F412" s="13" t="str">
        <x:v>Dados e Analytics</x:v>
      </x:c>
      <x:c r="G412" s="17" t="n">
        <x:v>21747.94</x:v>
      </x:c>
      <x:c r="H412" s="17" t="n">
        <x:v>22611.63</x:v>
      </x:c>
      <x:c r="I412" s="13" t="str">
        <x:v>Financeiro</x:v>
      </x:c>
      <x:c r="J412" s="13" t="str">
        <x:v>Pago</x:v>
      </x:c>
      <x:c r="K412" s="13" t="str">
        <x:v>Crescimento sem escala</x:v>
      </x:c>
      <x:c r="L412" s="17" t="n">
        <x:f>H412-G412</x:f>
        <x:v>863.6900000000023</x:v>
      </x:c>
      <x:c r="M412" s="19" t="n">
        <x:f>IFERROR(L412/G412,0)</x:f>
        <x:v>0.03971364644191599</x:v>
      </x:c>
      <x:c r="N412" s="13" t="n">
        <x:f>D412-C412</x:f>
        <x:v>-1</x:v>
      </x:c>
    </x:row>
    <x:row r="413">
      <x:c r="A413" s="13" t="str">
        <x:v>PAG-000412</x:v>
      </x:c>
      <x:c r="B413" s="23" t="n">
        <x:v>45585</x:v>
      </x:c>
      <x:c r="C413" s="23" t="n">
        <x:v>45592</x:v>
      </x:c>
      <x:c r="D413" s="23" t="n">
        <x:v>45590</x:v>
      </x:c>
      <x:c r="E413" s="13" t="str">
        <x:v>LegalMais</x:v>
      </x:c>
      <x:c r="F413" s="13" t="str">
        <x:v>Jurídico</x:v>
      </x:c>
      <x:c r="G413" s="17" t="n">
        <x:v>28100.78</x:v>
      </x:c>
      <x:c r="H413" s="17" t="n">
        <x:v>28022.15</x:v>
      </x:c>
      <x:c r="I413" s="13" t="str">
        <x:v>Gestor da área</x:v>
      </x:c>
      <x:c r="J413" s="13" t="str">
        <x:v>Pago</x:v>
      </x:c>
      <x:c r="K413" s="13" t="str">
        <x:v>Crescimento sem escala</x:v>
      </x:c>
      <x:c r="L413" s="17" t="n">
        <x:f>H413-G413</x:f>
        <x:v>-78.62999999999738</x:v>
      </x:c>
      <x:c r="M413" s="19" t="n">
        <x:f>IFERROR(L413/G413,0)</x:f>
        <x:v>-0.0027981429696968337</x:v>
      </x:c>
      <x:c r="N413" s="13" t="n">
        <x:f>D413-C413</x:f>
        <x:v>-2</x:v>
      </x:c>
    </x:row>
    <x:row r="414">
      <x:c r="A414" s="13" t="str">
        <x:v>PAG-000413</x:v>
      </x:c>
      <x:c r="B414" s="23" t="n">
        <x:v>45567</x:v>
      </x:c>
      <x:c r="C414" s="23" t="n">
        <x:v>45587</x:v>
      </x:c>
      <x:c r="D414" s="23" t="n">
        <x:v>45587</x:v>
      </x:c>
      <x:c r="E414" s="13" t="str">
        <x:v>EducaPro</x:v>
      </x:c>
      <x:c r="F414" s="13" t="str">
        <x:v>Treinamentos</x:v>
      </x:c>
      <x:c r="G414" s="17" t="n">
        <x:v>10790.32</x:v>
      </x:c>
      <x:c r="H414" s="17" t="n">
        <x:v>10867.19</x:v>
      </x:c>
      <x:c r="I414" s="13" t="str">
        <x:v>Financeiro</x:v>
      </x:c>
      <x:c r="J414" s="13" t="str">
        <x:v>Pago</x:v>
      </x:c>
      <x:c r="K414" s="13" t="str">
        <x:v>Crescimento sem escala</x:v>
      </x:c>
      <x:c r="L414" s="17" t="n">
        <x:f>H414-G414</x:f>
        <x:v>76.8700000000008</x:v>
      </x:c>
      <x:c r="M414" s="19" t="n">
        <x:f>IFERROR(L414/G414,0)</x:f>
        <x:v>0.007123977787498499</x:v>
      </x:c>
      <x:c r="N414" s="13" t="n">
        <x:f>D414-C414</x:f>
        <x:v>0</x:v>
      </x:c>
    </x:row>
    <x:row r="415">
      <x:c r="A415" s="13" t="str">
        <x:v>PAG-000414</x:v>
      </x:c>
      <x:c r="B415" s="23" t="n">
        <x:v>45579</x:v>
      </x:c>
      <x:c r="C415" s="23" t="n">
        <x:v>45609</x:v>
      </x:c>
      <x:c r="D415" s="23" t="n">
        <x:v>45609</x:v>
      </x:c>
      <x:c r="E415" s="13" t="str">
        <x:v>Banco Integra</x:v>
      </x:c>
      <x:c r="F415" s="13" t="str">
        <x:v>Serviços bancários</x:v>
      </x:c>
      <x:c r="G415" s="17" t="n">
        <x:v>887.06</x:v>
      </x:c>
      <x:c r="H415" s="17" t="n">
        <x:v>870.95</x:v>
      </x:c>
      <x:c r="I415" s="13" t="str">
        <x:v>Financeiro</x:v>
      </x:c>
      <x:c r="J415" s="13" t="str">
        <x:v>Pago</x:v>
      </x:c>
      <x:c r="K415" s="13" t="str">
        <x:v>Crescimento sem escala</x:v>
      </x:c>
      <x:c r="L415" s="17" t="n">
        <x:f>H415-G415</x:f>
        <x:v>-16.1099999999999</x:v>
      </x:c>
      <x:c r="M415" s="19" t="n">
        <x:f>IFERROR(L415/G415,0)</x:f>
        <x:v>-0.01816111649719286</x:v>
      </x:c>
      <x:c r="N415" s="13" t="n">
        <x:f>D415-C415</x:f>
        <x:v>0</x:v>
      </x:c>
    </x:row>
    <x:row r="416">
      <x:c r="A416" s="13" t="str">
        <x:v>PAG-000415</x:v>
      </x:c>
      <x:c r="B416" s="23" t="n">
        <x:v>45570</x:v>
      </x:c>
      <x:c r="C416" s="23" t="n">
        <x:v>45585</x:v>
      </x:c>
      <x:c r="D416" s="23" t="n">
        <x:v>45585</x:v>
      </x:c>
      <x:c r="E416" s="13" t="str">
        <x:v>LegalMais</x:v>
      </x:c>
      <x:c r="F416" s="13" t="str">
        <x:v>Jurídico</x:v>
      </x:c>
      <x:c r="G416" s="17" t="n">
        <x:v>10008.07</x:v>
      </x:c>
      <x:c r="H416" s="17" t="n">
        <x:v>9983.35</x:v>
      </x:c>
      <x:c r="I416" s="13" t="str">
        <x:v>Gestor da área</x:v>
      </x:c>
      <x:c r="J416" s="13" t="str">
        <x:v>Pago</x:v>
      </x:c>
      <x:c r="K416" s="13" t="str">
        <x:v>Crescimento sem escala</x:v>
      </x:c>
      <x:c r="L416" s="17" t="n">
        <x:f>H416-G416</x:f>
        <x:v>-24.719999999999345</x:v>
      </x:c>
      <x:c r="M416" s="19" t="n">
        <x:f>IFERROR(L416/G416,0)</x:f>
        <x:v>-0.002470006704589331</x:v>
      </x:c>
      <x:c r="N416" s="13" t="n">
        <x:f>D416-C416</x:f>
        <x:v>0</x:v>
      </x:c>
    </x:row>
    <x:row r="417">
      <x:c r="A417" s="13" t="str">
        <x:v>PAG-000416</x:v>
      </x:c>
      <x:c r="B417" s="23" t="n">
        <x:v>45569</x:v>
      </x:c>
      <x:c r="C417" s="23" t="n">
        <x:v>45599</x:v>
      </x:c>
      <x:c r="D417" s="23" t="n">
        <x:v>45601</x:v>
      </x:c>
      <x:c r="E417" s="13" t="str">
        <x:v>Conta Certa</x:v>
      </x:c>
      <x:c r="F417" s="13" t="str">
        <x:v>Contabilidade</x:v>
      </x:c>
      <x:c r="G417" s="17" t="n">
        <x:v>29309.11</x:v>
      </x:c>
      <x:c r="H417" s="17" t="n">
        <x:v>30287.22</x:v>
      </x:c>
      <x:c r="I417" s="13" t="str">
        <x:v>Diretoria</x:v>
      </x:c>
      <x:c r="J417" s="13" t="str">
        <x:v>Pago</x:v>
      </x:c>
      <x:c r="K417" s="13" t="str">
        <x:v>Crescimento sem escala</x:v>
      </x:c>
      <x:c r="L417" s="17" t="n">
        <x:f>H417-G417</x:f>
        <x:v>978.1100000000006</x:v>
      </x:c>
      <x:c r="M417" s="19" t="n">
        <x:f>IFERROR(L417/G417,0)</x:f>
        <x:v>0.03337221771660759</x:v>
      </x:c>
      <x:c r="N417" s="13" t="n">
        <x:f>D417-C417</x:f>
        <x:v>2</x:v>
      </x:c>
    </x:row>
    <x:row r="418">
      <x:c r="A418" s="13" t="str">
        <x:v>PAG-000417</x:v>
      </x:c>
      <x:c r="B418" s="23" t="n">
        <x:v>45584</x:v>
      </x:c>
      <x:c r="C418" s="23" t="n">
        <x:v>45591</x:v>
      </x:c>
      <x:c r="D418" s="23" t="n">
        <x:v>45592</x:v>
      </x:c>
      <x:c r="E418" s="13" t="str">
        <x:v>Office Prime</x:v>
      </x:c>
      <x:c r="F418" s="13" t="str">
        <x:v>Escritório</x:v>
      </x:c>
      <x:c r="G418" s="17" t="n">
        <x:v>1366.69</x:v>
      </x:c>
      <x:c r="H418" s="17" t="n">
        <x:v>1350.26</x:v>
      </x:c>
      <x:c r="I418" s="13" t="str">
        <x:v>Diretoria</x:v>
      </x:c>
      <x:c r="J418" s="13" t="str">
        <x:v>Pago</x:v>
      </x:c>
      <x:c r="K418" s="13" t="str">
        <x:v>Crescimento sem escala</x:v>
      </x:c>
      <x:c r="L418" s="17" t="n">
        <x:f>H418-G418</x:f>
        <x:v>-16.430000000000064</x:v>
      </x:c>
      <x:c r="M418" s="19" t="n">
        <x:f>IFERROR(L418/G418,0)</x:f>
        <x:v>-0.0120217459701908</x:v>
      </x:c>
      <x:c r="N418" s="13" t="n">
        <x:f>D418-C418</x:f>
        <x:v>1</x:v>
      </x:c>
    </x:row>
    <x:row r="419">
      <x:c r="A419" s="13" t="str">
        <x:v>PAG-000418</x:v>
      </x:c>
      <x:c r="B419" s="23" t="n">
        <x:v>45578</x:v>
      </x:c>
      <x:c r="C419" s="23" t="n">
        <x:v>45598</x:v>
      </x:c>
      <x:c r="D419" s="23" t="n">
        <x:v>45597</x:v>
      </x:c>
      <x:c r="E419" s="13" t="str">
        <x:v>MarketLab</x:v>
      </x:c>
      <x:c r="F419" s="13" t="str">
        <x:v>Marketing</x:v>
      </x:c>
      <x:c r="G419" s="17" t="n">
        <x:v>21416.7</x:v>
      </x:c>
      <x:c r="H419" s="17" t="n">
        <x:v>21592.21</x:v>
      </x:c>
      <x:c r="I419" s="13" t="str">
        <x:v>Diretoria</x:v>
      </x:c>
      <x:c r="J419" s="13" t="str">
        <x:v>Pago</x:v>
      </x:c>
      <x:c r="K419" s="13" t="str">
        <x:v>Crescimento sem escala</x:v>
      </x:c>
      <x:c r="L419" s="17" t="n">
        <x:f>H419-G419</x:f>
        <x:v>175.5099999999984</x:v>
      </x:c>
      <x:c r="M419" s="19" t="n">
        <x:f>IFERROR(L419/G419,0)</x:f>
        <x:v>0.008195006700378602</x:v>
      </x:c>
      <x:c r="N419" s="13" t="n">
        <x:f>D419-C419</x:f>
        <x:v>-1</x:v>
      </x:c>
    </x:row>
    <x:row r="420">
      <x:c r="A420" s="13" t="str">
        <x:v>PAG-000419</x:v>
      </x:c>
      <x:c r="B420" s="23" t="n">
        <x:v>45571</x:v>
      </x:c>
      <x:c r="C420" s="23" t="n">
        <x:v>45578</x:v>
      </x:c>
      <x:c r="D420" s="23" t="n">
        <x:v>45578</x:v>
      </x:c>
      <x:c r="E420" s="13" t="str">
        <x:v>Conta Certa</x:v>
      </x:c>
      <x:c r="F420" s="13" t="str">
        <x:v>Contabilidade</x:v>
      </x:c>
      <x:c r="G420" s="17" t="n">
        <x:v>28385.24</x:v>
      </x:c>
      <x:c r="H420" s="17" t="n">
        <x:v>28229.45</x:v>
      </x:c>
      <x:c r="I420" s="13" t="str">
        <x:v>Financeiro</x:v>
      </x:c>
      <x:c r="J420" s="13" t="str">
        <x:v>Pago</x:v>
      </x:c>
      <x:c r="K420" s="13" t="str">
        <x:v>Crescimento sem escala</x:v>
      </x:c>
      <x:c r="L420" s="17" t="n">
        <x:f>H420-G420</x:f>
        <x:v>-155.79000000000087</x:v>
      </x:c>
      <x:c r="M420" s="19" t="n">
        <x:f>IFERROR(L420/G420,0)</x:f>
        <x:v>-0.005488415810470542</x:v>
      </x:c>
      <x:c r="N420" s="13" t="n">
        <x:f>D420-C420</x:f>
        <x:v>0</x:v>
      </x:c>
    </x:row>
    <x:row r="421">
      <x:c r="A421" s="13" t="str">
        <x:v>PAG-000420</x:v>
      </x:c>
      <x:c r="B421" s="23" t="n">
        <x:v>45577</x:v>
      </x:c>
      <x:c r="C421" s="23" t="n">
        <x:v>45597</x:v>
      </x:c>
      <x:c r="D421" s="23" t="n">
        <x:v>45599</x:v>
      </x:c>
      <x:c r="E421" s="13" t="str">
        <x:v>EducaPro</x:v>
      </x:c>
      <x:c r="F421" s="13" t="str">
        <x:v>Treinamentos</x:v>
      </x:c>
      <x:c r="G421" s="17" t="n">
        <x:v>2344.1</x:v>
      </x:c>
      <x:c r="H421" s="17" t="n">
        <x:v>2462.03</x:v>
      </x:c>
      <x:c r="I421" s="13" t="str">
        <x:v>Financeiro</x:v>
      </x:c>
      <x:c r="J421" s="13" t="str">
        <x:v>Pago</x:v>
      </x:c>
      <x:c r="K421" s="13" t="str">
        <x:v>Crescimento sem escala</x:v>
      </x:c>
      <x:c r="L421" s="17" t="n">
        <x:f>H421-G421</x:f>
        <x:v>117.93000000000029</x:v>
      </x:c>
      <x:c r="M421" s="19" t="n">
        <x:f>IFERROR(L421/G421,0)</x:f>
        <x:v>0.05030928714645292</x:v>
      </x:c>
      <x:c r="N421" s="13" t="n">
        <x:f>D421-C421</x:f>
        <x:v>2</x:v>
      </x:c>
    </x:row>
    <x:row r="422">
      <x:c r="A422" s="13" t="str">
        <x:v>PAG-000421</x:v>
      </x:c>
      <x:c r="B422" s="23" t="n">
        <x:v>45606</x:v>
      </x:c>
      <x:c r="C422" s="23" t="n">
        <x:v>45636</x:v>
      </x:c>
      <x:c r="D422" s="23" t="n">
        <x:v>45633</x:v>
      </x:c>
      <x:c r="E422" s="13" t="str">
        <x:v>LegalMais</x:v>
      </x:c>
      <x:c r="F422" s="13" t="str">
        <x:v>Jurídico</x:v>
      </x:c>
      <x:c r="G422" s="17" t="n">
        <x:v>5145.16</x:v>
      </x:c>
      <x:c r="H422" s="17" t="n">
        <x:v>5086.58</x:v>
      </x:c>
      <x:c r="I422" s="13" t="str">
        <x:v>Diretoria</x:v>
      </x:c>
      <x:c r="J422" s="13" t="str">
        <x:v>Pago</x:v>
      </x:c>
      <x:c r="K422" s="13" t="str">
        <x:v>Crescimento sem escala</x:v>
      </x:c>
      <x:c r="L422" s="17" t="n">
        <x:f>H422-G422</x:f>
        <x:v>-58.57999999999993</x:v>
      </x:c>
      <x:c r="M422" s="19" t="n">
        <x:f>IFERROR(L422/G422,0)</x:f>
        <x:v>-0.011385457400741653</x:v>
      </x:c>
      <x:c r="N422" s="13" t="n">
        <x:f>D422-C422</x:f>
        <x:v>-3</x:v>
      </x:c>
    </x:row>
    <x:row r="423">
      <x:c r="A423" s="13" t="str">
        <x:v>PAG-000422</x:v>
      </x:c>
      <x:c r="B423" s="23" t="n">
        <x:v>45613</x:v>
      </x:c>
      <x:c r="C423" s="23" t="n">
        <x:v>45643</x:v>
      </x:c>
      <x:c r="D423" s="23" t="n">
        <x:v>45643</x:v>
      </x:c>
      <x:c r="E423" s="13" t="str">
        <x:v>Conta Certa</x:v>
      </x:c>
      <x:c r="F423" s="13" t="str">
        <x:v>Contabilidade</x:v>
      </x:c>
      <x:c r="G423" s="17" t="n">
        <x:v>4388.85</x:v>
      </x:c>
      <x:c r="H423" s="17" t="n">
        <x:v>4494.53</x:v>
      </x:c>
      <x:c r="I423" s="13" t="str">
        <x:v>Diretoria</x:v>
      </x:c>
      <x:c r="J423" s="13" t="str">
        <x:v>Pago</x:v>
      </x:c>
      <x:c r="K423" s="13" t="str">
        <x:v>Crescimento sem escala</x:v>
      </x:c>
      <x:c r="L423" s="17" t="n">
        <x:f>H423-G423</x:f>
        <x:v>105.67999999999938</x:v>
      </x:c>
      <x:c r="M423" s="19" t="n">
        <x:f>IFERROR(L423/G423,0)</x:f>
        <x:v>0.024079200701778228</x:v>
      </x:c>
      <x:c r="N423" s="13" t="n">
        <x:f>D423-C423</x:f>
        <x:v>0</x:v>
      </x:c>
    </x:row>
    <x:row r="424">
      <x:c r="A424" s="13" t="str">
        <x:v>PAG-000423</x:v>
      </x:c>
      <x:c r="B424" s="23" t="n">
        <x:v>45605</x:v>
      </x:c>
      <x:c r="C424" s="23" t="n">
        <x:v>45625</x:v>
      </x:c>
      <x:c r="D424" s="23" t="n">
        <x:v>45622</x:v>
      </x:c>
      <x:c r="E424" s="13" t="str">
        <x:v>NetLink</x:v>
      </x:c>
      <x:c r="F424" s="13" t="str">
        <x:v>Telecomunicações</x:v>
      </x:c>
      <x:c r="G424" s="17" t="n">
        <x:v>4789.62</x:v>
      </x:c>
      <x:c r="H424" s="17" t="n">
        <x:v>4974.4</x:v>
      </x:c>
      <x:c r="I424" s="13" t="str">
        <x:v>Diretoria</x:v>
      </x:c>
      <x:c r="J424" s="13" t="str">
        <x:v>Pago</x:v>
      </x:c>
      <x:c r="K424" s="13" t="str">
        <x:v>Crescimento sem escala</x:v>
      </x:c>
      <x:c r="L424" s="17" t="n">
        <x:f>H424-G424</x:f>
        <x:v>184.77999999999975</x:v>
      </x:c>
      <x:c r="M424" s="19" t="n">
        <x:f>IFERROR(L424/G424,0)</x:f>
        <x:v>0.038579260985213804</x:v>
      </x:c>
      <x:c r="N424" s="13" t="n">
        <x:f>D424-C424</x:f>
        <x:v>-3</x:v>
      </x:c>
    </x:row>
    <x:row r="425">
      <x:c r="A425" s="13" t="str">
        <x:v>PAG-000424</x:v>
      </x:c>
      <x:c r="B425" s="23" t="n">
        <x:v>45605</x:v>
      </x:c>
      <x:c r="C425" s="23" t="n">
        <x:v>45635</x:v>
      </x:c>
      <x:c r="D425" s="23" t="n">
        <x:v>45632</x:v>
      </x:c>
      <x:c r="E425" s="13" t="str">
        <x:v>Conta Certa</x:v>
      </x:c>
      <x:c r="F425" s="13" t="str">
        <x:v>Contabilidade</x:v>
      </x:c>
      <x:c r="G425" s="17" t="n">
        <x:v>18966.33</x:v>
      </x:c>
      <x:c r="H425" s="17" t="n">
        <x:v>19003.08</x:v>
      </x:c>
      <x:c r="I425" s="13" t="str">
        <x:v>Financeiro</x:v>
      </x:c>
      <x:c r="J425" s="13" t="str">
        <x:v>Pago</x:v>
      </x:c>
      <x:c r="K425" s="13" t="str">
        <x:v>Crescimento sem escala</x:v>
      </x:c>
      <x:c r="L425" s="17" t="n">
        <x:f>H425-G425</x:f>
        <x:v>36.75</x:v>
      </x:c>
      <x:c r="M425" s="19" t="n">
        <x:f>IFERROR(L425/G425,0)</x:f>
        <x:v>0.001937644235864292</x:v>
      </x:c>
      <x:c r="N425" s="13" t="n">
        <x:f>D425-C425</x:f>
        <x:v>-3</x:v>
      </x:c>
    </x:row>
    <x:row r="426">
      <x:c r="A426" s="13" t="str">
        <x:v>PAG-000425</x:v>
      </x:c>
      <x:c r="B426" s="23" t="n">
        <x:v>45600</x:v>
      </x:c>
      <x:c r="C426" s="23" t="n">
        <x:v>45615</x:v>
      </x:c>
      <x:c r="D426" s="23" t="n">
        <x:v>45613</x:v>
      </x:c>
      <x:c r="E426" s="13" t="str">
        <x:v>WorkSpace</x:v>
      </x:c>
      <x:c r="F426" s="13" t="str">
        <x:v>Locação</x:v>
      </x:c>
      <x:c r="G426" s="17" t="n">
        <x:v>31425.03</x:v>
      </x:c>
      <x:c r="H426" s="17" t="n">
        <x:v>33008.6</x:v>
      </x:c>
      <x:c r="I426" s="13" t="str">
        <x:v>Gestor da área</x:v>
      </x:c>
      <x:c r="J426" s="13" t="str">
        <x:v>Pago</x:v>
      </x:c>
      <x:c r="K426" s="13" t="str">
        <x:v>Crescimento sem escala</x:v>
      </x:c>
      <x:c r="L426" s="17" t="n">
        <x:f>H426-G426</x:f>
        <x:v>1583.5699999999997</x:v>
      </x:c>
      <x:c r="M426" s="19" t="n">
        <x:f>IFERROR(L426/G426,0)</x:f>
        <x:v>0.05039199644359925</x:v>
      </x:c>
      <x:c r="N426" s="13" t="n">
        <x:f>D426-C426</x:f>
        <x:v>-2</x:v>
      </x:c>
    </x:row>
    <x:row r="427">
      <x:c r="A427" s="13" t="str">
        <x:v>PAG-000426</x:v>
      </x:c>
      <x:c r="B427" s="23" t="n">
        <x:v>45613</x:v>
      </x:c>
      <x:c r="C427" s="23" t="n">
        <x:v>45643</x:v>
      </x:c>
      <x:c r="D427" s="23" t="n">
        <x:v>45640</x:v>
      </x:c>
      <x:c r="E427" s="13" t="str">
        <x:v>EducaPro</x:v>
      </x:c>
      <x:c r="F427" s="13" t="str">
        <x:v>Treinamentos</x:v>
      </x:c>
      <x:c r="G427" s="17" t="n">
        <x:v>7500.44</x:v>
      </x:c>
      <x:c r="H427" s="17" t="n">
        <x:v>8043.74</x:v>
      </x:c>
      <x:c r="I427" s="13" t="str">
        <x:v>Gestor da área</x:v>
      </x:c>
      <x:c r="J427" s="13" t="str">
        <x:v>Pago</x:v>
      </x:c>
      <x:c r="K427" s="13" t="str">
        <x:v>Crescimento sem escala</x:v>
      </x:c>
      <x:c r="L427" s="17" t="n">
        <x:f>H427-G427</x:f>
        <x:v>543.3000000000002</x:v>
      </x:c>
      <x:c r="M427" s="19" t="n">
        <x:f>IFERROR(L427/G427,0)</x:f>
        <x:v>0.07243575043597444</x:v>
      </x:c>
      <x:c r="N427" s="13" t="n">
        <x:f>D427-C427</x:f>
        <x:v>-3</x:v>
      </x:c>
    </x:row>
    <x:row r="428">
      <x:c r="A428" s="13" t="str">
        <x:v>PAG-000427</x:v>
      </x:c>
      <x:c r="B428" s="23" t="n">
        <x:v>45601</x:v>
      </x:c>
      <x:c r="C428" s="23" t="n">
        <x:v>45621</x:v>
      </x:c>
      <x:c r="D428" s="23" t="n">
        <x:v>45621</x:v>
      </x:c>
      <x:c r="E428" s="13" t="str">
        <x:v>DataSafe</x:v>
      </x:c>
      <x:c r="F428" s="13" t="str">
        <x:v>Segurança da informação</x:v>
      </x:c>
      <x:c r="G428" s="17" t="n">
        <x:v>893.49</x:v>
      </x:c>
      <x:c r="H428" s="17" t="n">
        <x:v>930.39</x:v>
      </x:c>
      <x:c r="I428" s="13" t="str">
        <x:v>Financeiro</x:v>
      </x:c>
      <x:c r="J428" s="13" t="str">
        <x:v>Pago</x:v>
      </x:c>
      <x:c r="K428" s="13" t="str">
        <x:v>Crescimento sem escala</x:v>
      </x:c>
      <x:c r="L428" s="17" t="n">
        <x:f>H428-G428</x:f>
        <x:v>36.89999999999998</x:v>
      </x:c>
      <x:c r="M428" s="19" t="n">
        <x:f>IFERROR(L428/G428,0)</x:f>
        <x:v>0.041298727461974924</x:v>
      </x:c>
      <x:c r="N428" s="13" t="n">
        <x:f>D428-C428</x:f>
        <x:v>0</x:v>
      </x:c>
    </x:row>
    <x:row r="429">
      <x:c r="A429" s="13" t="str">
        <x:v>PAG-000428</x:v>
      </x:c>
      <x:c r="B429" s="23" t="n">
        <x:v>45616</x:v>
      </x:c>
      <x:c r="C429" s="23" t="n">
        <x:v>45631</x:v>
      </x:c>
      <x:c r="D429" s="23" t="n">
        <x:v>45632</x:v>
      </x:c>
      <x:c r="E429" s="13" t="str">
        <x:v>CloudCore</x:v>
      </x:c>
      <x:c r="F429" s="13" t="str">
        <x:v>Tecnologia</x:v>
      </x:c>
      <x:c r="G429" s="17" t="n">
        <x:v>13081.71</x:v>
      </x:c>
      <x:c r="H429" s="17" t="n">
        <x:v>13113.93</x:v>
      </x:c>
      <x:c r="I429" s="13" t="str">
        <x:v>Diretoria</x:v>
      </x:c>
      <x:c r="J429" s="13" t="str">
        <x:v>Pago</x:v>
      </x:c>
      <x:c r="K429" s="13" t="str">
        <x:v>Crescimento sem escala</x:v>
      </x:c>
      <x:c r="L429" s="17" t="n">
        <x:f>H429-G429</x:f>
        <x:v>32.220000000001164</x:v>
      </x:c>
      <x:c r="M429" s="19" t="n">
        <x:f>IFERROR(L429/G429,0)</x:f>
        <x:v>0.002462980757102945</x:v>
      </x:c>
      <x:c r="N429" s="13" t="n">
        <x:f>D429-C429</x:f>
        <x:v>1</x:v>
      </x:c>
    </x:row>
    <x:row r="430">
      <x:c r="A430" s="13" t="str">
        <x:v>PAG-000429</x:v>
      </x:c>
      <x:c r="B430" s="23" t="n">
        <x:v>45613</x:v>
      </x:c>
      <x:c r="C430" s="23" t="n">
        <x:v>45643</x:v>
      </x:c>
      <x:c r="D430" s="23" t="n">
        <x:v>45643</x:v>
      </x:c>
      <x:c r="E430" s="13" t="str">
        <x:v>WorkSpace</x:v>
      </x:c>
      <x:c r="F430" s="13" t="str">
        <x:v>Locação</x:v>
      </x:c>
      <x:c r="G430" s="17" t="n">
        <x:v>6408.04</x:v>
      </x:c>
      <x:c r="H430" s="17" t="n">
        <x:v>6436.49</x:v>
      </x:c>
      <x:c r="I430" s="13" t="str">
        <x:v>Financeiro</x:v>
      </x:c>
      <x:c r="J430" s="13" t="str">
        <x:v>Pago</x:v>
      </x:c>
      <x:c r="K430" s="13" t="str">
        <x:v>Crescimento sem escala</x:v>
      </x:c>
      <x:c r="L430" s="17" t="n">
        <x:f>H430-G430</x:f>
        <x:v>28.449999999999818</x:v>
      </x:c>
      <x:c r="M430" s="19" t="n">
        <x:f>IFERROR(L430/G430,0)</x:f>
        <x:v>0.004439735082802201</x:v>
      </x:c>
      <x:c r="N430" s="13" t="n">
        <x:f>D430-C430</x:f>
        <x:v>0</x:v>
      </x:c>
    </x:row>
    <x:row r="431">
      <x:c r="A431" s="13" t="str">
        <x:v>PAG-000430</x:v>
      </x:c>
      <x:c r="B431" s="23" t="n">
        <x:v>45597</x:v>
      </x:c>
      <x:c r="C431" s="23" t="n">
        <x:v>45627</x:v>
      </x:c>
      <x:c r="D431" s="23" t="n">
        <x:v>45628</x:v>
      </x:c>
      <x:c r="E431" s="13" t="str">
        <x:v>Banco Integra</x:v>
      </x:c>
      <x:c r="F431" s="13" t="str">
        <x:v>Serviços bancários</x:v>
      </x:c>
      <x:c r="G431" s="17" t="n">
        <x:v>17679.13</x:v>
      </x:c>
      <x:c r="H431" s="17" t="n">
        <x:v>18144.99</x:v>
      </x:c>
      <x:c r="I431" s="13" t="str">
        <x:v>Gestor da área</x:v>
      </x:c>
      <x:c r="J431" s="13" t="str">
        <x:v>Pago</x:v>
      </x:c>
      <x:c r="K431" s="13" t="str">
        <x:v>Crescimento sem escala</x:v>
      </x:c>
      <x:c r="L431" s="17" t="n">
        <x:f>H431-G431</x:f>
        <x:v>465.8600000000006</x:v>
      </x:c>
      <x:c r="M431" s="19" t="n">
        <x:f>IFERROR(L431/G431,0)</x:f>
        <x:v>0.026350844187468532</x:v>
      </x:c>
      <x:c r="N431" s="13" t="n">
        <x:f>D431-C431</x:f>
        <x:v>1</x:v>
      </x:c>
    </x:row>
    <x:row r="432">
      <x:c r="A432" s="13" t="str">
        <x:v>PAG-000431</x:v>
      </x:c>
      <x:c r="B432" s="23" t="n">
        <x:v>45607</x:v>
      </x:c>
      <x:c r="C432" s="23" t="n">
        <x:v>45627</x:v>
      </x:c>
      <x:c r="D432" s="23" t="n">
        <x:v>45628</x:v>
      </x:c>
      <x:c r="E432" s="13" t="str">
        <x:v>Banco Integra</x:v>
      </x:c>
      <x:c r="F432" s="13" t="str">
        <x:v>Serviços bancários</x:v>
      </x:c>
      <x:c r="G432" s="17" t="n">
        <x:v>7337.22</x:v>
      </x:c>
      <x:c r="H432" s="17" t="n">
        <x:v>7342.7</x:v>
      </x:c>
      <x:c r="I432" s="13" t="str">
        <x:v>Gestor da área</x:v>
      </x:c>
      <x:c r="J432" s="13" t="str">
        <x:v>Pago</x:v>
      </x:c>
      <x:c r="K432" s="13" t="str">
        <x:v>Crescimento sem escala</x:v>
      </x:c>
      <x:c r="L432" s="17" t="n">
        <x:f>H432-G432</x:f>
        <x:v>5.479999999999563</x:v>
      </x:c>
      <x:c r="M432" s="19" t="n">
        <x:f>IFERROR(L432/G432,0)</x:f>
        <x:v>0.0007468768825249295</x:v>
      </x:c>
      <x:c r="N432" s="13" t="n">
        <x:f>D432-C432</x:f>
        <x:v>1</x:v>
      </x:c>
    </x:row>
    <x:row r="433">
      <x:c r="A433" s="13" t="str">
        <x:v>PAG-000432</x:v>
      </x:c>
      <x:c r="B433" s="23" t="n">
        <x:v>45604</x:v>
      </x:c>
      <x:c r="C433" s="23" t="n">
        <x:v>45634</x:v>
      </x:c>
      <x:c r="D433" s="23" t="n">
        <x:v>45634</x:v>
      </x:c>
      <x:c r="E433" s="13" t="str">
        <x:v>PeopleHub</x:v>
      </x:c>
      <x:c r="F433" s="13" t="str">
        <x:v>Recursos Humanos</x:v>
      </x:c>
      <x:c r="G433" s="17" t="n">
        <x:v>2619.47</x:v>
      </x:c>
      <x:c r="H433" s="17" t="n">
        <x:v>2669.99</x:v>
      </x:c>
      <x:c r="I433" s="13" t="str">
        <x:v>Gestor da área</x:v>
      </x:c>
      <x:c r="J433" s="13" t="str">
        <x:v>Pago</x:v>
      </x:c>
      <x:c r="K433" s="13" t="str">
        <x:v>Crescimento sem escala</x:v>
      </x:c>
      <x:c r="L433" s="17" t="n">
        <x:f>H433-G433</x:f>
        <x:v>50.51999999999998</x:v>
      </x:c>
      <x:c r="M433" s="19" t="n">
        <x:f>IFERROR(L433/G433,0)</x:f>
        <x:v>0.019286344184128845</x:v>
      </x:c>
      <x:c r="N433" s="13" t="n">
        <x:f>D433-C433</x:f>
        <x:v>0</x:v>
      </x:c>
    </x:row>
    <x:row r="434">
      <x:c r="A434" s="13" t="str">
        <x:v>PAG-000433</x:v>
      </x:c>
      <x:c r="B434" s="23" t="n">
        <x:v>45615</x:v>
      </x:c>
      <x:c r="C434" s="23" t="n">
        <x:v>45645</x:v>
      </x:c>
      <x:c r="D434" s="23" t="n">
        <x:v>45646</x:v>
      </x:c>
      <x:c r="E434" s="13" t="str">
        <x:v>Banco Integra</x:v>
      </x:c>
      <x:c r="F434" s="13" t="str">
        <x:v>Serviços bancários</x:v>
      </x:c>
      <x:c r="G434" s="17" t="n">
        <x:v>12718.8</x:v>
      </x:c>
      <x:c r="H434" s="17" t="n">
        <x:v>12691.69</x:v>
      </x:c>
      <x:c r="I434" s="13" t="str">
        <x:v>Financeiro</x:v>
      </x:c>
      <x:c r="J434" s="13" t="str">
        <x:v>Pago</x:v>
      </x:c>
      <x:c r="K434" s="13" t="str">
        <x:v>Crescimento sem escala</x:v>
      </x:c>
      <x:c r="L434" s="17" t="n">
        <x:f>H434-G434</x:f>
        <x:v>-27.109999999998763</x:v>
      </x:c>
      <x:c r="M434" s="19" t="n">
        <x:f>IFERROR(L434/G434,0)</x:f>
        <x:v>-0.002131490392175265</x:v>
      </x:c>
      <x:c r="N434" s="13" t="n">
        <x:f>D434-C434</x:f>
        <x:v>1</x:v>
      </x:c>
    </x:row>
    <x:row r="435">
      <x:c r="A435" s="13" t="str">
        <x:v>PAG-000434</x:v>
      </x:c>
      <x:c r="B435" s="23" t="n">
        <x:v>45607</x:v>
      </x:c>
      <x:c r="C435" s="23" t="n">
        <x:v>45637</x:v>
      </x:c>
      <x:c r="D435" s="23" t="n">
        <x:v>45637</x:v>
      </x:c>
      <x:c r="E435" s="13" t="str">
        <x:v>PeopleHub</x:v>
      </x:c>
      <x:c r="F435" s="13" t="str">
        <x:v>Recursos Humanos</x:v>
      </x:c>
      <x:c r="G435" s="17" t="n">
        <x:v>12816.98</x:v>
      </x:c>
      <x:c r="H435" s="17" t="n">
        <x:v>12829.16</x:v>
      </x:c>
      <x:c r="I435" s="13" t="str">
        <x:v>Financeiro</x:v>
      </x:c>
      <x:c r="J435" s="13" t="str">
        <x:v>Pago</x:v>
      </x:c>
      <x:c r="K435" s="13" t="str">
        <x:v>Crescimento sem escala</x:v>
      </x:c>
      <x:c r="L435" s="17" t="n">
        <x:f>H435-G435</x:f>
        <x:v>12.180000000000291</x:v>
      </x:c>
      <x:c r="M435" s="19" t="n">
        <x:f>IFERROR(L435/G435,0)</x:f>
        <x:v>0.0009503018651819923</x:v>
      </x:c>
      <x:c r="N435" s="13" t="n">
        <x:f>D435-C435</x:f>
        <x:v>0</x:v>
      </x:c>
    </x:row>
    <x:row r="436">
      <x:c r="A436" s="13" t="str">
        <x:v>PAG-000435</x:v>
      </x:c>
      <x:c r="B436" s="23" t="n">
        <x:v>45599</x:v>
      </x:c>
      <x:c r="C436" s="23" t="n">
        <x:v>45614</x:v>
      </x:c>
      <x:c r="D436" s="23" t="n">
        <x:v>45611</x:v>
      </x:c>
      <x:c r="E436" s="13" t="str">
        <x:v>Conta Certa</x:v>
      </x:c>
      <x:c r="F436" s="13" t="str">
        <x:v>Contabilidade</x:v>
      </x:c>
      <x:c r="G436" s="17" t="n">
        <x:v>17386.15</x:v>
      </x:c>
      <x:c r="H436" s="17" t="n">
        <x:v>18392.11</x:v>
      </x:c>
      <x:c r="I436" s="13" t="str">
        <x:v>Gestor da área</x:v>
      </x:c>
      <x:c r="J436" s="13" t="str">
        <x:v>Pago</x:v>
      </x:c>
      <x:c r="K436" s="13" t="str">
        <x:v>Crescimento sem escala</x:v>
      </x:c>
      <x:c r="L436" s="17" t="n">
        <x:f>H436-G436</x:f>
        <x:v>1005.9599999999991</x:v>
      </x:c>
      <x:c r="M436" s="19" t="n">
        <x:f>IFERROR(L436/G436,0)</x:f>
        <x:v>0.05785984821251393</x:v>
      </x:c>
      <x:c r="N436" s="13" t="n">
        <x:f>D436-C436</x:f>
        <x:v>-3</x:v>
      </x:c>
    </x:row>
    <x:row r="437">
      <x:c r="A437" s="13" t="str">
        <x:v>PAG-000436</x:v>
      </x:c>
      <x:c r="B437" s="23" t="n">
        <x:v>45604</x:v>
      </x:c>
      <x:c r="C437" s="23" t="n">
        <x:v>45611</x:v>
      </x:c>
      <x:c r="D437" s="23" t="n">
        <x:v>45611</x:v>
      </x:c>
      <x:c r="E437" s="13" t="str">
        <x:v>DataSafe</x:v>
      </x:c>
      <x:c r="F437" s="13" t="str">
        <x:v>Segurança da informação</x:v>
      </x:c>
      <x:c r="G437" s="17" t="n">
        <x:v>4726.92</x:v>
      </x:c>
      <x:c r="H437" s="17" t="n">
        <x:v>4824.2</x:v>
      </x:c>
      <x:c r="I437" s="13" t="str">
        <x:v>Financeiro</x:v>
      </x:c>
      <x:c r="J437" s="13" t="str">
        <x:v>Pago</x:v>
      </x:c>
      <x:c r="K437" s="13" t="str">
        <x:v>Crescimento sem escala</x:v>
      </x:c>
      <x:c r="L437" s="17" t="n">
        <x:f>H437-G437</x:f>
        <x:v>97.27999999999975</x:v>
      </x:c>
      <x:c r="M437" s="19" t="n">
        <x:f>IFERROR(L437/G437,0)</x:f>
        <x:v>0.020579997122862192</x:v>
      </x:c>
      <x:c r="N437" s="13" t="n">
        <x:f>D437-C437</x:f>
        <x:v>0</x:v>
      </x:c>
    </x:row>
    <x:row r="438">
      <x:c r="A438" s="13" t="str">
        <x:v>PAG-000437</x:v>
      </x:c>
      <x:c r="B438" s="23" t="n">
        <x:v>45613</x:v>
      </x:c>
      <x:c r="C438" s="23" t="n">
        <x:v>45620</x:v>
      </x:c>
      <x:c r="D438" s="23" t="n">
        <x:v>45617</x:v>
      </x:c>
      <x:c r="E438" s="13" t="str">
        <x:v>CloudCore</x:v>
      </x:c>
      <x:c r="F438" s="13" t="str">
        <x:v>Tecnologia</x:v>
      </x:c>
      <x:c r="G438" s="17" t="n">
        <x:v>25378.49</x:v>
      </x:c>
      <x:c r="H438" s="17" t="n">
        <x:v>26108.37</x:v>
      </x:c>
      <x:c r="I438" s="13" t="str">
        <x:v>Diretoria</x:v>
      </x:c>
      <x:c r="J438" s="13" t="str">
        <x:v>Pago</x:v>
      </x:c>
      <x:c r="K438" s="13" t="str">
        <x:v>Crescimento sem escala</x:v>
      </x:c>
      <x:c r="L438" s="17" t="n">
        <x:f>H438-G438</x:f>
        <x:v>729.8799999999974</x:v>
      </x:c>
      <x:c r="M438" s="19" t="n">
        <x:f>IFERROR(L438/G438,0)</x:f>
        <x:v>0.028759788308918195</x:v>
      </x:c>
      <x:c r="N438" s="13" t="n">
        <x:f>D438-C438</x:f>
        <x:v>-3</x:v>
      </x:c>
    </x:row>
    <x:row r="439">
      <x:c r="A439" s="13" t="str">
        <x:v>PAG-000438</x:v>
      </x:c>
      <x:c r="B439" s="23" t="n">
        <x:v>45599</x:v>
      </x:c>
      <x:c r="C439" s="23" t="n">
        <x:v>45606</x:v>
      </x:c>
      <x:c r="D439" s="23" t="n">
        <x:v>45603</x:v>
      </x:c>
      <x:c r="E439" s="13" t="str">
        <x:v>Conta Certa</x:v>
      </x:c>
      <x:c r="F439" s="13" t="str">
        <x:v>Contabilidade</x:v>
      </x:c>
      <x:c r="G439" s="17" t="n">
        <x:v>14293.45</x:v>
      </x:c>
      <x:c r="H439" s="17" t="n">
        <x:v>14351.48</x:v>
      </x:c>
      <x:c r="I439" s="13" t="str">
        <x:v>Gestor da área</x:v>
      </x:c>
      <x:c r="J439" s="13" t="str">
        <x:v>Pago</x:v>
      </x:c>
      <x:c r="K439" s="13" t="str">
        <x:v>Crescimento sem escala</x:v>
      </x:c>
      <x:c r="L439" s="17" t="n">
        <x:f>H439-G439</x:f>
        <x:v>58.029999999998836</x:v>
      </x:c>
      <x:c r="M439" s="19" t="n">
        <x:f>IFERROR(L439/G439,0)</x:f>
        <x:v>0.0040599015633033895</x:v>
      </x:c>
      <x:c r="N439" s="13" t="n">
        <x:f>D439-C439</x:f>
        <x:v>-3</x:v>
      </x:c>
    </x:row>
    <x:row r="440">
      <x:c r="A440" s="13" t="str">
        <x:v>PAG-000439</x:v>
      </x:c>
      <x:c r="B440" s="23" t="n">
        <x:v>45609</x:v>
      </x:c>
      <x:c r="C440" s="23" t="n">
        <x:v>45624</x:v>
      </x:c>
      <x:c r="D440" s="23" t="n">
        <x:v>45624</x:v>
      </x:c>
      <x:c r="E440" s="13" t="str">
        <x:v>DataSafe</x:v>
      </x:c>
      <x:c r="F440" s="13" t="str">
        <x:v>Segurança da informação</x:v>
      </x:c>
      <x:c r="G440" s="17" t="n">
        <x:v>14184.55</x:v>
      </x:c>
      <x:c r="H440" s="17" t="n">
        <x:v>14464.8</x:v>
      </x:c>
      <x:c r="I440" s="13" t="str">
        <x:v>Financeiro</x:v>
      </x:c>
      <x:c r="J440" s="13" t="str">
        <x:v>Pago</x:v>
      </x:c>
      <x:c r="K440" s="13" t="str">
        <x:v>Crescimento sem escala</x:v>
      </x:c>
      <x:c r="L440" s="17" t="n">
        <x:f>H440-G440</x:f>
        <x:v>280.25</x:v>
      </x:c>
      <x:c r="M440" s="19" t="n">
        <x:f>IFERROR(L440/G440,0)</x:f>
        <x:v>0.019757412113884473</x:v>
      </x:c>
      <x:c r="N440" s="13" t="n">
        <x:f>D440-C440</x:f>
        <x:v>0</x:v>
      </x:c>
    </x:row>
    <x:row r="441">
      <x:c r="A441" s="13" t="str">
        <x:v>PAG-000440</x:v>
      </x:c>
      <x:c r="B441" s="23" t="n">
        <x:v>45613</x:v>
      </x:c>
      <x:c r="C441" s="23" t="n">
        <x:v>45628</x:v>
      </x:c>
      <x:c r="D441" s="23" t="n">
        <x:v>45630</x:v>
      </x:c>
      <x:c r="E441" s="13" t="str">
        <x:v>EducaPro</x:v>
      </x:c>
      <x:c r="F441" s="13" t="str">
        <x:v>Treinamentos</x:v>
      </x:c>
      <x:c r="G441" s="17" t="n">
        <x:v>2250.62</x:v>
      </x:c>
      <x:c r="H441" s="17" t="n">
        <x:v>2268.3</x:v>
      </x:c>
      <x:c r="I441" s="13" t="str">
        <x:v>Gestor da área</x:v>
      </x:c>
      <x:c r="J441" s="13" t="str">
        <x:v>Pago</x:v>
      </x:c>
      <x:c r="K441" s="13" t="str">
        <x:v>Crescimento sem escala</x:v>
      </x:c>
      <x:c r="L441" s="17" t="n">
        <x:f>H441-G441</x:f>
        <x:v>17.68000000000029</x:v>
      </x:c>
      <x:c r="M441" s="19" t="n">
        <x:f>IFERROR(L441/G441,0)</x:f>
        <x:v>0.007855613119940413</x:v>
      </x:c>
      <x:c r="N441" s="13" t="n">
        <x:f>D441-C441</x:f>
        <x:v>2</x:v>
      </x:c>
    </x:row>
    <x:row r="442">
      <x:c r="A442" s="13" t="str">
        <x:v>PAG-000441</x:v>
      </x:c>
      <x:c r="B442" s="23" t="n">
        <x:v>45613</x:v>
      </x:c>
      <x:c r="C442" s="23" t="n">
        <x:v>45633</x:v>
      </x:c>
      <x:c r="D442" s="23" t="n">
        <x:v>45633</x:v>
      </x:c>
      <x:c r="E442" s="13" t="str">
        <x:v>DataSafe</x:v>
      </x:c>
      <x:c r="F442" s="13" t="str">
        <x:v>Segurança da informação</x:v>
      </x:c>
      <x:c r="G442" s="17" t="n">
        <x:v>23579.29</x:v>
      </x:c>
      <x:c r="H442" s="17" t="n">
        <x:v>25071.26</x:v>
      </x:c>
      <x:c r="I442" s="13" t="str">
        <x:v>Financeiro</x:v>
      </x:c>
      <x:c r="J442" s="13" t="str">
        <x:v>Pago</x:v>
      </x:c>
      <x:c r="K442" s="13" t="str">
        <x:v>Crescimento sem escala</x:v>
      </x:c>
      <x:c r="L442" s="17" t="n">
        <x:f>H442-G442</x:f>
        <x:v>1491.9699999999975</x:v>
      </x:c>
      <x:c r="M442" s="19" t="n">
        <x:f>IFERROR(L442/G442,0)</x:f>
        <x:v>0.06327459393391394</x:v>
      </x:c>
      <x:c r="N442" s="13" t="n">
        <x:f>D442-C442</x:f>
        <x:v>0</x:v>
      </x:c>
    </x:row>
    <x:row r="443">
      <x:c r="A443" s="13" t="str">
        <x:v>PAG-000442</x:v>
      </x:c>
      <x:c r="B443" s="23" t="n">
        <x:v>45601</x:v>
      </x:c>
      <x:c r="C443" s="23" t="n">
        <x:v>45616</x:v>
      </x:c>
      <x:c r="D443" s="23" t="n">
        <x:v>45613</x:v>
      </x:c>
      <x:c r="E443" s="13" t="str">
        <x:v>PeopleHub</x:v>
      </x:c>
      <x:c r="F443" s="13" t="str">
        <x:v>Recursos Humanos</x:v>
      </x:c>
      <x:c r="G443" s="17" t="n">
        <x:v>6115.18</x:v>
      </x:c>
      <x:c r="H443" s="17" t="n">
        <x:v>6293.34</x:v>
      </x:c>
      <x:c r="I443" s="13" t="str">
        <x:v>Diretoria</x:v>
      </x:c>
      <x:c r="J443" s="13" t="str">
        <x:v>Pago</x:v>
      </x:c>
      <x:c r="K443" s="13" t="str">
        <x:v>Crescimento sem escala</x:v>
      </x:c>
      <x:c r="L443" s="17" t="n">
        <x:f>H443-G443</x:f>
        <x:v>178.15999999999985</x:v>
      </x:c>
      <x:c r="M443" s="19" t="n">
        <x:f>IFERROR(L443/G443,0)</x:f>
        <x:v>0.029134056560886162</x:v>
      </x:c>
      <x:c r="N443" s="13" t="n">
        <x:f>D443-C443</x:f>
        <x:v>-3</x:v>
      </x:c>
    </x:row>
    <x:row r="444">
      <x:c r="A444" s="13" t="str">
        <x:v>PAG-000443</x:v>
      </x:c>
      <x:c r="B444" s="23" t="n">
        <x:v>45600</x:v>
      </x:c>
      <x:c r="C444" s="23" t="n">
        <x:v>45615</x:v>
      </x:c>
      <x:c r="D444" s="23" t="n">
        <x:v>45615</x:v>
      </x:c>
      <x:c r="E444" s="13" t="str">
        <x:v>Banco Integra</x:v>
      </x:c>
      <x:c r="F444" s="13" t="str">
        <x:v>Serviços bancários</x:v>
      </x:c>
      <x:c r="G444" s="17" t="n">
        <x:v>18081.68</x:v>
      </x:c>
      <x:c r="H444" s="17" t="n">
        <x:v>18649.67</x:v>
      </x:c>
      <x:c r="I444" s="13" t="str">
        <x:v>Gestor da área</x:v>
      </x:c>
      <x:c r="J444" s="13" t="str">
        <x:v>Pago</x:v>
      </x:c>
      <x:c r="K444" s="13" t="str">
        <x:v>Crescimento sem escala</x:v>
      </x:c>
      <x:c r="L444" s="17" t="n">
        <x:f>H444-G444</x:f>
        <x:v>567.989999999998</x:v>
      </x:c>
      <x:c r="M444" s="19" t="n">
        <x:f>IFERROR(L444/G444,0)</x:f>
        <x:v>0.0314124572495475</x:v>
      </x:c>
      <x:c r="N444" s="13" t="n">
        <x:f>D444-C444</x:f>
        <x:v>0</x:v>
      </x:c>
    </x:row>
    <x:row r="445">
      <x:c r="A445" s="13" t="str">
        <x:v>PAG-000444</x:v>
      </x:c>
      <x:c r="B445" s="23" t="n">
        <x:v>45606</x:v>
      </x:c>
      <x:c r="C445" s="23" t="n">
        <x:v>45636</x:v>
      </x:c>
      <x:c r="D445" s="23" t="n">
        <x:v>45636</x:v>
      </x:c>
      <x:c r="E445" s="13" t="str">
        <x:v>LegalMais</x:v>
      </x:c>
      <x:c r="F445" s="13" t="str">
        <x:v>Jurídico</x:v>
      </x:c>
      <x:c r="G445" s="17" t="n">
        <x:v>27433.22</x:v>
      </x:c>
      <x:c r="H445" s="17" t="n">
        <x:v>28092.68</x:v>
      </x:c>
      <x:c r="I445" s="13" t="str">
        <x:v>Gestor da área</x:v>
      </x:c>
      <x:c r="J445" s="13" t="str">
        <x:v>Pago</x:v>
      </x:c>
      <x:c r="K445" s="13" t="str">
        <x:v>Crescimento sem escala</x:v>
      </x:c>
      <x:c r="L445" s="17" t="n">
        <x:f>H445-G445</x:f>
        <x:v>659.4599999999991</x:v>
      </x:c>
      <x:c r="M445" s="19" t="n">
        <x:f>IFERROR(L445/G445,0)</x:f>
        <x:v>0.024038738434642347</x:v>
      </x:c>
      <x:c r="N445" s="13" t="n">
        <x:f>D445-C445</x:f>
        <x:v>0</x:v>
      </x:c>
    </x:row>
    <x:row r="446">
      <x:c r="A446" s="13" t="str">
        <x:v>PAG-000445</x:v>
      </x:c>
      <x:c r="B446" s="23" t="n">
        <x:v>45611</x:v>
      </x:c>
      <x:c r="C446" s="23" t="n">
        <x:v>45618</x:v>
      </x:c>
      <x:c r="D446" s="23" t="n">
        <x:v>45619</x:v>
      </x:c>
      <x:c r="E446" s="13" t="str">
        <x:v>CloudCore</x:v>
      </x:c>
      <x:c r="F446" s="13" t="str">
        <x:v>Tecnologia</x:v>
      </x:c>
      <x:c r="G446" s="17" t="n">
        <x:v>31212.03</x:v>
      </x:c>
      <x:c r="H446" s="17" t="n">
        <x:v>32769.38</x:v>
      </x:c>
      <x:c r="I446" s="13" t="str">
        <x:v>Financeiro</x:v>
      </x:c>
      <x:c r="J446" s="13" t="str">
        <x:v>Pago</x:v>
      </x:c>
      <x:c r="K446" s="13" t="str">
        <x:v>Crescimento sem escala</x:v>
      </x:c>
      <x:c r="L446" s="17" t="n">
        <x:f>H446-G446</x:f>
        <x:v>1557.3499999999985</x:v>
      </x:c>
      <x:c r="M446" s="19" t="n">
        <x:f>IFERROR(L446/G446,0)</x:f>
        <x:v>0.0498958254237228</x:v>
      </x:c>
      <x:c r="N446" s="13" t="n">
        <x:f>D446-C446</x:f>
        <x:v>1</x:v>
      </x:c>
    </x:row>
    <x:row r="447">
      <x:c r="A447" s="13" t="str">
        <x:v>PAG-000446</x:v>
      </x:c>
      <x:c r="B447" s="23" t="n">
        <x:v>45597</x:v>
      </x:c>
      <x:c r="C447" s="23" t="n">
        <x:v>45627</x:v>
      </x:c>
      <x:c r="D447" s="23" t="n">
        <x:v>45627</x:v>
      </x:c>
      <x:c r="E447" s="13" t="str">
        <x:v>CloudCore</x:v>
      </x:c>
      <x:c r="F447" s="13" t="str">
        <x:v>Tecnologia</x:v>
      </x:c>
      <x:c r="G447" s="17" t="n">
        <x:v>10003.49</x:v>
      </x:c>
      <x:c r="H447" s="17" t="n">
        <x:v>9859.96</x:v>
      </x:c>
      <x:c r="I447" s="13" t="str">
        <x:v>Diretoria</x:v>
      </x:c>
      <x:c r="J447" s="13" t="str">
        <x:v>Pago</x:v>
      </x:c>
      <x:c r="K447" s="13" t="str">
        <x:v>Crescimento sem escala</x:v>
      </x:c>
      <x:c r="L447" s="17" t="n">
        <x:f>H447-G447</x:f>
        <x:v>-143.53000000000065</x:v>
      </x:c>
      <x:c r="M447" s="19" t="n">
        <x:f>IFERROR(L447/G447,0)</x:f>
        <x:v>-0.014347992550599906</x:v>
      </x:c>
      <x:c r="N447" s="13" t="n">
        <x:f>D447-C447</x:f>
        <x:v>0</x:v>
      </x:c>
    </x:row>
    <x:row r="448">
      <x:c r="A448" s="13" t="str">
        <x:v>PAG-000447</x:v>
      </x:c>
      <x:c r="B448" s="23" t="n">
        <x:v>45609</x:v>
      </x:c>
      <x:c r="C448" s="23" t="n">
        <x:v>45616</x:v>
      </x:c>
      <x:c r="D448" s="23" t="n">
        <x:v>45616</x:v>
      </x:c>
      <x:c r="E448" s="13" t="str">
        <x:v>DataSafe</x:v>
      </x:c>
      <x:c r="F448" s="13" t="str">
        <x:v>Segurança da informação</x:v>
      </x:c>
      <x:c r="G448" s="17" t="n">
        <x:v>28128.26</x:v>
      </x:c>
      <x:c r="H448" s="17" t="n">
        <x:v>28407.38</x:v>
      </x:c>
      <x:c r="I448" s="13" t="str">
        <x:v>Financeiro</x:v>
      </x:c>
      <x:c r="J448" s="13" t="str">
        <x:v>Pago</x:v>
      </x:c>
      <x:c r="K448" s="13" t="str">
        <x:v>Crescimento sem escala</x:v>
      </x:c>
      <x:c r="L448" s="17" t="n">
        <x:f>H448-G448</x:f>
        <x:v>279.1200000000026</x:v>
      </x:c>
      <x:c r="M448" s="19" t="n">
        <x:f>IFERROR(L448/G448,0)</x:f>
        <x:v>0.00992311646721136</x:v>
      </x:c>
      <x:c r="N448" s="13" t="n">
        <x:f>D448-C448</x:f>
        <x:v>0</x:v>
      </x:c>
    </x:row>
    <x:row r="449">
      <x:c r="A449" s="13" t="str">
        <x:v>PAG-000448</x:v>
      </x:c>
      <x:c r="B449" s="23" t="n">
        <x:v>45598</x:v>
      </x:c>
      <x:c r="C449" s="23" t="n">
        <x:v>45605</x:v>
      </x:c>
      <x:c r="D449" s="23" t="n">
        <x:v>45602</x:v>
      </x:c>
      <x:c r="E449" s="13" t="str">
        <x:v>NetLink</x:v>
      </x:c>
      <x:c r="F449" s="13" t="str">
        <x:v>Telecomunicações</x:v>
      </x:c>
      <x:c r="G449" s="17" t="n">
        <x:v>17589.12</x:v>
      </x:c>
      <x:c r="H449" s="17" t="n">
        <x:v>18155.32</x:v>
      </x:c>
      <x:c r="I449" s="13" t="str">
        <x:v>Diretoria</x:v>
      </x:c>
      <x:c r="J449" s="13" t="str">
        <x:v>Pago</x:v>
      </x:c>
      <x:c r="K449" s="13" t="str">
        <x:v>Crescimento sem escala</x:v>
      </x:c>
      <x:c r="L449" s="17" t="n">
        <x:f>H449-G449</x:f>
        <x:v>566.2000000000007</x:v>
      </x:c>
      <x:c r="M449" s="19" t="n">
        <x:f>IFERROR(L449/G449,0)</x:f>
        <x:v>0.032190354037041125</x:v>
      </x:c>
      <x:c r="N449" s="13" t="n">
        <x:f>D449-C449</x:f>
        <x:v>-3</x:v>
      </x:c>
    </x:row>
    <x:row r="450">
      <x:c r="A450" s="13" t="str">
        <x:v>PAG-000449</x:v>
      </x:c>
      <x:c r="B450" s="23" t="n">
        <x:v>45611</x:v>
      </x:c>
      <x:c r="C450" s="23" t="n">
        <x:v>45626</x:v>
      </x:c>
      <x:c r="D450" s="23" t="n">
        <x:v>45623</x:v>
      </x:c>
      <x:c r="E450" s="13" t="str">
        <x:v>MarketLab</x:v>
      </x:c>
      <x:c r="F450" s="13" t="str">
        <x:v>Marketing</x:v>
      </x:c>
      <x:c r="G450" s="17" t="n">
        <x:v>5501.9</x:v>
      </x:c>
      <x:c r="H450" s="17" t="n">
        <x:v>5779.24</x:v>
      </x:c>
      <x:c r="I450" s="13" t="str">
        <x:v>Financeiro</x:v>
      </x:c>
      <x:c r="J450" s="13" t="str">
        <x:v>Pago</x:v>
      </x:c>
      <x:c r="K450" s="13" t="str">
        <x:v>Crescimento sem escala</x:v>
      </x:c>
      <x:c r="L450" s="17" t="n">
        <x:f>H450-G450</x:f>
        <x:v>277.34000000000015</x:v>
      </x:c>
      <x:c r="M450" s="19" t="n">
        <x:f>IFERROR(L450/G450,0)</x:f>
        <x:v>0.05040804085861251</x:v>
      </x:c>
      <x:c r="N450" s="13" t="n">
        <x:f>D450-C450</x:f>
        <x:v>-3</x:v>
      </x:c>
    </x:row>
    <x:row r="451">
      <x:c r="A451" s="13" t="str">
        <x:v>PAG-000450</x:v>
      </x:c>
      <x:c r="B451" s="23" t="n">
        <x:v>45600</x:v>
      </x:c>
      <x:c r="C451" s="23" t="n">
        <x:v>45607</x:v>
      </x:c>
      <x:c r="D451" s="23" t="n">
        <x:v>45606</x:v>
      </x:c>
      <x:c r="E451" s="13" t="str">
        <x:v>PeopleHub</x:v>
      </x:c>
      <x:c r="F451" s="13" t="str">
        <x:v>Recursos Humanos</x:v>
      </x:c>
      <x:c r="G451" s="17" t="n">
        <x:v>21967.9</x:v>
      </x:c>
      <x:c r="H451" s="17" t="n">
        <x:v>23240.87</x:v>
      </x:c>
      <x:c r="I451" s="13" t="str">
        <x:v>Diretoria</x:v>
      </x:c>
      <x:c r="J451" s="13" t="str">
        <x:v>Pago</x:v>
      </x:c>
      <x:c r="K451" s="13" t="str">
        <x:v>Crescimento sem escala</x:v>
      </x:c>
      <x:c r="L451" s="17" t="n">
        <x:f>H451-G451</x:f>
        <x:v>1272.9699999999975</x:v>
      </x:c>
      <x:c r="M451" s="19" t="n">
        <x:f>IFERROR(L451/G451,0)</x:f>
        <x:v>0.05794682240906038</x:v>
      </x:c>
      <x:c r="N451" s="13" t="n">
        <x:f>D451-C451</x:f>
        <x:v>-1</x:v>
      </x:c>
    </x:row>
    <x:row r="452">
      <x:c r="A452" s="13" t="str">
        <x:v>PAG-000451</x:v>
      </x:c>
      <x:c r="B452" s="23" t="n">
        <x:v>45598</x:v>
      </x:c>
      <x:c r="C452" s="23" t="n">
        <x:v>45628</x:v>
      </x:c>
      <x:c r="D452" s="23" t="n">
        <x:v>45627</x:v>
      </x:c>
      <x:c r="E452" s="13" t="str">
        <x:v>CloudCore</x:v>
      </x:c>
      <x:c r="F452" s="13" t="str">
        <x:v>Tecnologia</x:v>
      </x:c>
      <x:c r="G452" s="17" t="n">
        <x:v>664.59</x:v>
      </x:c>
      <x:c r="H452" s="17" t="n">
        <x:v>707.33</x:v>
      </x:c>
      <x:c r="I452" s="13" t="str">
        <x:v>Gestor da área</x:v>
      </x:c>
      <x:c r="J452" s="13" t="str">
        <x:v>Pago</x:v>
      </x:c>
      <x:c r="K452" s="13" t="str">
        <x:v>Crescimento sem escala</x:v>
      </x:c>
      <x:c r="L452" s="17" t="n">
        <x:f>H452-G452</x:f>
        <x:v>42.74000000000001</x:v>
      </x:c>
      <x:c r="M452" s="19" t="n">
        <x:f>IFERROR(L452/G452,0)</x:f>
        <x:v>0.06431032666756949</x:v>
      </x:c>
      <x:c r="N452" s="13" t="n">
        <x:f>D452-C452</x:f>
        <x:v>-1</x:v>
      </x:c>
    </x:row>
    <x:row r="453">
      <x:c r="A453" s="13" t="str">
        <x:v>PAG-000452</x:v>
      </x:c>
      <x:c r="B453" s="23" t="n">
        <x:v>45601</x:v>
      </x:c>
      <x:c r="C453" s="23" t="n">
        <x:v>45616</x:v>
      </x:c>
      <x:c r="D453" s="23" t="n">
        <x:v>45617</x:v>
      </x:c>
      <x:c r="E453" s="13" t="str">
        <x:v>Insight BI</x:v>
      </x:c>
      <x:c r="F453" s="13" t="str">
        <x:v>Dados e Analytics</x:v>
      </x:c>
      <x:c r="G453" s="17" t="n">
        <x:v>22483.52</x:v>
      </x:c>
      <x:c r="H453" s="17" t="n">
        <x:v>23041.5</x:v>
      </x:c>
      <x:c r="I453" s="13" t="str">
        <x:v>Diretoria</x:v>
      </x:c>
      <x:c r="J453" s="13" t="str">
        <x:v>Pago</x:v>
      </x:c>
      <x:c r="K453" s="13" t="str">
        <x:v>Crescimento sem escala</x:v>
      </x:c>
      <x:c r="L453" s="17" t="n">
        <x:f>H453-G453</x:f>
        <x:v>557.9799999999996</x:v>
      </x:c>
      <x:c r="M453" s="19" t="n">
        <x:f>IFERROR(L453/G453,0)</x:f>
        <x:v>0.024817288396123006</x:v>
      </x:c>
      <x:c r="N453" s="13" t="n">
        <x:f>D453-C453</x:f>
        <x:v>1</x:v>
      </x:c>
    </x:row>
    <x:row r="454">
      <x:c r="A454" s="13" t="str">
        <x:v>PAG-000453</x:v>
      </x:c>
      <x:c r="B454" s="23" t="n">
        <x:v>45613</x:v>
      </x:c>
      <x:c r="C454" s="23" t="n">
        <x:v>45633</x:v>
      </x:c>
      <x:c r="D454" s="23" t="n">
        <x:v>45631</x:v>
      </x:c>
      <x:c r="E454" s="13" t="str">
        <x:v>Office Prime</x:v>
      </x:c>
      <x:c r="F454" s="13" t="str">
        <x:v>Escritório</x:v>
      </x:c>
      <x:c r="G454" s="17" t="n">
        <x:v>13516.62</x:v>
      </x:c>
      <x:c r="H454" s="17" t="n">
        <x:v>13742.64</x:v>
      </x:c>
      <x:c r="I454" s="13" t="str">
        <x:v>Gestor da área</x:v>
      </x:c>
      <x:c r="J454" s="13" t="str">
        <x:v>Pago</x:v>
      </x:c>
      <x:c r="K454" s="13" t="str">
        <x:v>Crescimento sem escala</x:v>
      </x:c>
      <x:c r="L454" s="17" t="n">
        <x:f>H454-G454</x:f>
        <x:v>226.01999999999862</x:v>
      </x:c>
      <x:c r="M454" s="19" t="n">
        <x:f>IFERROR(L454/G454,0)</x:f>
        <x:v>0.01672163603030925</x:v>
      </x:c>
      <x:c r="N454" s="13" t="n">
        <x:f>D454-C454</x:f>
        <x:v>-2</x:v>
      </x:c>
    </x:row>
    <x:row r="455">
      <x:c r="A455" s="13" t="str">
        <x:v>PAG-000454</x:v>
      </x:c>
      <x:c r="B455" s="23" t="n">
        <x:v>45612</x:v>
      </x:c>
      <x:c r="C455" s="23" t="n">
        <x:v>45642</x:v>
      </x:c>
      <x:c r="D455" s="23" t="n">
        <x:v>45640</x:v>
      </x:c>
      <x:c r="E455" s="13" t="str">
        <x:v>PeopleHub</x:v>
      </x:c>
      <x:c r="F455" s="13" t="str">
        <x:v>Recursos Humanos</x:v>
      </x:c>
      <x:c r="G455" s="17" t="n">
        <x:v>4906.47</x:v>
      </x:c>
      <x:c r="H455" s="17" t="n">
        <x:v>5124.6</x:v>
      </x:c>
      <x:c r="I455" s="13" t="str">
        <x:v>Gestor da área</x:v>
      </x:c>
      <x:c r="J455" s="13" t="str">
        <x:v>Pago</x:v>
      </x:c>
      <x:c r="K455" s="13" t="str">
        <x:v>Crescimento sem escala</x:v>
      </x:c>
      <x:c r="L455" s="17" t="n">
        <x:f>H455-G455</x:f>
        <x:v>218.1300000000001</x:v>
      </x:c>
      <x:c r="M455" s="19" t="n">
        <x:f>IFERROR(L455/G455,0)</x:f>
        <x:v>0.04445762432054004</x:v>
      </x:c>
      <x:c r="N455" s="13" t="n">
        <x:f>D455-C455</x:f>
        <x:v>-2</x:v>
      </x:c>
    </x:row>
    <x:row r="456">
      <x:c r="A456" s="13" t="str">
        <x:v>PAG-000455</x:v>
      </x:c>
      <x:c r="B456" s="23" t="n">
        <x:v>45599</x:v>
      </x:c>
      <x:c r="C456" s="23" t="n">
        <x:v>45629</x:v>
      </x:c>
      <x:c r="D456" s="23" t="n">
        <x:v>45627</x:v>
      </x:c>
      <x:c r="E456" s="13" t="str">
        <x:v>DataSafe</x:v>
      </x:c>
      <x:c r="F456" s="13" t="str">
        <x:v>Segurança da informação</x:v>
      </x:c>
      <x:c r="G456" s="17" t="n">
        <x:v>11673.05</x:v>
      </x:c>
      <x:c r="H456" s="17" t="n">
        <x:v>11628.4</x:v>
      </x:c>
      <x:c r="I456" s="13" t="str">
        <x:v>Diretoria</x:v>
      </x:c>
      <x:c r="J456" s="13" t="str">
        <x:v>Pago</x:v>
      </x:c>
      <x:c r="K456" s="13" t="str">
        <x:v>Crescimento sem escala</x:v>
      </x:c>
      <x:c r="L456" s="17" t="n">
        <x:f>H456-G456</x:f>
        <x:v>-44.649999999999636</x:v>
      </x:c>
      <x:c r="M456" s="19" t="n">
        <x:f>IFERROR(L456/G456,0)</x:f>
        <x:v>-0.0038250500083525417</x:v>
      </x:c>
      <x:c r="N456" s="13" t="n">
        <x:f>D456-C456</x:f>
        <x:v>-2</x:v>
      </x:c>
    </x:row>
    <x:row r="457">
      <x:c r="A457" s="13" t="str">
        <x:v>PAG-000456</x:v>
      </x:c>
      <x:c r="B457" s="23" t="n">
        <x:v>45609</x:v>
      </x:c>
      <x:c r="C457" s="23" t="n">
        <x:v>45624</x:v>
      </x:c>
      <x:c r="D457" s="23" t="n">
        <x:v>45626</x:v>
      </x:c>
      <x:c r="E457" s="13" t="str">
        <x:v>WorkSpace</x:v>
      </x:c>
      <x:c r="F457" s="13" t="str">
        <x:v>Locação</x:v>
      </x:c>
      <x:c r="G457" s="17" t="n">
        <x:v>23972.55</x:v>
      </x:c>
      <x:c r="H457" s="17" t="n">
        <x:v>24523.83</x:v>
      </x:c>
      <x:c r="I457" s="13" t="str">
        <x:v>Diretoria</x:v>
      </x:c>
      <x:c r="J457" s="13" t="str">
        <x:v>Pago</x:v>
      </x:c>
      <x:c r="K457" s="13" t="str">
        <x:v>Crescimento sem escala</x:v>
      </x:c>
      <x:c r="L457" s="17" t="n">
        <x:f>H457-G457</x:f>
        <x:v>551.2800000000025</x:v>
      </x:c>
      <x:c r="M457" s="19" t="n">
        <x:f>IFERROR(L457/G457,0)</x:f>
        <x:v>0.02299630202043598</x:v>
      </x:c>
      <x:c r="N457" s="13" t="n">
        <x:f>D457-C457</x:f>
        <x:v>2</x:v>
      </x:c>
    </x:row>
    <x:row r="458">
      <x:c r="A458" s="13" t="str">
        <x:v>PAG-000457</x:v>
      </x:c>
      <x:c r="B458" s="23" t="n">
        <x:v>45603</x:v>
      </x:c>
      <x:c r="C458" s="23" t="n">
        <x:v>45610</x:v>
      </x:c>
      <x:c r="D458" s="23" t="n">
        <x:v>45611</x:v>
      </x:c>
      <x:c r="E458" s="13" t="str">
        <x:v>LegalMais</x:v>
      </x:c>
      <x:c r="F458" s="13" t="str">
        <x:v>Jurídico</x:v>
      </x:c>
      <x:c r="G458" s="17" t="n">
        <x:v>11939.47</x:v>
      </x:c>
      <x:c r="H458" s="17" t="n">
        <x:v>12290.71</x:v>
      </x:c>
      <x:c r="I458" s="13" t="str">
        <x:v>Financeiro</x:v>
      </x:c>
      <x:c r="J458" s="13" t="str">
        <x:v>Pago</x:v>
      </x:c>
      <x:c r="K458" s="13" t="str">
        <x:v>Crescimento sem escala</x:v>
      </x:c>
      <x:c r="L458" s="17" t="n">
        <x:f>H458-G458</x:f>
        <x:v>351.2399999999998</x:v>
      </x:c>
      <x:c r="M458" s="19" t="n">
        <x:f>IFERROR(L458/G458,0)</x:f>
        <x:v>0.029418391268624135</x:v>
      </x:c>
      <x:c r="N458" s="13" t="n">
        <x:f>D458-C458</x:f>
        <x:v>1</x:v>
      </x:c>
    </x:row>
    <x:row r="459">
      <x:c r="A459" s="13" t="str">
        <x:v>PAG-000458</x:v>
      </x:c>
      <x:c r="B459" s="23" t="n">
        <x:v>45603</x:v>
      </x:c>
      <x:c r="C459" s="23" t="n">
        <x:v>45623</x:v>
      </x:c>
      <x:c r="D459" s="23" t="n">
        <x:v>45620</x:v>
      </x:c>
      <x:c r="E459" s="13" t="str">
        <x:v>Insight BI</x:v>
      </x:c>
      <x:c r="F459" s="13" t="str">
        <x:v>Dados e Analytics</x:v>
      </x:c>
      <x:c r="G459" s="17" t="n">
        <x:v>6860.76</x:v>
      </x:c>
      <x:c r="H459" s="17" t="n">
        <x:v>7101.73</x:v>
      </x:c>
      <x:c r="I459" s="13" t="str">
        <x:v>Gestor da área</x:v>
      </x:c>
      <x:c r="J459" s="13" t="str">
        <x:v>Pago</x:v>
      </x:c>
      <x:c r="K459" s="13" t="str">
        <x:v>Crescimento sem escala</x:v>
      </x:c>
      <x:c r="L459" s="17" t="n">
        <x:f>H459-G459</x:f>
        <x:v>240.96999999999935</x:v>
      </x:c>
      <x:c r="M459" s="19" t="n">
        <x:f>IFERROR(L459/G459,0)</x:f>
        <x:v>0.03512293098723747</x:v>
      </x:c>
      <x:c r="N459" s="13" t="n">
        <x:f>D459-C459</x:f>
        <x:v>-3</x:v>
      </x:c>
    </x:row>
    <x:row r="460">
      <x:c r="A460" s="13" t="str">
        <x:v>PAG-000459</x:v>
      </x:c>
      <x:c r="B460" s="23" t="n">
        <x:v>45604</x:v>
      </x:c>
      <x:c r="C460" s="23" t="n">
        <x:v>45611</x:v>
      </x:c>
      <x:c r="D460" s="23" t="n">
        <x:v>45608</x:v>
      </x:c>
      <x:c r="E460" s="13" t="str">
        <x:v>PeopleHub</x:v>
      </x:c>
      <x:c r="F460" s="13" t="str">
        <x:v>Recursos Humanos</x:v>
      </x:c>
      <x:c r="G460" s="17" t="n">
        <x:v>17442.68</x:v>
      </x:c>
      <x:c r="H460" s="17" t="n">
        <x:v>18337.93</x:v>
      </x:c>
      <x:c r="I460" s="13" t="str">
        <x:v>Financeiro</x:v>
      </x:c>
      <x:c r="J460" s="13" t="str">
        <x:v>Pago</x:v>
      </x:c>
      <x:c r="K460" s="13" t="str">
        <x:v>Crescimento sem escala</x:v>
      </x:c>
      <x:c r="L460" s="17" t="n">
        <x:f>H460-G460</x:f>
        <x:v>895.25</x:v>
      </x:c>
      <x:c r="M460" s="19" t="n">
        <x:f>IFERROR(L460/G460,0)</x:f>
        <x:v>0.05132525506401539</x:v>
      </x:c>
      <x:c r="N460" s="13" t="n">
        <x:f>D460-C460</x:f>
        <x:v>-3</x:v>
      </x:c>
    </x:row>
    <x:row r="461">
      <x:c r="A461" s="13" t="str">
        <x:v>PAG-000460</x:v>
      </x:c>
      <x:c r="B461" s="23" t="n">
        <x:v>45607</x:v>
      </x:c>
      <x:c r="C461" s="23" t="n">
        <x:v>45627</x:v>
      </x:c>
      <x:c r="D461" s="23" t="n">
        <x:v>45625</x:v>
      </x:c>
      <x:c r="E461" s="13" t="str">
        <x:v>Insight BI</x:v>
      </x:c>
      <x:c r="F461" s="13" t="str">
        <x:v>Dados e Analytics</x:v>
      </x:c>
      <x:c r="G461" s="17" t="n">
        <x:v>23271.75</x:v>
      </x:c>
      <x:c r="H461" s="17" t="n">
        <x:v>23999.71</x:v>
      </x:c>
      <x:c r="I461" s="13" t="str">
        <x:v>Diretoria</x:v>
      </x:c>
      <x:c r="J461" s="13" t="str">
        <x:v>Pago</x:v>
      </x:c>
      <x:c r="K461" s="13" t="str">
        <x:v>Crescimento sem escala</x:v>
      </x:c>
      <x:c r="L461" s="17" t="n">
        <x:f>H461-G461</x:f>
        <x:v>727.9599999999991</x:v>
      </x:c>
      <x:c r="M461" s="19" t="n">
        <x:f>IFERROR(L461/G461,0)</x:f>
        <x:v>0.03128084480110001</x:v>
      </x:c>
      <x:c r="N461" s="13" t="n">
        <x:f>D461-C461</x:f>
        <x:v>-2</x:v>
      </x:c>
    </x:row>
    <x:row r="462">
      <x:c r="A462" s="13" t="str">
        <x:v>PAG-000461</x:v>
      </x:c>
      <x:c r="B462" s="23" t="n">
        <x:v>45607</x:v>
      </x:c>
      <x:c r="C462" s="23" t="n">
        <x:v>45637</x:v>
      </x:c>
      <x:c r="D462" s="23" t="n">
        <x:v>45637</x:v>
      </x:c>
      <x:c r="E462" s="13" t="str">
        <x:v>NetLink</x:v>
      </x:c>
      <x:c r="F462" s="13" t="str">
        <x:v>Telecomunicações</x:v>
      </x:c>
      <x:c r="G462" s="17" t="n">
        <x:v>27708.78</x:v>
      </x:c>
      <x:c r="H462" s="17" t="n">
        <x:v>27290.51</x:v>
      </x:c>
      <x:c r="I462" s="13" t="str">
        <x:v>Diretoria</x:v>
      </x:c>
      <x:c r="J462" s="13" t="str">
        <x:v>Pago</x:v>
      </x:c>
      <x:c r="K462" s="13" t="str">
        <x:v>Crescimento sem escala</x:v>
      </x:c>
      <x:c r="L462" s="17" t="n">
        <x:f>H462-G462</x:f>
        <x:v>-418.27000000000044</x:v>
      </x:c>
      <x:c r="M462" s="19" t="n">
        <x:f>IFERROR(L462/G462,0)</x:f>
        <x:v>-0.015095215307205891</x:v>
      </x:c>
      <x:c r="N462" s="13" t="n">
        <x:f>D462-C462</x:f>
        <x:v>0</x:v>
      </x:c>
    </x:row>
    <x:row r="463">
      <x:c r="A463" s="13" t="str">
        <x:v>PAG-000462</x:v>
      </x:c>
      <x:c r="B463" s="23" t="n">
        <x:v>45601</x:v>
      </x:c>
      <x:c r="C463" s="23" t="n">
        <x:v>45608</x:v>
      </x:c>
      <x:c r="D463" s="23" t="n">
        <x:v>45608</x:v>
      </x:c>
      <x:c r="E463" s="13" t="str">
        <x:v>Insight BI</x:v>
      </x:c>
      <x:c r="F463" s="13" t="str">
        <x:v>Dados e Analytics</x:v>
      </x:c>
      <x:c r="G463" s="17" t="n">
        <x:v>30904.09</x:v>
      </x:c>
      <x:c r="H463" s="17" t="n">
        <x:v>30892.81</x:v>
      </x:c>
      <x:c r="I463" s="13" t="str">
        <x:v>Diretoria</x:v>
      </x:c>
      <x:c r="J463" s="13" t="str">
        <x:v>Pago</x:v>
      </x:c>
      <x:c r="K463" s="13" t="str">
        <x:v>Crescimento sem escala</x:v>
      </x:c>
      <x:c r="L463" s="17" t="n">
        <x:f>H463-G463</x:f>
        <x:v>-11.279999999998836</x:v>
      </x:c>
      <x:c r="M463" s="19" t="n">
        <x:f>IFERROR(L463/G463,0)</x:f>
        <x:v>-0.0003650002313609246</x:v>
      </x:c>
      <x:c r="N463" s="13" t="n">
        <x:f>D463-C463</x:f>
        <x:v>0</x:v>
      </x:c>
    </x:row>
    <x:row r="464">
      <x:c r="A464" s="13" t="str">
        <x:v>PAG-000463</x:v>
      </x:c>
      <x:c r="B464" s="23" t="n">
        <x:v>45633</x:v>
      </x:c>
      <x:c r="C464" s="23" t="n">
        <x:v>45648</x:v>
      </x:c>
      <x:c r="D464" s="23" t="n">
        <x:v>45650</x:v>
      </x:c>
      <x:c r="E464" s="13" t="str">
        <x:v>NetLink</x:v>
      </x:c>
      <x:c r="F464" s="13" t="str">
        <x:v>Telecomunicações</x:v>
      </x:c>
      <x:c r="G464" s="17" t="n">
        <x:v>13170.87</x:v>
      </x:c>
      <x:c r="H464" s="17" t="n">
        <x:v>12976</x:v>
      </x:c>
      <x:c r="I464" s="13" t="str">
        <x:v>Diretoria</x:v>
      </x:c>
      <x:c r="J464" s="13" t="str">
        <x:v>Pago</x:v>
      </x:c>
      <x:c r="K464" s="13" t="str">
        <x:v>Crescimento sem escala</x:v>
      </x:c>
      <x:c r="L464" s="17" t="n">
        <x:f>H464-G464</x:f>
        <x:v>-194.8700000000008</x:v>
      </x:c>
      <x:c r="M464" s="19" t="n">
        <x:f>IFERROR(L464/G464,0)</x:f>
        <x:v>-0.014795529832122008</x:v>
      </x:c>
      <x:c r="N464" s="13" t="n">
        <x:f>D464-C464</x:f>
        <x:v>2</x:v>
      </x:c>
    </x:row>
    <x:row r="465">
      <x:c r="A465" s="13" t="str">
        <x:v>PAG-000464</x:v>
      </x:c>
      <x:c r="B465" s="23" t="n">
        <x:v>45633</x:v>
      </x:c>
      <x:c r="C465" s="23" t="n">
        <x:v>45640</x:v>
      </x:c>
      <x:c r="D465" s="23" t="n">
        <x:v>45641</x:v>
      </x:c>
      <x:c r="E465" s="13" t="str">
        <x:v>PeopleHub</x:v>
      </x:c>
      <x:c r="F465" s="13" t="str">
        <x:v>Recursos Humanos</x:v>
      </x:c>
      <x:c r="G465" s="17" t="n">
        <x:v>11718.25</x:v>
      </x:c>
      <x:c r="H465" s="17" t="n">
        <x:v>11796.85</x:v>
      </x:c>
      <x:c r="I465" s="13" t="str">
        <x:v>Diretoria</x:v>
      </x:c>
      <x:c r="J465" s="13" t="str">
        <x:v>Pago</x:v>
      </x:c>
      <x:c r="K465" s="13" t="str">
        <x:v>Crescimento sem escala</x:v>
      </x:c>
      <x:c r="L465" s="17" t="n">
        <x:f>H465-G465</x:f>
        <x:v>78.60000000000036</x:v>
      </x:c>
      <x:c r="M465" s="19" t="n">
        <x:f>IFERROR(L465/G465,0)</x:f>
        <x:v>0.006707486186077304</x:v>
      </x:c>
      <x:c r="N465" s="13" t="n">
        <x:f>D465-C465</x:f>
        <x:v>1</x:v>
      </x:c>
    </x:row>
    <x:row r="466">
      <x:c r="A466" s="13" t="str">
        <x:v>PAG-000465</x:v>
      </x:c>
      <x:c r="B466" s="23" t="n">
        <x:v>45641</x:v>
      </x:c>
      <x:c r="C466" s="23" t="n">
        <x:v>45648</x:v>
      </x:c>
      <x:c r="D466" s="23" t="n">
        <x:v>45646</x:v>
      </x:c>
      <x:c r="E466" s="13" t="str">
        <x:v>Conta Certa</x:v>
      </x:c>
      <x:c r="F466" s="13" t="str">
        <x:v>Contabilidade</x:v>
      </x:c>
      <x:c r="G466" s="17" t="n">
        <x:v>1674.22</x:v>
      </x:c>
      <x:c r="H466" s="17" t="n">
        <x:v>1790.47</x:v>
      </x:c>
      <x:c r="I466" s="13" t="str">
        <x:v>Diretoria</x:v>
      </x:c>
      <x:c r="J466" s="13" t="str">
        <x:v>Pago</x:v>
      </x:c>
      <x:c r="K466" s="13" t="str">
        <x:v>Crescimento sem escala</x:v>
      </x:c>
      <x:c r="L466" s="17" t="n">
        <x:f>H466-G466</x:f>
        <x:v>116.25</x:v>
      </x:c>
      <x:c r="M466" s="19" t="n">
        <x:f>IFERROR(L466/G466,0)</x:f>
        <x:v>0.06943531913368613</x:v>
      </x:c>
      <x:c r="N466" s="13" t="n">
        <x:f>D466-C466</x:f>
        <x:v>-2</x:v>
      </x:c>
    </x:row>
    <x:row r="467">
      <x:c r="A467" s="13" t="str">
        <x:v>PAG-000466</x:v>
      </x:c>
      <x:c r="B467" s="23" t="n">
        <x:v>45634</x:v>
      </x:c>
      <x:c r="C467" s="23" t="n">
        <x:v>45641</x:v>
      </x:c>
      <x:c r="D467" s="23" t="n">
        <x:v>45641</x:v>
      </x:c>
      <x:c r="E467" s="13" t="str">
        <x:v>Insight BI</x:v>
      </x:c>
      <x:c r="F467" s="13" t="str">
        <x:v>Dados e Analytics</x:v>
      </x:c>
      <x:c r="G467" s="17" t="n">
        <x:v>5782.49</x:v>
      </x:c>
      <x:c r="H467" s="17" t="n">
        <x:v>6106.45</x:v>
      </x:c>
      <x:c r="I467" s="13" t="str">
        <x:v>Financeiro</x:v>
      </x:c>
      <x:c r="J467" s="13" t="str">
        <x:v>Pago</x:v>
      </x:c>
      <x:c r="K467" s="13" t="str">
        <x:v>Crescimento sem escala</x:v>
      </x:c>
      <x:c r="L467" s="17" t="n">
        <x:f>H467-G467</x:f>
        <x:v>323.96000000000004</x:v>
      </x:c>
      <x:c r="M467" s="19" t="n">
        <x:f>IFERROR(L467/G467,0)</x:f>
        <x:v>0.056024307867372024</x:v>
      </x:c>
      <x:c r="N467" s="13" t="n">
        <x:f>D467-C467</x:f>
        <x:v>0</x:v>
      </x:c>
    </x:row>
    <x:row r="468">
      <x:c r="A468" s="13" t="str">
        <x:v>PAG-000467</x:v>
      </x:c>
      <x:c r="B468" s="23" t="n">
        <x:v>45628</x:v>
      </x:c>
      <x:c r="C468" s="23" t="n">
        <x:v>45643</x:v>
      </x:c>
      <x:c r="D468" s="23" t="n">
        <x:v>45642</x:v>
      </x:c>
      <x:c r="E468" s="13" t="str">
        <x:v>EducaPro</x:v>
      </x:c>
      <x:c r="F468" s="13" t="str">
        <x:v>Treinamentos</x:v>
      </x:c>
      <x:c r="G468" s="17" t="n">
        <x:v>8726.51</x:v>
      </x:c>
      <x:c r="H468" s="17" t="n">
        <x:v>8957.02</x:v>
      </x:c>
      <x:c r="I468" s="13" t="str">
        <x:v>Financeiro</x:v>
      </x:c>
      <x:c r="J468" s="13" t="str">
        <x:v>Pago</x:v>
      </x:c>
      <x:c r="K468" s="13" t="str">
        <x:v>Crescimento sem escala</x:v>
      </x:c>
      <x:c r="L468" s="17" t="n">
        <x:f>H468-G468</x:f>
        <x:v>230.51000000000022</x:v>
      </x:c>
      <x:c r="M468" s="19" t="n">
        <x:f>IFERROR(L468/G468,0)</x:f>
        <x:v>0.026414912719976282</x:v>
      </x:c>
      <x:c r="N468" s="13" t="n">
        <x:f>D468-C468</x:f>
        <x:v>-1</x:v>
      </x:c>
    </x:row>
    <x:row r="469">
      <x:c r="A469" s="13" t="str">
        <x:v>PAG-000468</x:v>
      </x:c>
      <x:c r="B469" s="23" t="n">
        <x:v>45639</x:v>
      </x:c>
      <x:c r="C469" s="23" t="n">
        <x:v>45659</x:v>
      </x:c>
      <x:c r="D469" s="23" t="n">
        <x:v>45661</x:v>
      </x:c>
      <x:c r="E469" s="13" t="str">
        <x:v>Conta Certa</x:v>
      </x:c>
      <x:c r="F469" s="13" t="str">
        <x:v>Contabilidade</x:v>
      </x:c>
      <x:c r="G469" s="17" t="n">
        <x:v>19286.9</x:v>
      </x:c>
      <x:c r="H469" s="17" t="n">
        <x:v>19563.13</x:v>
      </x:c>
      <x:c r="I469" s="13" t="str">
        <x:v>Diretoria</x:v>
      </x:c>
      <x:c r="J469" s="13" t="str">
        <x:v>Pago</x:v>
      </x:c>
      <x:c r="K469" s="13" t="str">
        <x:v>Crescimento sem escala</x:v>
      </x:c>
      <x:c r="L469" s="17" t="n">
        <x:f>H469-G469</x:f>
        <x:v>276.22999999999956</x:v>
      </x:c>
      <x:c r="M469" s="19" t="n">
        <x:f>IFERROR(L469/G469,0)</x:f>
        <x:v>0.01432215648963802</x:v>
      </x:c>
      <x:c r="N469" s="13" t="n">
        <x:f>D469-C469</x:f>
        <x:v>2</x:v>
      </x:c>
    </x:row>
    <x:row r="470">
      <x:c r="A470" s="13" t="str">
        <x:v>PAG-000469</x:v>
      </x:c>
      <x:c r="B470" s="23" t="n">
        <x:v>45632</x:v>
      </x:c>
      <x:c r="C470" s="23" t="n">
        <x:v>45647</x:v>
      </x:c>
      <x:c r="D470" s="23" t="n">
        <x:v>45647</x:v>
      </x:c>
      <x:c r="E470" s="13" t="str">
        <x:v>DataSafe</x:v>
      </x:c>
      <x:c r="F470" s="13" t="str">
        <x:v>Segurança da informação</x:v>
      </x:c>
      <x:c r="G470" s="17" t="n">
        <x:v>9254.61</x:v>
      </x:c>
      <x:c r="H470" s="17" t="n">
        <x:v>9952.2</x:v>
      </x:c>
      <x:c r="I470" s="13" t="str">
        <x:v>Financeiro</x:v>
      </x:c>
      <x:c r="J470" s="13" t="str">
        <x:v>Pago</x:v>
      </x:c>
      <x:c r="K470" s="13" t="str">
        <x:v>Crescimento sem escala</x:v>
      </x:c>
      <x:c r="L470" s="17" t="n">
        <x:f>H470-G470</x:f>
        <x:v>697.5900000000001</x:v>
      </x:c>
      <x:c r="M470" s="19" t="n">
        <x:f>IFERROR(L470/G470,0)</x:f>
        <x:v>0.07537756858473778</x:v>
      </x:c>
      <x:c r="N470" s="13" t="n">
        <x:f>D470-C470</x:f>
        <x:v>0</x:v>
      </x:c>
    </x:row>
    <x:row r="471">
      <x:c r="A471" s="13" t="str">
        <x:v>PAG-000470</x:v>
      </x:c>
      <x:c r="B471" s="23" t="n">
        <x:v>45627</x:v>
      </x:c>
      <x:c r="C471" s="23" t="n">
        <x:v>45634</x:v>
      </x:c>
      <x:c r="D471" s="23" t="n">
        <x:v>45634</x:v>
      </x:c>
      <x:c r="E471" s="13" t="str">
        <x:v>EducaPro</x:v>
      </x:c>
      <x:c r="F471" s="13" t="str">
        <x:v>Treinamentos</x:v>
      </x:c>
      <x:c r="G471" s="17" t="n">
        <x:v>8893.26</x:v>
      </x:c>
      <x:c r="H471" s="17" t="n">
        <x:v>9364.92</x:v>
      </x:c>
      <x:c r="I471" s="13" t="str">
        <x:v>Diretoria</x:v>
      </x:c>
      <x:c r="J471" s="13" t="str">
        <x:v>Pago</x:v>
      </x:c>
      <x:c r="K471" s="13" t="str">
        <x:v>Crescimento sem escala</x:v>
      </x:c>
      <x:c r="L471" s="17" t="n">
        <x:f>H471-G471</x:f>
        <x:v>471.65999999999985</x:v>
      </x:c>
      <x:c r="M471" s="19" t="n">
        <x:f>IFERROR(L471/G471,0)</x:f>
        <x:v>0.05303566970942038</x:v>
      </x:c>
      <x:c r="N471" s="13" t="n">
        <x:f>D471-C471</x:f>
        <x:v>0</x:v>
      </x:c>
    </x:row>
    <x:row r="472">
      <x:c r="A472" s="13" t="str">
        <x:v>PAG-000471</x:v>
      </x:c>
      <x:c r="B472" s="23" t="n">
        <x:v>45638</x:v>
      </x:c>
      <x:c r="C472" s="23" t="n">
        <x:v>45668</x:v>
      </x:c>
      <x:c r="D472" s="23" t="n">
        <x:v>45668</x:v>
      </x:c>
      <x:c r="E472" s="13" t="str">
        <x:v>Banco Integra</x:v>
      </x:c>
      <x:c r="F472" s="13" t="str">
        <x:v>Serviços bancários</x:v>
      </x:c>
      <x:c r="G472" s="17" t="n">
        <x:v>16205.25</x:v>
      </x:c>
      <x:c r="H472" s="17" t="n">
        <x:v>16640.93</x:v>
      </x:c>
      <x:c r="I472" s="13" t="str">
        <x:v>Diretoria</x:v>
      </x:c>
      <x:c r="J472" s="13" t="str">
        <x:v>Pago</x:v>
      </x:c>
      <x:c r="K472" s="13" t="str">
        <x:v>Crescimento sem escala</x:v>
      </x:c>
      <x:c r="L472" s="17" t="n">
        <x:f>H472-G472</x:f>
        <x:v>435.6800000000003</x:v>
      </x:c>
      <x:c r="M472" s="19" t="n">
        <x:f>IFERROR(L472/G472,0)</x:f>
        <x:v>0.0268851143919409</x:v>
      </x:c>
      <x:c r="N472" s="13" t="n">
        <x:f>D472-C472</x:f>
        <x:v>0</x:v>
      </x:c>
    </x:row>
    <x:row r="473">
      <x:c r="A473" s="13" t="str">
        <x:v>PAG-000472</x:v>
      </x:c>
      <x:c r="B473" s="23" t="n">
        <x:v>45635</x:v>
      </x:c>
      <x:c r="C473" s="23" t="n">
        <x:v>45665</x:v>
      </x:c>
      <x:c r="D473" s="23" t="n">
        <x:v>45665</x:v>
      </x:c>
      <x:c r="E473" s="13" t="str">
        <x:v>PeopleHub</x:v>
      </x:c>
      <x:c r="F473" s="13" t="str">
        <x:v>Recursos Humanos</x:v>
      </x:c>
      <x:c r="G473" s="17" t="n">
        <x:v>31101.03</x:v>
      </x:c>
      <x:c r="H473" s="17" t="n">
        <x:v>32690.55</x:v>
      </x:c>
      <x:c r="I473" s="13" t="str">
        <x:v>Diretoria</x:v>
      </x:c>
      <x:c r="J473" s="13" t="str">
        <x:v>Pago</x:v>
      </x:c>
      <x:c r="K473" s="13" t="str">
        <x:v>Crescimento sem escala</x:v>
      </x:c>
      <x:c r="L473" s="17" t="n">
        <x:f>H473-G473</x:f>
        <x:v>1589.5200000000004</x:v>
      </x:c>
      <x:c r="M473" s="19" t="n">
        <x:f>IFERROR(L473/G473,0)</x:f>
        <x:v>0.051108275192172106</x:v>
      </x:c>
      <x:c r="N473" s="13" t="n">
        <x:f>D473-C473</x:f>
        <x:v>0</x:v>
      </x:c>
    </x:row>
    <x:row r="474">
      <x:c r="A474" s="13" t="str">
        <x:v>PAG-000473</x:v>
      </x:c>
      <x:c r="B474" s="23" t="n">
        <x:v>45628</x:v>
      </x:c>
      <x:c r="C474" s="23" t="n">
        <x:v>45643</x:v>
      </x:c>
      <x:c r="D474" s="23" t="n">
        <x:v>45643</x:v>
      </x:c>
      <x:c r="E474" s="13" t="str">
        <x:v>NetLink</x:v>
      </x:c>
      <x:c r="F474" s="13" t="str">
        <x:v>Telecomunicações</x:v>
      </x:c>
      <x:c r="G474" s="17" t="n">
        <x:v>15220.01</x:v>
      </x:c>
      <x:c r="H474" s="17" t="n">
        <x:v>15403.86</x:v>
      </x:c>
      <x:c r="I474" s="13" t="str">
        <x:v>Financeiro</x:v>
      </x:c>
      <x:c r="J474" s="13" t="str">
        <x:v>Pago</x:v>
      </x:c>
      <x:c r="K474" s="13" t="str">
        <x:v>Crescimento sem escala</x:v>
      </x:c>
      <x:c r="L474" s="17" t="n">
        <x:f>H474-G474</x:f>
        <x:v>183.85000000000036</x:v>
      </x:c>
      <x:c r="M474" s="19" t="n">
        <x:f>IFERROR(L474/G474,0)</x:f>
        <x:v>0.012079492720438446</x:v>
      </x:c>
      <x:c r="N474" s="13" t="n">
        <x:f>D474-C474</x:f>
        <x:v>0</x:v>
      </x:c>
    </x:row>
    <x:row r="475">
      <x:c r="A475" s="13" t="str">
        <x:v>PAG-000474</x:v>
      </x:c>
      <x:c r="B475" s="23" t="n">
        <x:v>45636</x:v>
      </x:c>
      <x:c r="C475" s="23" t="n">
        <x:v>45666</x:v>
      </x:c>
      <x:c r="D475" s="23" t="n">
        <x:v>45664</x:v>
      </x:c>
      <x:c r="E475" s="13" t="str">
        <x:v>EducaPro</x:v>
      </x:c>
      <x:c r="F475" s="13" t="str">
        <x:v>Treinamentos</x:v>
      </x:c>
      <x:c r="G475" s="17" t="n">
        <x:v>5525.22</x:v>
      </x:c>
      <x:c r="H475" s="17" t="n">
        <x:v>5497.28</x:v>
      </x:c>
      <x:c r="I475" s="13" t="str">
        <x:v>Gestor da área</x:v>
      </x:c>
      <x:c r="J475" s="13" t="str">
        <x:v>Pago</x:v>
      </x:c>
      <x:c r="K475" s="13" t="str">
        <x:v>Crescimento sem escala</x:v>
      </x:c>
      <x:c r="L475" s="17" t="n">
        <x:f>H475-G475</x:f>
        <x:v>-27.94000000000051</x:v>
      </x:c>
      <x:c r="M475" s="19" t="n">
        <x:f>IFERROR(L475/G475,0)</x:f>
        <x:v>-0.005056812217432158</x:v>
      </x:c>
      <x:c r="N475" s="13" t="n">
        <x:f>D475-C475</x:f>
        <x:v>-2</x:v>
      </x:c>
    </x:row>
    <x:row r="476">
      <x:c r="A476" s="13" t="str">
        <x:v>PAG-000475</x:v>
      </x:c>
      <x:c r="B476" s="23" t="n">
        <x:v>45639</x:v>
      </x:c>
      <x:c r="C476" s="23" t="n">
        <x:v>45654</x:v>
      </x:c>
      <x:c r="D476" s="23" t="n">
        <x:v>45653</x:v>
      </x:c>
      <x:c r="E476" s="13" t="str">
        <x:v>Conta Certa</x:v>
      </x:c>
      <x:c r="F476" s="13" t="str">
        <x:v>Contabilidade</x:v>
      </x:c>
      <x:c r="G476" s="17" t="n">
        <x:v>15422.99</x:v>
      </x:c>
      <x:c r="H476" s="17" t="n">
        <x:v>15934.19</x:v>
      </x:c>
      <x:c r="I476" s="13" t="str">
        <x:v>Gestor da área</x:v>
      </x:c>
      <x:c r="J476" s="13" t="str">
        <x:v>Pago</x:v>
      </x:c>
      <x:c r="K476" s="13" t="str">
        <x:v>Crescimento sem escala</x:v>
      </x:c>
      <x:c r="L476" s="17" t="n">
        <x:f>H476-G476</x:f>
        <x:v>511.2000000000007</x:v>
      </x:c>
      <x:c r="M476" s="19" t="n">
        <x:f>IFERROR(L476/G476,0)</x:f>
        <x:v>0.03314532396117748</x:v>
      </x:c>
      <x:c r="N476" s="13" t="n">
        <x:f>D476-C476</x:f>
        <x:v>-1</x:v>
      </x:c>
    </x:row>
    <x:row r="477">
      <x:c r="A477" s="13" t="str">
        <x:v>PAG-000476</x:v>
      </x:c>
      <x:c r="B477" s="23" t="n">
        <x:v>45633</x:v>
      </x:c>
      <x:c r="C477" s="23" t="n">
        <x:v>45640</x:v>
      </x:c>
      <x:c r="D477" s="23" t="n">
        <x:v>45640</x:v>
      </x:c>
      <x:c r="E477" s="13" t="str">
        <x:v>NetLink</x:v>
      </x:c>
      <x:c r="F477" s="13" t="str">
        <x:v>Telecomunicações</x:v>
      </x:c>
      <x:c r="G477" s="17" t="n">
        <x:v>27629.46</x:v>
      </x:c>
      <x:c r="H477" s="17" t="n">
        <x:v>28234.8</x:v>
      </x:c>
      <x:c r="I477" s="13" t="str">
        <x:v>Diretoria</x:v>
      </x:c>
      <x:c r="J477" s="13" t="str">
        <x:v>Pago</x:v>
      </x:c>
      <x:c r="K477" s="13" t="str">
        <x:v>Crescimento sem escala</x:v>
      </x:c>
      <x:c r="L477" s="17" t="n">
        <x:f>H477-G477</x:f>
        <x:v>605.3400000000001</x:v>
      </x:c>
      <x:c r="M477" s="19" t="n">
        <x:f>IFERROR(L477/G477,0)</x:f>
        <x:v>0.021909222981556647</x:v>
      </x:c>
      <x:c r="N477" s="13" t="n">
        <x:f>D477-C477</x:f>
        <x:v>0</x:v>
      </x:c>
    </x:row>
    <x:row r="478">
      <x:c r="A478" s="13" t="str">
        <x:v>PAG-000477</x:v>
      </x:c>
      <x:c r="B478" s="23" t="n">
        <x:v>45631</x:v>
      </x:c>
      <x:c r="C478" s="23" t="n">
        <x:v>45661</x:v>
      </x:c>
      <x:c r="D478" s="23" t="n">
        <x:v>45661</x:v>
      </x:c>
      <x:c r="E478" s="13" t="str">
        <x:v>CloudCore</x:v>
      </x:c>
      <x:c r="F478" s="13" t="str">
        <x:v>Tecnologia</x:v>
      </x:c>
      <x:c r="G478" s="17" t="n">
        <x:v>27168.4</x:v>
      </x:c>
      <x:c r="H478" s="17" t="n">
        <x:v>27983.56</x:v>
      </x:c>
      <x:c r="I478" s="13" t="str">
        <x:v>Diretoria</x:v>
      </x:c>
      <x:c r="J478" s="13" t="str">
        <x:v>Pago</x:v>
      </x:c>
      <x:c r="K478" s="13" t="str">
        <x:v>Crescimento sem escala</x:v>
      </x:c>
      <x:c r="L478" s="17" t="n">
        <x:f>H478-G478</x:f>
        <x:v>815.1599999999999</x:v>
      </x:c>
      <x:c r="M478" s="19" t="n">
        <x:f>IFERROR(L478/G478,0)</x:f>
        <x:v>0.030003975206489886</x:v>
      </x:c>
      <x:c r="N478" s="13" t="n">
        <x:f>D478-C478</x:f>
        <x:v>0</x:v>
      </x:c>
    </x:row>
    <x:row r="479">
      <x:c r="A479" s="13" t="str">
        <x:v>PAG-000478</x:v>
      </x:c>
      <x:c r="B479" s="23" t="n">
        <x:v>45632</x:v>
      </x:c>
      <x:c r="C479" s="23" t="n">
        <x:v>45652</x:v>
      </x:c>
      <x:c r="D479" s="23" t="n">
        <x:v>45650</x:v>
      </x:c>
      <x:c r="E479" s="13" t="str">
        <x:v>DataSafe</x:v>
      </x:c>
      <x:c r="F479" s="13" t="str">
        <x:v>Segurança da informação</x:v>
      </x:c>
      <x:c r="G479" s="17" t="n">
        <x:v>27421.99</x:v>
      </x:c>
      <x:c r="H479" s="17" t="n">
        <x:v>28302.35</x:v>
      </x:c>
      <x:c r="I479" s="13" t="str">
        <x:v>Financeiro</x:v>
      </x:c>
      <x:c r="J479" s="13" t="str">
        <x:v>Pago</x:v>
      </x:c>
      <x:c r="K479" s="13" t="str">
        <x:v>Crescimento sem escala</x:v>
      </x:c>
      <x:c r="L479" s="17" t="n">
        <x:f>H479-G479</x:f>
        <x:v>880.359999999997</x:v>
      </x:c>
      <x:c r="M479" s="19" t="n">
        <x:f>IFERROR(L479/G479,0)</x:f>
        <x:v>0.032104161660039876</x:v>
      </x:c>
      <x:c r="N479" s="13" t="n">
        <x:f>D479-C479</x:f>
        <x:v>-2</x:v>
      </x:c>
    </x:row>
    <x:row r="480">
      <x:c r="A480" s="13" t="str">
        <x:v>PAG-000479</x:v>
      </x:c>
      <x:c r="B480" s="23" t="n">
        <x:v>45639</x:v>
      </x:c>
      <x:c r="C480" s="23" t="n">
        <x:v>45669</x:v>
      </x:c>
      <x:c r="D480" s="23" t="n">
        <x:v>45669</x:v>
      </x:c>
      <x:c r="E480" s="13" t="str">
        <x:v>Office Prime</x:v>
      </x:c>
      <x:c r="F480" s="13" t="str">
        <x:v>Escritório</x:v>
      </x:c>
      <x:c r="G480" s="17" t="n">
        <x:v>26030.95</x:v>
      </x:c>
      <x:c r="H480" s="17" t="n">
        <x:v>26155.16</x:v>
      </x:c>
      <x:c r="I480" s="13" t="str">
        <x:v>Diretoria</x:v>
      </x:c>
      <x:c r="J480" s="13" t="str">
        <x:v>Pago</x:v>
      </x:c>
      <x:c r="K480" s="13" t="str">
        <x:v>Crescimento sem escala</x:v>
      </x:c>
      <x:c r="L480" s="17" t="n">
        <x:f>H480-G480</x:f>
        <x:v>124.20999999999913</x:v>
      </x:c>
      <x:c r="M480" s="19" t="n">
        <x:f>IFERROR(L480/G480,0)</x:f>
        <x:v>0.00477162762019823</x:v>
      </x:c>
      <x:c r="N480" s="13" t="n">
        <x:f>D480-C480</x:f>
        <x:v>0</x:v>
      </x:c>
    </x:row>
    <x:row r="481">
      <x:c r="A481" s="13" t="str">
        <x:v>PAG-000480</x:v>
      </x:c>
      <x:c r="B481" s="23" t="n">
        <x:v>45629</x:v>
      </x:c>
      <x:c r="C481" s="23" t="n">
        <x:v>45649</x:v>
      </x:c>
      <x:c r="D481" s="23" t="n">
        <x:v>45651</x:v>
      </x:c>
      <x:c r="E481" s="13" t="str">
        <x:v>CloudCore</x:v>
      </x:c>
      <x:c r="F481" s="13" t="str">
        <x:v>Tecnologia</x:v>
      </x:c>
      <x:c r="G481" s="17" t="n">
        <x:v>6552.29</x:v>
      </x:c>
      <x:c r="H481" s="17" t="n">
        <x:v>6522.1</x:v>
      </x:c>
      <x:c r="I481" s="13" t="str">
        <x:v>Gestor da área</x:v>
      </x:c>
      <x:c r="J481" s="13" t="str">
        <x:v>Pago</x:v>
      </x:c>
      <x:c r="K481" s="13" t="str">
        <x:v>Crescimento sem escala</x:v>
      </x:c>
      <x:c r="L481" s="17" t="n">
        <x:f>H481-G481</x:f>
        <x:v>-30.1899999999996</x:v>
      </x:c>
      <x:c r="M481" s="19" t="n">
        <x:f>IFERROR(L481/G481,0)</x:f>
        <x:v>-0.004607549421652522</x:v>
      </x:c>
      <x:c r="N481" s="13" t="n">
        <x:f>D481-C481</x:f>
        <x:v>2</x:v>
      </x:c>
    </x:row>
    <x:row r="482">
      <x:c r="A482" s="13" t="str">
        <x:v>PAG-000481</x:v>
      </x:c>
      <x:c r="B482" s="23" t="n">
        <x:v>45633</x:v>
      </x:c>
      <x:c r="C482" s="23" t="n">
        <x:v>45640</x:v>
      </x:c>
      <x:c r="D482" s="23" t="n">
        <x:v>45640</x:v>
      </x:c>
      <x:c r="E482" s="13" t="str">
        <x:v>Office Prime</x:v>
      </x:c>
      <x:c r="F482" s="13" t="str">
        <x:v>Escritório</x:v>
      </x:c>
      <x:c r="G482" s="17" t="n">
        <x:v>722.24</x:v>
      </x:c>
      <x:c r="H482" s="17" t="n">
        <x:v>757.44</x:v>
      </x:c>
      <x:c r="I482" s="13" t="str">
        <x:v>Diretoria</x:v>
      </x:c>
      <x:c r="J482" s="13" t="str">
        <x:v>Pago</x:v>
      </x:c>
      <x:c r="K482" s="13" t="str">
        <x:v>Crescimento sem escala</x:v>
      </x:c>
      <x:c r="L482" s="17" t="n">
        <x:f>H482-G482</x:f>
        <x:v>35.200000000000045</x:v>
      </x:c>
      <x:c r="M482" s="19" t="n">
        <x:f>IFERROR(L482/G482,0)</x:f>
        <x:v>0.04873726185201601</x:v>
      </x:c>
      <x:c r="N482" s="13" t="n">
        <x:f>D482-C482</x:f>
        <x:v>0</x:v>
      </x:c>
    </x:row>
    <x:row r="483">
      <x:c r="A483" s="13" t="str">
        <x:v>PAG-000482</x:v>
      </x:c>
      <x:c r="B483" s="23" t="n">
        <x:v>45646</x:v>
      </x:c>
      <x:c r="C483" s="23" t="n">
        <x:v>45661</x:v>
      </x:c>
      <x:c r="D483" s="23" t="n">
        <x:v>45659</x:v>
      </x:c>
      <x:c r="E483" s="13" t="str">
        <x:v>WorkSpace</x:v>
      </x:c>
      <x:c r="F483" s="13" t="str">
        <x:v>Locação</x:v>
      </x:c>
      <x:c r="G483" s="17" t="n">
        <x:v>5171.87</x:v>
      </x:c>
      <x:c r="H483" s="17" t="n">
        <x:v>5444.93</x:v>
      </x:c>
      <x:c r="I483" s="13" t="str">
        <x:v>Gestor da área</x:v>
      </x:c>
      <x:c r="J483" s="13" t="str">
        <x:v>Pago</x:v>
      </x:c>
      <x:c r="K483" s="13" t="str">
        <x:v>Crescimento sem escala</x:v>
      </x:c>
      <x:c r="L483" s="17" t="n">
        <x:f>H483-G483</x:f>
        <x:v>273.0600000000004</x:v>
      </x:c>
      <x:c r="M483" s="19" t="n">
        <x:f>IFERROR(L483/G483,0)</x:f>
        <x:v>0.052797150740447926</x:v>
      </x:c>
      <x:c r="N483" s="13" t="n">
        <x:f>D483-C483</x:f>
        <x:v>-2</x:v>
      </x:c>
    </x:row>
    <x:row r="484">
      <x:c r="A484" s="13" t="str">
        <x:v>PAG-000483</x:v>
      </x:c>
      <x:c r="B484" s="23" t="n">
        <x:v>45645</x:v>
      </x:c>
      <x:c r="C484" s="23" t="n">
        <x:v>45660</x:v>
      </x:c>
      <x:c r="D484" s="23" t="n">
        <x:v>45658</x:v>
      </x:c>
      <x:c r="E484" s="13" t="str">
        <x:v>Banco Integra</x:v>
      </x:c>
      <x:c r="F484" s="13" t="str">
        <x:v>Serviços bancários</x:v>
      </x:c>
      <x:c r="G484" s="17" t="n">
        <x:v>20093.73</x:v>
      </x:c>
      <x:c r="H484" s="17" t="n">
        <x:v>19935.21</x:v>
      </x:c>
      <x:c r="I484" s="13" t="str">
        <x:v>Financeiro</x:v>
      </x:c>
      <x:c r="J484" s="13" t="str">
        <x:v>Pago</x:v>
      </x:c>
      <x:c r="K484" s="13" t="str">
        <x:v>Crescimento sem escala</x:v>
      </x:c>
      <x:c r="L484" s="17" t="n">
        <x:f>H484-G484</x:f>
        <x:v>-158.52000000000044</x:v>
      </x:c>
      <x:c r="M484" s="19" t="n">
        <x:f>IFERROR(L484/G484,0)</x:f>
        <x:v>-0.007889028069950201</x:v>
      </x:c>
      <x:c r="N484" s="13" t="n">
        <x:f>D484-C484</x:f>
        <x:v>-2</x:v>
      </x:c>
    </x:row>
    <x:row r="485">
      <x:c r="A485" s="13" t="str">
        <x:v>PAG-000484</x:v>
      </x:c>
      <x:c r="B485" s="23" t="n">
        <x:v>45634</x:v>
      </x:c>
      <x:c r="C485" s="23" t="n">
        <x:v>45654</x:v>
      </x:c>
      <x:c r="D485" s="23" t="n">
        <x:v>45651</x:v>
      </x:c>
      <x:c r="E485" s="13" t="str">
        <x:v>Insight BI</x:v>
      </x:c>
      <x:c r="F485" s="13" t="str">
        <x:v>Dados e Analytics</x:v>
      </x:c>
      <x:c r="G485" s="17" t="n">
        <x:v>1216.62</x:v>
      </x:c>
      <x:c r="H485" s="17" t="n">
        <x:v>1221.19</x:v>
      </x:c>
      <x:c r="I485" s="13" t="str">
        <x:v>Diretoria</x:v>
      </x:c>
      <x:c r="J485" s="13" t="str">
        <x:v>Pago</x:v>
      </x:c>
      <x:c r="K485" s="13" t="str">
        <x:v>Crescimento sem escala</x:v>
      </x:c>
      <x:c r="L485" s="17" t="n">
        <x:f>H485-G485</x:f>
        <x:v>4.570000000000164</x:v>
      </x:c>
      <x:c r="M485" s="19" t="n">
        <x:f>IFERROR(L485/G485,0)</x:f>
        <x:v>0.00375630846114659</x:v>
      </x:c>
      <x:c r="N485" s="13" t="n">
        <x:f>D485-C485</x:f>
        <x:v>-3</x:v>
      </x:c>
    </x:row>
    <x:row r="486">
      <x:c r="A486" s="13" t="str">
        <x:v>PAG-000485</x:v>
      </x:c>
      <x:c r="B486" s="23" t="n">
        <x:v>45643</x:v>
      </x:c>
      <x:c r="C486" s="23" t="n">
        <x:v>45663</x:v>
      </x:c>
      <x:c r="D486" s="23" t="n">
        <x:v>45661</x:v>
      </x:c>
      <x:c r="E486" s="13" t="str">
        <x:v>EducaPro</x:v>
      </x:c>
      <x:c r="F486" s="13" t="str">
        <x:v>Treinamentos</x:v>
      </x:c>
      <x:c r="G486" s="17" t="n">
        <x:v>2572.07</x:v>
      </x:c>
      <x:c r="H486" s="17" t="n">
        <x:v>2560.05</x:v>
      </x:c>
      <x:c r="I486" s="13" t="str">
        <x:v>Gestor da área</x:v>
      </x:c>
      <x:c r="J486" s="13" t="str">
        <x:v>Pago</x:v>
      </x:c>
      <x:c r="K486" s="13" t="str">
        <x:v>Crescimento sem escala</x:v>
      </x:c>
      <x:c r="L486" s="17" t="n">
        <x:f>H486-G486</x:f>
        <x:v>-12.019999999999982</x:v>
      </x:c>
      <x:c r="M486" s="19" t="n">
        <x:f>IFERROR(L486/G486,0)</x:f>
        <x:v>-0.004673278721030136</x:v>
      </x:c>
      <x:c r="N486" s="13" t="n">
        <x:f>D486-C486</x:f>
        <x:v>-2</x:v>
      </x:c>
    </x:row>
    <x:row r="487">
      <x:c r="A487" s="13" t="str">
        <x:v>PAG-000486</x:v>
      </x:c>
      <x:c r="B487" s="23" t="n">
        <x:v>45638</x:v>
      </x:c>
      <x:c r="C487" s="23" t="n">
        <x:v>45658</x:v>
      </x:c>
      <x:c r="D487" s="23" t="n">
        <x:v>45658</x:v>
      </x:c>
      <x:c r="E487" s="13" t="str">
        <x:v>Insight BI</x:v>
      </x:c>
      <x:c r="F487" s="13" t="str">
        <x:v>Dados e Analytics</x:v>
      </x:c>
      <x:c r="G487" s="17" t="n">
        <x:v>21115.96</x:v>
      </x:c>
      <x:c r="H487" s="17" t="n">
        <x:v>21194.64</x:v>
      </x:c>
      <x:c r="I487" s="13" t="str">
        <x:v>Financeiro</x:v>
      </x:c>
      <x:c r="J487" s="13" t="str">
        <x:v>Pago</x:v>
      </x:c>
      <x:c r="K487" s="13" t="str">
        <x:v>Crescimento sem escala</x:v>
      </x:c>
      <x:c r="L487" s="17" t="n">
        <x:f>H487-G487</x:f>
        <x:v>78.68000000000029</x:v>
      </x:c>
      <x:c r="M487" s="19" t="n">
        <x:f>IFERROR(L487/G487,0)</x:f>
        <x:v>0.003726091544026428</x:v>
      </x:c>
      <x:c r="N487" s="13" t="n">
        <x:f>D487-C487</x:f>
        <x:v>0</x:v>
      </x:c>
    </x:row>
    <x:row r="488">
      <x:c r="A488" s="13" t="str">
        <x:v>PAG-000487</x:v>
      </x:c>
      <x:c r="B488" s="23" t="n">
        <x:v>45632</x:v>
      </x:c>
      <x:c r="C488" s="23" t="n">
        <x:v>45647</x:v>
      </x:c>
      <x:c r="D488" s="23" t="n">
        <x:v>45647</x:v>
      </x:c>
      <x:c r="E488" s="13" t="str">
        <x:v>Conta Certa</x:v>
      </x:c>
      <x:c r="F488" s="13" t="str">
        <x:v>Contabilidade</x:v>
      </x:c>
      <x:c r="G488" s="17" t="n">
        <x:v>18638.86</x:v>
      </x:c>
      <x:c r="H488" s="17" t="n">
        <x:v>19648.61</x:v>
      </x:c>
      <x:c r="I488" s="13" t="str">
        <x:v>Gestor da área</x:v>
      </x:c>
      <x:c r="J488" s="13" t="str">
        <x:v>Pago</x:v>
      </x:c>
      <x:c r="K488" s="13" t="str">
        <x:v>Crescimento sem escala</x:v>
      </x:c>
      <x:c r="L488" s="17" t="n">
        <x:f>H488-G488</x:f>
        <x:v>1009.75</x:v>
      </x:c>
      <x:c r="M488" s="19" t="n">
        <x:f>IFERROR(L488/G488,0)</x:f>
        <x:v>0.05417445058335112</x:v>
      </x:c>
      <x:c r="N488" s="13" t="n">
        <x:f>D488-C488</x:f>
        <x:v>0</x:v>
      </x:c>
    </x:row>
    <x:row r="489">
      <x:c r="A489" s="13" t="str">
        <x:v>PAG-000488</x:v>
      </x:c>
      <x:c r="B489" s="23" t="n">
        <x:v>45634</x:v>
      </x:c>
      <x:c r="C489" s="23" t="n">
        <x:v>45654</x:v>
      </x:c>
      <x:c r="D489" s="23" t="n">
        <x:v>45653</x:v>
      </x:c>
      <x:c r="E489" s="13" t="str">
        <x:v>DataSafe</x:v>
      </x:c>
      <x:c r="F489" s="13" t="str">
        <x:v>Segurança da informação</x:v>
      </x:c>
      <x:c r="G489" s="17" t="n">
        <x:v>26218.63</x:v>
      </x:c>
      <x:c r="H489" s="17" t="n">
        <x:v>27700.31</x:v>
      </x:c>
      <x:c r="I489" s="13" t="str">
        <x:v>Diretoria</x:v>
      </x:c>
      <x:c r="J489" s="13" t="str">
        <x:v>Pago</x:v>
      </x:c>
      <x:c r="K489" s="13" t="str">
        <x:v>Crescimento sem escala</x:v>
      </x:c>
      <x:c r="L489" s="17" t="n">
        <x:f>H489-G489</x:f>
        <x:v>1481.6800000000003</x:v>
      </x:c>
      <x:c r="M489" s="19" t="n">
        <x:f>IFERROR(L489/G489,0)</x:f>
        <x:v>0.056512487494579246</x:v>
      </x:c>
      <x:c r="N489" s="13" t="n">
        <x:f>D489-C489</x:f>
        <x:v>-1</x:v>
      </x:c>
    </x:row>
    <x:row r="490">
      <x:c r="A490" s="13" t="str">
        <x:v>PAG-000489</x:v>
      </x:c>
      <x:c r="B490" s="23" t="n">
        <x:v>45632</x:v>
      </x:c>
      <x:c r="C490" s="23" t="n">
        <x:v>45647</x:v>
      </x:c>
      <x:c r="D490" s="23" t="n">
        <x:v>45647</x:v>
      </x:c>
      <x:c r="E490" s="13" t="str">
        <x:v>WorkSpace</x:v>
      </x:c>
      <x:c r="F490" s="13" t="str">
        <x:v>Locação</x:v>
      </x:c>
      <x:c r="G490" s="17" t="n">
        <x:v>13920.13</x:v>
      </x:c>
      <x:c r="H490" s="17" t="n">
        <x:v>13952.08</x:v>
      </x:c>
      <x:c r="I490" s="13" t="str">
        <x:v>Diretoria</x:v>
      </x:c>
      <x:c r="J490" s="13" t="str">
        <x:v>Pago</x:v>
      </x:c>
      <x:c r="K490" s="13" t="str">
        <x:v>Crescimento sem escala</x:v>
      </x:c>
      <x:c r="L490" s="17" t="n">
        <x:f>H490-G490</x:f>
        <x:v>31.950000000000728</x:v>
      </x:c>
      <x:c r="M490" s="19" t="n">
        <x:f>IFERROR(L490/G490,0)</x:f>
        <x:v>0.00229523718528496</x:v>
      </x:c>
      <x:c r="N490" s="13" t="n">
        <x:f>D490-C490</x:f>
        <x:v>0</x:v>
      </x:c>
    </x:row>
    <x:row r="491">
      <x:c r="A491" s="13" t="str">
        <x:v>PAG-000490</x:v>
      </x:c>
      <x:c r="B491" s="23" t="n">
        <x:v>45636</x:v>
      </x:c>
      <x:c r="C491" s="23" t="n">
        <x:v>45651</x:v>
      </x:c>
      <x:c r="D491" s="23" t="n">
        <x:v>45649</x:v>
      </x:c>
      <x:c r="E491" s="13" t="str">
        <x:v>WorkSpace</x:v>
      </x:c>
      <x:c r="F491" s="13" t="str">
        <x:v>Locação</x:v>
      </x:c>
      <x:c r="G491" s="17" t="n">
        <x:v>14576.81</x:v>
      </x:c>
      <x:c r="H491" s="17" t="n">
        <x:v>14361.74</x:v>
      </x:c>
      <x:c r="I491" s="13" t="str">
        <x:v>Financeiro</x:v>
      </x:c>
      <x:c r="J491" s="13" t="str">
        <x:v>Pago</x:v>
      </x:c>
      <x:c r="K491" s="13" t="str">
        <x:v>Crescimento sem escala</x:v>
      </x:c>
      <x:c r="L491" s="17" t="n">
        <x:f>H491-G491</x:f>
        <x:v>-215.0699999999997</x:v>
      </x:c>
      <x:c r="M491" s="19" t="n">
        <x:f>IFERROR(L491/G491,0)</x:f>
        <x:v>-0.014754256932758246</x:v>
      </x:c>
      <x:c r="N491" s="13" t="n">
        <x:f>D491-C491</x:f>
        <x:v>-2</x:v>
      </x:c>
    </x:row>
    <x:row r="492">
      <x:c r="A492" s="13" t="str">
        <x:v>PAG-000491</x:v>
      </x:c>
      <x:c r="B492" s="23" t="n">
        <x:v>45644</x:v>
      </x:c>
      <x:c r="C492" s="23" t="n">
        <x:v>45664</x:v>
      </x:c>
      <x:c r="D492" s="23" t="n">
        <x:v>45666</x:v>
      </x:c>
      <x:c r="E492" s="13" t="str">
        <x:v>PeopleHub</x:v>
      </x:c>
      <x:c r="F492" s="13" t="str">
        <x:v>Recursos Humanos</x:v>
      </x:c>
      <x:c r="G492" s="17" t="n">
        <x:v>28307.53</x:v>
      </x:c>
      <x:c r="H492" s="17" t="n">
        <x:v>28923.57</x:v>
      </x:c>
      <x:c r="I492" s="13" t="str">
        <x:v>Financeiro</x:v>
      </x:c>
      <x:c r="J492" s="13" t="str">
        <x:v>Pago</x:v>
      </x:c>
      <x:c r="K492" s="13" t="str">
        <x:v>Crescimento sem escala</x:v>
      </x:c>
      <x:c r="L492" s="17" t="n">
        <x:f>H492-G492</x:f>
        <x:v>616.0400000000009</x:v>
      </x:c>
      <x:c r="M492" s="19" t="n">
        <x:f>IFERROR(L492/G492,0)</x:f>
        <x:v>0.021762407387716304</x:v>
      </x:c>
      <x:c r="N492" s="13" t="n">
        <x:f>D492-C492</x:f>
        <x:v>2</x:v>
      </x:c>
    </x:row>
    <x:row r="493">
      <x:c r="A493" s="13" t="str">
        <x:v>PAG-000492</x:v>
      </x:c>
      <x:c r="B493" s="23" t="n">
        <x:v>45634</x:v>
      </x:c>
      <x:c r="C493" s="23" t="n">
        <x:v>45649</x:v>
      </x:c>
      <x:c r="D493" s="23" t="n">
        <x:v>45651</x:v>
      </x:c>
      <x:c r="E493" s="13" t="str">
        <x:v>Insight BI</x:v>
      </x:c>
      <x:c r="F493" s="13" t="str">
        <x:v>Dados e Analytics</x:v>
      </x:c>
      <x:c r="G493" s="17" t="n">
        <x:v>9839.88</x:v>
      </x:c>
      <x:c r="H493" s="17" t="n">
        <x:v>9672.15</x:v>
      </x:c>
      <x:c r="I493" s="13" t="str">
        <x:v>Financeiro</x:v>
      </x:c>
      <x:c r="J493" s="13" t="str">
        <x:v>Pago</x:v>
      </x:c>
      <x:c r="K493" s="13" t="str">
        <x:v>Crescimento sem escala</x:v>
      </x:c>
      <x:c r="L493" s="17" t="n">
        <x:f>H493-G493</x:f>
        <x:v>-167.72999999999956</x:v>
      </x:c>
      <x:c r="M493" s="19" t="n">
        <x:f>IFERROR(L493/G493,0)</x:f>
        <x:v>-0.01704593958462904</x:v>
      </x:c>
      <x:c r="N493" s="13" t="n">
        <x:f>D493-C493</x:f>
        <x:v>2</x:v>
      </x:c>
    </x:row>
    <x:row r="494">
      <x:c r="A494" s="13" t="str">
        <x:v>PAG-000493</x:v>
      </x:c>
      <x:c r="B494" s="23" t="n">
        <x:v>45628</x:v>
      </x:c>
      <x:c r="C494" s="23" t="n">
        <x:v>45648</x:v>
      </x:c>
      <x:c r="D494" s="23" t="n">
        <x:v>45648</x:v>
      </x:c>
      <x:c r="E494" s="13" t="str">
        <x:v>WorkSpace</x:v>
      </x:c>
      <x:c r="F494" s="13" t="str">
        <x:v>Locação</x:v>
      </x:c>
      <x:c r="G494" s="17" t="n">
        <x:v>18605.66</x:v>
      </x:c>
      <x:c r="H494" s="17" t="n">
        <x:v>18206.23</x:v>
      </x:c>
      <x:c r="I494" s="13" t="str">
        <x:v>Financeiro</x:v>
      </x:c>
      <x:c r="J494" s="13" t="str">
        <x:v>Pago</x:v>
      </x:c>
      <x:c r="K494" s="13" t="str">
        <x:v>Crescimento sem escala</x:v>
      </x:c>
      <x:c r="L494" s="17" t="n">
        <x:f>H494-G494</x:f>
        <x:v>-399.4300000000003</x:v>
      </x:c>
      <x:c r="M494" s="19" t="n">
        <x:f>IFERROR(L494/G494,0)</x:f>
        <x:v>-0.021468198386942482</x:v>
      </x:c>
      <x:c r="N494" s="13" t="n">
        <x:f>D494-C494</x:f>
        <x:v>0</x:v>
      </x:c>
    </x:row>
    <x:row r="495">
      <x:c r="A495" s="13" t="str">
        <x:v>PAG-000494</x:v>
      </x:c>
      <x:c r="B495" s="23" t="n">
        <x:v>45630</x:v>
      </x:c>
      <x:c r="C495" s="23" t="n">
        <x:v>45650</x:v>
      </x:c>
      <x:c r="D495" s="23" t="n">
        <x:v>45648</x:v>
      </x:c>
      <x:c r="E495" s="13" t="str">
        <x:v>NetLink</x:v>
      </x:c>
      <x:c r="F495" s="13" t="str">
        <x:v>Telecomunicações</x:v>
      </x:c>
      <x:c r="G495" s="17" t="n">
        <x:v>11593.17</x:v>
      </x:c>
      <x:c r="H495" s="17" t="n">
        <x:v>12128.44</x:v>
      </x:c>
      <x:c r="I495" s="13" t="str">
        <x:v>Diretoria</x:v>
      </x:c>
      <x:c r="J495" s="13" t="str">
        <x:v>Pago</x:v>
      </x:c>
      <x:c r="K495" s="13" t="str">
        <x:v>Crescimento sem escala</x:v>
      </x:c>
      <x:c r="L495" s="17" t="n">
        <x:f>H495-G495</x:f>
        <x:v>535.2700000000004</x:v>
      </x:c>
      <x:c r="M495" s="19" t="n">
        <x:f>IFERROR(L495/G495,0)</x:f>
        <x:v>0.046171150772394476</x:v>
      </x:c>
      <x:c r="N495" s="13" t="n">
        <x:f>D495-C495</x:f>
        <x:v>-2</x:v>
      </x:c>
    </x:row>
    <x:row r="496">
      <x:c r="A496" s="13" t="str">
        <x:v>PAG-000495</x:v>
      </x:c>
      <x:c r="B496" s="23" t="n">
        <x:v>45637</x:v>
      </x:c>
      <x:c r="C496" s="23" t="n">
        <x:v>45657</x:v>
      </x:c>
      <x:c r="D496" s="23" t="n">
        <x:v>45657</x:v>
      </x:c>
      <x:c r="E496" s="13" t="str">
        <x:v>CloudCore</x:v>
      </x:c>
      <x:c r="F496" s="13" t="str">
        <x:v>Tecnologia</x:v>
      </x:c>
      <x:c r="G496" s="17" t="n">
        <x:v>6773.34</x:v>
      </x:c>
      <x:c r="H496" s="17" t="n">
        <x:v>6666.44</x:v>
      </x:c>
      <x:c r="I496" s="13" t="str">
        <x:v>Gestor da área</x:v>
      </x:c>
      <x:c r="J496" s="13" t="str">
        <x:v>Pago</x:v>
      </x:c>
      <x:c r="K496" s="13" t="str">
        <x:v>Crescimento sem escala</x:v>
      </x:c>
      <x:c r="L496" s="17" t="n">
        <x:f>H496-G496</x:f>
        <x:v>-106.90000000000055</x:v>
      </x:c>
      <x:c r="M496" s="19" t="n">
        <x:f>IFERROR(L496/G496,0)</x:f>
        <x:v>-0.01578246478103868</x:v>
      </x:c>
      <x:c r="N496" s="13" t="n">
        <x:f>D496-C496</x:f>
        <x:v>0</x:v>
      </x:c>
    </x:row>
    <x:row r="497">
      <x:c r="A497" s="13" t="str">
        <x:v>PAG-000496</x:v>
      </x:c>
      <x:c r="B497" s="23" t="n">
        <x:v>45640</x:v>
      </x:c>
      <x:c r="C497" s="23" t="n">
        <x:v>45647</x:v>
      </x:c>
      <x:c r="D497" s="23" t="n">
        <x:v>45645</x:v>
      </x:c>
      <x:c r="E497" s="13" t="str">
        <x:v>WorkSpace</x:v>
      </x:c>
      <x:c r="F497" s="13" t="str">
        <x:v>Locação</x:v>
      </x:c>
      <x:c r="G497" s="17" t="n">
        <x:v>18087.35</x:v>
      </x:c>
      <x:c r="H497" s="17" t="n">
        <x:v>19230.87</x:v>
      </x:c>
      <x:c r="I497" s="13" t="str">
        <x:v>Financeiro</x:v>
      </x:c>
      <x:c r="J497" s="13" t="str">
        <x:v>Pago</x:v>
      </x:c>
      <x:c r="K497" s="13" t="str">
        <x:v>Crescimento sem escala</x:v>
      </x:c>
      <x:c r="L497" s="17" t="n">
        <x:f>H497-G497</x:f>
        <x:v>1143.5200000000004</x:v>
      </x:c>
      <x:c r="M497" s="19" t="n">
        <x:f>IFERROR(L497/G497,0)</x:f>
        <x:v>0.06322208615413538</x:v>
      </x:c>
      <x:c r="N497" s="13" t="n">
        <x:f>D497-C497</x:f>
        <x:v>-2</x:v>
      </x:c>
    </x:row>
    <x:row r="498">
      <x:c r="A498" s="13" t="str">
        <x:v>PAG-000497</x:v>
      </x:c>
      <x:c r="B498" s="23" t="n">
        <x:v>45636</x:v>
      </x:c>
      <x:c r="C498" s="23" t="n">
        <x:v>45666</x:v>
      </x:c>
      <x:c r="D498" s="23" t="n">
        <x:v>45666</x:v>
      </x:c>
      <x:c r="E498" s="13" t="str">
        <x:v>MarketLab</x:v>
      </x:c>
      <x:c r="F498" s="13" t="str">
        <x:v>Marketing</x:v>
      </x:c>
      <x:c r="G498" s="17" t="n">
        <x:v>1369.9</x:v>
      </x:c>
      <x:c r="H498" s="17" t="n">
        <x:v>1429.92</x:v>
      </x:c>
      <x:c r="I498" s="13" t="str">
        <x:v>Gestor da área</x:v>
      </x:c>
      <x:c r="J498" s="13" t="str">
        <x:v>Pago</x:v>
      </x:c>
      <x:c r="K498" s="13" t="str">
        <x:v>Crescimento sem escala</x:v>
      </x:c>
      <x:c r="L498" s="17" t="n">
        <x:f>H498-G498</x:f>
        <x:v>60.01999999999998</x:v>
      </x:c>
      <x:c r="M498" s="19" t="n">
        <x:f>IFERROR(L498/G498,0)</x:f>
        <x:v>0.043813417037739964</x:v>
      </x:c>
      <x:c r="N498" s="13" t="n">
        <x:f>D498-C498</x:f>
        <x:v>0</x:v>
      </x:c>
    </x:row>
    <x:row r="499">
      <x:c r="A499" s="13" t="str">
        <x:v>PAG-000498</x:v>
      </x:c>
      <x:c r="B499" s="23" t="n">
        <x:v>45630</x:v>
      </x:c>
      <x:c r="C499" s="23" t="n">
        <x:v>45637</x:v>
      </x:c>
      <x:c r="D499" s="23" t="n">
        <x:v>45639</x:v>
      </x:c>
      <x:c r="E499" s="13" t="str">
        <x:v>EducaPro</x:v>
      </x:c>
      <x:c r="F499" s="13" t="str">
        <x:v>Treinamentos</x:v>
      </x:c>
      <x:c r="G499" s="17" t="n">
        <x:v>22170.9</x:v>
      </x:c>
      <x:c r="H499" s="17" t="n">
        <x:v>23129.26</x:v>
      </x:c>
      <x:c r="I499" s="13" t="str">
        <x:v>Diretoria</x:v>
      </x:c>
      <x:c r="J499" s="13" t="str">
        <x:v>Pago</x:v>
      </x:c>
      <x:c r="K499" s="13" t="str">
        <x:v>Crescimento sem escala</x:v>
      </x:c>
      <x:c r="L499" s="17" t="n">
        <x:f>H499-G499</x:f>
        <x:v>958.359999999997</x:v>
      </x:c>
      <x:c r="M499" s="19" t="n">
        <x:f>IFERROR(L499/G499,0)</x:f>
        <x:v>0.04322603051747998</x:v>
      </x:c>
      <x:c r="N499" s="13" t="n">
        <x:f>D499-C499</x:f>
        <x:v>2</x:v>
      </x:c>
    </x:row>
    <x:row r="500">
      <x:c r="A500" s="13" t="str">
        <x:v>PAG-000499</x:v>
      </x:c>
      <x:c r="B500" s="23" t="n">
        <x:v>45636</x:v>
      </x:c>
      <x:c r="C500" s="23" t="n">
        <x:v>45656</x:v>
      </x:c>
      <x:c r="D500" s="23" t="n">
        <x:v>45657</x:v>
      </x:c>
      <x:c r="E500" s="13" t="str">
        <x:v>Insight BI</x:v>
      </x:c>
      <x:c r="F500" s="13" t="str">
        <x:v>Dados e Analytics</x:v>
      </x:c>
      <x:c r="G500" s="17" t="n">
        <x:v>6573.14</x:v>
      </x:c>
      <x:c r="H500" s="17" t="n">
        <x:v>6870.68</x:v>
      </x:c>
      <x:c r="I500" s="13" t="str">
        <x:v>Gestor da área</x:v>
      </x:c>
      <x:c r="J500" s="13" t="str">
        <x:v>Pago</x:v>
      </x:c>
      <x:c r="K500" s="13" t="str">
        <x:v>Crescimento sem escala</x:v>
      </x:c>
      <x:c r="L500" s="17" t="n">
        <x:f>H500-G500</x:f>
        <x:v>297.53999999999996</x:v>
      </x:c>
      <x:c r="M500" s="19" t="n">
        <x:f>IFERROR(L500/G500,0)</x:f>
        <x:v>0.0452660372363893</x:v>
      </x:c>
      <x:c r="N500" s="13" t="n">
        <x:f>D500-C500</x:f>
        <x:v>1</x:v>
      </x:c>
    </x:row>
    <x:row r="501">
      <x:c r="A501" s="13" t="str">
        <x:v>PAG-000500</x:v>
      </x:c>
      <x:c r="B501" s="23" t="n">
        <x:v>45628</x:v>
      </x:c>
      <x:c r="C501" s="23" t="n">
        <x:v>45648</x:v>
      </x:c>
      <x:c r="D501" s="23" t="n">
        <x:v>45650</x:v>
      </x:c>
      <x:c r="E501" s="13" t="str">
        <x:v>Insight BI</x:v>
      </x:c>
      <x:c r="F501" s="13" t="str">
        <x:v>Dados e Analytics</x:v>
      </x:c>
      <x:c r="G501" s="17" t="n">
        <x:v>25412.33</x:v>
      </x:c>
      <x:c r="H501" s="17" t="n">
        <x:v>25638.53</x:v>
      </x:c>
      <x:c r="I501" s="13" t="str">
        <x:v>Diretoria</x:v>
      </x:c>
      <x:c r="J501" s="13" t="str">
        <x:v>Pago</x:v>
      </x:c>
      <x:c r="K501" s="13" t="str">
        <x:v>Crescimento sem escala</x:v>
      </x:c>
      <x:c r="L501" s="17" t="n">
        <x:f>H501-G501</x:f>
        <x:v>226.1999999999971</x:v>
      </x:c>
      <x:c r="M501" s="19" t="n">
        <x:f>IFERROR(L501/G501,0)</x:f>
        <x:v>0.008901190878600942</x:v>
      </x:c>
      <x:c r="N501" s="13" t="n">
        <x:f>D501-C501</x:f>
        <x:v>2</x:v>
      </x:c>
    </x:row>
    <x:row r="502">
      <x:c r="A502" s="13" t="str">
        <x:v>PAG-000501</x:v>
      </x:c>
      <x:c r="B502" s="23" t="n">
        <x:v>45629</x:v>
      </x:c>
      <x:c r="C502" s="23" t="n">
        <x:v>45644</x:v>
      </x:c>
      <x:c r="D502" s="23" t="n">
        <x:v>45641</x:v>
      </x:c>
      <x:c r="E502" s="13" t="str">
        <x:v>NetLink</x:v>
      </x:c>
      <x:c r="F502" s="13" t="str">
        <x:v>Telecomunicações</x:v>
      </x:c>
      <x:c r="G502" s="17" t="n">
        <x:v>11879.67</x:v>
      </x:c>
      <x:c r="H502" s="17" t="n">
        <x:v>12132.79</x:v>
      </x:c>
      <x:c r="I502" s="13" t="str">
        <x:v>Diretoria</x:v>
      </x:c>
      <x:c r="J502" s="13" t="str">
        <x:v>Pago</x:v>
      </x:c>
      <x:c r="K502" s="13" t="str">
        <x:v>Crescimento sem escala</x:v>
      </x:c>
      <x:c r="L502" s="17" t="n">
        <x:f>H502-G502</x:f>
        <x:v>253.1200000000008</x:v>
      </x:c>
      <x:c r="M502" s="19" t="n">
        <x:f>IFERROR(L502/G502,0)</x:f>
        <x:v>0.021306989167207573</x:v>
      </x:c>
      <x:c r="N502" s="13" t="n">
        <x:f>D502-C502</x:f>
        <x:v>-3</x:v>
      </x:c>
    </x:row>
    <x:row r="503">
      <x:c r="A503" s="13" t="str">
        <x:v>PAG-000502</x:v>
      </x:c>
      <x:c r="B503" s="23" t="n">
        <x:v>45646</x:v>
      </x:c>
      <x:c r="C503" s="23" t="n">
        <x:v>45676</x:v>
      </x:c>
      <x:c r="D503" s="23" t="n">
        <x:v>45676</x:v>
      </x:c>
      <x:c r="E503" s="13" t="str">
        <x:v>Insight BI</x:v>
      </x:c>
      <x:c r="F503" s="13" t="str">
        <x:v>Dados e Analytics</x:v>
      </x:c>
      <x:c r="G503" s="17" t="n">
        <x:v>13696.62</x:v>
      </x:c>
      <x:c r="H503" s="17" t="n">
        <x:v>13681.54</x:v>
      </x:c>
      <x:c r="I503" s="13" t="str">
        <x:v>Financeiro</x:v>
      </x:c>
      <x:c r="J503" s="13" t="str">
        <x:v>Pago</x:v>
      </x:c>
      <x:c r="K503" s="13" t="str">
        <x:v>Crescimento sem escala</x:v>
      </x:c>
      <x:c r="L503" s="17" t="n">
        <x:f>H503-G503</x:f>
        <x:v>-15.079999999999927</x:v>
      </x:c>
      <x:c r="M503" s="19" t="n">
        <x:f>IFERROR(L503/G503,0)</x:f>
        <x:v>-0.0011010015609690513</x:v>
      </x:c>
      <x:c r="N503" s="13" t="n">
        <x:f>D503-C503</x:f>
        <x:v>0</x:v>
      </x:c>
    </x:row>
    <x:row r="504">
      <x:c r="A504" s="13" t="str">
        <x:v>PAG-000503</x:v>
      </x:c>
      <x:c r="B504" s="23" t="n">
        <x:v>45631</x:v>
      </x:c>
      <x:c r="C504" s="23" t="n">
        <x:v>45661</x:v>
      </x:c>
      <x:c r="D504" s="23" t="n">
        <x:v>45661</x:v>
      </x:c>
      <x:c r="E504" s="13" t="str">
        <x:v>Insight BI</x:v>
      </x:c>
      <x:c r="F504" s="13" t="str">
        <x:v>Dados e Analytics</x:v>
      </x:c>
      <x:c r="G504" s="17" t="n">
        <x:v>27698.54</x:v>
      </x:c>
      <x:c r="H504" s="17" t="n">
        <x:v>28432.85</x:v>
      </x:c>
      <x:c r="I504" s="13" t="str">
        <x:v>Gestor da área</x:v>
      </x:c>
      <x:c r="J504" s="13" t="str">
        <x:v>Pago</x:v>
      </x:c>
      <x:c r="K504" s="13" t="str">
        <x:v>Crescimento sem escala</x:v>
      </x:c>
      <x:c r="L504" s="17" t="n">
        <x:f>H504-G504</x:f>
        <x:v>734.3099999999977</x:v>
      </x:c>
      <x:c r="M504" s="19" t="n">
        <x:f>IFERROR(L504/G504,0)</x:f>
        <x:v>0.02651078360086841</x:v>
      </x:c>
      <x:c r="N504" s="13" t="n">
        <x:f>D504-C504</x:f>
        <x:v>0</x:v>
      </x:c>
    </x:row>
    <x:row r="505">
      <x:c r="A505" s="13" t="str">
        <x:v>PAG-000504</x:v>
      </x:c>
      <x:c r="B505" s="23" t="n">
        <x:v>45646</x:v>
      </x:c>
      <x:c r="C505" s="23" t="n">
        <x:v>45666</x:v>
      </x:c>
      <x:c r="D505" s="23" t="n">
        <x:v>45666</x:v>
      </x:c>
      <x:c r="E505" s="13" t="str">
        <x:v>MarketLab</x:v>
      </x:c>
      <x:c r="F505" s="13" t="str">
        <x:v>Marketing</x:v>
      </x:c>
      <x:c r="G505" s="17" t="n">
        <x:v>18698.09</x:v>
      </x:c>
      <x:c r="H505" s="17" t="n">
        <x:v>19526.76</x:v>
      </x:c>
      <x:c r="I505" s="13" t="str">
        <x:v>Diretoria</x:v>
      </x:c>
      <x:c r="J505" s="13" t="str">
        <x:v>Pago</x:v>
      </x:c>
      <x:c r="K505" s="13" t="str">
        <x:v>Crescimento sem escala</x:v>
      </x:c>
      <x:c r="L505" s="17" t="n">
        <x:f>H505-G505</x:f>
        <x:v>828.6699999999983</x:v>
      </x:c>
      <x:c r="M505" s="19" t="n">
        <x:f>IFERROR(L505/G505,0)</x:f>
        <x:v>0.0443184303851355</x:v>
      </x:c>
      <x:c r="N505" s="13" t="n">
        <x:f>D505-C505</x:f>
        <x:v>0</x:v>
      </x:c>
    </x:row>
    <x:row r="506">
      <x:c r="A506" s="13" t="str">
        <x:v>PAG-000505</x:v>
      </x:c>
      <x:c r="B506" s="23" t="n">
        <x:v>45674</x:v>
      </x:c>
      <x:c r="C506" s="23" t="n">
        <x:v>45681</x:v>
      </x:c>
      <x:c r="D506" s="23" t="n">
        <x:v>45678</x:v>
      </x:c>
      <x:c r="E506" s="13" t="str">
        <x:v>NetLink</x:v>
      </x:c>
      <x:c r="F506" s="13" t="str">
        <x:v>Telecomunicações</x:v>
      </x:c>
      <x:c r="G506" s="17" t="n">
        <x:v>4487.13</x:v>
      </x:c>
      <x:c r="H506" s="17" t="n">
        <x:v>4674.63</x:v>
      </x:c>
      <x:c r="I506" s="13" t="str">
        <x:v>Gestor da área</x:v>
      </x:c>
      <x:c r="J506" s="13" t="str">
        <x:v>Pago</x:v>
      </x:c>
      <x:c r="K506" s="13" t="str">
        <x:v>Pico do descontrole</x:v>
      </x:c>
      <x:c r="L506" s="17" t="n">
        <x:f>H506-G506</x:f>
        <x:v>187.5</x:v>
      </x:c>
      <x:c r="M506" s="19" t="n">
        <x:f>IFERROR(L506/G506,0)</x:f>
        <x:v>0.041786175127531404</x:v>
      </x:c>
      <x:c r="N506" s="13" t="n">
        <x:f>D506-C506</x:f>
        <x:v>-3</x:v>
      </x:c>
    </x:row>
    <x:row r="507">
      <x:c r="A507" s="13" t="str">
        <x:v>PAG-000506</x:v>
      </x:c>
      <x:c r="B507" s="23" t="n">
        <x:v>45676</x:v>
      </x:c>
      <x:c r="C507" s="23" t="n">
        <x:v>45683</x:v>
      </x:c>
      <x:c r="D507" s="23" t="n">
        <x:v>45684</x:v>
      </x:c>
      <x:c r="E507" s="13" t="str">
        <x:v>PeopleHub</x:v>
      </x:c>
      <x:c r="F507" s="13" t="str">
        <x:v>Recursos Humanos</x:v>
      </x:c>
      <x:c r="G507" s="17" t="n">
        <x:v>7804.27</x:v>
      </x:c>
      <x:c r="H507" s="17" t="n">
        <x:v>8126.62</x:v>
      </x:c>
      <x:c r="I507" s="13" t="str">
        <x:v>Gestor da área</x:v>
      </x:c>
      <x:c r="J507" s="13" t="str">
        <x:v>Pago</x:v>
      </x:c>
      <x:c r="K507" s="13" t="str">
        <x:v>Pico do descontrole</x:v>
      </x:c>
      <x:c r="L507" s="17" t="n">
        <x:f>H507-G507</x:f>
        <x:v>322.34999999999945</x:v>
      </x:c>
      <x:c r="M507" s="19" t="n">
        <x:f>IFERROR(L507/G507,0)</x:f>
        <x:v>0.04130431161402661</x:v>
      </x:c>
      <x:c r="N507" s="13" t="n">
        <x:f>D507-C507</x:f>
        <x:v>1</x:v>
      </x:c>
    </x:row>
    <x:row r="508">
      <x:c r="A508" s="13" t="str">
        <x:v>PAG-000507</x:v>
      </x:c>
      <x:c r="B508" s="23" t="n">
        <x:v>45671</x:v>
      </x:c>
      <x:c r="C508" s="23" t="n">
        <x:v>45678</x:v>
      </x:c>
      <x:c r="D508" s="23" t="n">
        <x:v>45675</x:v>
      </x:c>
      <x:c r="E508" s="13" t="str">
        <x:v>NetLink</x:v>
      </x:c>
      <x:c r="F508" s="13" t="str">
        <x:v>Telecomunicações</x:v>
      </x:c>
      <x:c r="G508" s="17" t="n">
        <x:v>20634.43</x:v>
      </x:c>
      <x:c r="H508" s="17" t="n">
        <x:v>20660.75</x:v>
      </x:c>
      <x:c r="I508" s="13" t="str">
        <x:v>Diretoria</x:v>
      </x:c>
      <x:c r="J508" s="13" t="str">
        <x:v>Pago</x:v>
      </x:c>
      <x:c r="K508" s="13" t="str">
        <x:v>Pico do descontrole</x:v>
      </x:c>
      <x:c r="L508" s="17" t="n">
        <x:f>H508-G508</x:f>
        <x:v>26.31999999999971</x:v>
      </x:c>
      <x:c r="M508" s="19" t="n">
        <x:f>IFERROR(L508/G508,0)</x:f>
        <x:v>0.0012755380206770776</x:v>
      </x:c>
      <x:c r="N508" s="13" t="n">
        <x:f>D508-C508</x:f>
        <x:v>-3</x:v>
      </x:c>
    </x:row>
    <x:row r="509">
      <x:c r="A509" s="13" t="str">
        <x:v>PAG-000508</x:v>
      </x:c>
      <x:c r="B509" s="23" t="n">
        <x:v>45664</x:v>
      </x:c>
      <x:c r="C509" s="23" t="n">
        <x:v>45684</x:v>
      </x:c>
      <x:c r="D509" s="23" t="n">
        <x:v>45683</x:v>
      </x:c>
      <x:c r="E509" s="13" t="str">
        <x:v>Insight BI</x:v>
      </x:c>
      <x:c r="F509" s="13" t="str">
        <x:v>Dados e Analytics</x:v>
      </x:c>
      <x:c r="G509" s="17" t="n">
        <x:v>6507.25</x:v>
      </x:c>
      <x:c r="H509" s="17" t="n">
        <x:v>6899.37</x:v>
      </x:c>
      <x:c r="I509" s="13" t="str">
        <x:v>Financeiro</x:v>
      </x:c>
      <x:c r="J509" s="13" t="str">
        <x:v>Pago</x:v>
      </x:c>
      <x:c r="K509" s="13" t="str">
        <x:v>Pico do descontrole</x:v>
      </x:c>
      <x:c r="L509" s="17" t="n">
        <x:f>H509-G509</x:f>
        <x:v>392.1199999999999</x:v>
      </x:c>
      <x:c r="M509" s="19" t="n">
        <x:f>IFERROR(L509/G509,0)</x:f>
        <x:v>0.06025894194936415</x:v>
      </x:c>
      <x:c r="N509" s="13" t="n">
        <x:f>D509-C509</x:f>
        <x:v>-1</x:v>
      </x:c>
    </x:row>
    <x:row r="510">
      <x:c r="A510" s="13" t="str">
        <x:v>PAG-000509</x:v>
      </x:c>
      <x:c r="B510" s="23" t="n">
        <x:v>45676</x:v>
      </x:c>
      <x:c r="C510" s="23" t="n">
        <x:v>45706</x:v>
      </x:c>
      <x:c r="D510" s="23" t="n">
        <x:v>45706</x:v>
      </x:c>
      <x:c r="E510" s="13" t="str">
        <x:v>Conta Certa</x:v>
      </x:c>
      <x:c r="F510" s="13" t="str">
        <x:v>Contabilidade</x:v>
      </x:c>
      <x:c r="G510" s="17" t="n">
        <x:v>24998.09</x:v>
      </x:c>
      <x:c r="H510" s="17" t="n">
        <x:v>24669.14</x:v>
      </x:c>
      <x:c r="I510" s="13" t="str">
        <x:v>Financeiro</x:v>
      </x:c>
      <x:c r="J510" s="13" t="str">
        <x:v>Pago</x:v>
      </x:c>
      <x:c r="K510" s="13" t="str">
        <x:v>Pico do descontrole</x:v>
      </x:c>
      <x:c r="L510" s="17" t="n">
        <x:f>H510-G510</x:f>
        <x:v>-328.9500000000007</x:v>
      </x:c>
      <x:c r="M510" s="19" t="n">
        <x:f>IFERROR(L510/G510,0)</x:f>
        <x:v>-0.013159005348008616</x:v>
      </x:c>
      <x:c r="N510" s="13" t="n">
        <x:f>D510-C510</x:f>
        <x:v>0</x:v>
      </x:c>
    </x:row>
    <x:row r="511">
      <x:c r="A511" s="13" t="str">
        <x:v>PAG-000510</x:v>
      </x:c>
      <x:c r="B511" s="23" t="n">
        <x:v>45676</x:v>
      </x:c>
      <x:c r="C511" s="23" t="n">
        <x:v>45696</x:v>
      </x:c>
      <x:c r="D511" s="23" t="n">
        <x:v>45696</x:v>
      </x:c>
      <x:c r="E511" s="13" t="str">
        <x:v>LegalMais</x:v>
      </x:c>
      <x:c r="F511" s="13" t="str">
        <x:v>Jurídico</x:v>
      </x:c>
      <x:c r="G511" s="17" t="n">
        <x:v>10155.4</x:v>
      </x:c>
      <x:c r="H511" s="17" t="n">
        <x:v>10797.04</x:v>
      </x:c>
      <x:c r="I511" s="13" t="str">
        <x:v>Gestor da área</x:v>
      </x:c>
      <x:c r="J511" s="13" t="str">
        <x:v>Pago</x:v>
      </x:c>
      <x:c r="K511" s="13" t="str">
        <x:v>Pico do descontrole</x:v>
      </x:c>
      <x:c r="L511" s="17" t="n">
        <x:f>H511-G511</x:f>
        <x:v>641.6400000000012</x:v>
      </x:c>
      <x:c r="M511" s="19" t="n">
        <x:f>IFERROR(L511/G511,0)</x:f>
        <x:v>0.06318214939834978</x:v>
      </x:c>
      <x:c r="N511" s="13" t="n">
        <x:f>D511-C511</x:f>
        <x:v>0</x:v>
      </x:c>
    </x:row>
    <x:row r="512">
      <x:c r="A512" s="13" t="str">
        <x:v>PAG-000511</x:v>
      </x:c>
      <x:c r="B512" s="23" t="n">
        <x:v>45671</x:v>
      </x:c>
      <x:c r="C512" s="23" t="n">
        <x:v>45701</x:v>
      </x:c>
      <x:c r="D512" s="23" t="n">
        <x:v>45700</x:v>
      </x:c>
      <x:c r="E512" s="13" t="str">
        <x:v>Office Prime</x:v>
      </x:c>
      <x:c r="F512" s="13" t="str">
        <x:v>Escritório</x:v>
      </x:c>
      <x:c r="G512" s="17" t="n">
        <x:v>5918.36</x:v>
      </x:c>
      <x:c r="H512" s="17" t="n">
        <x:v>6161.95</x:v>
      </x:c>
      <x:c r="I512" s="13" t="str">
        <x:v>Diretoria</x:v>
      </x:c>
      <x:c r="J512" s="13" t="str">
        <x:v>Pago</x:v>
      </x:c>
      <x:c r="K512" s="13" t="str">
        <x:v>Pico do descontrole</x:v>
      </x:c>
      <x:c r="L512" s="17" t="n">
        <x:f>H512-G512</x:f>
        <x:v>243.59000000000015</x:v>
      </x:c>
      <x:c r="M512" s="19" t="n">
        <x:f>IFERROR(L512/G512,0)</x:f>
        <x:v>0.04115836143796595</x:v>
      </x:c>
      <x:c r="N512" s="13" t="n">
        <x:f>D512-C512</x:f>
        <x:v>-1</x:v>
      </x:c>
    </x:row>
    <x:row r="513">
      <x:c r="A513" s="13" t="str">
        <x:v>PAG-000512</x:v>
      </x:c>
      <x:c r="B513" s="23" t="n">
        <x:v>45659</x:v>
      </x:c>
      <x:c r="C513" s="23" t="n">
        <x:v>45679</x:v>
      </x:c>
      <x:c r="D513" s="23" t="n">
        <x:v>45679</x:v>
      </x:c>
      <x:c r="E513" s="13" t="str">
        <x:v>LegalMais</x:v>
      </x:c>
      <x:c r="F513" s="13" t="str">
        <x:v>Jurídico</x:v>
      </x:c>
      <x:c r="G513" s="17" t="n">
        <x:v>16584.94</x:v>
      </x:c>
      <x:c r="H513" s="17" t="n">
        <x:v>17372.88</x:v>
      </x:c>
      <x:c r="I513" s="13" t="str">
        <x:v>Gestor da área</x:v>
      </x:c>
      <x:c r="J513" s="13" t="str">
        <x:v>Pago</x:v>
      </x:c>
      <x:c r="K513" s="13" t="str">
        <x:v>Pico do descontrole</x:v>
      </x:c>
      <x:c r="L513" s="17" t="n">
        <x:f>H513-G513</x:f>
        <x:v>787.9400000000023</x:v>
      </x:c>
      <x:c r="M513" s="19" t="n">
        <x:f>IFERROR(L513/G513,0)</x:f>
        <x:v>0.04750936693168636</x:v>
      </x:c>
      <x:c r="N513" s="13" t="n">
        <x:f>D513-C513</x:f>
        <x:v>0</x:v>
      </x:c>
    </x:row>
    <x:row r="514">
      <x:c r="A514" s="13" t="str">
        <x:v>PAG-000513</x:v>
      </x:c>
      <x:c r="B514" s="23" t="n">
        <x:v>45668</x:v>
      </x:c>
      <x:c r="C514" s="23" t="n">
        <x:v>45683</x:v>
      </x:c>
      <x:c r="D514" s="23" t="n">
        <x:v>45683</x:v>
      </x:c>
      <x:c r="E514" s="13" t="str">
        <x:v>DataSafe</x:v>
      </x:c>
      <x:c r="F514" s="13" t="str">
        <x:v>Segurança da informação</x:v>
      </x:c>
      <x:c r="G514" s="17" t="n">
        <x:v>13932.77</x:v>
      </x:c>
      <x:c r="H514" s="17" t="n">
        <x:v>14252.42</x:v>
      </x:c>
      <x:c r="I514" s="13" t="str">
        <x:v>Diretoria</x:v>
      </x:c>
      <x:c r="J514" s="13" t="str">
        <x:v>Pago</x:v>
      </x:c>
      <x:c r="K514" s="13" t="str">
        <x:v>Pico do descontrole</x:v>
      </x:c>
      <x:c r="L514" s="17" t="n">
        <x:f>H514-G514</x:f>
        <x:v>319.64999999999964</x:v>
      </x:c>
      <x:c r="M514" s="19" t="n">
        <x:f>IFERROR(L514/G514,0)</x:f>
        <x:v>0.022942315131879706</x:v>
      </x:c>
      <x:c r="N514" s="13" t="n">
        <x:f>D514-C514</x:f>
        <x:v>0</x:v>
      </x:c>
    </x:row>
    <x:row r="515">
      <x:c r="A515" s="13" t="str">
        <x:v>PAG-000514</x:v>
      </x:c>
      <x:c r="B515" s="23" t="n">
        <x:v>45673</x:v>
      </x:c>
      <x:c r="C515" s="23" t="n">
        <x:v>45693</x:v>
      </x:c>
      <x:c r="D515" s="23" t="n">
        <x:v>45693</x:v>
      </x:c>
      <x:c r="E515" s="13" t="str">
        <x:v>PeopleHub</x:v>
      </x:c>
      <x:c r="F515" s="13" t="str">
        <x:v>Recursos Humanos</x:v>
      </x:c>
      <x:c r="G515" s="17" t="n">
        <x:v>30288.27</x:v>
      </x:c>
      <x:c r="H515" s="17" t="n">
        <x:v>30984.68</x:v>
      </x:c>
      <x:c r="I515" s="13" t="str">
        <x:v>Gestor da área</x:v>
      </x:c>
      <x:c r="J515" s="13" t="str">
        <x:v>Pago</x:v>
      </x:c>
      <x:c r="K515" s="13" t="str">
        <x:v>Pico do descontrole</x:v>
      </x:c>
      <x:c r="L515" s="17" t="n">
        <x:f>H515-G515</x:f>
        <x:v>696.4099999999999</x:v>
      </x:c>
      <x:c r="M515" s="19" t="n">
        <x:f>IFERROR(L515/G515,0)</x:f>
        <x:v>0.022992729528626094</x:v>
      </x:c>
      <x:c r="N515" s="13" t="n">
        <x:f>D515-C515</x:f>
        <x:v>0</x:v>
      </x:c>
    </x:row>
    <x:row r="516">
      <x:c r="A516" s="13" t="str">
        <x:v>PAG-000515</x:v>
      </x:c>
      <x:c r="B516" s="23" t="n">
        <x:v>45663</x:v>
      </x:c>
      <x:c r="C516" s="23" t="n">
        <x:v>45670</x:v>
      </x:c>
      <x:c r="D516" s="23" t="n">
        <x:v>45670</x:v>
      </x:c>
      <x:c r="E516" s="13" t="str">
        <x:v>WorkSpace</x:v>
      </x:c>
      <x:c r="F516" s="13" t="str">
        <x:v>Locação</x:v>
      </x:c>
      <x:c r="G516" s="17" t="n">
        <x:v>22707.73</x:v>
      </x:c>
      <x:c r="H516" s="17" t="n">
        <x:v>23979.93</x:v>
      </x:c>
      <x:c r="I516" s="13" t="str">
        <x:v>Financeiro</x:v>
      </x:c>
      <x:c r="J516" s="13" t="str">
        <x:v>Pago</x:v>
      </x:c>
      <x:c r="K516" s="13" t="str">
        <x:v>Pico do descontrole</x:v>
      </x:c>
      <x:c r="L516" s="17" t="n">
        <x:f>H516-G516</x:f>
        <x:v>1272.2000000000007</x:v>
      </x:c>
      <x:c r="M516" s="19" t="n">
        <x:f>IFERROR(L516/G516,0)</x:f>
        <x:v>0.05602497475529261</x:v>
      </x:c>
      <x:c r="N516" s="13" t="n">
        <x:f>D516-C516</x:f>
        <x:v>0</x:v>
      </x:c>
    </x:row>
    <x:row r="517">
      <x:c r="A517" s="13" t="str">
        <x:v>PAG-000516</x:v>
      </x:c>
      <x:c r="B517" s="23" t="n">
        <x:v>45663</x:v>
      </x:c>
      <x:c r="C517" s="23" t="n">
        <x:v>45670</x:v>
      </x:c>
      <x:c r="D517" s="23" t="n">
        <x:v>45671</x:v>
      </x:c>
      <x:c r="E517" s="13" t="str">
        <x:v>NetLink</x:v>
      </x:c>
      <x:c r="F517" s="13" t="str">
        <x:v>Telecomunicações</x:v>
      </x:c>
      <x:c r="G517" s="17" t="n">
        <x:v>2563.14</x:v>
      </x:c>
      <x:c r="H517" s="17" t="n">
        <x:v>2677.94</x:v>
      </x:c>
      <x:c r="I517" s="13" t="str">
        <x:v>Financeiro</x:v>
      </x:c>
      <x:c r="J517" s="13" t="str">
        <x:v>Pago</x:v>
      </x:c>
      <x:c r="K517" s="13" t="str">
        <x:v>Pico do descontrole</x:v>
      </x:c>
      <x:c r="L517" s="17" t="n">
        <x:f>H517-G517</x:f>
        <x:v>114.80000000000018</x:v>
      </x:c>
      <x:c r="M517" s="19" t="n">
        <x:f>IFERROR(L517/G517,0)</x:f>
        <x:v>0.04478881372067081</x:v>
      </x:c>
      <x:c r="N517" s="13" t="n">
        <x:f>D517-C517</x:f>
        <x:v>1</x:v>
      </x:c>
    </x:row>
    <x:row r="518">
      <x:c r="A518" s="13" t="str">
        <x:v>PAG-000517</x:v>
      </x:c>
      <x:c r="B518" s="23" t="n">
        <x:v>45673</x:v>
      </x:c>
      <x:c r="C518" s="23" t="n">
        <x:v>45688</x:v>
      </x:c>
      <x:c r="D518" s="23" t="n">
        <x:v>45688</x:v>
      </x:c>
      <x:c r="E518" s="13" t="str">
        <x:v>Insight BI</x:v>
      </x:c>
      <x:c r="F518" s="13" t="str">
        <x:v>Dados e Analytics</x:v>
      </x:c>
      <x:c r="G518" s="17" t="n">
        <x:v>8042.44</x:v>
      </x:c>
      <x:c r="H518" s="17" t="n">
        <x:v>8180.46</x:v>
      </x:c>
      <x:c r="I518" s="13" t="str">
        <x:v>Gestor da área</x:v>
      </x:c>
      <x:c r="J518" s="13" t="str">
        <x:v>Pago</x:v>
      </x:c>
      <x:c r="K518" s="13" t="str">
        <x:v>Pico do descontrole</x:v>
      </x:c>
      <x:c r="L518" s="17" t="n">
        <x:f>H518-G518</x:f>
        <x:v>138.02000000000044</x:v>
      </x:c>
      <x:c r="M518" s="19" t="n">
        <x:f>IFERROR(L518/G518,0)</x:f>
        <x:v>0.017161458462854613</x:v>
      </x:c>
      <x:c r="N518" s="13" t="n">
        <x:f>D518-C518</x:f>
        <x:v>0</x:v>
      </x:c>
    </x:row>
    <x:row r="519">
      <x:c r="A519" s="13" t="str">
        <x:v>PAG-000518</x:v>
      </x:c>
      <x:c r="B519" s="23" t="n">
        <x:v>45668</x:v>
      </x:c>
      <x:c r="C519" s="23" t="n">
        <x:v>45688</x:v>
      </x:c>
      <x:c r="D519" s="23" t="n">
        <x:v>45688</x:v>
      </x:c>
      <x:c r="E519" s="13" t="str">
        <x:v>PeopleHub</x:v>
      </x:c>
      <x:c r="F519" s="13" t="str">
        <x:v>Recursos Humanos</x:v>
      </x:c>
      <x:c r="G519" s="17" t="n">
        <x:v>16687.74</x:v>
      </x:c>
      <x:c r="H519" s="17" t="n">
        <x:v>17441.33</x:v>
      </x:c>
      <x:c r="I519" s="13" t="str">
        <x:v>Gestor da área</x:v>
      </x:c>
      <x:c r="J519" s="13" t="str">
        <x:v>Pago</x:v>
      </x:c>
      <x:c r="K519" s="13" t="str">
        <x:v>Pico do descontrole</x:v>
      </x:c>
      <x:c r="L519" s="17" t="n">
        <x:f>H519-G519</x:f>
        <x:v>753.5900000000001</x:v>
      </x:c>
      <x:c r="M519" s="19" t="n">
        <x:f>IFERROR(L519/G519,0)</x:f>
        <x:v>0.04515830184314953</x:v>
      </x:c>
      <x:c r="N519" s="13" t="n">
        <x:f>D519-C519</x:f>
        <x:v>0</x:v>
      </x:c>
    </x:row>
    <x:row r="520">
      <x:c r="A520" s="13" t="str">
        <x:v>PAG-000519</x:v>
      </x:c>
      <x:c r="B520" s="23" t="n">
        <x:v>45667</x:v>
      </x:c>
      <x:c r="C520" s="23" t="n">
        <x:v>45682</x:v>
      </x:c>
      <x:c r="D520" s="23" t="n">
        <x:v>45684</x:v>
      </x:c>
      <x:c r="E520" s="13" t="str">
        <x:v>DataSafe</x:v>
      </x:c>
      <x:c r="F520" s="13" t="str">
        <x:v>Segurança da informação</x:v>
      </x:c>
      <x:c r="G520" s="17" t="n">
        <x:v>1430.83</x:v>
      </x:c>
      <x:c r="H520" s="17" t="n">
        <x:v>1427.15</x:v>
      </x:c>
      <x:c r="I520" s="13" t="str">
        <x:v>Gestor da área</x:v>
      </x:c>
      <x:c r="J520" s="13" t="str">
        <x:v>Pago</x:v>
      </x:c>
      <x:c r="K520" s="13" t="str">
        <x:v>Pico do descontrole</x:v>
      </x:c>
      <x:c r="L520" s="17" t="n">
        <x:f>H520-G520</x:f>
        <x:v>-3.6799999999998363</x:v>
      </x:c>
      <x:c r="M520" s="19" t="n">
        <x:f>IFERROR(L520/G520,0)</x:f>
        <x:v>-0.0025719337727052385</x:v>
      </x:c>
      <x:c r="N520" s="13" t="n">
        <x:f>D520-C520</x:f>
        <x:v>2</x:v>
      </x:c>
    </x:row>
    <x:row r="521">
      <x:c r="A521" s="13" t="str">
        <x:v>PAG-000520</x:v>
      </x:c>
      <x:c r="B521" s="23" t="n">
        <x:v>45668</x:v>
      </x:c>
      <x:c r="C521" s="23" t="n">
        <x:v>45675</x:v>
      </x:c>
      <x:c r="D521" s="23" t="n">
        <x:v>45675</x:v>
      </x:c>
      <x:c r="E521" s="13" t="str">
        <x:v>DataSafe</x:v>
      </x:c>
      <x:c r="F521" s="13" t="str">
        <x:v>Segurança da informação</x:v>
      </x:c>
      <x:c r="G521" s="17" t="n">
        <x:v>10031.02</x:v>
      </x:c>
      <x:c r="H521" s="17" t="n">
        <x:v>10582.66</x:v>
      </x:c>
      <x:c r="I521" s="13" t="str">
        <x:v>Diretoria</x:v>
      </x:c>
      <x:c r="J521" s="13" t="str">
        <x:v>Pago</x:v>
      </x:c>
      <x:c r="K521" s="13" t="str">
        <x:v>Pico do descontrole</x:v>
      </x:c>
      <x:c r="L521" s="17" t="n">
        <x:f>H521-G521</x:f>
        <x:v>551.6399999999994</x:v>
      </x:c>
      <x:c r="M521" s="19" t="n">
        <x:f>IFERROR(L521/G521,0)</x:f>
        <x:v>0.05499341044081254</x:v>
      </x:c>
      <x:c r="N521" s="13" t="n">
        <x:f>D521-C521</x:f>
        <x:v>0</x:v>
      </x:c>
    </x:row>
    <x:row r="522">
      <x:c r="A522" s="13" t="str">
        <x:v>PAG-000521</x:v>
      </x:c>
      <x:c r="B522" s="23" t="n">
        <x:v>45661</x:v>
      </x:c>
      <x:c r="C522" s="23" t="n">
        <x:v>45691</x:v>
      </x:c>
      <x:c r="D522" s="23" t="n">
        <x:v>45693</x:v>
      </x:c>
      <x:c r="E522" s="13" t="str">
        <x:v>Banco Integra</x:v>
      </x:c>
      <x:c r="F522" s="13" t="str">
        <x:v>Serviços bancários</x:v>
      </x:c>
      <x:c r="G522" s="17" t="n">
        <x:v>8218.08</x:v>
      </x:c>
      <x:c r="H522" s="17" t="n">
        <x:v>8493.19</x:v>
      </x:c>
      <x:c r="I522" s="13" t="str">
        <x:v>Gestor da área</x:v>
      </x:c>
      <x:c r="J522" s="13" t="str">
        <x:v>Pago</x:v>
      </x:c>
      <x:c r="K522" s="13" t="str">
        <x:v>Pico do descontrole</x:v>
      </x:c>
      <x:c r="L522" s="17" t="n">
        <x:f>H522-G522</x:f>
        <x:v>275.1100000000006</x:v>
      </x:c>
      <x:c r="M522" s="19" t="n">
        <x:f>IFERROR(L522/G522,0)</x:f>
        <x:v>0.03347618908552857</x:v>
      </x:c>
      <x:c r="N522" s="13" t="n">
        <x:f>D522-C522</x:f>
        <x:v>2</x:v>
      </x:c>
    </x:row>
    <x:row r="523">
      <x:c r="A523" s="13" t="str">
        <x:v>PAG-000522</x:v>
      </x:c>
      <x:c r="B523" s="23" t="n">
        <x:v>45666</x:v>
      </x:c>
      <x:c r="C523" s="23" t="n">
        <x:v>45696</x:v>
      </x:c>
      <x:c r="D523" s="23" t="n">
        <x:v>45694</x:v>
      </x:c>
      <x:c r="E523" s="13" t="str">
        <x:v>LegalMais</x:v>
      </x:c>
      <x:c r="F523" s="13" t="str">
        <x:v>Jurídico</x:v>
      </x:c>
      <x:c r="G523" s="17" t="n">
        <x:v>30625.06</x:v>
      </x:c>
      <x:c r="H523" s="17" t="n">
        <x:v>32363.26</x:v>
      </x:c>
      <x:c r="I523" s="13" t="str">
        <x:v>Diretoria</x:v>
      </x:c>
      <x:c r="J523" s="13" t="str">
        <x:v>Pago</x:v>
      </x:c>
      <x:c r="K523" s="13" t="str">
        <x:v>Pico do descontrole</x:v>
      </x:c>
      <x:c r="L523" s="17" t="n">
        <x:f>H523-G523</x:f>
        <x:v>1738.199999999997</x:v>
      </x:c>
      <x:c r="M523" s="19" t="n">
        <x:f>IFERROR(L523/G523,0)</x:f>
        <x:v>0.05675743982215862</x:v>
      </x:c>
      <x:c r="N523" s="13" t="n">
        <x:f>D523-C523</x:f>
        <x:v>-2</x:v>
      </x:c>
    </x:row>
    <x:row r="524">
      <x:c r="A524" s="13" t="str">
        <x:v>PAG-000523</x:v>
      </x:c>
      <x:c r="B524" s="23" t="n">
        <x:v>45660</x:v>
      </x:c>
      <x:c r="C524" s="23" t="n">
        <x:v>45675</x:v>
      </x:c>
      <x:c r="D524" s="23" t="n">
        <x:v>45677</x:v>
      </x:c>
      <x:c r="E524" s="13" t="str">
        <x:v>MarketLab</x:v>
      </x:c>
      <x:c r="F524" s="13" t="str">
        <x:v>Marketing</x:v>
      </x:c>
      <x:c r="G524" s="17" t="n">
        <x:v>25317.37</x:v>
      </x:c>
      <x:c r="H524" s="17" t="n">
        <x:v>25399.33</x:v>
      </x:c>
      <x:c r="I524" s="13" t="str">
        <x:v>Diretoria</x:v>
      </x:c>
      <x:c r="J524" s="13" t="str">
        <x:v>Pago</x:v>
      </x:c>
      <x:c r="K524" s="13" t="str">
        <x:v>Pico do descontrole</x:v>
      </x:c>
      <x:c r="L524" s="17" t="n">
        <x:f>H524-G524</x:f>
        <x:v>81.96000000000276</x:v>
      </x:c>
      <x:c r="M524" s="19" t="n">
        <x:f>IFERROR(L524/G524,0)</x:f>
        <x:v>0.003237303084799202</x:v>
      </x:c>
      <x:c r="N524" s="13" t="n">
        <x:f>D524-C524</x:f>
        <x:v>2</x:v>
      </x:c>
    </x:row>
    <x:row r="525">
      <x:c r="A525" s="13" t="str">
        <x:v>PAG-000524</x:v>
      </x:c>
      <x:c r="B525" s="23" t="n">
        <x:v>45665</x:v>
      </x:c>
      <x:c r="C525" s="23" t="n">
        <x:v>45695</x:v>
      </x:c>
      <x:c r="D525" s="23" t="n">
        <x:v>45695</x:v>
      </x:c>
      <x:c r="E525" s="13" t="str">
        <x:v>LegalMais</x:v>
      </x:c>
      <x:c r="F525" s="13" t="str">
        <x:v>Jurídico</x:v>
      </x:c>
      <x:c r="G525" s="17" t="n">
        <x:v>24539.57</x:v>
      </x:c>
      <x:c r="H525" s="17" t="n">
        <x:v>24646.73</x:v>
      </x:c>
      <x:c r="I525" s="13" t="str">
        <x:v>Financeiro</x:v>
      </x:c>
      <x:c r="J525" s="13" t="str">
        <x:v>Pago</x:v>
      </x:c>
      <x:c r="K525" s="13" t="str">
        <x:v>Pico do descontrole</x:v>
      </x:c>
      <x:c r="L525" s="17" t="n">
        <x:f>H525-G525</x:f>
        <x:v>107.15999999999985</x:v>
      </x:c>
      <x:c r="M525" s="19" t="n">
        <x:f>IFERROR(L525/G525,0)</x:f>
        <x:v>0.004366824683562094</x:v>
      </x:c>
      <x:c r="N525" s="13" t="n">
        <x:f>D525-C525</x:f>
        <x:v>0</x:v>
      </x:c>
    </x:row>
    <x:row r="526">
      <x:c r="A526" s="13" t="str">
        <x:v>PAG-000525</x:v>
      </x:c>
      <x:c r="B526" s="23" t="n">
        <x:v>45671</x:v>
      </x:c>
      <x:c r="C526" s="23" t="n">
        <x:v>45678</x:v>
      </x:c>
      <x:c r="D526" s="23" t="n">
        <x:v>45677</x:v>
      </x:c>
      <x:c r="E526" s="13" t="str">
        <x:v>LegalMais</x:v>
      </x:c>
      <x:c r="F526" s="13" t="str">
        <x:v>Jurídico</x:v>
      </x:c>
      <x:c r="G526" s="17" t="n">
        <x:v>31803.75</x:v>
      </x:c>
      <x:c r="H526" s="17" t="n">
        <x:v>32783.42</x:v>
      </x:c>
      <x:c r="I526" s="13" t="str">
        <x:v>Financeiro</x:v>
      </x:c>
      <x:c r="J526" s="13" t="str">
        <x:v>Pago</x:v>
      </x:c>
      <x:c r="K526" s="13" t="str">
        <x:v>Pico do descontrole</x:v>
      </x:c>
      <x:c r="L526" s="17" t="n">
        <x:f>H526-G526</x:f>
        <x:v>979.6699999999983</x:v>
      </x:c>
      <x:c r="M526" s="19" t="n">
        <x:f>IFERROR(L526/G526,0)</x:f>
        <x:v>0.03080360020437836</x:v>
      </x:c>
      <x:c r="N526" s="13" t="n">
        <x:f>D526-C526</x:f>
        <x:v>-1</x:v>
      </x:c>
    </x:row>
    <x:row r="527">
      <x:c r="A527" s="13" t="str">
        <x:v>PAG-000526</x:v>
      </x:c>
      <x:c r="B527" s="23" t="n">
        <x:v>45658</x:v>
      </x:c>
      <x:c r="C527" s="23" t="n">
        <x:v>45688</x:v>
      </x:c>
      <x:c r="D527" s="23" t="n">
        <x:v>45688</x:v>
      </x:c>
      <x:c r="E527" s="13" t="str">
        <x:v>Banco Integra</x:v>
      </x:c>
      <x:c r="F527" s="13" t="str">
        <x:v>Serviços bancários</x:v>
      </x:c>
      <x:c r="G527" s="17" t="n">
        <x:v>16403.02</x:v>
      </x:c>
      <x:c r="H527" s="17" t="n">
        <x:v>16778.55</x:v>
      </x:c>
      <x:c r="I527" s="13" t="str">
        <x:v>Diretoria</x:v>
      </x:c>
      <x:c r="J527" s="13" t="str">
        <x:v>Pago</x:v>
      </x:c>
      <x:c r="K527" s="13" t="str">
        <x:v>Pico do descontrole</x:v>
      </x:c>
      <x:c r="L527" s="17" t="n">
        <x:f>H527-G527</x:f>
        <x:v>375.52999999999884</x:v>
      </x:c>
      <x:c r="M527" s="19" t="n">
        <x:f>IFERROR(L527/G527,0)</x:f>
        <x:v>0.022893954893671947</x:v>
      </x:c>
      <x:c r="N527" s="13" t="n">
        <x:f>D527-C527</x:f>
        <x:v>0</x:v>
      </x:c>
    </x:row>
    <x:row r="528">
      <x:c r="A528" s="13" t="str">
        <x:v>PAG-000527</x:v>
      </x:c>
      <x:c r="B528" s="23" t="n">
        <x:v>45667</x:v>
      </x:c>
      <x:c r="C528" s="23" t="n">
        <x:v>45674</x:v>
      </x:c>
      <x:c r="D528" s="23" t="n">
        <x:v>45675</x:v>
      </x:c>
      <x:c r="E528" s="13" t="str">
        <x:v>CloudCore</x:v>
      </x:c>
      <x:c r="F528" s="13" t="str">
        <x:v>Tecnologia</x:v>
      </x:c>
      <x:c r="G528" s="17" t="n">
        <x:v>26853.76</x:v>
      </x:c>
      <x:c r="H528" s="17" t="n">
        <x:v>27728.91</x:v>
      </x:c>
      <x:c r="I528" s="13" t="str">
        <x:v>Financeiro</x:v>
      </x:c>
      <x:c r="J528" s="13" t="str">
        <x:v>Pago</x:v>
      </x:c>
      <x:c r="K528" s="13" t="str">
        <x:v>Pico do descontrole</x:v>
      </x:c>
      <x:c r="L528" s="17" t="n">
        <x:f>H528-G528</x:f>
        <x:v>875.1500000000015</x:v>
      </x:c>
      <x:c r="M528" s="19" t="n">
        <x:f>IFERROR(L528/G528,0)</x:f>
        <x:v>0.032589477227770024</x:v>
      </x:c>
      <x:c r="N528" s="13" t="n">
        <x:f>D528-C528</x:f>
        <x:v>1</x:v>
      </x:c>
    </x:row>
    <x:row r="529">
      <x:c r="A529" s="13" t="str">
        <x:v>PAG-000528</x:v>
      </x:c>
      <x:c r="B529" s="23" t="n">
        <x:v>45672</x:v>
      </x:c>
      <x:c r="C529" s="23" t="n">
        <x:v>45692</x:v>
      </x:c>
      <x:c r="D529" s="23" t="n">
        <x:v>45694</x:v>
      </x:c>
      <x:c r="E529" s="13" t="str">
        <x:v>Insight BI</x:v>
      </x:c>
      <x:c r="F529" s="13" t="str">
        <x:v>Dados e Analytics</x:v>
      </x:c>
      <x:c r="G529" s="17" t="n">
        <x:v>13762.73</x:v>
      </x:c>
      <x:c r="H529" s="17" t="n">
        <x:v>13820.13</x:v>
      </x:c>
      <x:c r="I529" s="13" t="str">
        <x:v>Gestor da área</x:v>
      </x:c>
      <x:c r="J529" s="13" t="str">
        <x:v>Pago</x:v>
      </x:c>
      <x:c r="K529" s="13" t="str">
        <x:v>Pico do descontrole</x:v>
      </x:c>
      <x:c r="L529" s="17" t="n">
        <x:f>H529-G529</x:f>
        <x:v>57.399999999999636</x:v>
      </x:c>
      <x:c r="M529" s="19" t="n">
        <x:f>IFERROR(L529/G529,0)</x:f>
        <x:v>0.004170684159320108</x:v>
      </x:c>
      <x:c r="N529" s="13" t="n">
        <x:f>D529-C529</x:f>
        <x:v>2</x:v>
      </x:c>
    </x:row>
    <x:row r="530">
      <x:c r="A530" s="13" t="str">
        <x:v>PAG-000529</x:v>
      </x:c>
      <x:c r="B530" s="23" t="n">
        <x:v>45668</x:v>
      </x:c>
      <x:c r="C530" s="23" t="n">
        <x:v>45683</x:v>
      </x:c>
      <x:c r="D530" s="23" t="n">
        <x:v>45683</x:v>
      </x:c>
      <x:c r="E530" s="13" t="str">
        <x:v>CloudCore</x:v>
      </x:c>
      <x:c r="F530" s="13" t="str">
        <x:v>Tecnologia</x:v>
      </x:c>
      <x:c r="G530" s="17" t="n">
        <x:v>15611.74</x:v>
      </x:c>
      <x:c r="H530" s="17" t="n">
        <x:v>16537.08</x:v>
      </x:c>
      <x:c r="I530" s="13" t="str">
        <x:v>Diretoria</x:v>
      </x:c>
      <x:c r="J530" s="13" t="str">
        <x:v>Pago</x:v>
      </x:c>
      <x:c r="K530" s="13" t="str">
        <x:v>Pico do descontrole</x:v>
      </x:c>
      <x:c r="L530" s="17" t="n">
        <x:f>H530-G530</x:f>
        <x:v>925.340000000002</x:v>
      </x:c>
      <x:c r="M530" s="19" t="n">
        <x:f>IFERROR(L530/G530,0)</x:f>
        <x:v>0.059272060641542966</x:v>
      </x:c>
      <x:c r="N530" s="13" t="n">
        <x:f>D530-C530</x:f>
        <x:v>0</x:v>
      </x:c>
    </x:row>
    <x:row r="531">
      <x:c r="A531" s="13" t="str">
        <x:v>PAG-000530</x:v>
      </x:c>
      <x:c r="B531" s="23" t="n">
        <x:v>45662</x:v>
      </x:c>
      <x:c r="C531" s="23" t="n">
        <x:v>45682</x:v>
      </x:c>
      <x:c r="D531" s="23" t="n">
        <x:v>45681</x:v>
      </x:c>
      <x:c r="E531" s="13" t="str">
        <x:v>PeopleHub</x:v>
      </x:c>
      <x:c r="F531" s="13" t="str">
        <x:v>Recursos Humanos</x:v>
      </x:c>
      <x:c r="G531" s="17" t="n">
        <x:v>20358.42</x:v>
      </x:c>
      <x:c r="H531" s="17" t="n">
        <x:v>20795.71</x:v>
      </x:c>
      <x:c r="I531" s="13" t="str">
        <x:v>Diretoria</x:v>
      </x:c>
      <x:c r="J531" s="13" t="str">
        <x:v>Pago</x:v>
      </x:c>
      <x:c r="K531" s="13" t="str">
        <x:v>Pico do descontrole</x:v>
      </x:c>
      <x:c r="L531" s="17" t="n">
        <x:f>H531-G531</x:f>
        <x:v>437.2900000000009</x:v>
      </x:c>
      <x:c r="M531" s="19" t="n">
        <x:f>IFERROR(L531/G531,0)</x:f>
        <x:v>0.02147956472064143</x:v>
      </x:c>
      <x:c r="N531" s="13" t="n">
        <x:f>D531-C531</x:f>
        <x:v>-1</x:v>
      </x:c>
    </x:row>
    <x:row r="532">
      <x:c r="A532" s="13" t="str">
        <x:v>PAG-000531</x:v>
      </x:c>
      <x:c r="B532" s="23" t="n">
        <x:v>45669</x:v>
      </x:c>
      <x:c r="C532" s="23" t="n">
        <x:v>45676</x:v>
      </x:c>
      <x:c r="D532" s="23" t="n">
        <x:v>45673</x:v>
      </x:c>
      <x:c r="E532" s="13" t="str">
        <x:v>LegalMais</x:v>
      </x:c>
      <x:c r="F532" s="13" t="str">
        <x:v>Jurídico</x:v>
      </x:c>
      <x:c r="G532" s="17" t="n">
        <x:v>21041.63</x:v>
      </x:c>
      <x:c r="H532" s="17" t="n">
        <x:v>21835.92</x:v>
      </x:c>
      <x:c r="I532" s="13" t="str">
        <x:v>Gestor da área</x:v>
      </x:c>
      <x:c r="J532" s="13" t="str">
        <x:v>Pago</x:v>
      </x:c>
      <x:c r="K532" s="13" t="str">
        <x:v>Pico do descontrole</x:v>
      </x:c>
      <x:c r="L532" s="17" t="n">
        <x:f>H532-G532</x:f>
        <x:v>794.2899999999972</x:v>
      </x:c>
      <x:c r="M532" s="19" t="n">
        <x:f>IFERROR(L532/G532,0)</x:f>
        <x:v>0.03774850142313106</x:v>
      </x:c>
      <x:c r="N532" s="13" t="n">
        <x:f>D532-C532</x:f>
        <x:v>-3</x:v>
      </x:c>
    </x:row>
    <x:row r="533">
      <x:c r="A533" s="13" t="str">
        <x:v>PAG-000532</x:v>
      </x:c>
      <x:c r="B533" s="23" t="n">
        <x:v>45665</x:v>
      </x:c>
      <x:c r="C533" s="23" t="n">
        <x:v>45672</x:v>
      </x:c>
      <x:c r="D533" s="23" t="n">
        <x:v>45672</x:v>
      </x:c>
      <x:c r="E533" s="13" t="str">
        <x:v>Office Prime</x:v>
      </x:c>
      <x:c r="F533" s="13" t="str">
        <x:v>Escritório</x:v>
      </x:c>
      <x:c r="G533" s="17" t="n">
        <x:v>15891.63</x:v>
      </x:c>
      <x:c r="H533" s="17" t="n">
        <x:v>15625</x:v>
      </x:c>
      <x:c r="I533" s="13" t="str">
        <x:v>Financeiro</x:v>
      </x:c>
      <x:c r="J533" s="13" t="str">
        <x:v>Pago</x:v>
      </x:c>
      <x:c r="K533" s="13" t="str">
        <x:v>Pico do descontrole</x:v>
      </x:c>
      <x:c r="L533" s="17" t="n">
        <x:f>H533-G533</x:f>
        <x:v>-266.6299999999992</x:v>
      </x:c>
      <x:c r="M533" s="19" t="n">
        <x:f>IFERROR(L533/G533,0)</x:f>
        <x:v>-0.01677801459007032</x:v>
      </x:c>
      <x:c r="N533" s="13" t="n">
        <x:f>D533-C533</x:f>
        <x:v>0</x:v>
      </x:c>
    </x:row>
    <x:row r="534">
      <x:c r="A534" s="13" t="str">
        <x:v>PAG-000533</x:v>
      </x:c>
      <x:c r="B534" s="23" t="n">
        <x:v>45660</x:v>
      </x:c>
      <x:c r="C534" s="23" t="n">
        <x:v>45667</x:v>
      </x:c>
      <x:c r="D534" s="23" t="n">
        <x:v>45668</x:v>
      </x:c>
      <x:c r="E534" s="13" t="str">
        <x:v>Conta Certa</x:v>
      </x:c>
      <x:c r="F534" s="13" t="str">
        <x:v>Contabilidade</x:v>
      </x:c>
      <x:c r="G534" s="17" t="n">
        <x:v>11451.24</x:v>
      </x:c>
      <x:c r="H534" s="17" t="n">
        <x:v>12126.79</x:v>
      </x:c>
      <x:c r="I534" s="13" t="str">
        <x:v>Diretoria</x:v>
      </x:c>
      <x:c r="J534" s="13" t="str">
        <x:v>Pago</x:v>
      </x:c>
      <x:c r="K534" s="13" t="str">
        <x:v>Pico do descontrole</x:v>
      </x:c>
      <x:c r="L534" s="17" t="n">
        <x:f>H534-G534</x:f>
        <x:v>675.5500000000011</x:v>
      </x:c>
      <x:c r="M534" s="19" t="n">
        <x:f>IFERROR(L534/G534,0)</x:f>
        <x:v>0.05899361117223996</x:v>
      </x:c>
      <x:c r="N534" s="13" t="n">
        <x:f>D534-C534</x:f>
        <x:v>1</x:v>
      </x:c>
    </x:row>
    <x:row r="535">
      <x:c r="A535" s="13" t="str">
        <x:v>PAG-000534</x:v>
      </x:c>
      <x:c r="B535" s="23" t="n">
        <x:v>45660</x:v>
      </x:c>
      <x:c r="C535" s="23" t="n">
        <x:v>45680</x:v>
      </x:c>
      <x:c r="D535" s="23" t="n">
        <x:v>45679</x:v>
      </x:c>
      <x:c r="E535" s="13" t="str">
        <x:v>Office Prime</x:v>
      </x:c>
      <x:c r="F535" s="13" t="str">
        <x:v>Escritório</x:v>
      </x:c>
      <x:c r="G535" s="17" t="n">
        <x:v>9591.31</x:v>
      </x:c>
      <x:c r="H535" s="17" t="n">
        <x:v>9699.48</x:v>
      </x:c>
      <x:c r="I535" s="13" t="str">
        <x:v>Gestor da área</x:v>
      </x:c>
      <x:c r="J535" s="13" t="str">
        <x:v>Pago</x:v>
      </x:c>
      <x:c r="K535" s="13" t="str">
        <x:v>Pico do descontrole</x:v>
      </x:c>
      <x:c r="L535" s="17" t="n">
        <x:f>H535-G535</x:f>
        <x:v>108.17000000000007</x:v>
      </x:c>
      <x:c r="M535" s="19" t="n">
        <x:f>IFERROR(L535/G535,0)</x:f>
        <x:v>0.011277917197963581</x:v>
      </x:c>
      <x:c r="N535" s="13" t="n">
        <x:f>D535-C535</x:f>
        <x:v>-1</x:v>
      </x:c>
    </x:row>
    <x:row r="536">
      <x:c r="A536" s="13" t="str">
        <x:v>PAG-000535</x:v>
      </x:c>
      <x:c r="B536" s="23" t="n">
        <x:v>45669</x:v>
      </x:c>
      <x:c r="C536" s="23" t="n">
        <x:v>45699</x:v>
      </x:c>
      <x:c r="D536" s="23" t="n">
        <x:v>45700</x:v>
      </x:c>
      <x:c r="E536" s="13" t="str">
        <x:v>LegalMais</x:v>
      </x:c>
      <x:c r="F536" s="13" t="str">
        <x:v>Jurídico</x:v>
      </x:c>
      <x:c r="G536" s="17" t="n">
        <x:v>11687.92</x:v>
      </x:c>
      <x:c r="H536" s="17" t="n">
        <x:v>11623.34</x:v>
      </x:c>
      <x:c r="I536" s="13" t="str">
        <x:v>Financeiro</x:v>
      </x:c>
      <x:c r="J536" s="13" t="str">
        <x:v>Pago</x:v>
      </x:c>
      <x:c r="K536" s="13" t="str">
        <x:v>Pico do descontrole</x:v>
      </x:c>
      <x:c r="L536" s="17" t="n">
        <x:f>H536-G536</x:f>
        <x:v>-64.57999999999993</x:v>
      </x:c>
      <x:c r="M536" s="19" t="n">
        <x:f>IFERROR(L536/G536,0)</x:f>
        <x:v>-0.005525362938829144</x:v>
      </x:c>
      <x:c r="N536" s="13" t="n">
        <x:f>D536-C536</x:f>
        <x:v>1</x:v>
      </x:c>
    </x:row>
    <x:row r="537">
      <x:c r="A537" s="13" t="str">
        <x:v>PAG-000536</x:v>
      </x:c>
      <x:c r="B537" s="23" t="n">
        <x:v>45662</x:v>
      </x:c>
      <x:c r="C537" s="23" t="n">
        <x:v>45669</x:v>
      </x:c>
      <x:c r="D537" s="23" t="n">
        <x:v>45669</x:v>
      </x:c>
      <x:c r="E537" s="13" t="str">
        <x:v>PeopleHub</x:v>
      </x:c>
      <x:c r="F537" s="13" t="str">
        <x:v>Recursos Humanos</x:v>
      </x:c>
      <x:c r="G537" s="17" t="n">
        <x:v>17117.48</x:v>
      </x:c>
      <x:c r="H537" s="17" t="n">
        <x:v>17949.31</x:v>
      </x:c>
      <x:c r="I537" s="13" t="str">
        <x:v>Gestor da área</x:v>
      </x:c>
      <x:c r="J537" s="13" t="str">
        <x:v>Pago</x:v>
      </x:c>
      <x:c r="K537" s="13" t="str">
        <x:v>Pico do descontrole</x:v>
      </x:c>
      <x:c r="L537" s="17" t="n">
        <x:f>H537-G537</x:f>
        <x:v>831.8300000000017</x:v>
      </x:c>
      <x:c r="M537" s="19" t="n">
        <x:f>IFERROR(L537/G537,0)</x:f>
        <x:v>0.04859535398902185</x:v>
      </x:c>
      <x:c r="N537" s="13" t="n">
        <x:f>D537-C537</x:f>
        <x:v>0</x:v>
      </x:c>
    </x:row>
    <x:row r="538">
      <x:c r="A538" s="13" t="str">
        <x:v>PAG-000537</x:v>
      </x:c>
      <x:c r="B538" s="23" t="n">
        <x:v>45660</x:v>
      </x:c>
      <x:c r="C538" s="23" t="n">
        <x:v>45675</x:v>
      </x:c>
      <x:c r="D538" s="23" t="n">
        <x:v>45677</x:v>
      </x:c>
      <x:c r="E538" s="13" t="str">
        <x:v>EducaPro</x:v>
      </x:c>
      <x:c r="F538" s="13" t="str">
        <x:v>Treinamentos</x:v>
      </x:c>
      <x:c r="G538" s="17" t="n">
        <x:v>15734.57</x:v>
      </x:c>
      <x:c r="H538" s="17" t="n">
        <x:v>15858.56</x:v>
      </x:c>
      <x:c r="I538" s="13" t="str">
        <x:v>Gestor da área</x:v>
      </x:c>
      <x:c r="J538" s="13" t="str">
        <x:v>Pago</x:v>
      </x:c>
      <x:c r="K538" s="13" t="str">
        <x:v>Pico do descontrole</x:v>
      </x:c>
      <x:c r="L538" s="17" t="n">
        <x:f>H538-G538</x:f>
        <x:v>123.98999999999978</x:v>
      </x:c>
      <x:c r="M538" s="19" t="n">
        <x:f>IFERROR(L538/G538,0)</x:f>
        <x:v>0.007880100949692288</x:v>
      </x:c>
      <x:c r="N538" s="13" t="n">
        <x:f>D538-C538</x:f>
        <x:v>2</x:v>
      </x:c>
    </x:row>
    <x:row r="539">
      <x:c r="A539" s="13" t="str">
        <x:v>PAG-000538</x:v>
      </x:c>
      <x:c r="B539" s="23" t="n">
        <x:v>45663</x:v>
      </x:c>
      <x:c r="C539" s="23" t="n">
        <x:v>45678</x:v>
      </x:c>
      <x:c r="D539" s="23" t="n">
        <x:v>45676</x:v>
      </x:c>
      <x:c r="E539" s="13" t="str">
        <x:v>NetLink</x:v>
      </x:c>
      <x:c r="F539" s="13" t="str">
        <x:v>Telecomunicações</x:v>
      </x:c>
      <x:c r="G539" s="17" t="n">
        <x:v>1161.35</x:v>
      </x:c>
      <x:c r="H539" s="17" t="n">
        <x:v>1140.9</x:v>
      </x:c>
      <x:c r="I539" s="13" t="str">
        <x:v>Gestor da área</x:v>
      </x:c>
      <x:c r="J539" s="13" t="str">
        <x:v>Pago</x:v>
      </x:c>
      <x:c r="K539" s="13" t="str">
        <x:v>Pico do descontrole</x:v>
      </x:c>
      <x:c r="L539" s="17" t="n">
        <x:f>H539-G539</x:f>
        <x:v>-20.449999999999818</x:v>
      </x:c>
      <x:c r="M539" s="19" t="n">
        <x:f>IFERROR(L539/G539,0)</x:f>
        <x:v>-0.017608817324665106</x:v>
      </x:c>
      <x:c r="N539" s="13" t="n">
        <x:f>D539-C539</x:f>
        <x:v>-2</x:v>
      </x:c>
    </x:row>
    <x:row r="540">
      <x:c r="A540" s="13" t="str">
        <x:v>PAG-000539</x:v>
      </x:c>
      <x:c r="B540" s="23" t="n">
        <x:v>45669</x:v>
      </x:c>
      <x:c r="C540" s="23" t="n">
        <x:v>45689</x:v>
      </x:c>
      <x:c r="D540" s="23" t="n">
        <x:v>45689</x:v>
      </x:c>
      <x:c r="E540" s="13" t="str">
        <x:v>WorkSpace</x:v>
      </x:c>
      <x:c r="F540" s="13" t="str">
        <x:v>Locação</x:v>
      </x:c>
      <x:c r="G540" s="17" t="n">
        <x:v>10573.6</x:v>
      </x:c>
      <x:c r="H540" s="17" t="n">
        <x:v>10812.9</x:v>
      </x:c>
      <x:c r="I540" s="13" t="str">
        <x:v>Diretoria</x:v>
      </x:c>
      <x:c r="J540" s="13" t="str">
        <x:v>Pago</x:v>
      </x:c>
      <x:c r="K540" s="13" t="str">
        <x:v>Pico do descontrole</x:v>
      </x:c>
      <x:c r="L540" s="17" t="n">
        <x:f>H540-G540</x:f>
        <x:v>239.29999999999927</x:v>
      </x:c>
      <x:c r="M540" s="19" t="n">
        <x:f>IFERROR(L540/G540,0)</x:f>
        <x:v>0.022631837784671188</x:v>
      </x:c>
      <x:c r="N540" s="13" t="n">
        <x:f>D540-C540</x:f>
        <x:v>0</x:v>
      </x:c>
    </x:row>
    <x:row r="541">
      <x:c r="A541" s="13" t="str">
        <x:v>PAG-000540</x:v>
      </x:c>
      <x:c r="B541" s="23" t="n">
        <x:v>45662</x:v>
      </x:c>
      <x:c r="C541" s="23" t="n">
        <x:v>45682</x:v>
      </x:c>
      <x:c r="D541" s="23" t="n">
        <x:v>45682</x:v>
      </x:c>
      <x:c r="E541" s="13" t="str">
        <x:v>MarketLab</x:v>
      </x:c>
      <x:c r="F541" s="13" t="str">
        <x:v>Marketing</x:v>
      </x:c>
      <x:c r="G541" s="17" t="n">
        <x:v>31661.67</x:v>
      </x:c>
      <x:c r="H541" s="17" t="n">
        <x:v>33536.91</x:v>
      </x:c>
      <x:c r="I541" s="13" t="str">
        <x:v>Gestor da área</x:v>
      </x:c>
      <x:c r="J541" s="13" t="str">
        <x:v>Pago</x:v>
      </x:c>
      <x:c r="K541" s="13" t="str">
        <x:v>Pico do descontrole</x:v>
      </x:c>
      <x:c r="L541" s="17" t="n">
        <x:f>H541-G541</x:f>
        <x:v>1875.2400000000052</x:v>
      </x:c>
      <x:c r="M541" s="19" t="n">
        <x:f>IFERROR(L541/G541,0)</x:f>
        <x:v>0.059227450731436634</x:v>
      </x:c>
      <x:c r="N541" s="13" t="n">
        <x:f>D541-C541</x:f>
        <x:v>0</x:v>
      </x:c>
    </x:row>
    <x:row r="542">
      <x:c r="A542" s="13" t="str">
        <x:v>PAG-000541</x:v>
      </x:c>
      <x:c r="B542" s="23" t="n">
        <x:v>45663</x:v>
      </x:c>
      <x:c r="C542" s="23" t="n">
        <x:v>45683</x:v>
      </x:c>
      <x:c r="D542" s="23" t="n">
        <x:v>45682</x:v>
      </x:c>
      <x:c r="E542" s="13" t="str">
        <x:v>Banco Integra</x:v>
      </x:c>
      <x:c r="F542" s="13" t="str">
        <x:v>Serviços bancários</x:v>
      </x:c>
      <x:c r="G542" s="17" t="n">
        <x:v>4270.22</x:v>
      </x:c>
      <x:c r="H542" s="17" t="n">
        <x:v>4539.63</x:v>
      </x:c>
      <x:c r="I542" s="13" t="str">
        <x:v>Diretoria</x:v>
      </x:c>
      <x:c r="J542" s="13" t="str">
        <x:v>Pago</x:v>
      </x:c>
      <x:c r="K542" s="13" t="str">
        <x:v>Pico do descontrole</x:v>
      </x:c>
      <x:c r="L542" s="17" t="n">
        <x:f>H542-G542</x:f>
        <x:v>269.40999999999985</x:v>
      </x:c>
      <x:c r="M542" s="19" t="n">
        <x:f>IFERROR(L542/G542,0)</x:f>
        <x:v>0.06309042625438498</x:v>
      </x:c>
      <x:c r="N542" s="13" t="n">
        <x:f>D542-C542</x:f>
        <x:v>-1</x:v>
      </x:c>
    </x:row>
    <x:row r="543">
      <x:c r="A543" s="13" t="str">
        <x:v>PAG-000542</x:v>
      </x:c>
      <x:c r="B543" s="23" t="n">
        <x:v>45660</x:v>
      </x:c>
      <x:c r="C543" s="23" t="n">
        <x:v>45690</x:v>
      </x:c>
      <x:c r="D543" s="23" t="n">
        <x:v>45688</x:v>
      </x:c>
      <x:c r="E543" s="13" t="str">
        <x:v>WorkSpace</x:v>
      </x:c>
      <x:c r="F543" s="13" t="str">
        <x:v>Locação</x:v>
      </x:c>
      <x:c r="G543" s="17" t="n">
        <x:v>11980.8</x:v>
      </x:c>
      <x:c r="H543" s="17" t="n">
        <x:v>12104.56</x:v>
      </x:c>
      <x:c r="I543" s="13" t="str">
        <x:v>Gestor da área</x:v>
      </x:c>
      <x:c r="J543" s="13" t="str">
        <x:v>Pago</x:v>
      </x:c>
      <x:c r="K543" s="13" t="str">
        <x:v>Pico do descontrole</x:v>
      </x:c>
      <x:c r="L543" s="17" t="n">
        <x:f>H543-G543</x:f>
        <x:v>123.76000000000022</x:v>
      </x:c>
      <x:c r="M543" s="19" t="n">
        <x:f>IFERROR(L543/G543,0)</x:f>
        <x:v>0.01032986111111113</x:v>
      </x:c>
      <x:c r="N543" s="13" t="n">
        <x:f>D543-C543</x:f>
        <x:v>-2</x:v>
      </x:c>
    </x:row>
    <x:row r="544">
      <x:c r="A544" s="13" t="str">
        <x:v>PAG-000543</x:v>
      </x:c>
      <x:c r="B544" s="23" t="n">
        <x:v>45663</x:v>
      </x:c>
      <x:c r="C544" s="23" t="n">
        <x:v>45683</x:v>
      </x:c>
      <x:c r="D544" s="23" t="n">
        <x:v>45682</x:v>
      </x:c>
      <x:c r="E544" s="13" t="str">
        <x:v>DataSafe</x:v>
      </x:c>
      <x:c r="F544" s="13" t="str">
        <x:v>Segurança da informação</x:v>
      </x:c>
      <x:c r="G544" s="17" t="n">
        <x:v>11756.14</x:v>
      </x:c>
      <x:c r="H544" s="17" t="n">
        <x:v>12041.37</x:v>
      </x:c>
      <x:c r="I544" s="13" t="str">
        <x:v>Diretoria</x:v>
      </x:c>
      <x:c r="J544" s="13" t="str">
        <x:v>Pago</x:v>
      </x:c>
      <x:c r="K544" s="13" t="str">
        <x:v>Pico do descontrole</x:v>
      </x:c>
      <x:c r="L544" s="17" t="n">
        <x:f>H544-G544</x:f>
        <x:v>285.2300000000014</x:v>
      </x:c>
      <x:c r="M544" s="19" t="n">
        <x:f>IFERROR(L544/G544,0)</x:f>
        <x:v>0.024262215318973865</x:v>
      </x:c>
      <x:c r="N544" s="13" t="n">
        <x:f>D544-C544</x:f>
        <x:v>-1</x:v>
      </x:c>
    </x:row>
    <x:row r="545">
      <x:c r="A545" s="13" t="str">
        <x:v>PAG-000544</x:v>
      </x:c>
      <x:c r="B545" s="23" t="n">
        <x:v>45664</x:v>
      </x:c>
      <x:c r="C545" s="23" t="n">
        <x:v>45671</x:v>
      </x:c>
      <x:c r="D545" s="23" t="n">
        <x:v>45671</x:v>
      </x:c>
      <x:c r="E545" s="13" t="str">
        <x:v>WorkSpace</x:v>
      </x:c>
      <x:c r="F545" s="13" t="str">
        <x:v>Locação</x:v>
      </x:c>
      <x:c r="G545" s="17" t="n">
        <x:v>14412.79</x:v>
      </x:c>
      <x:c r="H545" s="17" t="n">
        <x:v>15072.55</x:v>
      </x:c>
      <x:c r="I545" s="13" t="str">
        <x:v>Gestor da área</x:v>
      </x:c>
      <x:c r="J545" s="13" t="str">
        <x:v>Pago</x:v>
      </x:c>
      <x:c r="K545" s="13" t="str">
        <x:v>Pico do descontrole</x:v>
      </x:c>
      <x:c r="L545" s="17" t="n">
        <x:f>H545-G545</x:f>
        <x:v>659.7599999999984</x:v>
      </x:c>
      <x:c r="M545" s="19" t="n">
        <x:f>IFERROR(L545/G545,0)</x:f>
        <x:v>0.04577600867007695</x:v>
      </x:c>
      <x:c r="N545" s="13" t="n">
        <x:f>D545-C545</x:f>
        <x:v>0</x:v>
      </x:c>
    </x:row>
    <x:row r="546">
      <x:c r="A546" s="13" t="str">
        <x:v>PAG-000545</x:v>
      </x:c>
      <x:c r="B546" s="23" t="n">
        <x:v>45676</x:v>
      </x:c>
      <x:c r="C546" s="23" t="n">
        <x:v>45691</x:v>
      </x:c>
      <x:c r="D546" s="23" t="n">
        <x:v>45688</x:v>
      </x:c>
      <x:c r="E546" s="13" t="str">
        <x:v>Insight BI</x:v>
      </x:c>
      <x:c r="F546" s="13" t="str">
        <x:v>Dados e Analytics</x:v>
      </x:c>
      <x:c r="G546" s="17" t="n">
        <x:v>31596.77</x:v>
      </x:c>
      <x:c r="H546" s="17" t="n">
        <x:v>31800.87</x:v>
      </x:c>
      <x:c r="I546" s="13" t="str">
        <x:v>Diretoria</x:v>
      </x:c>
      <x:c r="J546" s="13" t="str">
        <x:v>Pago</x:v>
      </x:c>
      <x:c r="K546" s="13" t="str">
        <x:v>Pico do descontrole</x:v>
      </x:c>
      <x:c r="L546" s="17" t="n">
        <x:f>H546-G546</x:f>
        <x:v>204.09999999999854</x:v>
      </x:c>
      <x:c r="M546" s="19" t="n">
        <x:f>IFERROR(L546/G546,0)</x:f>
        <x:v>0.006459521020661243</x:v>
      </x:c>
      <x:c r="N546" s="13" t="n">
        <x:f>D546-C546</x:f>
        <x:v>-3</x:v>
      </x:c>
    </x:row>
    <x:row r="547">
      <x:c r="A547" s="13" t="str">
        <x:v>PAG-000546</x:v>
      </x:c>
      <x:c r="B547" s="23" t="n">
        <x:v>45666</x:v>
      </x:c>
      <x:c r="C547" s="23" t="n">
        <x:v>45681</x:v>
      </x:c>
      <x:c r="D547" s="23" t="n">
        <x:v>45680</x:v>
      </x:c>
      <x:c r="E547" s="13" t="str">
        <x:v>NetLink</x:v>
      </x:c>
      <x:c r="F547" s="13" t="str">
        <x:v>Telecomunicações</x:v>
      </x:c>
      <x:c r="G547" s="17" t="n">
        <x:v>16661.75</x:v>
      </x:c>
      <x:c r="H547" s="17" t="n">
        <x:v>16969.79</x:v>
      </x:c>
      <x:c r="I547" s="13" t="str">
        <x:v>Diretoria</x:v>
      </x:c>
      <x:c r="J547" s="13" t="str">
        <x:v>Pago</x:v>
      </x:c>
      <x:c r="K547" s="13" t="str">
        <x:v>Pico do descontrole</x:v>
      </x:c>
      <x:c r="L547" s="17" t="n">
        <x:f>H547-G547</x:f>
        <x:v>308.0400000000009</x:v>
      </x:c>
      <x:c r="M547" s="19" t="n">
        <x:f>IFERROR(L547/G547,0)</x:f>
        <x:v>0.01848785391690554</x:v>
      </x:c>
      <x:c r="N547" s="13" t="n">
        <x:f>D547-C547</x:f>
        <x:v>-1</x:v>
      </x:c>
    </x:row>
    <x:row r="548">
      <x:c r="A548" s="13" t="str">
        <x:v>PAG-000547</x:v>
      </x:c>
      <x:c r="B548" s="23" t="n">
        <x:v>45695</x:v>
      </x:c>
      <x:c r="C548" s="23" t="n">
        <x:v>45725</x:v>
      </x:c>
      <x:c r="D548" s="23" t="n">
        <x:v>45724</x:v>
      </x:c>
      <x:c r="E548" s="13" t="str">
        <x:v>Conta Certa</x:v>
      </x:c>
      <x:c r="F548" s="13" t="str">
        <x:v>Contabilidade</x:v>
      </x:c>
      <x:c r="G548" s="17" t="n">
        <x:v>14992.57</x:v>
      </x:c>
      <x:c r="H548" s="17" t="n">
        <x:v>15394.59</x:v>
      </x:c>
      <x:c r="I548" s="13" t="str">
        <x:v>Gestor da área</x:v>
      </x:c>
      <x:c r="J548" s="13" t="str">
        <x:v>Pago</x:v>
      </x:c>
      <x:c r="K548" s="13" t="str">
        <x:v>Pico do descontrole</x:v>
      </x:c>
      <x:c r="L548" s="17" t="n">
        <x:f>H548-G548</x:f>
        <x:v>402.02000000000044</x:v>
      </x:c>
      <x:c r="M548" s="19" t="n">
        <x:f>IFERROR(L548/G548,0)</x:f>
        <x:v>0.02681461550621411</x:v>
      </x:c>
      <x:c r="N548" s="13" t="n">
        <x:f>D548-C548</x:f>
        <x:v>-1</x:v>
      </x:c>
    </x:row>
    <x:row r="549">
      <x:c r="A549" s="13" t="str">
        <x:v>PAG-000548</x:v>
      </x:c>
      <x:c r="B549" s="23" t="n">
        <x:v>45690</x:v>
      </x:c>
      <x:c r="C549" s="23" t="n">
        <x:v>45710</x:v>
      </x:c>
      <x:c r="D549" s="23" t="n">
        <x:v>45707</x:v>
      </x:c>
      <x:c r="E549" s="13" t="str">
        <x:v>Insight BI</x:v>
      </x:c>
      <x:c r="F549" s="13" t="str">
        <x:v>Dados e Analytics</x:v>
      </x:c>
      <x:c r="G549" s="17" t="n">
        <x:v>8816.03</x:v>
      </x:c>
      <x:c r="H549" s="17" t="n">
        <x:v>8911.73</x:v>
      </x:c>
      <x:c r="I549" s="13" t="str">
        <x:v>Diretoria</x:v>
      </x:c>
      <x:c r="J549" s="13" t="str">
        <x:v>Pago</x:v>
      </x:c>
      <x:c r="K549" s="13" t="str">
        <x:v>Pico do descontrole</x:v>
      </x:c>
      <x:c r="L549" s="17" t="n">
        <x:f>H549-G549</x:f>
        <x:v>95.69999999999891</x:v>
      </x:c>
      <x:c r="M549" s="19" t="n">
        <x:f>IFERROR(L549/G549,0)</x:f>
        <x:v>0.010855226218603941</x:v>
      </x:c>
      <x:c r="N549" s="13" t="n">
        <x:f>D549-C549</x:f>
        <x:v>-3</x:v>
      </x:c>
    </x:row>
    <x:row r="550">
      <x:c r="A550" s="13" t="str">
        <x:v>PAG-000549</x:v>
      </x:c>
      <x:c r="B550" s="23" t="n">
        <x:v>45696</x:v>
      </x:c>
      <x:c r="C550" s="23" t="n">
        <x:v>45726</x:v>
      </x:c>
      <x:c r="D550" s="23" t="n">
        <x:v>45723</x:v>
      </x:c>
      <x:c r="E550" s="13" t="str">
        <x:v>CloudCore</x:v>
      </x:c>
      <x:c r="F550" s="13" t="str">
        <x:v>Tecnologia</x:v>
      </x:c>
      <x:c r="G550" s="17" t="n">
        <x:v>27868.57</x:v>
      </x:c>
      <x:c r="H550" s="17" t="n">
        <x:v>29559.47</x:v>
      </x:c>
      <x:c r="I550" s="13" t="str">
        <x:v>Gestor da área</x:v>
      </x:c>
      <x:c r="J550" s="13" t="str">
        <x:v>Pago</x:v>
      </x:c>
      <x:c r="K550" s="13" t="str">
        <x:v>Pico do descontrole</x:v>
      </x:c>
      <x:c r="L550" s="17" t="n">
        <x:f>H550-G550</x:f>
        <x:v>1690.9000000000015</x:v>
      </x:c>
      <x:c r="M550" s="19" t="n">
        <x:f>IFERROR(L550/G550,0)</x:f>
        <x:v>0.06067408553793759</x:v>
      </x:c>
      <x:c r="N550" s="13" t="n">
        <x:f>D550-C550</x:f>
        <x:v>-3</x:v>
      </x:c>
    </x:row>
    <x:row r="551">
      <x:c r="A551" s="13" t="str">
        <x:v>PAG-000550</x:v>
      </x:c>
      <x:c r="B551" s="23" t="n">
        <x:v>45690</x:v>
      </x:c>
      <x:c r="C551" s="23" t="n">
        <x:v>45710</x:v>
      </x:c>
      <x:c r="D551" s="23" t="n">
        <x:v>45712</x:v>
      </x:c>
      <x:c r="E551" s="13" t="str">
        <x:v>Conta Certa</x:v>
      </x:c>
      <x:c r="F551" s="13" t="str">
        <x:v>Contabilidade</x:v>
      </x:c>
      <x:c r="G551" s="17" t="n">
        <x:v>27082.78</x:v>
      </x:c>
      <x:c r="H551" s="17" t="n">
        <x:v>28971.49</x:v>
      </x:c>
      <x:c r="I551" s="13" t="str">
        <x:v>Diretoria</x:v>
      </x:c>
      <x:c r="J551" s="13" t="str">
        <x:v>Pago</x:v>
      </x:c>
      <x:c r="K551" s="13" t="str">
        <x:v>Pico do descontrole</x:v>
      </x:c>
      <x:c r="L551" s="17" t="n">
        <x:f>H551-G551</x:f>
        <x:v>1888.7100000000028</x:v>
      </x:c>
      <x:c r="M551" s="19" t="n">
        <x:f>IFERROR(L551/G551,0)</x:f>
        <x:v>0.0697384094247342</x:v>
      </x:c>
      <x:c r="N551" s="13" t="n">
        <x:f>D551-C551</x:f>
        <x:v>2</x:v>
      </x:c>
    </x:row>
    <x:row r="552">
      <x:c r="A552" s="13" t="str">
        <x:v>PAG-000551</x:v>
      </x:c>
      <x:c r="B552" s="23" t="n">
        <x:v>45693</x:v>
      </x:c>
      <x:c r="C552" s="23" t="n">
        <x:v>45713</x:v>
      </x:c>
      <x:c r="D552" s="23" t="n">
        <x:v>45711</x:v>
      </x:c>
      <x:c r="E552" s="13" t="str">
        <x:v>EducaPro</x:v>
      </x:c>
      <x:c r="F552" s="13" t="str">
        <x:v>Treinamentos</x:v>
      </x:c>
      <x:c r="G552" s="17" t="n">
        <x:v>16014.17</x:v>
      </x:c>
      <x:c r="H552" s="17" t="n">
        <x:v>16782.32</x:v>
      </x:c>
      <x:c r="I552" s="13" t="str">
        <x:v>Gestor da área</x:v>
      </x:c>
      <x:c r="J552" s="13" t="str">
        <x:v>Pago</x:v>
      </x:c>
      <x:c r="K552" s="13" t="str">
        <x:v>Pico do descontrole</x:v>
      </x:c>
      <x:c r="L552" s="17" t="n">
        <x:f>H552-G552</x:f>
        <x:v>768.1499999999996</x:v>
      </x:c>
      <x:c r="M552" s="19" t="n">
        <x:f>IFERROR(L552/G552,0)</x:f>
        <x:v>0.047966894319218516</x:v>
      </x:c>
      <x:c r="N552" s="13" t="n">
        <x:f>D552-C552</x:f>
        <x:v>-2</x:v>
      </x:c>
    </x:row>
    <x:row r="553">
      <x:c r="A553" s="13" t="str">
        <x:v>PAG-000552</x:v>
      </x:c>
      <x:c r="B553" s="23" t="n">
        <x:v>45705</x:v>
      </x:c>
      <x:c r="C553" s="23" t="n">
        <x:v>45712</x:v>
      </x:c>
      <x:c r="D553" s="23" t="n">
        <x:v>45714</x:v>
      </x:c>
      <x:c r="E553" s="13" t="str">
        <x:v>Conta Certa</x:v>
      </x:c>
      <x:c r="F553" s="13" t="str">
        <x:v>Contabilidade</x:v>
      </x:c>
      <x:c r="G553" s="17" t="n">
        <x:v>15766.4</x:v>
      </x:c>
      <x:c r="H553" s="17" t="n">
        <x:v>16443.2</x:v>
      </x:c>
      <x:c r="I553" s="13" t="str">
        <x:v>Diretoria</x:v>
      </x:c>
      <x:c r="J553" s="13" t="str">
        <x:v>Pago</x:v>
      </x:c>
      <x:c r="K553" s="13" t="str">
        <x:v>Pico do descontrole</x:v>
      </x:c>
      <x:c r="L553" s="17" t="n">
        <x:f>H553-G553</x:f>
        <x:v>676.8000000000011</x:v>
      </x:c>
      <x:c r="M553" s="19" t="n">
        <x:f>IFERROR(L553/G553,0)</x:f>
        <x:v>0.04292673026182268</x:v>
      </x:c>
      <x:c r="N553" s="13" t="n">
        <x:f>D553-C553</x:f>
        <x:v>2</x:v>
      </x:c>
    </x:row>
    <x:row r="554">
      <x:c r="A554" s="13" t="str">
        <x:v>PAG-000553</x:v>
      </x:c>
      <x:c r="B554" s="23" t="n">
        <x:v>45704</x:v>
      </x:c>
      <x:c r="C554" s="23" t="n">
        <x:v>45719</x:v>
      </x:c>
      <x:c r="D554" s="23" t="n">
        <x:v>45717</x:v>
      </x:c>
      <x:c r="E554" s="13" t="str">
        <x:v>DataSafe</x:v>
      </x:c>
      <x:c r="F554" s="13" t="str">
        <x:v>Segurança da informação</x:v>
      </x:c>
      <x:c r="G554" s="17" t="n">
        <x:v>17760.81</x:v>
      </x:c>
      <x:c r="H554" s="17" t="n">
        <x:v>17780.84</x:v>
      </x:c>
      <x:c r="I554" s="13" t="str">
        <x:v>Diretoria</x:v>
      </x:c>
      <x:c r="J554" s="13" t="str">
        <x:v>Pago</x:v>
      </x:c>
      <x:c r="K554" s="13" t="str">
        <x:v>Pico do descontrole</x:v>
      </x:c>
      <x:c r="L554" s="17" t="n">
        <x:f>H554-G554</x:f>
        <x:v>20.029999999998836</x:v>
      </x:c>
      <x:c r="M554" s="19" t="n">
        <x:f>IFERROR(L554/G554,0)</x:f>
        <x:v>0.0011277638801382838</x:v>
      </x:c>
      <x:c r="N554" s="13" t="n">
        <x:f>D554-C554</x:f>
        <x:v>-2</x:v>
      </x:c>
    </x:row>
    <x:row r="555">
      <x:c r="A555" s="13" t="str">
        <x:v>PAG-000554</x:v>
      </x:c>
      <x:c r="B555" s="23" t="n">
        <x:v>45706</x:v>
      </x:c>
      <x:c r="C555" s="23" t="n">
        <x:v>45736</x:v>
      </x:c>
      <x:c r="D555" s="23" t="n">
        <x:v>45738</x:v>
      </x:c>
      <x:c r="E555" s="13" t="str">
        <x:v>Banco Integra</x:v>
      </x:c>
      <x:c r="F555" s="13" t="str">
        <x:v>Serviços bancários</x:v>
      </x:c>
      <x:c r="G555" s="17" t="n">
        <x:v>23028.84</x:v>
      </x:c>
      <x:c r="H555" s="17" t="n">
        <x:v>23192.13</x:v>
      </x:c>
      <x:c r="I555" s="13" t="str">
        <x:v>Financeiro</x:v>
      </x:c>
      <x:c r="J555" s="13" t="str">
        <x:v>Pago</x:v>
      </x:c>
      <x:c r="K555" s="13" t="str">
        <x:v>Pico do descontrole</x:v>
      </x:c>
      <x:c r="L555" s="17" t="n">
        <x:f>H555-G555</x:f>
        <x:v>163.29000000000087</x:v>
      </x:c>
      <x:c r="M555" s="19" t="n">
        <x:f>IFERROR(L555/G555,0)</x:f>
        <x:v>0.0070906741286144185</x:v>
      </x:c>
      <x:c r="N555" s="13" t="n">
        <x:f>D555-C555</x:f>
        <x:v>2</x:v>
      </x:c>
    </x:row>
    <x:row r="556">
      <x:c r="A556" s="13" t="str">
        <x:v>PAG-000555</x:v>
      </x:c>
      <x:c r="B556" s="23" t="n">
        <x:v>45689</x:v>
      </x:c>
      <x:c r="C556" s="23" t="n">
        <x:v>45696</x:v>
      </x:c>
      <x:c r="D556" s="23" t="n">
        <x:v>45696</x:v>
      </x:c>
      <x:c r="E556" s="13" t="str">
        <x:v>PeopleHub</x:v>
      </x:c>
      <x:c r="F556" s="13" t="str">
        <x:v>Recursos Humanos</x:v>
      </x:c>
      <x:c r="G556" s="17" t="n">
        <x:v>22054.19</x:v>
      </x:c>
      <x:c r="H556" s="17" t="n">
        <x:v>21951.42</x:v>
      </x:c>
      <x:c r="I556" s="13" t="str">
        <x:v>Financeiro</x:v>
      </x:c>
      <x:c r="J556" s="13" t="str">
        <x:v>Pago</x:v>
      </x:c>
      <x:c r="K556" s="13" t="str">
        <x:v>Pico do descontrole</x:v>
      </x:c>
      <x:c r="L556" s="17" t="n">
        <x:f>H556-G556</x:f>
        <x:v>-102.77000000000044</x:v>
      </x:c>
      <x:c r="M556" s="19" t="n">
        <x:f>IFERROR(L556/G556,0)</x:f>
        <x:v>-0.0046598854911470535</x:v>
      </x:c>
      <x:c r="N556" s="13" t="n">
        <x:f>D556-C556</x:f>
        <x:v>0</x:v>
      </x:c>
    </x:row>
    <x:row r="557">
      <x:c r="A557" s="13" t="str">
        <x:v>PAG-000556</x:v>
      </x:c>
      <x:c r="B557" s="23" t="n">
        <x:v>45704</x:v>
      </x:c>
      <x:c r="C557" s="23" t="n">
        <x:v>45734</x:v>
      </x:c>
      <x:c r="D557" s="23" t="n">
        <x:v>45736</x:v>
      </x:c>
      <x:c r="E557" s="13" t="str">
        <x:v>EducaPro</x:v>
      </x:c>
      <x:c r="F557" s="13" t="str">
        <x:v>Treinamentos</x:v>
      </x:c>
      <x:c r="G557" s="17" t="n">
        <x:v>9605.35</x:v>
      </x:c>
      <x:c r="H557" s="17" t="n">
        <x:v>9925.73</x:v>
      </x:c>
      <x:c r="I557" s="13" t="str">
        <x:v>Financeiro</x:v>
      </x:c>
      <x:c r="J557" s="13" t="str">
        <x:v>Pago</x:v>
      </x:c>
      <x:c r="K557" s="13" t="str">
        <x:v>Pico do descontrole</x:v>
      </x:c>
      <x:c r="L557" s="17" t="n">
        <x:f>H557-G557</x:f>
        <x:v>320.3799999999992</x:v>
      </x:c>
      <x:c r="M557" s="19" t="n">
        <x:f>IFERROR(L557/G557,0)</x:f>
        <x:v>0.03335432857730319</x:v>
      </x:c>
      <x:c r="N557" s="13" t="n">
        <x:f>D557-C557</x:f>
        <x:v>2</x:v>
      </x:c>
    </x:row>
    <x:row r="558">
      <x:c r="A558" s="13" t="str">
        <x:v>PAG-000557</x:v>
      </x:c>
      <x:c r="B558" s="23" t="n">
        <x:v>45707</x:v>
      </x:c>
      <x:c r="C558" s="23" t="n">
        <x:v>45727</x:v>
      </x:c>
      <x:c r="D558" s="23" t="n">
        <x:v>45726</x:v>
      </x:c>
      <x:c r="E558" s="13" t="str">
        <x:v>Insight BI</x:v>
      </x:c>
      <x:c r="F558" s="13" t="str">
        <x:v>Dados e Analytics</x:v>
      </x:c>
      <x:c r="G558" s="17" t="n">
        <x:v>20934.78</x:v>
      </x:c>
      <x:c r="H558" s="17" t="n">
        <x:v>21242.49</x:v>
      </x:c>
      <x:c r="I558" s="13" t="str">
        <x:v>Financeiro</x:v>
      </x:c>
      <x:c r="J558" s="13" t="str">
        <x:v>Pago</x:v>
      </x:c>
      <x:c r="K558" s="13" t="str">
        <x:v>Pico do descontrole</x:v>
      </x:c>
      <x:c r="L558" s="17" t="n">
        <x:f>H558-G558</x:f>
        <x:v>307.71000000000276</x:v>
      </x:c>
      <x:c r="M558" s="19" t="n">
        <x:f>IFERROR(L558/G558,0)</x:f>
        <x:v>0.014698506504486925</x:v>
      </x:c>
      <x:c r="N558" s="13" t="n">
        <x:f>D558-C558</x:f>
        <x:v>-1</x:v>
      </x:c>
    </x:row>
    <x:row r="559">
      <x:c r="A559" s="13" t="str">
        <x:v>PAG-000558</x:v>
      </x:c>
      <x:c r="B559" s="23" t="n">
        <x:v>45700</x:v>
      </x:c>
      <x:c r="C559" s="23" t="n">
        <x:v>45720</x:v>
      </x:c>
      <x:c r="D559" s="23" t="n">
        <x:v>45717</x:v>
      </x:c>
      <x:c r="E559" s="13" t="str">
        <x:v>DataSafe</x:v>
      </x:c>
      <x:c r="F559" s="13" t="str">
        <x:v>Segurança da informação</x:v>
      </x:c>
      <x:c r="G559" s="17" t="n">
        <x:v>25709.37</x:v>
      </x:c>
      <x:c r="H559" s="17" t="n">
        <x:v>25929.3</x:v>
      </x:c>
      <x:c r="I559" s="13" t="str">
        <x:v>Gestor da área</x:v>
      </x:c>
      <x:c r="J559" s="13" t="str">
        <x:v>Pago</x:v>
      </x:c>
      <x:c r="K559" s="13" t="str">
        <x:v>Pico do descontrole</x:v>
      </x:c>
      <x:c r="L559" s="17" t="n">
        <x:f>H559-G559</x:f>
        <x:v>219.9300000000003</x:v>
      </x:c>
      <x:c r="M559" s="19" t="n">
        <x:f>IFERROR(L559/G559,0)</x:f>
        <x:v>0.008554468662592678</x:v>
      </x:c>
      <x:c r="N559" s="13" t="n">
        <x:f>D559-C559</x:f>
        <x:v>-3</x:v>
      </x:c>
    </x:row>
    <x:row r="560">
      <x:c r="A560" s="13" t="str">
        <x:v>PAG-000559</x:v>
      </x:c>
      <x:c r="B560" s="23" t="n">
        <x:v>45696</x:v>
      </x:c>
      <x:c r="C560" s="23" t="n">
        <x:v>45716</x:v>
      </x:c>
      <x:c r="D560" s="23" t="n">
        <x:v>45716</x:v>
      </x:c>
      <x:c r="E560" s="13" t="str">
        <x:v>NetLink</x:v>
      </x:c>
      <x:c r="F560" s="13" t="str">
        <x:v>Telecomunicações</x:v>
      </x:c>
      <x:c r="G560" s="17" t="n">
        <x:v>29377.56</x:v>
      </x:c>
      <x:c r="H560" s="17" t="n">
        <x:v>30172.83</x:v>
      </x:c>
      <x:c r="I560" s="13" t="str">
        <x:v>Diretoria</x:v>
      </x:c>
      <x:c r="J560" s="13" t="str">
        <x:v>Pago</x:v>
      </x:c>
      <x:c r="K560" s="13" t="str">
        <x:v>Pico do descontrole</x:v>
      </x:c>
      <x:c r="L560" s="17" t="n">
        <x:f>H560-G560</x:f>
        <x:v>795.2700000000004</x:v>
      </x:c>
      <x:c r="M560" s="19" t="n">
        <x:f>IFERROR(L560/G560,0)</x:f>
        <x:v>0.027070662097192565</x:v>
      </x:c>
      <x:c r="N560" s="13" t="n">
        <x:f>D560-C560</x:f>
        <x:v>0</x:v>
      </x:c>
    </x:row>
    <x:row r="561">
      <x:c r="A561" s="13" t="str">
        <x:v>PAG-000560</x:v>
      </x:c>
      <x:c r="B561" s="23" t="n">
        <x:v>45695</x:v>
      </x:c>
      <x:c r="C561" s="23" t="n">
        <x:v>45715</x:v>
      </x:c>
      <x:c r="D561" s="23" t="n">
        <x:v>45716</x:v>
      </x:c>
      <x:c r="E561" s="13" t="str">
        <x:v>Insight BI</x:v>
      </x:c>
      <x:c r="F561" s="13" t="str">
        <x:v>Dados e Analytics</x:v>
      </x:c>
      <x:c r="G561" s="17" t="n">
        <x:v>27535.06</x:v>
      </x:c>
      <x:c r="H561" s="17" t="n">
        <x:v>28066.03</x:v>
      </x:c>
      <x:c r="I561" s="13" t="str">
        <x:v>Diretoria</x:v>
      </x:c>
      <x:c r="J561" s="13" t="str">
        <x:v>Pago</x:v>
      </x:c>
      <x:c r="K561" s="13" t="str">
        <x:v>Pico do descontrole</x:v>
      </x:c>
      <x:c r="L561" s="17" t="n">
        <x:f>H561-G561</x:f>
        <x:v>530.9699999999975</x:v>
      </x:c>
      <x:c r="M561" s="19" t="n">
        <x:f>IFERROR(L561/G561,0)</x:f>
        <x:v>0.019283415398404707</x:v>
      </x:c>
      <x:c r="N561" s="13" t="n">
        <x:f>D561-C561</x:f>
        <x:v>1</x:v>
      </x:c>
    </x:row>
    <x:row r="562">
      <x:c r="A562" s="13" t="str">
        <x:v>PAG-000561</x:v>
      </x:c>
      <x:c r="B562" s="23" t="n">
        <x:v>45697</x:v>
      </x:c>
      <x:c r="C562" s="23" t="n">
        <x:v>45727</x:v>
      </x:c>
      <x:c r="D562" s="23" t="n">
        <x:v>45728</x:v>
      </x:c>
      <x:c r="E562" s="13" t="str">
        <x:v>Banco Integra</x:v>
      </x:c>
      <x:c r="F562" s="13" t="str">
        <x:v>Serviços bancários</x:v>
      </x:c>
      <x:c r="G562" s="17" t="n">
        <x:v>7914.48</x:v>
      </x:c>
      <x:c r="H562" s="17" t="n">
        <x:v>7970.39</x:v>
      </x:c>
      <x:c r="I562" s="13" t="str">
        <x:v>Financeiro</x:v>
      </x:c>
      <x:c r="J562" s="13" t="str">
        <x:v>Pago</x:v>
      </x:c>
      <x:c r="K562" s="13" t="str">
        <x:v>Pico do descontrole</x:v>
      </x:c>
      <x:c r="L562" s="17" t="n">
        <x:f>H562-G562</x:f>
        <x:v>55.910000000000764</x:v>
      </x:c>
      <x:c r="M562" s="19" t="n">
        <x:f>IFERROR(L562/G562,0)</x:f>
        <x:v>0.0070642670143838595</x:v>
      </x:c>
      <x:c r="N562" s="13" t="n">
        <x:f>D562-C562</x:f>
        <x:v>1</x:v>
      </x:c>
    </x:row>
    <x:row r="563">
      <x:c r="A563" s="13" t="str">
        <x:v>PAG-000562</x:v>
      </x:c>
      <x:c r="B563" s="23" t="n">
        <x:v>45695</x:v>
      </x:c>
      <x:c r="C563" s="23" t="n">
        <x:v>45715</x:v>
      </x:c>
      <x:c r="D563" s="23" t="n">
        <x:v>45716</x:v>
      </x:c>
      <x:c r="E563" s="13" t="str">
        <x:v>Conta Certa</x:v>
      </x:c>
      <x:c r="F563" s="13" t="str">
        <x:v>Contabilidade</x:v>
      </x:c>
      <x:c r="G563" s="17" t="n">
        <x:v>16807.3</x:v>
      </x:c>
      <x:c r="H563" s="17" t="n">
        <x:v>17902.08</x:v>
      </x:c>
      <x:c r="I563" s="13" t="str">
        <x:v>Gestor da área</x:v>
      </x:c>
      <x:c r="J563" s="13" t="str">
        <x:v>Pago</x:v>
      </x:c>
      <x:c r="K563" s="13" t="str">
        <x:v>Pico do descontrole</x:v>
      </x:c>
      <x:c r="L563" s="17" t="n">
        <x:f>H563-G563</x:f>
        <x:v>1094.7800000000025</x:v>
      </x:c>
      <x:c r="M563" s="19" t="n">
        <x:f>IFERROR(L563/G563,0)</x:f>
        <x:v>0.06513717253812347</x:v>
      </x:c>
      <x:c r="N563" s="13" t="n">
        <x:f>D563-C563</x:f>
        <x:v>1</x:v>
      </x:c>
    </x:row>
    <x:row r="564">
      <x:c r="A564" s="13" t="str">
        <x:v>PAG-000563</x:v>
      </x:c>
      <x:c r="B564" s="23" t="n">
        <x:v>45692</x:v>
      </x:c>
      <x:c r="C564" s="23" t="n">
        <x:v>45712</x:v>
      </x:c>
      <x:c r="D564" s="23" t="n">
        <x:v>45712</x:v>
      </x:c>
      <x:c r="E564" s="13" t="str">
        <x:v>PeopleHub</x:v>
      </x:c>
      <x:c r="F564" s="13" t="str">
        <x:v>Recursos Humanos</x:v>
      </x:c>
      <x:c r="G564" s="17" t="n">
        <x:v>738.1</x:v>
      </x:c>
      <x:c r="H564" s="17" t="n">
        <x:v>760</x:v>
      </x:c>
      <x:c r="I564" s="13" t="str">
        <x:v>Diretoria</x:v>
      </x:c>
      <x:c r="J564" s="13" t="str">
        <x:v>Pago</x:v>
      </x:c>
      <x:c r="K564" s="13" t="str">
        <x:v>Pico do descontrole</x:v>
      </x:c>
      <x:c r="L564" s="17" t="n">
        <x:f>H564-G564</x:f>
        <x:v>21.899999999999977</x:v>
      </x:c>
      <x:c r="M564" s="19" t="n">
        <x:f>IFERROR(L564/G564,0)</x:f>
        <x:v>0.029670776317572114</x:v>
      </x:c>
      <x:c r="N564" s="13" t="n">
        <x:f>D564-C564</x:f>
        <x:v>0</x:v>
      </x:c>
    </x:row>
    <x:row r="565">
      <x:c r="A565" s="13" t="str">
        <x:v>PAG-000564</x:v>
      </x:c>
      <x:c r="B565" s="23" t="n">
        <x:v>45705</x:v>
      </x:c>
      <x:c r="C565" s="23" t="n">
        <x:v>45735</x:v>
      </x:c>
      <x:c r="D565" s="23" t="n">
        <x:v>45735</x:v>
      </x:c>
      <x:c r="E565" s="13" t="str">
        <x:v>CloudCore</x:v>
      </x:c>
      <x:c r="F565" s="13" t="str">
        <x:v>Tecnologia</x:v>
      </x:c>
      <x:c r="G565" s="17" t="n">
        <x:v>4413.49</x:v>
      </x:c>
      <x:c r="H565" s="17" t="n">
        <x:v>4358.19</x:v>
      </x:c>
      <x:c r="I565" s="13" t="str">
        <x:v>Gestor da área</x:v>
      </x:c>
      <x:c r="J565" s="13" t="str">
        <x:v>Pago</x:v>
      </x:c>
      <x:c r="K565" s="13" t="str">
        <x:v>Pico do descontrole</x:v>
      </x:c>
      <x:c r="L565" s="17" t="n">
        <x:f>H565-G565</x:f>
        <x:v>-55.30000000000018</x:v>
      </x:c>
      <x:c r="M565" s="19" t="n">
        <x:f>IFERROR(L565/G565,0)</x:f>
        <x:v>-0.012529766692572133</x:v>
      </x:c>
      <x:c r="N565" s="13" t="n">
        <x:f>D565-C565</x:f>
        <x:v>0</x:v>
      </x:c>
    </x:row>
    <x:row r="566">
      <x:c r="A566" s="13" t="str">
        <x:v>PAG-000565</x:v>
      </x:c>
      <x:c r="B566" s="23" t="n">
        <x:v>45696</x:v>
      </x:c>
      <x:c r="C566" s="23" t="n">
        <x:v>45711</x:v>
      </x:c>
      <x:c r="D566" s="23" t="n">
        <x:v>45709</x:v>
      </x:c>
      <x:c r="E566" s="13" t="str">
        <x:v>NetLink</x:v>
      </x:c>
      <x:c r="F566" s="13" t="str">
        <x:v>Telecomunicações</x:v>
      </x:c>
      <x:c r="G566" s="17" t="n">
        <x:v>12337.2</x:v>
      </x:c>
      <x:c r="H566" s="17" t="n">
        <x:v>13037.87</x:v>
      </x:c>
      <x:c r="I566" s="13" t="str">
        <x:v>Financeiro</x:v>
      </x:c>
      <x:c r="J566" s="13" t="str">
        <x:v>Pago</x:v>
      </x:c>
      <x:c r="K566" s="13" t="str">
        <x:v>Pico do descontrole</x:v>
      </x:c>
      <x:c r="L566" s="17" t="n">
        <x:f>H566-G566</x:f>
        <x:v>700.6700000000001</x:v>
      </x:c>
      <x:c r="M566" s="19" t="n">
        <x:f>IFERROR(L566/G566,0)</x:f>
        <x:v>0.05679327562169698</x:v>
      </x:c>
      <x:c r="N566" s="13" t="n">
        <x:f>D566-C566</x:f>
        <x:v>-2</x:v>
      </x:c>
    </x:row>
    <x:row r="567">
      <x:c r="A567" s="13" t="str">
        <x:v>PAG-000566</x:v>
      </x:c>
      <x:c r="B567" s="23" t="n">
        <x:v>45690</x:v>
      </x:c>
      <x:c r="C567" s="23" t="n">
        <x:v>45697</x:v>
      </x:c>
      <x:c r="D567" s="23" t="n">
        <x:v>45698</x:v>
      </x:c>
      <x:c r="E567" s="13" t="str">
        <x:v>Office Prime</x:v>
      </x:c>
      <x:c r="F567" s="13" t="str">
        <x:v>Escritório</x:v>
      </x:c>
      <x:c r="G567" s="17" t="n">
        <x:v>23235.61</x:v>
      </x:c>
      <x:c r="H567" s="17" t="n">
        <x:v>24322.93</x:v>
      </x:c>
      <x:c r="I567" s="13" t="str">
        <x:v>Financeiro</x:v>
      </x:c>
      <x:c r="J567" s="13" t="str">
        <x:v>Pago</x:v>
      </x:c>
      <x:c r="K567" s="13" t="str">
        <x:v>Pico do descontrole</x:v>
      </x:c>
      <x:c r="L567" s="17" t="n">
        <x:f>H567-G567</x:f>
        <x:v>1087.3199999999997</x:v>
      </x:c>
      <x:c r="M567" s="19" t="n">
        <x:f>IFERROR(L567/G567,0)</x:f>
        <x:v>0.046795414452213635</x:v>
      </x:c>
      <x:c r="N567" s="13" t="n">
        <x:f>D567-C567</x:f>
        <x:v>1</x:v>
      </x:c>
    </x:row>
    <x:row r="568">
      <x:c r="A568" s="13" t="str">
        <x:v>PAG-000567</x:v>
      </x:c>
      <x:c r="B568" s="23" t="n">
        <x:v>45696</x:v>
      </x:c>
      <x:c r="C568" s="23" t="n">
        <x:v>45726</x:v>
      </x:c>
      <x:c r="D568" s="23" t="n">
        <x:v>45723</x:v>
      </x:c>
      <x:c r="E568" s="13" t="str">
        <x:v>WorkSpace</x:v>
      </x:c>
      <x:c r="F568" s="13" t="str">
        <x:v>Locação</x:v>
      </x:c>
      <x:c r="G568" s="17" t="n">
        <x:v>27814.83</x:v>
      </x:c>
      <x:c r="H568" s="17" t="n">
        <x:v>28574.1</x:v>
      </x:c>
      <x:c r="I568" s="13" t="str">
        <x:v>Diretoria</x:v>
      </x:c>
      <x:c r="J568" s="13" t="str">
        <x:v>Pago</x:v>
      </x:c>
      <x:c r="K568" s="13" t="str">
        <x:v>Pico do descontrole</x:v>
      </x:c>
      <x:c r="L568" s="17" t="n">
        <x:f>H568-G568</x:f>
        <x:v>759.2699999999968</x:v>
      </x:c>
      <x:c r="M568" s="19" t="n">
        <x:f>IFERROR(L568/G568,0)</x:f>
        <x:v>0.02729730866591659</x:v>
      </x:c>
      <x:c r="N568" s="13" t="n">
        <x:f>D568-C568</x:f>
        <x:v>-3</x:v>
      </x:c>
    </x:row>
    <x:row r="569">
      <x:c r="A569" s="13" t="str">
        <x:v>PAG-000568</x:v>
      </x:c>
      <x:c r="B569" s="23" t="n">
        <x:v>45708</x:v>
      </x:c>
      <x:c r="C569" s="23" t="n">
        <x:v>45728</x:v>
      </x:c>
      <x:c r="D569" s="23" t="n">
        <x:v>45728</x:v>
      </x:c>
      <x:c r="E569" s="13" t="str">
        <x:v>DataSafe</x:v>
      </x:c>
      <x:c r="F569" s="13" t="str">
        <x:v>Segurança da informação</x:v>
      </x:c>
      <x:c r="G569" s="17" t="n">
        <x:v>26844.36</x:v>
      </x:c>
      <x:c r="H569" s="17" t="n">
        <x:v>27903.96</x:v>
      </x:c>
      <x:c r="I569" s="13" t="str">
        <x:v>Gestor da área</x:v>
      </x:c>
      <x:c r="J569" s="13" t="str">
        <x:v>Pago</x:v>
      </x:c>
      <x:c r="K569" s="13" t="str">
        <x:v>Pico do descontrole</x:v>
      </x:c>
      <x:c r="L569" s="17" t="n">
        <x:f>H569-G569</x:f>
        <x:v>1059.5999999999985</x:v>
      </x:c>
      <x:c r="M569" s="19" t="n">
        <x:f>IFERROR(L569/G569,0)</x:f>
        <x:v>0.0394719784714554</x:v>
      </x:c>
      <x:c r="N569" s="13" t="n">
        <x:f>D569-C569</x:f>
        <x:v>0</x:v>
      </x:c>
    </x:row>
    <x:row r="570">
      <x:c r="A570" s="13" t="str">
        <x:v>PAG-000569</x:v>
      </x:c>
      <x:c r="B570" s="23" t="n">
        <x:v>45698</x:v>
      </x:c>
      <x:c r="C570" s="23" t="n">
        <x:v>45718</x:v>
      </x:c>
      <x:c r="D570" s="23" t="n">
        <x:v>45715</x:v>
      </x:c>
      <x:c r="E570" s="13" t="str">
        <x:v>EducaPro</x:v>
      </x:c>
      <x:c r="F570" s="13" t="str">
        <x:v>Treinamentos</x:v>
      </x:c>
      <x:c r="G570" s="17" t="n">
        <x:v>3028.68</x:v>
      </x:c>
      <x:c r="H570" s="17" t="n">
        <x:v>3043.34</x:v>
      </x:c>
      <x:c r="I570" s="13" t="str">
        <x:v>Diretoria</x:v>
      </x:c>
      <x:c r="J570" s="13" t="str">
        <x:v>Pago</x:v>
      </x:c>
      <x:c r="K570" s="13" t="str">
        <x:v>Pico do descontrole</x:v>
      </x:c>
      <x:c r="L570" s="17" t="n">
        <x:f>H570-G570</x:f>
        <x:v>14.66000000000031</x:v>
      </x:c>
      <x:c r="M570" s="19" t="n">
        <x:f>IFERROR(L570/G570,0)</x:f>
        <x:v>0.004840392514230725</x:v>
      </x:c>
      <x:c r="N570" s="13" t="n">
        <x:f>D570-C570</x:f>
        <x:v>-3</x:v>
      </x:c>
    </x:row>
    <x:row r="571">
      <x:c r="A571" s="13" t="str">
        <x:v>PAG-000570</x:v>
      </x:c>
      <x:c r="B571" s="23" t="n">
        <x:v>45699</x:v>
      </x:c>
      <x:c r="C571" s="23" t="n">
        <x:v>45729</x:v>
      </x:c>
      <x:c r="D571" s="23" t="n">
        <x:v>45730</x:v>
      </x:c>
      <x:c r="E571" s="13" t="str">
        <x:v>WorkSpace</x:v>
      </x:c>
      <x:c r="F571" s="13" t="str">
        <x:v>Locação</x:v>
      </x:c>
      <x:c r="G571" s="17" t="n">
        <x:v>10389.84</x:v>
      </x:c>
      <x:c r="H571" s="17" t="n">
        <x:v>10950.26</x:v>
      </x:c>
      <x:c r="I571" s="13" t="str">
        <x:v>Financeiro</x:v>
      </x:c>
      <x:c r="J571" s="13" t="str">
        <x:v>Pago</x:v>
      </x:c>
      <x:c r="K571" s="13" t="str">
        <x:v>Pico do descontrole</x:v>
      </x:c>
      <x:c r="L571" s="17" t="n">
        <x:f>H571-G571</x:f>
        <x:v>560.4200000000001</x:v>
      </x:c>
      <x:c r="M571" s="19" t="n">
        <x:f>IFERROR(L571/G571,0)</x:f>
        <x:v>0.05393923294295197</x:v>
      </x:c>
      <x:c r="N571" s="13" t="n">
        <x:f>D571-C571</x:f>
        <x:v>1</x:v>
      </x:c>
    </x:row>
    <x:row r="572">
      <x:c r="A572" s="13" t="str">
        <x:v>PAG-000571</x:v>
      </x:c>
      <x:c r="B572" s="23" t="n">
        <x:v>45702</x:v>
      </x:c>
      <x:c r="C572" s="23" t="n">
        <x:v>45717</x:v>
      </x:c>
      <x:c r="D572" s="23" t="n">
        <x:v>45717</x:v>
      </x:c>
      <x:c r="E572" s="13" t="str">
        <x:v>LegalMais</x:v>
      </x:c>
      <x:c r="F572" s="13" t="str">
        <x:v>Jurídico</x:v>
      </x:c>
      <x:c r="G572" s="17" t="n">
        <x:v>19104.12</x:v>
      </x:c>
      <x:c r="H572" s="17" t="n">
        <x:v>20369</x:v>
      </x:c>
      <x:c r="I572" s="13" t="str">
        <x:v>Financeiro</x:v>
      </x:c>
      <x:c r="J572" s="13" t="str">
        <x:v>Pago</x:v>
      </x:c>
      <x:c r="K572" s="13" t="str">
        <x:v>Pico do descontrole</x:v>
      </x:c>
      <x:c r="L572" s="17" t="n">
        <x:f>H572-G572</x:f>
        <x:v>1264.880000000001</x:v>
      </x:c>
      <x:c r="M572" s="19" t="n">
        <x:f>IFERROR(L572/G572,0)</x:f>
        <x:v>0.06620980186472872</x:v>
      </x:c>
      <x:c r="N572" s="13" t="n">
        <x:f>D572-C572</x:f>
        <x:v>0</x:v>
      </x:c>
    </x:row>
    <x:row r="573">
      <x:c r="A573" s="13" t="str">
        <x:v>PAG-000572</x:v>
      </x:c>
      <x:c r="B573" s="23" t="n">
        <x:v>45700</x:v>
      </x:c>
      <x:c r="C573" s="23" t="n">
        <x:v>45730</x:v>
      </x:c>
      <x:c r="D573" s="23" t="n">
        <x:v>45728</x:v>
      </x:c>
      <x:c r="E573" s="13" t="str">
        <x:v>Insight BI</x:v>
      </x:c>
      <x:c r="F573" s="13" t="str">
        <x:v>Dados e Analytics</x:v>
      </x:c>
      <x:c r="G573" s="17" t="n">
        <x:v>23867.35</x:v>
      </x:c>
      <x:c r="H573" s="17" t="n">
        <x:v>24079.34</x:v>
      </x:c>
      <x:c r="I573" s="13" t="str">
        <x:v>Financeiro</x:v>
      </x:c>
      <x:c r="J573" s="13" t="str">
        <x:v>Pago</x:v>
      </x:c>
      <x:c r="K573" s="13" t="str">
        <x:v>Pico do descontrole</x:v>
      </x:c>
      <x:c r="L573" s="17" t="n">
        <x:f>H573-G573</x:f>
        <x:v>211.9900000000016</x:v>
      </x:c>
      <x:c r="M573" s="19" t="n">
        <x:f>IFERROR(L573/G573,0)</x:f>
        <x:v>0.008882008266523163</x:v>
      </x:c>
      <x:c r="N573" s="13" t="n">
        <x:f>D573-C573</x:f>
        <x:v>-2</x:v>
      </x:c>
    </x:row>
    <x:row r="574">
      <x:c r="A574" s="13" t="str">
        <x:v>PAG-000573</x:v>
      </x:c>
      <x:c r="B574" s="23" t="n">
        <x:v>45691</x:v>
      </x:c>
      <x:c r="C574" s="23" t="n">
        <x:v>45698</x:v>
      </x:c>
      <x:c r="D574" s="23" t="n">
        <x:v>45697</x:v>
      </x:c>
      <x:c r="E574" s="13" t="str">
        <x:v>EducaPro</x:v>
      </x:c>
      <x:c r="F574" s="13" t="str">
        <x:v>Treinamentos</x:v>
      </x:c>
      <x:c r="G574" s="17" t="n">
        <x:v>24449.87</x:v>
      </x:c>
      <x:c r="H574" s="17" t="n">
        <x:v>24896.58</x:v>
      </x:c>
      <x:c r="I574" s="13" t="str">
        <x:v>Gestor da área</x:v>
      </x:c>
      <x:c r="J574" s="13" t="str">
        <x:v>Pago</x:v>
      </x:c>
      <x:c r="K574" s="13" t="str">
        <x:v>Pico do descontrole</x:v>
      </x:c>
      <x:c r="L574" s="17" t="n">
        <x:f>H574-G574</x:f>
        <x:v>446.71000000000276</x:v>
      </x:c>
      <x:c r="M574" s="19" t="n">
        <x:f>IFERROR(L574/G574,0)</x:f>
        <x:v>0.01827044479173111</x:v>
      </x:c>
      <x:c r="N574" s="13" t="n">
        <x:f>D574-C574</x:f>
        <x:v>-1</x:v>
      </x:c>
    </x:row>
    <x:row r="575">
      <x:c r="A575" s="13" t="str">
        <x:v>PAG-000574</x:v>
      </x:c>
      <x:c r="B575" s="23" t="n">
        <x:v>45697</x:v>
      </x:c>
      <x:c r="C575" s="23" t="n">
        <x:v>45704</x:v>
      </x:c>
      <x:c r="D575" s="23" t="n">
        <x:v>45702</x:v>
      </x:c>
      <x:c r="E575" s="13" t="str">
        <x:v>Banco Integra</x:v>
      </x:c>
      <x:c r="F575" s="13" t="str">
        <x:v>Serviços bancários</x:v>
      </x:c>
      <x:c r="G575" s="17" t="n">
        <x:v>15562.57</x:v>
      </x:c>
      <x:c r="H575" s="17" t="n">
        <x:v>16643.91</x:v>
      </x:c>
      <x:c r="I575" s="13" t="str">
        <x:v>Diretoria</x:v>
      </x:c>
      <x:c r="J575" s="13" t="str">
        <x:v>Pago</x:v>
      </x:c>
      <x:c r="K575" s="13" t="str">
        <x:v>Pico do descontrole</x:v>
      </x:c>
      <x:c r="L575" s="17" t="n">
        <x:f>H575-G575</x:f>
        <x:v>1081.3400000000001</x:v>
      </x:c>
      <x:c r="M575" s="19" t="n">
        <x:f>IFERROR(L575/G575,0)</x:f>
        <x:v>0.06948338224342125</x:v>
      </x:c>
      <x:c r="N575" s="13" t="n">
        <x:f>D575-C575</x:f>
        <x:v>-2</x:v>
      </x:c>
    </x:row>
    <x:row r="576">
      <x:c r="A576" s="13" t="str">
        <x:v>PAG-000575</x:v>
      </x:c>
      <x:c r="B576" s="23" t="n">
        <x:v>45708</x:v>
      </x:c>
      <x:c r="C576" s="23" t="n">
        <x:v>45728</x:v>
      </x:c>
      <x:c r="D576" s="23" t="n">
        <x:v>45729</x:v>
      </x:c>
      <x:c r="E576" s="13" t="str">
        <x:v>CloudCore</x:v>
      </x:c>
      <x:c r="F576" s="13" t="str">
        <x:v>Tecnologia</x:v>
      </x:c>
      <x:c r="G576" s="17" t="n">
        <x:v>887.87</x:v>
      </x:c>
      <x:c r="H576" s="17" t="n">
        <x:v>923.61</x:v>
      </x:c>
      <x:c r="I576" s="13" t="str">
        <x:v>Financeiro</x:v>
      </x:c>
      <x:c r="J576" s="13" t="str">
        <x:v>Pago</x:v>
      </x:c>
      <x:c r="K576" s="13" t="str">
        <x:v>Pico do descontrole</x:v>
      </x:c>
      <x:c r="L576" s="17" t="n">
        <x:f>H576-G576</x:f>
        <x:v>35.74000000000001</x:v>
      </x:c>
      <x:c r="M576" s="19" t="n">
        <x:f>IFERROR(L576/G576,0)</x:f>
        <x:v>0.0402536407356933</x:v>
      </x:c>
      <x:c r="N576" s="13" t="n">
        <x:f>D576-C576</x:f>
        <x:v>1</x:v>
      </x:c>
    </x:row>
    <x:row r="577">
      <x:c r="A577" s="13" t="str">
        <x:v>PAG-000576</x:v>
      </x:c>
      <x:c r="B577" s="23" t="n">
        <x:v>45700</x:v>
      </x:c>
      <x:c r="C577" s="23" t="n">
        <x:v>45715</x:v>
      </x:c>
      <x:c r="D577" s="23" t="n">
        <x:v>45715</x:v>
      </x:c>
      <x:c r="E577" s="13" t="str">
        <x:v>EducaPro</x:v>
      </x:c>
      <x:c r="F577" s="13" t="str">
        <x:v>Treinamentos</x:v>
      </x:c>
      <x:c r="G577" s="17" t="n">
        <x:v>17891.49</x:v>
      </x:c>
      <x:c r="H577" s="17" t="n">
        <x:v>17625.36</x:v>
      </x:c>
      <x:c r="I577" s="13" t="str">
        <x:v>Financeiro</x:v>
      </x:c>
      <x:c r="J577" s="13" t="str">
        <x:v>Pago</x:v>
      </x:c>
      <x:c r="K577" s="13" t="str">
        <x:v>Pico do descontrole</x:v>
      </x:c>
      <x:c r="L577" s="17" t="n">
        <x:f>H577-G577</x:f>
        <x:v>-266.130000000001</x:v>
      </x:c>
      <x:c r="M577" s="19" t="n">
        <x:f>IFERROR(L577/G577,0)</x:f>
        <x:v>-0.01487466946576283</x:v>
      </x:c>
      <x:c r="N577" s="13" t="n">
        <x:f>D577-C577</x:f>
        <x:v>0</x:v>
      </x:c>
    </x:row>
    <x:row r="578">
      <x:c r="A578" s="13" t="str">
        <x:v>PAG-000577</x:v>
      </x:c>
      <x:c r="B578" s="23" t="n">
        <x:v>45704</x:v>
      </x:c>
      <x:c r="C578" s="23" t="n">
        <x:v>45734</x:v>
      </x:c>
      <x:c r="D578" s="23" t="n">
        <x:v>45734</x:v>
      </x:c>
      <x:c r="E578" s="13" t="str">
        <x:v>Banco Integra</x:v>
      </x:c>
      <x:c r="F578" s="13" t="str">
        <x:v>Serviços bancários</x:v>
      </x:c>
      <x:c r="G578" s="17" t="n">
        <x:v>7408.26</x:v>
      </x:c>
      <x:c r="H578" s="17" t="n">
        <x:v>7917.17</x:v>
      </x:c>
      <x:c r="I578" s="13" t="str">
        <x:v>Financeiro</x:v>
      </x:c>
      <x:c r="J578" s="13" t="str">
        <x:v>Pago</x:v>
      </x:c>
      <x:c r="K578" s="13" t="str">
        <x:v>Pico do descontrole</x:v>
      </x:c>
      <x:c r="L578" s="17" t="n">
        <x:f>H578-G578</x:f>
        <x:v>508.90999999999985</x:v>
      </x:c>
      <x:c r="M578" s="19" t="n">
        <x:f>IFERROR(L578/G578,0)</x:f>
        <x:v>0.06869494321203627</x:v>
      </x:c>
      <x:c r="N578" s="13" t="n">
        <x:f>D578-C578</x:f>
        <x:v>0</x:v>
      </x:c>
    </x:row>
    <x:row r="579">
      <x:c r="A579" s="13" t="str">
        <x:v>PAG-000578</x:v>
      </x:c>
      <x:c r="B579" s="23" t="n">
        <x:v>45707</x:v>
      </x:c>
      <x:c r="C579" s="23" t="n">
        <x:v>45727</x:v>
      </x:c>
      <x:c r="D579" s="23" t="n">
        <x:v>45727</x:v>
      </x:c>
      <x:c r="E579" s="13" t="str">
        <x:v>MarketLab</x:v>
      </x:c>
      <x:c r="F579" s="13" t="str">
        <x:v>Marketing</x:v>
      </x:c>
      <x:c r="G579" s="17" t="n">
        <x:v>27365.91</x:v>
      </x:c>
      <x:c r="H579" s="17" t="n">
        <x:v>29005.79</x:v>
      </x:c>
      <x:c r="I579" s="13" t="str">
        <x:v>Diretoria</x:v>
      </x:c>
      <x:c r="J579" s="13" t="str">
        <x:v>Pago</x:v>
      </x:c>
      <x:c r="K579" s="13" t="str">
        <x:v>Pico do descontrole</x:v>
      </x:c>
      <x:c r="L579" s="17" t="n">
        <x:f>H579-G579</x:f>
        <x:v>1639.880000000001</x:v>
      </x:c>
      <x:c r="M579" s="19" t="n">
        <x:f>IFERROR(L579/G579,0)</x:f>
        <x:v>0.05992419035215715</x:v>
      </x:c>
      <x:c r="N579" s="13" t="n">
        <x:f>D579-C579</x:f>
        <x:v>0</x:v>
      </x:c>
    </x:row>
    <x:row r="580">
      <x:c r="A580" s="13" t="str">
        <x:v>PAG-000579</x:v>
      </x:c>
      <x:c r="B580" s="23" t="n">
        <x:v>45690</x:v>
      </x:c>
      <x:c r="C580" s="23" t="n">
        <x:v>45697</x:v>
      </x:c>
      <x:c r="D580" s="23" t="n">
        <x:v>45697</x:v>
      </x:c>
      <x:c r="E580" s="13" t="str">
        <x:v>PeopleHub</x:v>
      </x:c>
      <x:c r="F580" s="13" t="str">
        <x:v>Recursos Humanos</x:v>
      </x:c>
      <x:c r="G580" s="17" t="n">
        <x:v>30020.43</x:v>
      </x:c>
      <x:c r="H580" s="17" t="n">
        <x:v>32363.95</x:v>
      </x:c>
      <x:c r="I580" s="13" t="str">
        <x:v>Gestor da área</x:v>
      </x:c>
      <x:c r="J580" s="13" t="str">
        <x:v>Pago</x:v>
      </x:c>
      <x:c r="K580" s="13" t="str">
        <x:v>Pico do descontrole</x:v>
      </x:c>
      <x:c r="L580" s="17" t="n">
        <x:f>H580-G580</x:f>
        <x:v>2343.5200000000004</x:v>
      </x:c>
      <x:c r="M580" s="19" t="n">
        <x:f>IFERROR(L580/G580,0)</x:f>
        <x:v>0.07806417163245165</x:v>
      </x:c>
      <x:c r="N580" s="13" t="n">
        <x:f>D580-C580</x:f>
        <x:v>0</x:v>
      </x:c>
    </x:row>
    <x:row r="581">
      <x:c r="A581" s="13" t="str">
        <x:v>PAG-000580</x:v>
      </x:c>
      <x:c r="B581" s="23" t="n">
        <x:v>45702</x:v>
      </x:c>
      <x:c r="C581" s="23" t="n">
        <x:v>45732</x:v>
      </x:c>
      <x:c r="D581" s="23" t="n">
        <x:v>45733</x:v>
      </x:c>
      <x:c r="E581" s="13" t="str">
        <x:v>NetLink</x:v>
      </x:c>
      <x:c r="F581" s="13" t="str">
        <x:v>Telecomunicações</x:v>
      </x:c>
      <x:c r="G581" s="17" t="n">
        <x:v>17265.71</x:v>
      </x:c>
      <x:c r="H581" s="17" t="n">
        <x:v>18099.27</x:v>
      </x:c>
      <x:c r="I581" s="13" t="str">
        <x:v>Diretoria</x:v>
      </x:c>
      <x:c r="J581" s="13" t="str">
        <x:v>Pago</x:v>
      </x:c>
      <x:c r="K581" s="13" t="str">
        <x:v>Pico do descontrole</x:v>
      </x:c>
      <x:c r="L581" s="17" t="n">
        <x:f>H581-G581</x:f>
        <x:v>833.5600000000013</x:v>
      </x:c>
      <x:c r="M581" s="19" t="n">
        <x:f>IFERROR(L581/G581,0)</x:f>
        <x:v>0.04827835055726069</x:v>
      </x:c>
      <x:c r="N581" s="13" t="n">
        <x:f>D581-C581</x:f>
        <x:v>1</x:v>
      </x:c>
    </x:row>
    <x:row r="582">
      <x:c r="A582" s="13" t="str">
        <x:v>PAG-000581</x:v>
      </x:c>
      <x:c r="B582" s="23" t="n">
        <x:v>45693</x:v>
      </x:c>
      <x:c r="C582" s="23" t="n">
        <x:v>45700</x:v>
      </x:c>
      <x:c r="D582" s="23" t="n">
        <x:v>45702</x:v>
      </x:c>
      <x:c r="E582" s="13" t="str">
        <x:v>WorkSpace</x:v>
      </x:c>
      <x:c r="F582" s="13" t="str">
        <x:v>Locação</x:v>
      </x:c>
      <x:c r="G582" s="17" t="n">
        <x:v>25714.26</x:v>
      </x:c>
      <x:c r="H582" s="17" t="n">
        <x:v>26886.02</x:v>
      </x:c>
      <x:c r="I582" s="13" t="str">
        <x:v>Gestor da área</x:v>
      </x:c>
      <x:c r="J582" s="13" t="str">
        <x:v>Pago</x:v>
      </x:c>
      <x:c r="K582" s="13" t="str">
        <x:v>Pico do descontrole</x:v>
      </x:c>
      <x:c r="L582" s="17" t="n">
        <x:f>H582-G582</x:f>
        <x:v>1171.760000000002</x:v>
      </x:c>
      <x:c r="M582" s="19" t="n">
        <x:f>IFERROR(L582/G582,0)</x:f>
        <x:v>0.04556849001293454</x:v>
      </x:c>
      <x:c r="N582" s="13" t="n">
        <x:f>D582-C582</x:f>
        <x:v>2</x:v>
      </x:c>
    </x:row>
    <x:row r="583">
      <x:c r="A583" s="13" t="str">
        <x:v>PAG-000582</x:v>
      </x:c>
      <x:c r="B583" s="23" t="n">
        <x:v>45701</x:v>
      </x:c>
      <x:c r="C583" s="23" t="n">
        <x:v>45731</x:v>
      </x:c>
      <x:c r="D583" s="23" t="n">
        <x:v>45733</x:v>
      </x:c>
      <x:c r="E583" s="13" t="str">
        <x:v>CloudCore</x:v>
      </x:c>
      <x:c r="F583" s="13" t="str">
        <x:v>Tecnologia</x:v>
      </x:c>
      <x:c r="G583" s="17" t="n">
        <x:v>18538.45</x:v>
      </x:c>
      <x:c r="H583" s="17" t="n">
        <x:v>18392.13</x:v>
      </x:c>
      <x:c r="I583" s="13" t="str">
        <x:v>Gestor da área</x:v>
      </x:c>
      <x:c r="J583" s="13" t="str">
        <x:v>Pago</x:v>
      </x:c>
      <x:c r="K583" s="13" t="str">
        <x:v>Pico do descontrole</x:v>
      </x:c>
      <x:c r="L583" s="17" t="n">
        <x:f>H583-G583</x:f>
        <x:v>-146.3199999999997</x:v>
      </x:c>
      <x:c r="M583" s="19" t="n">
        <x:f>IFERROR(L583/G583,0)</x:f>
        <x:v>-0.007892784995509317</x:v>
      </x:c>
      <x:c r="N583" s="13" t="n">
        <x:f>D583-C583</x:f>
        <x:v>2</x:v>
      </x:c>
    </x:row>
    <x:row r="584">
      <x:c r="A584" s="13" t="str">
        <x:v>PAG-000583</x:v>
      </x:c>
      <x:c r="B584" s="23" t="n">
        <x:v>45690</x:v>
      </x:c>
      <x:c r="C584" s="23" t="n">
        <x:v>45705</x:v>
      </x:c>
      <x:c r="D584" s="23" t="n">
        <x:v>45707</x:v>
      </x:c>
      <x:c r="E584" s="13" t="str">
        <x:v>Banco Integra</x:v>
      </x:c>
      <x:c r="F584" s="13" t="str">
        <x:v>Serviços bancários</x:v>
      </x:c>
      <x:c r="G584" s="17" t="n">
        <x:v>949.09</x:v>
      </x:c>
      <x:c r="H584" s="17" t="n">
        <x:v>956.1</x:v>
      </x:c>
      <x:c r="I584" s="13" t="str">
        <x:v>Diretoria</x:v>
      </x:c>
      <x:c r="J584" s="13" t="str">
        <x:v>Pago</x:v>
      </x:c>
      <x:c r="K584" s="13" t="str">
        <x:v>Pico do descontrole</x:v>
      </x:c>
      <x:c r="L584" s="17" t="n">
        <x:f>H584-G584</x:f>
        <x:v>7.009999999999991</x:v>
      </x:c>
      <x:c r="M584" s="19" t="n">
        <x:f>IFERROR(L584/G584,0)</x:f>
        <x:v>0.007386022400404588</x:v>
      </x:c>
      <x:c r="N584" s="13" t="n">
        <x:f>D584-C584</x:f>
        <x:v>2</x:v>
      </x:c>
    </x:row>
    <x:row r="585">
      <x:c r="A585" s="13" t="str">
        <x:v>PAG-000584</x:v>
      </x:c>
      <x:c r="B585" s="23" t="n">
        <x:v>45690</x:v>
      </x:c>
      <x:c r="C585" s="23" t="n">
        <x:v>45710</x:v>
      </x:c>
      <x:c r="D585" s="23" t="n">
        <x:v>45707</x:v>
      </x:c>
      <x:c r="E585" s="13" t="str">
        <x:v>Insight BI</x:v>
      </x:c>
      <x:c r="F585" s="13" t="str">
        <x:v>Dados e Analytics</x:v>
      </x:c>
      <x:c r="G585" s="17" t="n">
        <x:v>22783.43</x:v>
      </x:c>
      <x:c r="H585" s="17" t="n">
        <x:v>23483.24</x:v>
      </x:c>
      <x:c r="I585" s="13" t="str">
        <x:v>Financeiro</x:v>
      </x:c>
      <x:c r="J585" s="13" t="str">
        <x:v>Pago</x:v>
      </x:c>
      <x:c r="K585" s="13" t="str">
        <x:v>Pico do descontrole</x:v>
      </x:c>
      <x:c r="L585" s="17" t="n">
        <x:f>H585-G585</x:f>
        <x:v>699.8100000000013</x:v>
      </x:c>
      <x:c r="M585" s="19" t="n">
        <x:f>IFERROR(L585/G585,0)</x:f>
        <x:v>0.030715743854195846</x:v>
      </x:c>
      <x:c r="N585" s="13" t="n">
        <x:f>D585-C585</x:f>
        <x:v>-3</x:v>
      </x:c>
    </x:row>
    <x:row r="586">
      <x:c r="A586" s="13" t="str">
        <x:v>PAG-000585</x:v>
      </x:c>
      <x:c r="B586" s="23" t="n">
        <x:v>45703</x:v>
      </x:c>
      <x:c r="C586" s="23" t="n">
        <x:v>45718</x:v>
      </x:c>
      <x:c r="D586" s="23" t="n">
        <x:v>45718</x:v>
      </x:c>
      <x:c r="E586" s="13" t="str">
        <x:v>LegalMais</x:v>
      </x:c>
      <x:c r="F586" s="13" t="str">
        <x:v>Jurídico</x:v>
      </x:c>
      <x:c r="G586" s="17" t="n">
        <x:v>16522.95</x:v>
      </x:c>
      <x:c r="H586" s="17" t="n">
        <x:v>17116.78</x:v>
      </x:c>
      <x:c r="I586" s="13" t="str">
        <x:v>Gestor da área</x:v>
      </x:c>
      <x:c r="J586" s="13" t="str">
        <x:v>Pago</x:v>
      </x:c>
      <x:c r="K586" s="13" t="str">
        <x:v>Pico do descontrole</x:v>
      </x:c>
      <x:c r="L586" s="17" t="n">
        <x:f>H586-G586</x:f>
        <x:v>593.8299999999981</x:v>
      </x:c>
      <x:c r="M586" s="19" t="n">
        <x:f>IFERROR(L586/G586,0)</x:f>
        <x:v>0.03593970810297181</x:v>
      </x:c>
      <x:c r="N586" s="13" t="n">
        <x:f>D586-C586</x:f>
        <x:v>0</x:v>
      </x:c>
    </x:row>
    <x:row r="587">
      <x:c r="A587" s="13" t="str">
        <x:v>PAG-000586</x:v>
      </x:c>
      <x:c r="B587" s="23" t="n">
        <x:v>45703</x:v>
      </x:c>
      <x:c r="C587" s="23" t="n">
        <x:v>45723</x:v>
      </x:c>
      <x:c r="D587" s="23" t="n">
        <x:v>45720</x:v>
      </x:c>
      <x:c r="E587" s="13" t="str">
        <x:v>Office Prime</x:v>
      </x:c>
      <x:c r="F587" s="13" t="str">
        <x:v>Escritório</x:v>
      </x:c>
      <x:c r="G587" s="17" t="n">
        <x:v>492.83</x:v>
      </x:c>
      <x:c r="H587" s="17" t="n">
        <x:v>525.58</x:v>
      </x:c>
      <x:c r="I587" s="13" t="str">
        <x:v>Diretoria</x:v>
      </x:c>
      <x:c r="J587" s="13" t="str">
        <x:v>Pago</x:v>
      </x:c>
      <x:c r="K587" s="13" t="str">
        <x:v>Pico do descontrole</x:v>
      </x:c>
      <x:c r="L587" s="17" t="n">
        <x:f>H587-G587</x:f>
        <x:v>32.75000000000006</x:v>
      </x:c>
      <x:c r="M587" s="19" t="n">
        <x:f>IFERROR(L587/G587,0)</x:f>
        <x:v>0.06645293508917895</x:v>
      </x:c>
      <x:c r="N587" s="13" t="n">
        <x:f>D587-C587</x:f>
        <x:v>-3</x:v>
      </x:c>
    </x:row>
    <x:row r="588">
      <x:c r="A588" s="13" t="str">
        <x:v>PAG-000587</x:v>
      </x:c>
      <x:c r="B588" s="23" t="n">
        <x:v>45702</x:v>
      </x:c>
      <x:c r="C588" s="23" t="n">
        <x:v>45717</x:v>
      </x:c>
      <x:c r="D588" s="23" t="n">
        <x:v>45716</x:v>
      </x:c>
      <x:c r="E588" s="13" t="str">
        <x:v>WorkSpace</x:v>
      </x:c>
      <x:c r="F588" s="13" t="str">
        <x:v>Locação</x:v>
      </x:c>
      <x:c r="G588" s="17" t="n">
        <x:v>7702.07</x:v>
      </x:c>
      <x:c r="H588" s="17" t="n">
        <x:v>8049.96</x:v>
      </x:c>
      <x:c r="I588" s="13" t="str">
        <x:v>Financeiro</x:v>
      </x:c>
      <x:c r="J588" s="13" t="str">
        <x:v>Pago</x:v>
      </x:c>
      <x:c r="K588" s="13" t="str">
        <x:v>Pico do descontrole</x:v>
      </x:c>
      <x:c r="L588" s="17" t="n">
        <x:f>H588-G588</x:f>
        <x:v>347.8900000000003</x:v>
      </x:c>
      <x:c r="M588" s="19" t="n">
        <x:f>IFERROR(L588/G588,0)</x:f>
        <x:v>0.04516837681298668</x:v>
      </x:c>
      <x:c r="N588" s="13" t="n">
        <x:f>D588-C588</x:f>
        <x:v>-1</x:v>
      </x:c>
    </x:row>
    <x:row r="589">
      <x:c r="A589" s="13" t="str">
        <x:v>PAG-000588</x:v>
      </x:c>
      <x:c r="B589" s="23" t="n">
        <x:v>45692</x:v>
      </x:c>
      <x:c r="C589" s="23" t="n">
        <x:v>45712</x:v>
      </x:c>
      <x:c r="D589" s="23" t="n">
        <x:v>45713</x:v>
      </x:c>
      <x:c r="E589" s="13" t="str">
        <x:v>CloudCore</x:v>
      </x:c>
      <x:c r="F589" s="13" t="str">
        <x:v>Tecnologia</x:v>
      </x:c>
      <x:c r="G589" s="17" t="n">
        <x:v>30575.58</x:v>
      </x:c>
      <x:c r="H589" s="17" t="n">
        <x:v>30833.6</x:v>
      </x:c>
      <x:c r="I589" s="13" t="str">
        <x:v>Financeiro</x:v>
      </x:c>
      <x:c r="J589" s="13" t="str">
        <x:v>Pago</x:v>
      </x:c>
      <x:c r="K589" s="13" t="str">
        <x:v>Pico do descontrole</x:v>
      </x:c>
      <x:c r="L589" s="17" t="n">
        <x:f>H589-G589</x:f>
        <x:v>258.0199999999968</x:v>
      </x:c>
      <x:c r="M589" s="19" t="n">
        <x:f>IFERROR(L589/G589,0)</x:f>
        <x:v>0.00843876060568587</x:v>
      </x:c>
      <x:c r="N589" s="13" t="n">
        <x:f>D589-C589</x:f>
        <x:v>1</x:v>
      </x:c>
    </x:row>
    <x:row r="590">
      <x:c r="A590" s="13" t="str">
        <x:v>PAG-000589</x:v>
      </x:c>
      <x:c r="B590" s="23" t="n">
        <x:v>45721</x:v>
      </x:c>
      <x:c r="C590" s="23" t="n">
        <x:v>45736</x:v>
      </x:c>
      <x:c r="D590" s="23" t="n">
        <x:v>45735</x:v>
      </x:c>
      <x:c r="E590" s="13" t="str">
        <x:v>PeopleHub</x:v>
      </x:c>
      <x:c r="F590" s="13" t="str">
        <x:v>Recursos Humanos</x:v>
      </x:c>
      <x:c r="G590" s="17" t="n">
        <x:v>31960.63</x:v>
      </x:c>
      <x:c r="H590" s="17" t="n">
        <x:v>32262.98</x:v>
      </x:c>
      <x:c r="I590" s="13" t="str">
        <x:v>Gestor da área</x:v>
      </x:c>
      <x:c r="J590" s="13" t="str">
        <x:v>Pago</x:v>
      </x:c>
      <x:c r="K590" s="13" t="str">
        <x:v>Pico do descontrole</x:v>
      </x:c>
      <x:c r="L590" s="17" t="n">
        <x:f>H590-G590</x:f>
        <x:v>302.34999999999854</x:v>
      </x:c>
      <x:c r="M590" s="19" t="n">
        <x:f>IFERROR(L590/G590,0)</x:f>
        <x:v>0.00946007635018454</x:v>
      </x:c>
      <x:c r="N590" s="13" t="n">
        <x:f>D590-C590</x:f>
        <x:v>-1</x:v>
      </x:c>
    </x:row>
    <x:row r="591">
      <x:c r="A591" s="13" t="str">
        <x:v>PAG-000590</x:v>
      </x:c>
      <x:c r="B591" s="23" t="n">
        <x:v>45718</x:v>
      </x:c>
      <x:c r="C591" s="23" t="n">
        <x:v>45748</x:v>
      </x:c>
      <x:c r="D591" s="23" t="n">
        <x:v>45748</x:v>
      </x:c>
      <x:c r="E591" s="13" t="str">
        <x:v>MarketLab</x:v>
      </x:c>
      <x:c r="F591" s="13" t="str">
        <x:v>Marketing</x:v>
      </x:c>
      <x:c r="G591" s="17" t="n">
        <x:v>18123.34</x:v>
      </x:c>
      <x:c r="H591" s="17" t="n">
        <x:v>18904.92</x:v>
      </x:c>
      <x:c r="I591" s="13" t="str">
        <x:v>Diretoria</x:v>
      </x:c>
      <x:c r="J591" s="13" t="str">
        <x:v>Pago</x:v>
      </x:c>
      <x:c r="K591" s="13" t="str">
        <x:v>Pico do descontrole</x:v>
      </x:c>
      <x:c r="L591" s="17" t="n">
        <x:f>H591-G591</x:f>
        <x:v>781.5799999999981</x:v>
      </x:c>
      <x:c r="M591" s="19" t="n">
        <x:f>IFERROR(L591/G591,0)</x:f>
        <x:v>0.04312560488298504</x:v>
      </x:c>
      <x:c r="N591" s="13" t="n">
        <x:f>D591-C591</x:f>
        <x:v>0</x:v>
      </x:c>
    </x:row>
    <x:row r="592">
      <x:c r="A592" s="13" t="str">
        <x:v>PAG-000591</x:v>
      </x:c>
      <x:c r="B592" s="23" t="n">
        <x:v>45726</x:v>
      </x:c>
      <x:c r="C592" s="23" t="n">
        <x:v>45746</x:v>
      </x:c>
      <x:c r="D592" s="23" t="n">
        <x:v>45748</x:v>
      </x:c>
      <x:c r="E592" s="13" t="str">
        <x:v>PeopleHub</x:v>
      </x:c>
      <x:c r="F592" s="13" t="str">
        <x:v>Recursos Humanos</x:v>
      </x:c>
      <x:c r="G592" s="17" t="n">
        <x:v>21517.28</x:v>
      </x:c>
      <x:c r="H592" s="17" t="n">
        <x:v>22213.78</x:v>
      </x:c>
      <x:c r="I592" s="13" t="str">
        <x:v>Diretoria</x:v>
      </x:c>
      <x:c r="J592" s="13" t="str">
        <x:v>Pago</x:v>
      </x:c>
      <x:c r="K592" s="13" t="str">
        <x:v>Pico do descontrole</x:v>
      </x:c>
      <x:c r="L592" s="17" t="n">
        <x:f>H592-G592</x:f>
        <x:v>696.5</x:v>
      </x:c>
      <x:c r="M592" s="19" t="n">
        <x:f>IFERROR(L592/G592,0)</x:f>
        <x:v>0.032369332926838336</x:v>
      </x:c>
      <x:c r="N592" s="13" t="n">
        <x:f>D592-C592</x:f>
        <x:v>2</x:v>
      </x:c>
    </x:row>
    <x:row r="593">
      <x:c r="A593" s="13" t="str">
        <x:v>PAG-000592</x:v>
      </x:c>
      <x:c r="B593" s="23" t="n">
        <x:v>45734</x:v>
      </x:c>
      <x:c r="C593" s="23" t="n">
        <x:v>45754</x:v>
      </x:c>
      <x:c r="D593" s="23" t="n">
        <x:v>45753</x:v>
      </x:c>
      <x:c r="E593" s="13" t="str">
        <x:v>MarketLab</x:v>
      </x:c>
      <x:c r="F593" s="13" t="str">
        <x:v>Marketing</x:v>
      </x:c>
      <x:c r="G593" s="17" t="n">
        <x:v>9589.4</x:v>
      </x:c>
      <x:c r="H593" s="17" t="n">
        <x:v>9507.8</x:v>
      </x:c>
      <x:c r="I593" s="13" t="str">
        <x:v>Diretoria</x:v>
      </x:c>
      <x:c r="J593" s="13" t="str">
        <x:v>Pago</x:v>
      </x:c>
      <x:c r="K593" s="13" t="str">
        <x:v>Pico do descontrole</x:v>
      </x:c>
      <x:c r="L593" s="17" t="n">
        <x:f>H593-G593</x:f>
        <x:v>-81.60000000000036</x:v>
      </x:c>
      <x:c r="M593" s="19" t="n">
        <x:f>IFERROR(L593/G593,0)</x:f>
        <x:v>-0.00850939579118614</x:v>
      </x:c>
      <x:c r="N593" s="13" t="n">
        <x:f>D593-C593</x:f>
        <x:v>-1</x:v>
      </x:c>
    </x:row>
    <x:row r="594">
      <x:c r="A594" s="13" t="str">
        <x:v>PAG-000593</x:v>
      </x:c>
      <x:c r="B594" s="23" t="n">
        <x:v>45723</x:v>
      </x:c>
      <x:c r="C594" s="23" t="n">
        <x:v>45743</x:v>
      </x:c>
      <x:c r="D594" s="23" t="n">
        <x:v>45745</x:v>
      </x:c>
      <x:c r="E594" s="13" t="str">
        <x:v>Office Prime</x:v>
      </x:c>
      <x:c r="F594" s="13" t="str">
        <x:v>Escritório</x:v>
      </x:c>
      <x:c r="G594" s="17" t="n">
        <x:v>4065.41</x:v>
      </x:c>
      <x:c r="H594" s="17" t="n">
        <x:v>4173.71</x:v>
      </x:c>
      <x:c r="I594" s="13" t="str">
        <x:v>Gestor da área</x:v>
      </x:c>
      <x:c r="J594" s="13" t="str">
        <x:v>Pago</x:v>
      </x:c>
      <x:c r="K594" s="13" t="str">
        <x:v>Pico do descontrole</x:v>
      </x:c>
      <x:c r="L594" s="17" t="n">
        <x:f>H594-G594</x:f>
        <x:v>108.30000000000018</x:v>
      </x:c>
      <x:c r="M594" s="19" t="n">
        <x:f>IFERROR(L594/G594,0)</x:f>
        <x:v>0.0266393795459745</x:v>
      </x:c>
      <x:c r="N594" s="13" t="n">
        <x:f>D594-C594</x:f>
        <x:v>2</x:v>
      </x:c>
    </x:row>
    <x:row r="595">
      <x:c r="A595" s="13" t="str">
        <x:v>PAG-000594</x:v>
      </x:c>
      <x:c r="B595" s="23" t="n">
        <x:v>45733</x:v>
      </x:c>
      <x:c r="C595" s="23" t="n">
        <x:v>45740</x:v>
      </x:c>
      <x:c r="D595" s="23" t="n">
        <x:v>45742</x:v>
      </x:c>
      <x:c r="E595" s="13" t="str">
        <x:v>Office Prime</x:v>
      </x:c>
      <x:c r="F595" s="13" t="str">
        <x:v>Escritório</x:v>
      </x:c>
      <x:c r="G595" s="17" t="n">
        <x:v>9727.09</x:v>
      </x:c>
      <x:c r="H595" s="17" t="n">
        <x:v>10266.32</x:v>
      </x:c>
      <x:c r="I595" s="13" t="str">
        <x:v>Diretoria</x:v>
      </x:c>
      <x:c r="J595" s="13" t="str">
        <x:v>Pago</x:v>
      </x:c>
      <x:c r="K595" s="13" t="str">
        <x:v>Pico do descontrole</x:v>
      </x:c>
      <x:c r="L595" s="17" t="n">
        <x:f>H595-G595</x:f>
        <x:v>539.2299999999996</x:v>
      </x:c>
      <x:c r="M595" s="19" t="n">
        <x:f>IFERROR(L595/G595,0)</x:f>
        <x:v>0.05543590117907818</x:v>
      </x:c>
      <x:c r="N595" s="13" t="n">
        <x:f>D595-C595</x:f>
        <x:v>2</x:v>
      </x:c>
    </x:row>
    <x:row r="596">
      <x:c r="A596" s="13" t="str">
        <x:v>PAG-000595</x:v>
      </x:c>
      <x:c r="B596" s="23" t="n">
        <x:v>45724</x:v>
      </x:c>
      <x:c r="C596" s="23" t="n">
        <x:v>45731</x:v>
      </x:c>
      <x:c r="D596" s="23" t="n">
        <x:v>45728</x:v>
      </x:c>
      <x:c r="E596" s="13" t="str">
        <x:v>PeopleHub</x:v>
      </x:c>
      <x:c r="F596" s="13" t="str">
        <x:v>Recursos Humanos</x:v>
      </x:c>
      <x:c r="G596" s="17" t="n">
        <x:v>7847.49</x:v>
      </x:c>
      <x:c r="H596" s="17" t="n">
        <x:v>8264.57</x:v>
      </x:c>
      <x:c r="I596" s="13" t="str">
        <x:v>Diretoria</x:v>
      </x:c>
      <x:c r="J596" s="13" t="str">
        <x:v>Pago</x:v>
      </x:c>
      <x:c r="K596" s="13" t="str">
        <x:v>Pico do descontrole</x:v>
      </x:c>
      <x:c r="L596" s="17" t="n">
        <x:f>H596-G596</x:f>
        <x:v>417.0799999999999</x:v>
      </x:c>
      <x:c r="M596" s="19" t="n">
        <x:f>IFERROR(L596/G596,0)</x:f>
        <x:v>0.053148204075443226</x:v>
      </x:c>
      <x:c r="N596" s="13" t="n">
        <x:f>D596-C596</x:f>
        <x:v>-3</x:v>
      </x:c>
    </x:row>
    <x:row r="597">
      <x:c r="A597" s="13" t="str">
        <x:v>PAG-000596</x:v>
      </x:c>
      <x:c r="B597" s="23" t="n">
        <x:v>45735</x:v>
      </x:c>
      <x:c r="C597" s="23" t="n">
        <x:v>45742</x:v>
      </x:c>
      <x:c r="D597" s="23" t="n">
        <x:v>45742</x:v>
      </x:c>
      <x:c r="E597" s="13" t="str">
        <x:v>NetLink</x:v>
      </x:c>
      <x:c r="F597" s="13" t="str">
        <x:v>Telecomunicações</x:v>
      </x:c>
      <x:c r="G597" s="17" t="n">
        <x:v>14914.18</x:v>
      </x:c>
      <x:c r="H597" s="17" t="n">
        <x:v>15167.44</x:v>
      </x:c>
      <x:c r="I597" s="13" t="str">
        <x:v>Financeiro</x:v>
      </x:c>
      <x:c r="J597" s="13" t="str">
        <x:v>Pago</x:v>
      </x:c>
      <x:c r="K597" s="13" t="str">
        <x:v>Pico do descontrole</x:v>
      </x:c>
      <x:c r="L597" s="17" t="n">
        <x:f>H597-G597</x:f>
        <x:v>253.26000000000022</x:v>
      </x:c>
      <x:c r="M597" s="19" t="n">
        <x:f>IFERROR(L597/G597,0)</x:f>
        <x:v>0.016981154847266172</x:v>
      </x:c>
      <x:c r="N597" s="13" t="n">
        <x:f>D597-C597</x:f>
        <x:v>0</x:v>
      </x:c>
    </x:row>
    <x:row r="598">
      <x:c r="A598" s="13" t="str">
        <x:v>PAG-000597</x:v>
      </x:c>
      <x:c r="B598" s="23" t="n">
        <x:v>45717</x:v>
      </x:c>
      <x:c r="C598" s="23" t="n">
        <x:v>45724</x:v>
      </x:c>
      <x:c r="D598" s="23" t="n">
        <x:v>45721</x:v>
      </x:c>
      <x:c r="E598" s="13" t="str">
        <x:v>DataSafe</x:v>
      </x:c>
      <x:c r="F598" s="13" t="str">
        <x:v>Segurança da informação</x:v>
      </x:c>
      <x:c r="G598" s="17" t="n">
        <x:v>22107.94</x:v>
      </x:c>
      <x:c r="H598" s="17" t="n">
        <x:v>23029.99</x:v>
      </x:c>
      <x:c r="I598" s="13" t="str">
        <x:v>Gestor da área</x:v>
      </x:c>
      <x:c r="J598" s="13" t="str">
        <x:v>Pago</x:v>
      </x:c>
      <x:c r="K598" s="13" t="str">
        <x:v>Pico do descontrole</x:v>
      </x:c>
      <x:c r="L598" s="17" t="n">
        <x:f>H598-G598</x:f>
        <x:v>922.0500000000029</x:v>
      </x:c>
      <x:c r="M598" s="19" t="n">
        <x:f>IFERROR(L598/G598,0)</x:f>
        <x:v>0.04170673522725333</x:v>
      </x:c>
      <x:c r="N598" s="13" t="n">
        <x:f>D598-C598</x:f>
        <x:v>-3</x:v>
      </x:c>
    </x:row>
    <x:row r="599">
      <x:c r="A599" s="13" t="str">
        <x:v>PAG-000598</x:v>
      </x:c>
      <x:c r="B599" s="23" t="n">
        <x:v>45731</x:v>
      </x:c>
      <x:c r="C599" s="23" t="n">
        <x:v>45751</x:v>
      </x:c>
      <x:c r="D599" s="23" t="n">
        <x:v>45753</x:v>
      </x:c>
      <x:c r="E599" s="13" t="str">
        <x:v>EducaPro</x:v>
      </x:c>
      <x:c r="F599" s="13" t="str">
        <x:v>Treinamentos</x:v>
      </x:c>
      <x:c r="G599" s="17" t="n">
        <x:v>9609.11</x:v>
      </x:c>
      <x:c r="H599" s="17" t="n">
        <x:v>9603.59</x:v>
      </x:c>
      <x:c r="I599" s="13" t="str">
        <x:v>Financeiro</x:v>
      </x:c>
      <x:c r="J599" s="13" t="str">
        <x:v>Pago</x:v>
      </x:c>
      <x:c r="K599" s="13" t="str">
        <x:v>Pico do descontrole</x:v>
      </x:c>
      <x:c r="L599" s="17" t="n">
        <x:f>H599-G599</x:f>
        <x:v>-5.520000000000437</x:v>
      </x:c>
      <x:c r="M599" s="19" t="n">
        <x:f>IFERROR(L599/G599,0)</x:f>
        <x:v>-0.0005744548662675769</x:v>
      </x:c>
      <x:c r="N599" s="13" t="n">
        <x:f>D599-C599</x:f>
        <x:v>2</x:v>
      </x:c>
    </x:row>
    <x:row r="600">
      <x:c r="A600" s="13" t="str">
        <x:v>PAG-000599</x:v>
      </x:c>
      <x:c r="B600" s="23" t="n">
        <x:v>45730</x:v>
      </x:c>
      <x:c r="C600" s="23" t="n">
        <x:v>45760</x:v>
      </x:c>
      <x:c r="D600" s="23" t="n">
        <x:v>45760</x:v>
      </x:c>
      <x:c r="E600" s="13" t="str">
        <x:v>NetLink</x:v>
      </x:c>
      <x:c r="F600" s="13" t="str">
        <x:v>Telecomunicações</x:v>
      </x:c>
      <x:c r="G600" s="17" t="n">
        <x:v>28847.71</x:v>
      </x:c>
      <x:c r="H600" s="17" t="n">
        <x:v>29211.21</x:v>
      </x:c>
      <x:c r="I600" s="13" t="str">
        <x:v>Diretoria</x:v>
      </x:c>
      <x:c r="J600" s="13" t="str">
        <x:v>Pago</x:v>
      </x:c>
      <x:c r="K600" s="13" t="str">
        <x:v>Pico do descontrole</x:v>
      </x:c>
      <x:c r="L600" s="17" t="n">
        <x:f>H600-G600</x:f>
        <x:v>363.5</x:v>
      </x:c>
      <x:c r="M600" s="19" t="n">
        <x:f>IFERROR(L600/G600,0)</x:f>
        <x:v>0.012600653570075407</x:v>
      </x:c>
      <x:c r="N600" s="13" t="n">
        <x:f>D600-C600</x:f>
        <x:v>0</x:v>
      </x:c>
    </x:row>
    <x:row r="601">
      <x:c r="A601" s="13" t="str">
        <x:v>PAG-000600</x:v>
      </x:c>
      <x:c r="B601" s="23" t="n">
        <x:v>45735</x:v>
      </x:c>
      <x:c r="C601" s="23" t="n">
        <x:v>45750</x:v>
      </x:c>
      <x:c r="D601" s="23" t="n">
        <x:v>45750</x:v>
      </x:c>
      <x:c r="E601" s="13" t="str">
        <x:v>PeopleHub</x:v>
      </x:c>
      <x:c r="F601" s="13" t="str">
        <x:v>Recursos Humanos</x:v>
      </x:c>
      <x:c r="G601" s="17" t="n">
        <x:v>7386.96</x:v>
      </x:c>
      <x:c r="H601" s="17" t="n">
        <x:v>7800.13</x:v>
      </x:c>
      <x:c r="I601" s="13" t="str">
        <x:v>Diretoria</x:v>
      </x:c>
      <x:c r="J601" s="13" t="str">
        <x:v>Pago</x:v>
      </x:c>
      <x:c r="K601" s="13" t="str">
        <x:v>Pico do descontrole</x:v>
      </x:c>
      <x:c r="L601" s="17" t="n">
        <x:f>H601-G601</x:f>
        <x:v>413.1700000000001</x:v>
      </x:c>
      <x:c r="M601" s="19" t="n">
        <x:f>IFERROR(L601/G601,0)</x:f>
        <x:v>0.05593234564692378</x:v>
      </x:c>
      <x:c r="N601" s="13" t="n">
        <x:f>D601-C601</x:f>
        <x:v>0</x:v>
      </x:c>
    </x:row>
    <x:row r="602">
      <x:c r="A602" s="13" t="str">
        <x:v>PAG-000601</x:v>
      </x:c>
      <x:c r="B602" s="23" t="n">
        <x:v>45731</x:v>
      </x:c>
      <x:c r="C602" s="23" t="n">
        <x:v>45738</x:v>
      </x:c>
      <x:c r="D602" s="23" t="n">
        <x:v>45737</x:v>
      </x:c>
      <x:c r="E602" s="13" t="str">
        <x:v>DataSafe</x:v>
      </x:c>
      <x:c r="F602" s="13" t="str">
        <x:v>Segurança da informação</x:v>
      </x:c>
      <x:c r="G602" s="17" t="n">
        <x:v>3097.85</x:v>
      </x:c>
      <x:c r="H602" s="17" t="n">
        <x:v>3093.84</x:v>
      </x:c>
      <x:c r="I602" s="13" t="str">
        <x:v>Diretoria</x:v>
      </x:c>
      <x:c r="J602" s="13" t="str">
        <x:v>Pago</x:v>
      </x:c>
      <x:c r="K602" s="13" t="str">
        <x:v>Pico do descontrole</x:v>
      </x:c>
      <x:c r="L602" s="17" t="n">
        <x:f>H602-G602</x:f>
        <x:v>-4.0099999999997635</x:v>
      </x:c>
      <x:c r="M602" s="19" t="n">
        <x:f>IFERROR(L602/G602,0)</x:f>
        <x:v>-0.0012944461481349207</x:v>
      </x:c>
      <x:c r="N602" s="13" t="n">
        <x:f>D602-C602</x:f>
        <x:v>-1</x:v>
      </x:c>
    </x:row>
    <x:row r="603">
      <x:c r="A603" s="13" t="str">
        <x:v>PAG-000602</x:v>
      </x:c>
      <x:c r="B603" s="23" t="n">
        <x:v>45723</x:v>
      </x:c>
      <x:c r="C603" s="23" t="n">
        <x:v>45730</x:v>
      </x:c>
      <x:c r="D603" s="23" t="n">
        <x:v>45732</x:v>
      </x:c>
      <x:c r="E603" s="13" t="str">
        <x:v>PeopleHub</x:v>
      </x:c>
      <x:c r="F603" s="13" t="str">
        <x:v>Recursos Humanos</x:v>
      </x:c>
      <x:c r="G603" s="17" t="n">
        <x:v>14914.71</x:v>
      </x:c>
      <x:c r="H603" s="17" t="n">
        <x:v>15494.73</x:v>
      </x:c>
      <x:c r="I603" s="13" t="str">
        <x:v>Financeiro</x:v>
      </x:c>
      <x:c r="J603" s="13" t="str">
        <x:v>Pago</x:v>
      </x:c>
      <x:c r="K603" s="13" t="str">
        <x:v>Pico do descontrole</x:v>
      </x:c>
      <x:c r="L603" s="17" t="n">
        <x:f>H603-G603</x:f>
        <x:v>580.0200000000004</x:v>
      </x:c>
      <x:c r="M603" s="19" t="n">
        <x:f>IFERROR(L603/G603,0)</x:f>
        <x:v>0.03888912355654253</x:v>
      </x:c>
      <x:c r="N603" s="13" t="n">
        <x:f>D603-C603</x:f>
        <x:v>2</x:v>
      </x:c>
    </x:row>
    <x:row r="604">
      <x:c r="A604" s="13" t="str">
        <x:v>PAG-000603</x:v>
      </x:c>
      <x:c r="B604" s="23" t="n">
        <x:v>45734</x:v>
      </x:c>
      <x:c r="C604" s="23" t="n">
        <x:v>45754</x:v>
      </x:c>
      <x:c r="D604" s="23" t="n">
        <x:v>45754</x:v>
      </x:c>
      <x:c r="E604" s="13" t="str">
        <x:v>WorkSpace</x:v>
      </x:c>
      <x:c r="F604" s="13" t="str">
        <x:v>Locação</x:v>
      </x:c>
      <x:c r="G604" s="17" t="n">
        <x:v>28301.03</x:v>
      </x:c>
      <x:c r="H604" s="17" t="n">
        <x:v>29047.9</x:v>
      </x:c>
      <x:c r="I604" s="13" t="str">
        <x:v>Gestor da área</x:v>
      </x:c>
      <x:c r="J604" s="13" t="str">
        <x:v>Pago</x:v>
      </x:c>
      <x:c r="K604" s="13" t="str">
        <x:v>Pico do descontrole</x:v>
      </x:c>
      <x:c r="L604" s="17" t="n">
        <x:f>H604-G604</x:f>
        <x:v>746.8700000000026</x:v>
      </x:c>
      <x:c r="M604" s="19" t="n">
        <x:f>IFERROR(L604/G604,0)</x:f>
        <x:v>0.026390205586157206</x:v>
      </x:c>
      <x:c r="N604" s="13" t="n">
        <x:f>D604-C604</x:f>
        <x:v>0</x:v>
      </x:c>
    </x:row>
    <x:row r="605">
      <x:c r="A605" s="13" t="str">
        <x:v>PAG-000604</x:v>
      </x:c>
      <x:c r="B605" s="23" t="n">
        <x:v>45722</x:v>
      </x:c>
      <x:c r="C605" s="23" t="n">
        <x:v>45737</x:v>
      </x:c>
      <x:c r="D605" s="23" t="n">
        <x:v>45737</x:v>
      </x:c>
      <x:c r="E605" s="13" t="str">
        <x:v>MarketLab</x:v>
      </x:c>
      <x:c r="F605" s="13" t="str">
        <x:v>Marketing</x:v>
      </x:c>
      <x:c r="G605" s="17" t="n">
        <x:v>20162.94</x:v>
      </x:c>
      <x:c r="H605" s="17" t="n">
        <x:v>20725.45</x:v>
      </x:c>
      <x:c r="I605" s="13" t="str">
        <x:v>Gestor da área</x:v>
      </x:c>
      <x:c r="J605" s="13" t="str">
        <x:v>Pago</x:v>
      </x:c>
      <x:c r="K605" s="13" t="str">
        <x:v>Pico do descontrole</x:v>
      </x:c>
      <x:c r="L605" s="17" t="n">
        <x:f>H605-G605</x:f>
        <x:v>562.510000000002</x:v>
      </x:c>
      <x:c r="M605" s="19" t="n">
        <x:f>IFERROR(L605/G605,0)</x:f>
        <x:v>0.027898213256598595</x:v>
      </x:c>
      <x:c r="N605" s="13" t="n">
        <x:f>D605-C605</x:f>
        <x:v>0</x:v>
      </x:c>
    </x:row>
    <x:row r="606">
      <x:c r="A606" s="13" t="str">
        <x:v>PAG-000605</x:v>
      </x:c>
      <x:c r="B606" s="23" t="n">
        <x:v>45731</x:v>
      </x:c>
      <x:c r="C606" s="23" t="n">
        <x:v>45738</x:v>
      </x:c>
      <x:c r="D606" s="23" t="n">
        <x:v>45739</x:v>
      </x:c>
      <x:c r="E606" s="13" t="str">
        <x:v>MarketLab</x:v>
      </x:c>
      <x:c r="F606" s="13" t="str">
        <x:v>Marketing</x:v>
      </x:c>
      <x:c r="G606" s="17" t="n">
        <x:v>31052.22</x:v>
      </x:c>
      <x:c r="H606" s="17" t="n">
        <x:v>32166.53</x:v>
      </x:c>
      <x:c r="I606" s="13" t="str">
        <x:v>Diretoria</x:v>
      </x:c>
      <x:c r="J606" s="13" t="str">
        <x:v>Pago</x:v>
      </x:c>
      <x:c r="K606" s="13" t="str">
        <x:v>Pico do descontrole</x:v>
      </x:c>
      <x:c r="L606" s="17" t="n">
        <x:f>H606-G606</x:f>
        <x:v>1114.3099999999977</x:v>
      </x:c>
      <x:c r="M606" s="19" t="n">
        <x:f>IFERROR(L606/G606,0)</x:f>
        <x:v>0.035885034950802155</x:v>
      </x:c>
      <x:c r="N606" s="13" t="n">
        <x:f>D606-C606</x:f>
        <x:v>1</x:v>
      </x:c>
    </x:row>
    <x:row r="607">
      <x:c r="A607" s="13" t="str">
        <x:v>PAG-000606</x:v>
      </x:c>
      <x:c r="B607" s="23" t="n">
        <x:v>45724</x:v>
      </x:c>
      <x:c r="C607" s="23" t="n">
        <x:v>45744</x:v>
      </x:c>
      <x:c r="D607" s="23" t="n">
        <x:v>45743</x:v>
      </x:c>
      <x:c r="E607" s="13" t="str">
        <x:v>NetLink</x:v>
      </x:c>
      <x:c r="F607" s="13" t="str">
        <x:v>Telecomunicações</x:v>
      </x:c>
      <x:c r="G607" s="17" t="n">
        <x:v>17063.69</x:v>
      </x:c>
      <x:c r="H607" s="17" t="n">
        <x:v>17955.28</x:v>
      </x:c>
      <x:c r="I607" s="13" t="str">
        <x:v>Diretoria</x:v>
      </x:c>
      <x:c r="J607" s="13" t="str">
        <x:v>Pago</x:v>
      </x:c>
      <x:c r="K607" s="13" t="str">
        <x:v>Pico do descontrole</x:v>
      </x:c>
      <x:c r="L607" s="17" t="n">
        <x:f>H607-G607</x:f>
        <x:v>891.5900000000001</x:v>
      </x:c>
      <x:c r="M607" s="19" t="n">
        <x:f>IFERROR(L607/G607,0)</x:f>
        <x:v>0.05225071482194064</x:v>
      </x:c>
      <x:c r="N607" s="13" t="n">
        <x:f>D607-C607</x:f>
        <x:v>-1</x:v>
      </x:c>
    </x:row>
    <x:row r="608">
      <x:c r="A608" s="13" t="str">
        <x:v>PAG-000607</x:v>
      </x:c>
      <x:c r="B608" s="23" t="n">
        <x:v>45731</x:v>
      </x:c>
      <x:c r="C608" s="23" t="n">
        <x:v>45746</x:v>
      </x:c>
      <x:c r="D608" s="23" t="n">
        <x:v>45748</x:v>
      </x:c>
      <x:c r="E608" s="13" t="str">
        <x:v>LegalMais</x:v>
      </x:c>
      <x:c r="F608" s="13" t="str">
        <x:v>Jurídico</x:v>
      </x:c>
      <x:c r="G608" s="17" t="n">
        <x:v>26209.52</x:v>
      </x:c>
      <x:c r="H608" s="17" t="n">
        <x:v>26329.15</x:v>
      </x:c>
      <x:c r="I608" s="13" t="str">
        <x:v>Financeiro</x:v>
      </x:c>
      <x:c r="J608" s="13" t="str">
        <x:v>Pago</x:v>
      </x:c>
      <x:c r="K608" s="13" t="str">
        <x:v>Pico do descontrole</x:v>
      </x:c>
      <x:c r="L608" s="17" t="n">
        <x:f>H608-G608</x:f>
        <x:v>119.63000000000102</x:v>
      </x:c>
      <x:c r="M608" s="19" t="n">
        <x:f>IFERROR(L608/G608,0)</x:f>
        <x:v>0.004564372029705275</x:v>
      </x:c>
      <x:c r="N608" s="13" t="n">
        <x:f>D608-C608</x:f>
        <x:v>2</x:v>
      </x:c>
    </x:row>
    <x:row r="609">
      <x:c r="A609" s="13" t="str">
        <x:v>PAG-000608</x:v>
      </x:c>
      <x:c r="B609" s="23" t="n">
        <x:v>45730</x:v>
      </x:c>
      <x:c r="C609" s="23" t="n">
        <x:v>45745</x:v>
      </x:c>
      <x:c r="D609" s="23" t="n">
        <x:v>45742</x:v>
      </x:c>
      <x:c r="E609" s="13" t="str">
        <x:v>NetLink</x:v>
      </x:c>
      <x:c r="F609" s="13" t="str">
        <x:v>Telecomunicações</x:v>
      </x:c>
      <x:c r="G609" s="17" t="n">
        <x:v>28613.98</x:v>
      </x:c>
      <x:c r="H609" s="17" t="n">
        <x:v>30347.62</x:v>
      </x:c>
      <x:c r="I609" s="13" t="str">
        <x:v>Financeiro</x:v>
      </x:c>
      <x:c r="J609" s="13" t="str">
        <x:v>Pago</x:v>
      </x:c>
      <x:c r="K609" s="13" t="str">
        <x:v>Pico do descontrole</x:v>
      </x:c>
      <x:c r="L609" s="17" t="n">
        <x:f>H609-G609</x:f>
        <x:v>1733.6399999999994</x:v>
      </x:c>
      <x:c r="M609" s="19" t="n">
        <x:f>IFERROR(L609/G609,0)</x:f>
        <x:v>0.060587167531395474</x:v>
      </x:c>
      <x:c r="N609" s="13" t="n">
        <x:f>D609-C609</x:f>
        <x:v>-3</x:v>
      </x:c>
    </x:row>
    <x:row r="610">
      <x:c r="A610" s="13" t="str">
        <x:v>PAG-000609</x:v>
      </x:c>
      <x:c r="B610" s="23" t="n">
        <x:v>45719</x:v>
      </x:c>
      <x:c r="C610" s="23" t="n">
        <x:v>45734</x:v>
      </x:c>
      <x:c r="D610" s="23" t="n">
        <x:v>45734</x:v>
      </x:c>
      <x:c r="E610" s="13" t="str">
        <x:v>DataSafe</x:v>
      </x:c>
      <x:c r="F610" s="13" t="str">
        <x:v>Segurança da informação</x:v>
      </x:c>
      <x:c r="G610" s="17" t="n">
        <x:v>21354.93</x:v>
      </x:c>
      <x:c r="H610" s="17" t="n">
        <x:v>22165.53</x:v>
      </x:c>
      <x:c r="I610" s="13" t="str">
        <x:v>Diretoria</x:v>
      </x:c>
      <x:c r="J610" s="13" t="str">
        <x:v>Pago</x:v>
      </x:c>
      <x:c r="K610" s="13" t="str">
        <x:v>Pico do descontrole</x:v>
      </x:c>
      <x:c r="L610" s="17" t="n">
        <x:f>H610-G610</x:f>
        <x:v>810.5999999999985</x:v>
      </x:c>
      <x:c r="M610" s="19" t="n">
        <x:f>IFERROR(L610/G610,0)</x:f>
        <x:v>0.037958448002405</x:v>
      </x:c>
      <x:c r="N610" s="13" t="n">
        <x:f>D610-C610</x:f>
        <x:v>0</x:v>
      </x:c>
    </x:row>
    <x:row r="611">
      <x:c r="A611" s="13" t="str">
        <x:v>PAG-000610</x:v>
      </x:c>
      <x:c r="B611" s="23" t="n">
        <x:v>45736</x:v>
      </x:c>
      <x:c r="C611" s="23" t="n">
        <x:v>45766</x:v>
      </x:c>
      <x:c r="D611" s="23" t="n">
        <x:v>45767</x:v>
      </x:c>
      <x:c r="E611" s="13" t="str">
        <x:v>EducaPro</x:v>
      </x:c>
      <x:c r="F611" s="13" t="str">
        <x:v>Treinamentos</x:v>
      </x:c>
      <x:c r="G611" s="17" t="n">
        <x:v>12161.07</x:v>
      </x:c>
      <x:c r="H611" s="17" t="n">
        <x:v>12453.55</x:v>
      </x:c>
      <x:c r="I611" s="13" t="str">
        <x:v>Financeiro</x:v>
      </x:c>
      <x:c r="J611" s="13" t="str">
        <x:v>Pago</x:v>
      </x:c>
      <x:c r="K611" s="13" t="str">
        <x:v>Pico do descontrole</x:v>
      </x:c>
      <x:c r="L611" s="17" t="n">
        <x:f>H611-G611</x:f>
        <x:v>292.47999999999956</x:v>
      </x:c>
      <x:c r="M611" s="19" t="n">
        <x:f>IFERROR(L611/G611,0)</x:f>
        <x:v>0.024050515291828726</x:v>
      </x:c>
      <x:c r="N611" s="13" t="n">
        <x:f>D611-C611</x:f>
        <x:v>1</x:v>
      </x:c>
    </x:row>
    <x:row r="612">
      <x:c r="A612" s="13" t="str">
        <x:v>PAG-000611</x:v>
      </x:c>
      <x:c r="B612" s="23" t="n">
        <x:v>45728</x:v>
      </x:c>
      <x:c r="C612" s="23" t="n">
        <x:v>45743</x:v>
      </x:c>
      <x:c r="D612" s="23" t="n">
        <x:v>45743</x:v>
      </x:c>
      <x:c r="E612" s="13" t="str">
        <x:v>Conta Certa</x:v>
      </x:c>
      <x:c r="F612" s="13" t="str">
        <x:v>Contabilidade</x:v>
      </x:c>
      <x:c r="G612" s="17" t="n">
        <x:v>29046.94</x:v>
      </x:c>
      <x:c r="H612" s="17" t="n">
        <x:v>28716.84</x:v>
      </x:c>
      <x:c r="I612" s="13" t="str">
        <x:v>Financeiro</x:v>
      </x:c>
      <x:c r="J612" s="13" t="str">
        <x:v>Pago</x:v>
      </x:c>
      <x:c r="K612" s="13" t="str">
        <x:v>Pico do descontrole</x:v>
      </x:c>
      <x:c r="L612" s="17" t="n">
        <x:f>H612-G612</x:f>
        <x:v>-330.09999999999854</x:v>
      </x:c>
      <x:c r="M612" s="19" t="n">
        <x:f>IFERROR(L612/G612,0)</x:f>
        <x:v>-0.011364364025952426</x:v>
      </x:c>
      <x:c r="N612" s="13" t="n">
        <x:f>D612-C612</x:f>
        <x:v>0</x:v>
      </x:c>
    </x:row>
    <x:row r="613">
      <x:c r="A613" s="13" t="str">
        <x:v>PAG-000612</x:v>
      </x:c>
      <x:c r="B613" s="23" t="n">
        <x:v>45727</x:v>
      </x:c>
      <x:c r="C613" s="23" t="n">
        <x:v>45742</x:v>
      </x:c>
      <x:c r="D613" s="23" t="n">
        <x:v>45742</x:v>
      </x:c>
      <x:c r="E613" s="13" t="str">
        <x:v>DataSafe</x:v>
      </x:c>
      <x:c r="F613" s="13" t="str">
        <x:v>Segurança da informação</x:v>
      </x:c>
      <x:c r="G613" s="17" t="n">
        <x:v>29528</x:v>
      </x:c>
      <x:c r="H613" s="17" t="n">
        <x:v>30165.71</x:v>
      </x:c>
      <x:c r="I613" s="13" t="str">
        <x:v>Diretoria</x:v>
      </x:c>
      <x:c r="J613" s="13" t="str">
        <x:v>Pago</x:v>
      </x:c>
      <x:c r="K613" s="13" t="str">
        <x:v>Pico do descontrole</x:v>
      </x:c>
      <x:c r="L613" s="17" t="n">
        <x:f>H613-G613</x:f>
        <x:v>637.7099999999991</x:v>
      </x:c>
      <x:c r="M613" s="19" t="n">
        <x:f>IFERROR(L613/G613,0)</x:f>
        <x:v>0.021596789487943618</x:v>
      </x:c>
      <x:c r="N613" s="13" t="n">
        <x:f>D613-C613</x:f>
        <x:v>0</x:v>
      </x:c>
    </x:row>
    <x:row r="614">
      <x:c r="A614" s="13" t="str">
        <x:v>PAG-000613</x:v>
      </x:c>
      <x:c r="B614" s="23" t="n">
        <x:v>45718</x:v>
      </x:c>
      <x:c r="C614" s="23" t="n">
        <x:v>45748</x:v>
      </x:c>
      <x:c r="D614" s="23" t="n">
        <x:v>45747</x:v>
      </x:c>
      <x:c r="E614" s="13" t="str">
        <x:v>DataSafe</x:v>
      </x:c>
      <x:c r="F614" s="13" t="str">
        <x:v>Segurança da informação</x:v>
      </x:c>
      <x:c r="G614" s="17" t="n">
        <x:v>30809.61</x:v>
      </x:c>
      <x:c r="H614" s="17" t="n">
        <x:v>30283.4</x:v>
      </x:c>
      <x:c r="I614" s="13" t="str">
        <x:v>Gestor da área</x:v>
      </x:c>
      <x:c r="J614" s="13" t="str">
        <x:v>Pago</x:v>
      </x:c>
      <x:c r="K614" s="13" t="str">
        <x:v>Pico do descontrole</x:v>
      </x:c>
      <x:c r="L614" s="17" t="n">
        <x:f>H614-G614</x:f>
        <x:v>-526.2099999999991</x:v>
      </x:c>
      <x:c r="M614" s="19" t="n">
        <x:f>IFERROR(L614/G614,0)</x:f>
        <x:v>-0.017079411261616072</x:v>
      </x:c>
      <x:c r="N614" s="13" t="n">
        <x:f>D614-C614</x:f>
        <x:v>-1</x:v>
      </x:c>
    </x:row>
    <x:row r="615">
      <x:c r="A615" s="13" t="str">
        <x:v>PAG-000614</x:v>
      </x:c>
      <x:c r="B615" s="23" t="n">
        <x:v>45729</x:v>
      </x:c>
      <x:c r="C615" s="23" t="n">
        <x:v>45744</x:v>
      </x:c>
      <x:c r="D615" s="23" t="n">
        <x:v>45744</x:v>
      </x:c>
      <x:c r="E615" s="13" t="str">
        <x:v>CloudCore</x:v>
      </x:c>
      <x:c r="F615" s="13" t="str">
        <x:v>Tecnologia</x:v>
      </x:c>
      <x:c r="G615" s="17" t="n">
        <x:v>30417.53</x:v>
      </x:c>
      <x:c r="H615" s="17" t="n">
        <x:v>32152.4</x:v>
      </x:c>
      <x:c r="I615" s="13" t="str">
        <x:v>Diretoria</x:v>
      </x:c>
      <x:c r="J615" s="13" t="str">
        <x:v>Pago</x:v>
      </x:c>
      <x:c r="K615" s="13" t="str">
        <x:v>Pico do descontrole</x:v>
      </x:c>
      <x:c r="L615" s="17" t="n">
        <x:f>H615-G615</x:f>
        <x:v>1734.8700000000026</x:v>
      </x:c>
      <x:c r="M615" s="19" t="n">
        <x:f>IFERROR(L615/G615,0)</x:f>
        <x:v>0.05703520305560651</x:v>
      </x:c>
      <x:c r="N615" s="13" t="n">
        <x:f>D615-C615</x:f>
        <x:v>0</x:v>
      </x:c>
    </x:row>
    <x:row r="616">
      <x:c r="A616" s="13" t="str">
        <x:v>PAG-000615</x:v>
      </x:c>
      <x:c r="B616" s="23" t="n">
        <x:v>45728</x:v>
      </x:c>
      <x:c r="C616" s="23" t="n">
        <x:v>45758</x:v>
      </x:c>
      <x:c r="D616" s="23" t="n">
        <x:v>45758</x:v>
      </x:c>
      <x:c r="E616" s="13" t="str">
        <x:v>Banco Integra</x:v>
      </x:c>
      <x:c r="F616" s="13" t="str">
        <x:v>Serviços bancários</x:v>
      </x:c>
      <x:c r="G616" s="17" t="n">
        <x:v>10045.86</x:v>
      </x:c>
      <x:c r="H616" s="17" t="n">
        <x:v>9917.21</x:v>
      </x:c>
      <x:c r="I616" s="13" t="str">
        <x:v>Financeiro</x:v>
      </x:c>
      <x:c r="J616" s="13" t="str">
        <x:v>Pago</x:v>
      </x:c>
      <x:c r="K616" s="13" t="str">
        <x:v>Pico do descontrole</x:v>
      </x:c>
      <x:c r="L616" s="17" t="n">
        <x:f>H616-G616</x:f>
        <x:v>-128.65000000000146</x:v>
      </x:c>
      <x:c r="M616" s="19" t="n">
        <x:f>IFERROR(L616/G616,0)</x:f>
        <x:v>-0.012806270443745129</x:v>
      </x:c>
      <x:c r="N616" s="13" t="n">
        <x:f>D616-C616</x:f>
        <x:v>0</x:v>
      </x:c>
    </x:row>
    <x:row r="617">
      <x:c r="A617" s="13" t="str">
        <x:v>PAG-000616</x:v>
      </x:c>
      <x:c r="B617" s="23" t="n">
        <x:v>45721</x:v>
      </x:c>
      <x:c r="C617" s="23" t="n">
        <x:v>45728</x:v>
      </x:c>
      <x:c r="D617" s="23" t="n">
        <x:v>45728</x:v>
      </x:c>
      <x:c r="E617" s="13" t="str">
        <x:v>Banco Integra</x:v>
      </x:c>
      <x:c r="F617" s="13" t="str">
        <x:v>Serviços bancários</x:v>
      </x:c>
      <x:c r="G617" s="17" t="n">
        <x:v>21531.2</x:v>
      </x:c>
      <x:c r="H617" s="17" t="n">
        <x:v>22424.38</x:v>
      </x:c>
      <x:c r="I617" s="13" t="str">
        <x:v>Gestor da área</x:v>
      </x:c>
      <x:c r="J617" s="13" t="str">
        <x:v>Pago</x:v>
      </x:c>
      <x:c r="K617" s="13" t="str">
        <x:v>Pico do descontrole</x:v>
      </x:c>
      <x:c r="L617" s="17" t="n">
        <x:f>H617-G617</x:f>
        <x:v>893.1800000000003</x:v>
      </x:c>
      <x:c r="M617" s="19" t="n">
        <x:f>IFERROR(L617/G617,0)</x:f>
        <x:v>0.04148305714498032</x:v>
      </x:c>
      <x:c r="N617" s="13" t="n">
        <x:f>D617-C617</x:f>
        <x:v>0</x:v>
      </x:c>
    </x:row>
    <x:row r="618">
      <x:c r="A618" s="13" t="str">
        <x:v>PAG-000617</x:v>
      </x:c>
      <x:c r="B618" s="23" t="n">
        <x:v>45733</x:v>
      </x:c>
      <x:c r="C618" s="23" t="n">
        <x:v>45763</x:v>
      </x:c>
      <x:c r="D618" s="23" t="n">
        <x:v>45762</x:v>
      </x:c>
      <x:c r="E618" s="13" t="str">
        <x:v>Insight BI</x:v>
      </x:c>
      <x:c r="F618" s="13" t="str">
        <x:v>Dados e Analytics</x:v>
      </x:c>
      <x:c r="G618" s="17" t="n">
        <x:v>16906.18</x:v>
      </x:c>
      <x:c r="H618" s="17" t="n">
        <x:v>17581.85</x:v>
      </x:c>
      <x:c r="I618" s="13" t="str">
        <x:v>Financeiro</x:v>
      </x:c>
      <x:c r="J618" s="13" t="str">
        <x:v>Pago</x:v>
      </x:c>
      <x:c r="K618" s="13" t="str">
        <x:v>Pico do descontrole</x:v>
      </x:c>
      <x:c r="L618" s="17" t="n">
        <x:f>H618-G618</x:f>
        <x:v>675.6699999999983</x:v>
      </x:c>
      <x:c r="M618" s="19" t="n">
        <x:f>IFERROR(L618/G618,0)</x:f>
        <x:v>0.039965858638675224</x:v>
      </x:c>
      <x:c r="N618" s="13" t="n">
        <x:f>D618-C618</x:f>
        <x:v>-1</x:v>
      </x:c>
    </x:row>
    <x:row r="619">
      <x:c r="A619" s="13" t="str">
        <x:v>PAG-000618</x:v>
      </x:c>
      <x:c r="B619" s="23" t="n">
        <x:v>45730</x:v>
      </x:c>
      <x:c r="C619" s="23" t="n">
        <x:v>45745</x:v>
      </x:c>
      <x:c r="D619" s="23" t="n">
        <x:v>45745</x:v>
      </x:c>
      <x:c r="E619" s="13" t="str">
        <x:v>CloudCore</x:v>
      </x:c>
      <x:c r="F619" s="13" t="str">
        <x:v>Tecnologia</x:v>
      </x:c>
      <x:c r="G619" s="17" t="n">
        <x:v>8201.01</x:v>
      </x:c>
      <x:c r="H619" s="17" t="n">
        <x:v>8265.22</x:v>
      </x:c>
      <x:c r="I619" s="13" t="str">
        <x:v>Gestor da área</x:v>
      </x:c>
      <x:c r="J619" s="13" t="str">
        <x:v>Pago</x:v>
      </x:c>
      <x:c r="K619" s="13" t="str">
        <x:v>Pico do descontrole</x:v>
      </x:c>
      <x:c r="L619" s="17" t="n">
        <x:f>H619-G619</x:f>
        <x:v>64.20999999999913</x:v>
      </x:c>
      <x:c r="M619" s="19" t="n">
        <x:f>IFERROR(L619/G619,0)</x:f>
        <x:v>0.007829523436747319</x:v>
      </x:c>
      <x:c r="N619" s="13" t="n">
        <x:f>D619-C619</x:f>
        <x:v>0</x:v>
      </x:c>
    </x:row>
    <x:row r="620">
      <x:c r="A620" s="13" t="str">
        <x:v>PAG-000619</x:v>
      </x:c>
      <x:c r="B620" s="23" t="n">
        <x:v>45726</x:v>
      </x:c>
      <x:c r="C620" s="23" t="n">
        <x:v>45746</x:v>
      </x:c>
      <x:c r="D620" s="23" t="n">
        <x:v>45745</x:v>
      </x:c>
      <x:c r="E620" s="13" t="str">
        <x:v>NetLink</x:v>
      </x:c>
      <x:c r="F620" s="13" t="str">
        <x:v>Telecomunicações</x:v>
      </x:c>
      <x:c r="G620" s="17" t="n">
        <x:v>17781.93</x:v>
      </x:c>
      <x:c r="H620" s="17" t="n">
        <x:v>18270.66</x:v>
      </x:c>
      <x:c r="I620" s="13" t="str">
        <x:v>Diretoria</x:v>
      </x:c>
      <x:c r="J620" s="13" t="str">
        <x:v>Pago</x:v>
      </x:c>
      <x:c r="K620" s="13" t="str">
        <x:v>Pico do descontrole</x:v>
      </x:c>
      <x:c r="L620" s="17" t="n">
        <x:f>H620-G620</x:f>
        <x:v>488.72999999999956</x:v>
      </x:c>
      <x:c r="M620" s="19" t="n">
        <x:f>IFERROR(L620/G620,0)</x:f>
        <x:v>0.02748464311804172</x:v>
      </x:c>
      <x:c r="N620" s="13" t="n">
        <x:f>D620-C620</x:f>
        <x:v>-1</x:v>
      </x:c>
    </x:row>
    <x:row r="621">
      <x:c r="A621" s="13" t="str">
        <x:v>PAG-000620</x:v>
      </x:c>
      <x:c r="B621" s="23" t="n">
        <x:v>45718</x:v>
      </x:c>
      <x:c r="C621" s="23" t="n">
        <x:v>45738</x:v>
      </x:c>
      <x:c r="D621" s="23" t="n">
        <x:v>45736</x:v>
      </x:c>
      <x:c r="E621" s="13" t="str">
        <x:v>PeopleHub</x:v>
      </x:c>
      <x:c r="F621" s="13" t="str">
        <x:v>Recursos Humanos</x:v>
      </x:c>
      <x:c r="G621" s="17" t="n">
        <x:v>3130.76</x:v>
      </x:c>
      <x:c r="H621" s="17" t="n">
        <x:v>3288.64</x:v>
      </x:c>
      <x:c r="I621" s="13" t="str">
        <x:v>Financeiro</x:v>
      </x:c>
      <x:c r="J621" s="13" t="str">
        <x:v>Pago</x:v>
      </x:c>
      <x:c r="K621" s="13" t="str">
        <x:v>Pico do descontrole</x:v>
      </x:c>
      <x:c r="L621" s="17" t="n">
        <x:f>H621-G621</x:f>
        <x:v>157.87999999999965</x:v>
      </x:c>
      <x:c r="M621" s="19" t="n">
        <x:f>IFERROR(L621/G621,0)</x:f>
        <x:v>0.0504286499124812</x:v>
      </x:c>
      <x:c r="N621" s="13" t="n">
        <x:f>D621-C621</x:f>
        <x:v>-2</x:v>
      </x:c>
    </x:row>
    <x:row r="622">
      <x:c r="A622" s="13" t="str">
        <x:v>PAG-000621</x:v>
      </x:c>
      <x:c r="B622" s="23" t="n">
        <x:v>45733</x:v>
      </x:c>
      <x:c r="C622" s="23" t="n">
        <x:v>45748</x:v>
      </x:c>
      <x:c r="D622" s="23" t="n">
        <x:v>45750</x:v>
      </x:c>
      <x:c r="E622" s="13" t="str">
        <x:v>PeopleHub</x:v>
      </x:c>
      <x:c r="F622" s="13" t="str">
        <x:v>Recursos Humanos</x:v>
      </x:c>
      <x:c r="G622" s="17" t="n">
        <x:v>9527.97</x:v>
      </x:c>
      <x:c r="H622" s="17" t="n">
        <x:v>10094.47</x:v>
      </x:c>
      <x:c r="I622" s="13" t="str">
        <x:v>Diretoria</x:v>
      </x:c>
      <x:c r="J622" s="13" t="str">
        <x:v>Pago</x:v>
      </x:c>
      <x:c r="K622" s="13" t="str">
        <x:v>Pico do descontrole</x:v>
      </x:c>
      <x:c r="L622" s="17" t="n">
        <x:f>H622-G622</x:f>
        <x:v>566.5</x:v>
      </x:c>
      <x:c r="M622" s="19" t="n">
        <x:f>IFERROR(L622/G622,0)</x:f>
        <x:v>0.059456526416434986</x:v>
      </x:c>
      <x:c r="N622" s="13" t="n">
        <x:f>D622-C622</x:f>
        <x:v>2</x:v>
      </x:c>
    </x:row>
    <x:row r="623">
      <x:c r="A623" s="13" t="str">
        <x:v>PAG-000622</x:v>
      </x:c>
      <x:c r="B623" s="23" t="n">
        <x:v>45724</x:v>
      </x:c>
      <x:c r="C623" s="23" t="n">
        <x:v>45739</x:v>
      </x:c>
      <x:c r="D623" s="23" t="n">
        <x:v>45736</x:v>
      </x:c>
      <x:c r="E623" s="13" t="str">
        <x:v>CloudCore</x:v>
      </x:c>
      <x:c r="F623" s="13" t="str">
        <x:v>Tecnologia</x:v>
      </x:c>
      <x:c r="G623" s="17" t="n">
        <x:v>23511.45</x:v>
      </x:c>
      <x:c r="H623" s="17" t="n">
        <x:v>24509.89</x:v>
      </x:c>
      <x:c r="I623" s="13" t="str">
        <x:v>Gestor da área</x:v>
      </x:c>
      <x:c r="J623" s="13" t="str">
        <x:v>Pago</x:v>
      </x:c>
      <x:c r="K623" s="13" t="str">
        <x:v>Pico do descontrole</x:v>
      </x:c>
      <x:c r="L623" s="17" t="n">
        <x:f>H623-G623</x:f>
        <x:v>998.4399999999987</x:v>
      </x:c>
      <x:c r="M623" s="19" t="n">
        <x:f>IFERROR(L623/G623,0)</x:f>
        <x:v>0.04246611757250185</x:v>
      </x:c>
      <x:c r="N623" s="13" t="n">
        <x:f>D623-C623</x:f>
        <x:v>-3</x:v>
      </x:c>
    </x:row>
    <x:row r="624">
      <x:c r="A624" s="13" t="str">
        <x:v>PAG-000623</x:v>
      </x:c>
      <x:c r="B624" s="23" t="n">
        <x:v>45728</x:v>
      </x:c>
      <x:c r="C624" s="23" t="n">
        <x:v>45743</x:v>
      </x:c>
      <x:c r="D624" s="23" t="n">
        <x:v>45741</x:v>
      </x:c>
      <x:c r="E624" s="13" t="str">
        <x:v>Conta Certa</x:v>
      </x:c>
      <x:c r="F624" s="13" t="str">
        <x:v>Contabilidade</x:v>
      </x:c>
      <x:c r="G624" s="17" t="n">
        <x:v>1707.79</x:v>
      </x:c>
      <x:c r="H624" s="17" t="n">
        <x:v>1718.55</x:v>
      </x:c>
      <x:c r="I624" s="13" t="str">
        <x:v>Financeiro</x:v>
      </x:c>
      <x:c r="J624" s="13" t="str">
        <x:v>Pago</x:v>
      </x:c>
      <x:c r="K624" s="13" t="str">
        <x:v>Pico do descontrole</x:v>
      </x:c>
      <x:c r="L624" s="17" t="n">
        <x:f>H624-G624</x:f>
        <x:v>10.759999999999991</x:v>
      </x:c>
      <x:c r="M624" s="19" t="n">
        <x:f>IFERROR(L624/G624,0)</x:f>
        <x:v>0.006300540464577021</x:v>
      </x:c>
      <x:c r="N624" s="13" t="n">
        <x:f>D624-C624</x:f>
        <x:v>-2</x:v>
      </x:c>
    </x:row>
    <x:row r="625">
      <x:c r="A625" s="13" t="str">
        <x:v>PAG-000624</x:v>
      </x:c>
      <x:c r="B625" s="23" t="n">
        <x:v>45729</x:v>
      </x:c>
      <x:c r="C625" s="23" t="n">
        <x:v>45749</x:v>
      </x:c>
      <x:c r="D625" s="23" t="n">
        <x:v>45748</x:v>
      </x:c>
      <x:c r="E625" s="13" t="str">
        <x:v>WorkSpace</x:v>
      </x:c>
      <x:c r="F625" s="13" t="str">
        <x:v>Locação</x:v>
      </x:c>
      <x:c r="G625" s="17" t="n">
        <x:v>28191.64</x:v>
      </x:c>
      <x:c r="H625" s="17" t="n">
        <x:v>29511</x:v>
      </x:c>
      <x:c r="I625" s="13" t="str">
        <x:v>Diretoria</x:v>
      </x:c>
      <x:c r="J625" s="13" t="str">
        <x:v>Pago</x:v>
      </x:c>
      <x:c r="K625" s="13" t="str">
        <x:v>Pico do descontrole</x:v>
      </x:c>
      <x:c r="L625" s="17" t="n">
        <x:f>H625-G625</x:f>
        <x:v>1319.3600000000006</x:v>
      </x:c>
      <x:c r="M625" s="19" t="n">
        <x:f>IFERROR(L625/G625,0)</x:f>
        <x:v>0.04679968955335698</x:v>
      </x:c>
      <x:c r="N625" s="13" t="n">
        <x:f>D625-C625</x:f>
        <x:v>-1</x:v>
      </x:c>
    </x:row>
    <x:row r="626">
      <x:c r="A626" s="13" t="str">
        <x:v>PAG-000625</x:v>
      </x:c>
      <x:c r="B626" s="23" t="n">
        <x:v>45729</x:v>
      </x:c>
      <x:c r="C626" s="23" t="n">
        <x:v>45749</x:v>
      </x:c>
      <x:c r="D626" s="23" t="n">
        <x:v>45746</x:v>
      </x:c>
      <x:c r="E626" s="13" t="str">
        <x:v>EducaPro</x:v>
      </x:c>
      <x:c r="F626" s="13" t="str">
        <x:v>Treinamentos</x:v>
      </x:c>
      <x:c r="G626" s="17" t="n">
        <x:v>1353.33</x:v>
      </x:c>
      <x:c r="H626" s="17" t="n">
        <x:v>1425.34</x:v>
      </x:c>
      <x:c r="I626" s="13" t="str">
        <x:v>Diretoria</x:v>
      </x:c>
      <x:c r="J626" s="13" t="str">
        <x:v>Pago</x:v>
      </x:c>
      <x:c r="K626" s="13" t="str">
        <x:v>Pico do descontrole</x:v>
      </x:c>
      <x:c r="L626" s="17" t="n">
        <x:f>H626-G626</x:f>
        <x:v>72.00999999999999</x:v>
      </x:c>
      <x:c r="M626" s="19" t="n">
        <x:f>IFERROR(L626/G626,0)</x:f>
        <x:v>0.053209490663770106</x:v>
      </x:c>
      <x:c r="N626" s="13" t="n">
        <x:f>D626-C626</x:f>
        <x:v>-3</x:v>
      </x:c>
    </x:row>
    <x:row r="627">
      <x:c r="A627" s="13" t="str">
        <x:v>PAG-000626</x:v>
      </x:c>
      <x:c r="B627" s="23" t="n">
        <x:v>45721</x:v>
      </x:c>
      <x:c r="C627" s="23" t="n">
        <x:v>45751</x:v>
      </x:c>
      <x:c r="D627" s="23" t="n">
        <x:v>45748</x:v>
      </x:c>
      <x:c r="E627" s="13" t="str">
        <x:v>NetLink</x:v>
      </x:c>
      <x:c r="F627" s="13" t="str">
        <x:v>Telecomunicações</x:v>
      </x:c>
      <x:c r="G627" s="17" t="n">
        <x:v>9571.79</x:v>
      </x:c>
      <x:c r="H627" s="17" t="n">
        <x:v>9638.37</x:v>
      </x:c>
      <x:c r="I627" s="13" t="str">
        <x:v>Financeiro</x:v>
      </x:c>
      <x:c r="J627" s="13" t="str">
        <x:v>Pago</x:v>
      </x:c>
      <x:c r="K627" s="13" t="str">
        <x:v>Pico do descontrole</x:v>
      </x:c>
      <x:c r="L627" s="17" t="n">
        <x:f>H627-G627</x:f>
        <x:v>66.57999999999993</x:v>
      </x:c>
      <x:c r="M627" s="19" t="n">
        <x:f>IFERROR(L627/G627,0)</x:f>
        <x:v>0.006955856741529006</x:v>
      </x:c>
      <x:c r="N627" s="13" t="n">
        <x:f>D627-C627</x:f>
        <x:v>-3</x:v>
      </x:c>
    </x:row>
    <x:row r="628">
      <x:c r="A628" s="13" t="str">
        <x:v>PAG-000627</x:v>
      </x:c>
      <x:c r="B628" s="23" t="n">
        <x:v>45727</x:v>
      </x:c>
      <x:c r="C628" s="23" t="n">
        <x:v>45747</x:v>
      </x:c>
      <x:c r="D628" s="23" t="n">
        <x:v>45747</x:v>
      </x:c>
      <x:c r="E628" s="13" t="str">
        <x:v>Office Prime</x:v>
      </x:c>
      <x:c r="F628" s="13" t="str">
        <x:v>Escritório</x:v>
      </x:c>
      <x:c r="G628" s="17" t="n">
        <x:v>30640.3</x:v>
      </x:c>
      <x:c r="H628" s="17" t="n">
        <x:v>32741.69</x:v>
      </x:c>
      <x:c r="I628" s="13" t="str">
        <x:v>Diretoria</x:v>
      </x:c>
      <x:c r="J628" s="13" t="str">
        <x:v>Pago</x:v>
      </x:c>
      <x:c r="K628" s="13" t="str">
        <x:v>Pico do descontrole</x:v>
      </x:c>
      <x:c r="L628" s="17" t="n">
        <x:f>H628-G628</x:f>
        <x:v>2101.3899999999994</x:v>
      </x:c>
      <x:c r="M628" s="19" t="n">
        <x:f>IFERROR(L628/G628,0)</x:f>
        <x:v>0.06858255304288795</x:v>
      </x:c>
      <x:c r="N628" s="13" t="n">
        <x:f>D628-C628</x:f>
        <x:v>0</x:v>
      </x:c>
    </x:row>
    <x:row r="629">
      <x:c r="A629" s="13" t="str">
        <x:v>PAG-000628</x:v>
      </x:c>
      <x:c r="B629" s="23" t="n">
        <x:v>45736</x:v>
      </x:c>
      <x:c r="C629" s="23" t="n">
        <x:v>45743</x:v>
      </x:c>
      <x:c r="D629" s="23" t="n">
        <x:v>45741</x:v>
      </x:c>
      <x:c r="E629" s="13" t="str">
        <x:v>EducaPro</x:v>
      </x:c>
      <x:c r="F629" s="13" t="str">
        <x:v>Treinamentos</x:v>
      </x:c>
      <x:c r="G629" s="17" t="n">
        <x:v>19455.15</x:v>
      </x:c>
      <x:c r="H629" s="17" t="n">
        <x:v>19538.05</x:v>
      </x:c>
      <x:c r="I629" s="13" t="str">
        <x:v>Gestor da área</x:v>
      </x:c>
      <x:c r="J629" s="13" t="str">
        <x:v>Pago</x:v>
      </x:c>
      <x:c r="K629" s="13" t="str">
        <x:v>Pico do descontrole</x:v>
      </x:c>
      <x:c r="L629" s="17" t="n">
        <x:f>H629-G629</x:f>
        <x:v>82.89999999999782</x:v>
      </x:c>
      <x:c r="M629" s="19" t="n">
        <x:f>IFERROR(L629/G629,0)</x:f>
        <x:v>0.00426108254112653</x:v>
      </x:c>
      <x:c r="N629" s="13" t="n">
        <x:f>D629-C629</x:f>
        <x:v>-2</x:v>
      </x:c>
    </x:row>
    <x:row r="630">
      <x:c r="A630" s="13" t="str">
        <x:v>PAG-000629</x:v>
      </x:c>
      <x:c r="B630" s="23" t="n">
        <x:v>45731</x:v>
      </x:c>
      <x:c r="C630" s="23" t="n">
        <x:v>45738</x:v>
      </x:c>
      <x:c r="D630" s="23" t="n">
        <x:v>45738</x:v>
      </x:c>
      <x:c r="E630" s="13" t="str">
        <x:v>CloudCore</x:v>
      </x:c>
      <x:c r="F630" s="13" t="str">
        <x:v>Tecnologia</x:v>
      </x:c>
      <x:c r="G630" s="17" t="n">
        <x:v>1719.3</x:v>
      </x:c>
      <x:c r="H630" s="17" t="n">
        <x:v>1749.34</x:v>
      </x:c>
      <x:c r="I630" s="13" t="str">
        <x:v>Diretoria</x:v>
      </x:c>
      <x:c r="J630" s="13" t="str">
        <x:v>Pago</x:v>
      </x:c>
      <x:c r="K630" s="13" t="str">
        <x:v>Pico do descontrole</x:v>
      </x:c>
      <x:c r="L630" s="17" t="n">
        <x:f>H630-G630</x:f>
        <x:v>30.039999999999964</x:v>
      </x:c>
      <x:c r="M630" s="19" t="n">
        <x:f>IFERROR(L630/G630,0)</x:f>
        <x:v>0.01747222706915603</x:v>
      </x:c>
      <x:c r="N630" s="13" t="n">
        <x:f>D630-C630</x:f>
        <x:v>0</x:v>
      </x:c>
    </x:row>
    <x:row r="631">
      <x:c r="A631" s="13" t="str">
        <x:v>PAG-000630</x:v>
      </x:c>
      <x:c r="B631" s="23" t="n">
        <x:v>45722</x:v>
      </x:c>
      <x:c r="C631" s="23" t="n">
        <x:v>45752</x:v>
      </x:c>
      <x:c r="D631" s="23" t="n">
        <x:v>45752</x:v>
      </x:c>
      <x:c r="E631" s="13" t="str">
        <x:v>WorkSpace</x:v>
      </x:c>
      <x:c r="F631" s="13" t="str">
        <x:v>Locação</x:v>
      </x:c>
      <x:c r="G631" s="17" t="n">
        <x:v>24634.71</x:v>
      </x:c>
      <x:c r="H631" s="17" t="n">
        <x:v>25028.46</x:v>
      </x:c>
      <x:c r="I631" s="13" t="str">
        <x:v>Diretoria</x:v>
      </x:c>
      <x:c r="J631" s="13" t="str">
        <x:v>Pago</x:v>
      </x:c>
      <x:c r="K631" s="13" t="str">
        <x:v>Pico do descontrole</x:v>
      </x:c>
      <x:c r="L631" s="17" t="n">
        <x:f>H631-G631</x:f>
        <x:v>393.75</x:v>
      </x:c>
      <x:c r="M631" s="19" t="n">
        <x:f>IFERROR(L631/G631,0)</x:f>
        <x:v>0.0159835451685853</x:v>
      </x:c>
      <x:c r="N631" s="13" t="n">
        <x:f>D631-C631</x:f>
        <x:v>0</x:v>
      </x:c>
    </x:row>
    <x:row r="632">
      <x:c r="A632" s="13" t="str">
        <x:v>PAG-000631</x:v>
      </x:c>
      <x:c r="B632" s="23" t="n">
        <x:v>45762</x:v>
      </x:c>
      <x:c r="C632" s="23" t="n">
        <x:v>45792</x:v>
      </x:c>
      <x:c r="D632" s="23" t="n">
        <x:v>45792</x:v>
      </x:c>
      <x:c r="E632" s="13" t="str">
        <x:v>EducaPro</x:v>
      </x:c>
      <x:c r="F632" s="13" t="str">
        <x:v>Treinamentos</x:v>
      </x:c>
      <x:c r="G632" s="17" t="n">
        <x:v>9485.43</x:v>
      </x:c>
      <x:c r="H632" s="17" t="n">
        <x:v>9924.79</x:v>
      </x:c>
      <x:c r="I632" s="13" t="str">
        <x:v>Financeiro</x:v>
      </x:c>
      <x:c r="J632" s="13" t="str">
        <x:v>Pago</x:v>
      </x:c>
      <x:c r="K632" s="13" t="str">
        <x:v>Pico do descontrole</x:v>
      </x:c>
      <x:c r="L632" s="17" t="n">
        <x:f>H632-G632</x:f>
        <x:v>439.3600000000006</x:v>
      </x:c>
      <x:c r="M632" s="19" t="n">
        <x:f>IFERROR(L632/G632,0)</x:f>
        <x:v>0.04631946047780655</x:v>
      </x:c>
      <x:c r="N632" s="13" t="n">
        <x:f>D632-C632</x:f>
        <x:v>0</x:v>
      </x:c>
    </x:row>
    <x:row r="633">
      <x:c r="A633" s="13" t="str">
        <x:v>PAG-000632</x:v>
      </x:c>
      <x:c r="B633" s="23" t="n">
        <x:v>45749</x:v>
      </x:c>
      <x:c r="C633" s="23" t="n">
        <x:v>45756</x:v>
      </x:c>
      <x:c r="D633" s="23" t="n">
        <x:v>45756</x:v>
      </x:c>
      <x:c r="E633" s="13" t="str">
        <x:v>Banco Integra</x:v>
      </x:c>
      <x:c r="F633" s="13" t="str">
        <x:v>Serviços bancários</x:v>
      </x:c>
      <x:c r="G633" s="17" t="n">
        <x:v>3416.65</x:v>
      </x:c>
      <x:c r="H633" s="17" t="n">
        <x:v>3558.94</x:v>
      </x:c>
      <x:c r="I633" s="13" t="str">
        <x:v>Financeiro</x:v>
      </x:c>
      <x:c r="J633" s="13" t="str">
        <x:v>Pago</x:v>
      </x:c>
      <x:c r="K633" s="13" t="str">
        <x:v>Pico do descontrole</x:v>
      </x:c>
      <x:c r="L633" s="17" t="n">
        <x:f>H633-G633</x:f>
        <x:v>142.28999999999996</x:v>
      </x:c>
      <x:c r="M633" s="19" t="n">
        <x:f>IFERROR(L633/G633,0)</x:f>
        <x:v>0.04164605681003321</x:v>
      </x:c>
      <x:c r="N633" s="13" t="n">
        <x:f>D633-C633</x:f>
        <x:v>0</x:v>
      </x:c>
    </x:row>
    <x:row r="634">
      <x:c r="A634" s="13" t="str">
        <x:v>PAG-000633</x:v>
      </x:c>
      <x:c r="B634" s="23" t="n">
        <x:v>45757</x:v>
      </x:c>
      <x:c r="C634" s="23" t="n">
        <x:v>45787</x:v>
      </x:c>
      <x:c r="D634" s="23" t="n">
        <x:v>45787</x:v>
      </x:c>
      <x:c r="E634" s="13" t="str">
        <x:v>Banco Integra</x:v>
      </x:c>
      <x:c r="F634" s="13" t="str">
        <x:v>Serviços bancários</x:v>
      </x:c>
      <x:c r="G634" s="17" t="n">
        <x:v>28069.54</x:v>
      </x:c>
      <x:c r="H634" s="17" t="n">
        <x:v>28206.68</x:v>
      </x:c>
      <x:c r="I634" s="13" t="str">
        <x:v>Diretoria</x:v>
      </x:c>
      <x:c r="J634" s="13" t="str">
        <x:v>Pago</x:v>
      </x:c>
      <x:c r="K634" s="13" t="str">
        <x:v>Pico do descontrole</x:v>
      </x:c>
      <x:c r="L634" s="17" t="n">
        <x:f>H634-G634</x:f>
        <x:v>137.13999999999942</x:v>
      </x:c>
      <x:c r="M634" s="19" t="n">
        <x:f>IFERROR(L634/G634,0)</x:f>
        <x:v>0.004885723100556668</x:v>
      </x:c>
      <x:c r="N634" s="13" t="n">
        <x:f>D634-C634</x:f>
        <x:v>0</x:v>
      </x:c>
    </x:row>
    <x:row r="635">
      <x:c r="A635" s="13" t="str">
        <x:v>PAG-000634</x:v>
      </x:c>
      <x:c r="B635" s="23" t="n">
        <x:v>45754</x:v>
      </x:c>
      <x:c r="C635" s="23" t="n">
        <x:v>45761</x:v>
      </x:c>
      <x:c r="D635" s="23" t="n">
        <x:v>45761</x:v>
      </x:c>
      <x:c r="E635" s="13" t="str">
        <x:v>PeopleHub</x:v>
      </x:c>
      <x:c r="F635" s="13" t="str">
        <x:v>Recursos Humanos</x:v>
      </x:c>
      <x:c r="G635" s="17" t="n">
        <x:v>10682.12</x:v>
      </x:c>
      <x:c r="H635" s="17" t="n">
        <x:v>10677.07</x:v>
      </x:c>
      <x:c r="I635" s="13" t="str">
        <x:v>Gestor da área</x:v>
      </x:c>
      <x:c r="J635" s="13" t="str">
        <x:v>Pago</x:v>
      </x:c>
      <x:c r="K635" s="13" t="str">
        <x:v>Pico do descontrole</x:v>
      </x:c>
      <x:c r="L635" s="17" t="n">
        <x:f>H635-G635</x:f>
        <x:v>-5.050000000001091</x:v>
      </x:c>
      <x:c r="M635" s="19" t="n">
        <x:f>IFERROR(L635/G635,0)</x:f>
        <x:v>-0.00047275259967132844</x:v>
      </x:c>
      <x:c r="N635" s="13" t="n">
        <x:f>D635-C635</x:f>
        <x:v>0</x:v>
      </x:c>
    </x:row>
    <x:row r="636">
      <x:c r="A636" s="13" t="str">
        <x:v>PAG-000635</x:v>
      </x:c>
      <x:c r="B636" s="23" t="n">
        <x:v>45758</x:v>
      </x:c>
      <x:c r="C636" s="23" t="n">
        <x:v>45773</x:v>
      </x:c>
      <x:c r="D636" s="23" t="n">
        <x:v>45770</x:v>
      </x:c>
      <x:c r="E636" s="13" t="str">
        <x:v>Insight BI</x:v>
      </x:c>
      <x:c r="F636" s="13" t="str">
        <x:v>Dados e Analytics</x:v>
      </x:c>
      <x:c r="G636" s="17" t="n">
        <x:v>8729.6</x:v>
      </x:c>
      <x:c r="H636" s="17" t="n">
        <x:v>9107.59</x:v>
      </x:c>
      <x:c r="I636" s="13" t="str">
        <x:v>Financeiro</x:v>
      </x:c>
      <x:c r="J636" s="13" t="str">
        <x:v>Pago</x:v>
      </x:c>
      <x:c r="K636" s="13" t="str">
        <x:v>Pico do descontrole</x:v>
      </x:c>
      <x:c r="L636" s="17" t="n">
        <x:f>H636-G636</x:f>
        <x:v>377.9899999999998</x:v>
      </x:c>
      <x:c r="M636" s="19" t="n">
        <x:f>IFERROR(L636/G636,0)</x:f>
        <x:v>0.043299807551319625</x:v>
      </x:c>
      <x:c r="N636" s="13" t="n">
        <x:f>D636-C636</x:f>
        <x:v>-3</x:v>
      </x:c>
    </x:row>
    <x:row r="637">
      <x:c r="A637" s="13" t="str">
        <x:v>PAG-000636</x:v>
      </x:c>
      <x:c r="B637" s="23" t="n">
        <x:v>45766</x:v>
      </x:c>
      <x:c r="C637" s="23" t="n">
        <x:v>45786</x:v>
      </x:c>
      <x:c r="D637" s="23" t="n">
        <x:v>45785</x:v>
      </x:c>
      <x:c r="E637" s="13" t="str">
        <x:v>CloudCore</x:v>
      </x:c>
      <x:c r="F637" s="13" t="str">
        <x:v>Tecnologia</x:v>
      </x:c>
      <x:c r="G637" s="17" t="n">
        <x:v>31091.26</x:v>
      </x:c>
      <x:c r="H637" s="17" t="n">
        <x:v>32274.58</x:v>
      </x:c>
      <x:c r="I637" s="13" t="str">
        <x:v>Financeiro</x:v>
      </x:c>
      <x:c r="J637" s="13" t="str">
        <x:v>Pago</x:v>
      </x:c>
      <x:c r="K637" s="13" t="str">
        <x:v>Pico do descontrole</x:v>
      </x:c>
      <x:c r="L637" s="17" t="n">
        <x:f>H637-G637</x:f>
        <x:v>1183.3200000000033</x:v>
      </x:c>
      <x:c r="M637" s="19" t="n">
        <x:f>IFERROR(L637/G637,0)</x:f>
        <x:v>0.0380595704387665</x:v>
      </x:c>
      <x:c r="N637" s="13" t="n">
        <x:f>D637-C637</x:f>
        <x:v>-1</x:v>
      </x:c>
    </x:row>
    <x:row r="638">
      <x:c r="A638" s="13" t="str">
        <x:v>PAG-000637</x:v>
      </x:c>
      <x:c r="B638" s="23" t="n">
        <x:v>45767</x:v>
      </x:c>
      <x:c r="C638" s="23" t="n">
        <x:v>45787</x:v>
      </x:c>
      <x:c r="D638" s="23" t="n">
        <x:v>45788</x:v>
      </x:c>
      <x:c r="E638" s="13" t="str">
        <x:v>MarketLab</x:v>
      </x:c>
      <x:c r="F638" s="13" t="str">
        <x:v>Marketing</x:v>
      </x:c>
      <x:c r="G638" s="17" t="n">
        <x:v>19508.18</x:v>
      </x:c>
      <x:c r="H638" s="17" t="n">
        <x:v>19798.5</x:v>
      </x:c>
      <x:c r="I638" s="13" t="str">
        <x:v>Financeiro</x:v>
      </x:c>
      <x:c r="J638" s="13" t="str">
        <x:v>Pago</x:v>
      </x:c>
      <x:c r="K638" s="13" t="str">
        <x:v>Pico do descontrole</x:v>
      </x:c>
      <x:c r="L638" s="17" t="n">
        <x:f>H638-G638</x:f>
        <x:v>290.3199999999997</x:v>
      </x:c>
      <x:c r="M638" s="19" t="n">
        <x:f>IFERROR(L638/G638,0)</x:f>
        <x:v>0.014881962335799633</x:v>
      </x:c>
      <x:c r="N638" s="13" t="n">
        <x:f>D638-C638</x:f>
        <x:v>1</x:v>
      </x:c>
    </x:row>
    <x:row r="639">
      <x:c r="A639" s="13" t="str">
        <x:v>PAG-000638</x:v>
      </x:c>
      <x:c r="B639" s="23" t="n">
        <x:v>45760</x:v>
      </x:c>
      <x:c r="C639" s="23" t="n">
        <x:v>45775</x:v>
      </x:c>
      <x:c r="D639" s="23" t="n">
        <x:v>45775</x:v>
      </x:c>
      <x:c r="E639" s="13" t="str">
        <x:v>Office Prime</x:v>
      </x:c>
      <x:c r="F639" s="13" t="str">
        <x:v>Escritório</x:v>
      </x:c>
      <x:c r="G639" s="17" t="n">
        <x:v>9920.36</x:v>
      </x:c>
      <x:c r="H639" s="17" t="n">
        <x:v>10401.79</x:v>
      </x:c>
      <x:c r="I639" s="13" t="str">
        <x:v>Financeiro</x:v>
      </x:c>
      <x:c r="J639" s="13" t="str">
        <x:v>Pago</x:v>
      </x:c>
      <x:c r="K639" s="13" t="str">
        <x:v>Pico do descontrole</x:v>
      </x:c>
      <x:c r="L639" s="17" t="n">
        <x:f>H639-G639</x:f>
        <x:v>481.4300000000003</x:v>
      </x:c>
      <x:c r="M639" s="19" t="n">
        <x:f>IFERROR(L639/G639,0)</x:f>
        <x:v>0.048529488849195015</x:v>
      </x:c>
      <x:c r="N639" s="13" t="n">
        <x:f>D639-C639</x:f>
        <x:v>0</x:v>
      </x:c>
    </x:row>
    <x:row r="640">
      <x:c r="A640" s="13" t="str">
        <x:v>PAG-000639</x:v>
      </x:c>
      <x:c r="B640" s="23" t="n">
        <x:v>45760</x:v>
      </x:c>
      <x:c r="C640" s="23" t="n">
        <x:v>45790</x:v>
      </x:c>
      <x:c r="D640" s="23" t="n">
        <x:v>45787</x:v>
      </x:c>
      <x:c r="E640" s="13" t="str">
        <x:v>EducaPro</x:v>
      </x:c>
      <x:c r="F640" s="13" t="str">
        <x:v>Treinamentos</x:v>
      </x:c>
      <x:c r="G640" s="17" t="n">
        <x:v>5877.88</x:v>
      </x:c>
      <x:c r="H640" s="17" t="n">
        <x:v>5954.67</x:v>
      </x:c>
      <x:c r="I640" s="13" t="str">
        <x:v>Financeiro</x:v>
      </x:c>
      <x:c r="J640" s="13" t="str">
        <x:v>Pago</x:v>
      </x:c>
      <x:c r="K640" s="13" t="str">
        <x:v>Pico do descontrole</x:v>
      </x:c>
      <x:c r="L640" s="17" t="n">
        <x:f>H640-G640</x:f>
        <x:v>76.78999999999996</x:v>
      </x:c>
      <x:c r="M640" s="19" t="n">
        <x:f>IFERROR(L640/G640,0)</x:f>
        <x:v>0.013064234043566722</x:v>
      </x:c>
      <x:c r="N640" s="13" t="n">
        <x:f>D640-C640</x:f>
        <x:v>-3</x:v>
      </x:c>
    </x:row>
    <x:row r="641">
      <x:c r="A641" s="13" t="str">
        <x:v>PAG-000640</x:v>
      </x:c>
      <x:c r="B641" s="23" t="n">
        <x:v>45760</x:v>
      </x:c>
      <x:c r="C641" s="23" t="n">
        <x:v>45767</x:v>
      </x:c>
      <x:c r="D641" s="23" t="n">
        <x:v>45765</x:v>
      </x:c>
      <x:c r="E641" s="13" t="str">
        <x:v>WorkSpace</x:v>
      </x:c>
      <x:c r="F641" s="13" t="str">
        <x:v>Locação</x:v>
      </x:c>
      <x:c r="G641" s="17" t="n">
        <x:v>20873.84</x:v>
      </x:c>
      <x:c r="H641" s="17" t="n">
        <x:v>22007.8</x:v>
      </x:c>
      <x:c r="I641" s="13" t="str">
        <x:v>Diretoria</x:v>
      </x:c>
      <x:c r="J641" s="13" t="str">
        <x:v>Pago</x:v>
      </x:c>
      <x:c r="K641" s="13" t="str">
        <x:v>Pico do descontrole</x:v>
      </x:c>
      <x:c r="L641" s="17" t="n">
        <x:f>H641-G641</x:f>
        <x:v>1133.9599999999991</x:v>
      </x:c>
      <x:c r="M641" s="19" t="n">
        <x:f>IFERROR(L641/G641,0)</x:f>
        <x:v>0.05432445587395511</x:v>
      </x:c>
      <x:c r="N641" s="13" t="n">
        <x:f>D641-C641</x:f>
        <x:v>-2</x:v>
      </x:c>
    </x:row>
    <x:row r="642">
      <x:c r="A642" s="13" t="str">
        <x:v>PAG-000641</x:v>
      </x:c>
      <x:c r="B642" s="23" t="n">
        <x:v>45751</x:v>
      </x:c>
      <x:c r="C642" s="23" t="n">
        <x:v>45771</x:v>
      </x:c>
      <x:c r="D642" s="23" t="n">
        <x:v>45769</x:v>
      </x:c>
      <x:c r="E642" s="13" t="str">
        <x:v>DataSafe</x:v>
      </x:c>
      <x:c r="F642" s="13" t="str">
        <x:v>Segurança da informação</x:v>
      </x:c>
      <x:c r="G642" s="17" t="n">
        <x:v>9815.59</x:v>
      </x:c>
      <x:c r="H642" s="17" t="n">
        <x:v>9823.28</x:v>
      </x:c>
      <x:c r="I642" s="13" t="str">
        <x:v>Financeiro</x:v>
      </x:c>
      <x:c r="J642" s="13" t="str">
        <x:v>Pago</x:v>
      </x:c>
      <x:c r="K642" s="13" t="str">
        <x:v>Pico do descontrole</x:v>
      </x:c>
      <x:c r="L642" s="17" t="n">
        <x:f>H642-G642</x:f>
        <x:v>7.690000000000509</x:v>
      </x:c>
      <x:c r="M642" s="19" t="n">
        <x:f>IFERROR(L642/G642,0)</x:f>
        <x:v>0.0007834475563873907</x:v>
      </x:c>
      <x:c r="N642" s="13" t="n">
        <x:f>D642-C642</x:f>
        <x:v>-2</x:v>
      </x:c>
    </x:row>
    <x:row r="643">
      <x:c r="A643" s="13" t="str">
        <x:v>PAG-000642</x:v>
      </x:c>
      <x:c r="B643" s="23" t="n">
        <x:v>45764</x:v>
      </x:c>
      <x:c r="C643" s="23" t="n">
        <x:v>45794</x:v>
      </x:c>
      <x:c r="D643" s="23" t="n">
        <x:v>45794</x:v>
      </x:c>
      <x:c r="E643" s="13" t="str">
        <x:v>Insight BI</x:v>
      </x:c>
      <x:c r="F643" s="13" t="str">
        <x:v>Dados e Analytics</x:v>
      </x:c>
      <x:c r="G643" s="17" t="n">
        <x:v>8500.24</x:v>
      </x:c>
      <x:c r="H643" s="17" t="n">
        <x:v>8726.43</x:v>
      </x:c>
      <x:c r="I643" s="13" t="str">
        <x:v>Gestor da área</x:v>
      </x:c>
      <x:c r="J643" s="13" t="str">
        <x:v>Pago</x:v>
      </x:c>
      <x:c r="K643" s="13" t="str">
        <x:v>Pico do descontrole</x:v>
      </x:c>
      <x:c r="L643" s="17" t="n">
        <x:f>H643-G643</x:f>
        <x:v>226.1900000000005</x:v>
      </x:c>
      <x:c r="M643" s="19" t="n">
        <x:f>IFERROR(L643/G643,0)</x:f>
        <x:v>0.02660983689872292</x:v>
      </x:c>
      <x:c r="N643" s="13" t="n">
        <x:f>D643-C643</x:f>
        <x:v>0</x:v>
      </x:c>
    </x:row>
    <x:row r="644">
      <x:c r="A644" s="13" t="str">
        <x:v>PAG-000643</x:v>
      </x:c>
      <x:c r="B644" s="23" t="n">
        <x:v>45750</x:v>
      </x:c>
      <x:c r="C644" s="23" t="n">
        <x:v>45757</x:v>
      </x:c>
      <x:c r="D644" s="23" t="n">
        <x:v>45759</x:v>
      </x:c>
      <x:c r="E644" s="13" t="str">
        <x:v>PeopleHub</x:v>
      </x:c>
      <x:c r="F644" s="13" t="str">
        <x:v>Recursos Humanos</x:v>
      </x:c>
      <x:c r="G644" s="17" t="n">
        <x:v>15871.36</x:v>
      </x:c>
      <x:c r="H644" s="17" t="n">
        <x:v>16382.32</x:v>
      </x:c>
      <x:c r="I644" s="13" t="str">
        <x:v>Gestor da área</x:v>
      </x:c>
      <x:c r="J644" s="13" t="str">
        <x:v>Pago</x:v>
      </x:c>
      <x:c r="K644" s="13" t="str">
        <x:v>Pico do descontrole</x:v>
      </x:c>
      <x:c r="L644" s="17" t="n">
        <x:f>H644-G644</x:f>
        <x:v>510.9599999999991</x:v>
      </x:c>
      <x:c r="M644" s="19" t="n">
        <x:f>IFERROR(L644/G644,0)</x:f>
        <x:v>0.03219383846122822</x:v>
      </x:c>
      <x:c r="N644" s="13" t="n">
        <x:f>D644-C644</x:f>
        <x:v>2</x:v>
      </x:c>
    </x:row>
    <x:row r="645">
      <x:c r="A645" s="13" t="str">
        <x:v>PAG-000644</x:v>
      </x:c>
      <x:c r="B645" s="23" t="n">
        <x:v>45767</x:v>
      </x:c>
      <x:c r="C645" s="23" t="n">
        <x:v>45797</x:v>
      </x:c>
      <x:c r="D645" s="23" t="n">
        <x:v>45797</x:v>
      </x:c>
      <x:c r="E645" s="13" t="str">
        <x:v>PeopleHub</x:v>
      </x:c>
      <x:c r="F645" s="13" t="str">
        <x:v>Recursos Humanos</x:v>
      </x:c>
      <x:c r="G645" s="17" t="n">
        <x:v>8317.94</x:v>
      </x:c>
      <x:c r="H645" s="17" t="n">
        <x:v>8855.1</x:v>
      </x:c>
      <x:c r="I645" s="13" t="str">
        <x:v>Diretoria</x:v>
      </x:c>
      <x:c r="J645" s="13" t="str">
        <x:v>Pago</x:v>
      </x:c>
      <x:c r="K645" s="13" t="str">
        <x:v>Pico do descontrole</x:v>
      </x:c>
      <x:c r="L645" s="17" t="n">
        <x:f>H645-G645</x:f>
        <x:v>537.1599999999999</x:v>
      </x:c>
      <x:c r="M645" s="19" t="n">
        <x:f>IFERROR(L645/G645,0)</x:f>
        <x:v>0.06457848938559305</x:v>
      </x:c>
      <x:c r="N645" s="13" t="n">
        <x:f>D645-C645</x:f>
        <x:v>0</x:v>
      </x:c>
    </x:row>
    <x:row r="646">
      <x:c r="A646" s="13" t="str">
        <x:v>PAG-000645</x:v>
      </x:c>
      <x:c r="B646" s="23" t="n">
        <x:v>45767</x:v>
      </x:c>
      <x:c r="C646" s="23" t="n">
        <x:v>45787</x:v>
      </x:c>
      <x:c r="D646" s="23" t="n">
        <x:v>45786</x:v>
      </x:c>
      <x:c r="E646" s="13" t="str">
        <x:v>CloudCore</x:v>
      </x:c>
      <x:c r="F646" s="13" t="str">
        <x:v>Tecnologia</x:v>
      </x:c>
      <x:c r="G646" s="17" t="n">
        <x:v>30677.1</x:v>
      </x:c>
      <x:c r="H646" s="17" t="n">
        <x:v>30468.91</x:v>
      </x:c>
      <x:c r="I646" s="13" t="str">
        <x:v>Financeiro</x:v>
      </x:c>
      <x:c r="J646" s="13" t="str">
        <x:v>Pago</x:v>
      </x:c>
      <x:c r="K646" s="13" t="str">
        <x:v>Pico do descontrole</x:v>
      </x:c>
      <x:c r="L646" s="17" t="n">
        <x:f>H646-G646</x:f>
        <x:v>-208.1899999999987</x:v>
      </x:c>
      <x:c r="M646" s="19" t="n">
        <x:f>IFERROR(L646/G646,0)</x:f>
        <x:v>-0.006786495464043169</x:v>
      </x:c>
      <x:c r="N646" s="13" t="n">
        <x:f>D646-C646</x:f>
        <x:v>-1</x:v>
      </x:c>
    </x:row>
    <x:row r="647">
      <x:c r="A647" s="13" t="str">
        <x:v>PAG-000646</x:v>
      </x:c>
      <x:c r="B647" s="23" t="n">
        <x:v>45751</x:v>
      </x:c>
      <x:c r="C647" s="23" t="n">
        <x:v>45758</x:v>
      </x:c>
      <x:c r="D647" s="23" t="n">
        <x:v>45757</x:v>
      </x:c>
      <x:c r="E647" s="13" t="str">
        <x:v>PeopleHub</x:v>
      </x:c>
      <x:c r="F647" s="13" t="str">
        <x:v>Recursos Humanos</x:v>
      </x:c>
      <x:c r="G647" s="17" t="n">
        <x:v>11987.24</x:v>
      </x:c>
      <x:c r="H647" s="17" t="n">
        <x:v>12033.53</x:v>
      </x:c>
      <x:c r="I647" s="13" t="str">
        <x:v>Diretoria</x:v>
      </x:c>
      <x:c r="J647" s="13" t="str">
        <x:v>Pago</x:v>
      </x:c>
      <x:c r="K647" s="13" t="str">
        <x:v>Pico do descontrole</x:v>
      </x:c>
      <x:c r="L647" s="17" t="n">
        <x:f>H647-G647</x:f>
        <x:v>46.29000000000087</x:v>
      </x:c>
      <x:c r="M647" s="19" t="n">
        <x:f>IFERROR(L647/G647,0)</x:f>
        <x:v>0.0038616061745656944</x:v>
      </x:c>
      <x:c r="N647" s="13" t="n">
        <x:f>D647-C647</x:f>
        <x:v>-1</x:v>
      </x:c>
    </x:row>
    <x:row r="648">
      <x:c r="A648" s="13" t="str">
        <x:v>PAG-000647</x:v>
      </x:c>
      <x:c r="B648" s="23" t="n">
        <x:v>45758</x:v>
      </x:c>
      <x:c r="C648" s="23" t="n">
        <x:v>45765</x:v>
      </x:c>
      <x:c r="D648" s="23" t="n">
        <x:v>45762</x:v>
      </x:c>
      <x:c r="E648" s="13" t="str">
        <x:v>Insight BI</x:v>
      </x:c>
      <x:c r="F648" s="13" t="str">
        <x:v>Dados e Analytics</x:v>
      </x:c>
      <x:c r="G648" s="17" t="n">
        <x:v>9856.21</x:v>
      </x:c>
      <x:c r="H648" s="17" t="n">
        <x:v>10342.72</x:v>
      </x:c>
      <x:c r="I648" s="13" t="str">
        <x:v>Financeiro</x:v>
      </x:c>
      <x:c r="J648" s="13" t="str">
        <x:v>Pago</x:v>
      </x:c>
      <x:c r="K648" s="13" t="str">
        <x:v>Pico do descontrole</x:v>
      </x:c>
      <x:c r="L648" s="17" t="n">
        <x:f>H648-G648</x:f>
        <x:v>486.5100000000002</x:v>
      </x:c>
      <x:c r="M648" s="19" t="n">
        <x:f>IFERROR(L648/G648,0)</x:f>
        <x:v>0.04936075834423173</x:v>
      </x:c>
      <x:c r="N648" s="13" t="n">
        <x:f>D648-C648</x:f>
        <x:v>-3</x:v>
      </x:c>
    </x:row>
    <x:row r="649">
      <x:c r="A649" s="13" t="str">
        <x:v>PAG-000648</x:v>
      </x:c>
      <x:c r="B649" s="23" t="n">
        <x:v>45751</x:v>
      </x:c>
      <x:c r="C649" s="23" t="n">
        <x:v>45758</x:v>
      </x:c>
      <x:c r="D649" s="23" t="n">
        <x:v>45757</x:v>
      </x:c>
      <x:c r="E649" s="13" t="str">
        <x:v>Banco Integra</x:v>
      </x:c>
      <x:c r="F649" s="13" t="str">
        <x:v>Serviços bancários</x:v>
      </x:c>
      <x:c r="G649" s="17" t="n">
        <x:v>27966.48</x:v>
      </x:c>
      <x:c r="H649" s="17" t="n">
        <x:v>27458.94</x:v>
      </x:c>
      <x:c r="I649" s="13" t="str">
        <x:v>Gestor da área</x:v>
      </x:c>
      <x:c r="J649" s="13" t="str">
        <x:v>Pago</x:v>
      </x:c>
      <x:c r="K649" s="13" t="str">
        <x:v>Pico do descontrole</x:v>
      </x:c>
      <x:c r="L649" s="17" t="n">
        <x:f>H649-G649</x:f>
        <x:v>-507.5400000000009</x:v>
      </x:c>
      <x:c r="M649" s="19" t="n">
        <x:f>IFERROR(L649/G649,0)</x:f>
        <x:v>-0.018148154504964546</x:v>
      </x:c>
      <x:c r="N649" s="13" t="n">
        <x:f>D649-C649</x:f>
        <x:v>-1</x:v>
      </x:c>
    </x:row>
    <x:row r="650">
      <x:c r="A650" s="13" t="str">
        <x:v>PAG-000649</x:v>
      </x:c>
      <x:c r="B650" s="23" t="n">
        <x:v>45750</x:v>
      </x:c>
      <x:c r="C650" s="23" t="n">
        <x:v>45770</x:v>
      </x:c>
      <x:c r="D650" s="23" t="n">
        <x:v>45770</x:v>
      </x:c>
      <x:c r="E650" s="13" t="str">
        <x:v>MarketLab</x:v>
      </x:c>
      <x:c r="F650" s="13" t="str">
        <x:v>Marketing</x:v>
      </x:c>
      <x:c r="G650" s="17" t="n">
        <x:v>24830</x:v>
      </x:c>
      <x:c r="H650" s="17" t="n">
        <x:v>26229.73</x:v>
      </x:c>
      <x:c r="I650" s="13" t="str">
        <x:v>Financeiro</x:v>
      </x:c>
      <x:c r="J650" s="13" t="str">
        <x:v>Pago</x:v>
      </x:c>
      <x:c r="K650" s="13" t="str">
        <x:v>Pico do descontrole</x:v>
      </x:c>
      <x:c r="L650" s="17" t="n">
        <x:f>H650-G650</x:f>
        <x:v>1399.7299999999996</x:v>
      </x:c>
      <x:c r="M650" s="19" t="n">
        <x:f>IFERROR(L650/G650,0)</x:f>
        <x:v>0.05637253322593635</x:v>
      </x:c>
      <x:c r="N650" s="13" t="n">
        <x:f>D650-C650</x:f>
        <x:v>0</x:v>
      </x:c>
    </x:row>
    <x:row r="651">
      <x:c r="A651" s="13" t="str">
        <x:v>PAG-000650</x:v>
      </x:c>
      <x:c r="B651" s="23" t="n">
        <x:v>45748</x:v>
      </x:c>
      <x:c r="C651" s="23" t="n">
        <x:v>45778</x:v>
      </x:c>
      <x:c r="D651" s="23" t="n">
        <x:v>45779</x:v>
      </x:c>
      <x:c r="E651" s="13" t="str">
        <x:v>PeopleHub</x:v>
      </x:c>
      <x:c r="F651" s="13" t="str">
        <x:v>Recursos Humanos</x:v>
      </x:c>
      <x:c r="G651" s="17" t="n">
        <x:v>18292.47</x:v>
      </x:c>
      <x:c r="H651" s="17" t="n">
        <x:v>18407.87</x:v>
      </x:c>
      <x:c r="I651" s="13" t="str">
        <x:v>Diretoria</x:v>
      </x:c>
      <x:c r="J651" s="13" t="str">
        <x:v>Pago</x:v>
      </x:c>
      <x:c r="K651" s="13" t="str">
        <x:v>Pico do descontrole</x:v>
      </x:c>
      <x:c r="L651" s="17" t="n">
        <x:f>H651-G651</x:f>
        <x:v>115.39999999999782</x:v>
      </x:c>
      <x:c r="M651" s="19" t="n">
        <x:f>IFERROR(L651/G651,0)</x:f>
        <x:v>0.0063086067655159644</x:v>
      </x:c>
      <x:c r="N651" s="13" t="n">
        <x:f>D651-C651</x:f>
        <x:v>1</x:v>
      </x:c>
    </x:row>
    <x:row r="652">
      <x:c r="A652" s="13" t="str">
        <x:v>PAG-000651</x:v>
      </x:c>
      <x:c r="B652" s="23" t="n">
        <x:v>45763</x:v>
      </x:c>
      <x:c r="C652" s="23" t="n">
        <x:v>45793</x:v>
      </x:c>
      <x:c r="D652" s="23" t="n">
        <x:v>45795</x:v>
      </x:c>
      <x:c r="E652" s="13" t="str">
        <x:v>NetLink</x:v>
      </x:c>
      <x:c r="F652" s="13" t="str">
        <x:v>Telecomunicações</x:v>
      </x:c>
      <x:c r="G652" s="17" t="n">
        <x:v>7354.63</x:v>
      </x:c>
      <x:c r="H652" s="17" t="n">
        <x:v>7577.97</x:v>
      </x:c>
      <x:c r="I652" s="13" t="str">
        <x:v>Gestor da área</x:v>
      </x:c>
      <x:c r="J652" s="13" t="str">
        <x:v>Pago</x:v>
      </x:c>
      <x:c r="K652" s="13" t="str">
        <x:v>Pico do descontrole</x:v>
      </x:c>
      <x:c r="L652" s="17" t="n">
        <x:f>H652-G652</x:f>
        <x:v>223.34000000000015</x:v>
      </x:c>
      <x:c r="M652" s="19" t="n">
        <x:f>IFERROR(L652/G652,0)</x:f>
        <x:v>0.0303672652465182</x:v>
      </x:c>
      <x:c r="N652" s="13" t="n">
        <x:f>D652-C652</x:f>
        <x:v>2</x:v>
      </x:c>
    </x:row>
    <x:row r="653">
      <x:c r="A653" s="13" t="str">
        <x:v>PAG-000652</x:v>
      </x:c>
      <x:c r="B653" s="23" t="n">
        <x:v>45766</x:v>
      </x:c>
      <x:c r="C653" s="23" t="n">
        <x:v>45781</x:v>
      </x:c>
      <x:c r="D653" s="23" t="n">
        <x:v>45781</x:v>
      </x:c>
      <x:c r="E653" s="13" t="str">
        <x:v>Banco Integra</x:v>
      </x:c>
      <x:c r="F653" s="13" t="str">
        <x:v>Serviços bancários</x:v>
      </x:c>
      <x:c r="G653" s="17" t="n">
        <x:v>10649.58</x:v>
      </x:c>
      <x:c r="H653" s="17" t="n">
        <x:v>10637.5</x:v>
      </x:c>
      <x:c r="I653" s="13" t="str">
        <x:v>Financeiro</x:v>
      </x:c>
      <x:c r="J653" s="13" t="str">
        <x:v>Pago</x:v>
      </x:c>
      <x:c r="K653" s="13" t="str">
        <x:v>Pico do descontrole</x:v>
      </x:c>
      <x:c r="L653" s="17" t="n">
        <x:f>H653-G653</x:f>
        <x:v>-12.079999999999927</x:v>
      </x:c>
      <x:c r="M653" s="19" t="n">
        <x:f>IFERROR(L653/G653,0)</x:f>
        <x:v>-0.0011343170340989905</x:v>
      </x:c>
      <x:c r="N653" s="13" t="n">
        <x:f>D653-C653</x:f>
        <x:v>0</x:v>
      </x:c>
    </x:row>
    <x:row r="654">
      <x:c r="A654" s="13" t="str">
        <x:v>PAG-000653</x:v>
      </x:c>
      <x:c r="B654" s="23" t="n">
        <x:v>45754</x:v>
      </x:c>
      <x:c r="C654" s="23" t="n">
        <x:v>45774</x:v>
      </x:c>
      <x:c r="D654" s="23" t="n">
        <x:v>45774</x:v>
      </x:c>
      <x:c r="E654" s="13" t="str">
        <x:v>PeopleHub</x:v>
      </x:c>
      <x:c r="F654" s="13" t="str">
        <x:v>Recursos Humanos</x:v>
      </x:c>
      <x:c r="G654" s="17" t="n">
        <x:v>31166.01</x:v>
      </x:c>
      <x:c r="H654" s="17" t="n">
        <x:v>33416.14</x:v>
      </x:c>
      <x:c r="I654" s="13" t="str">
        <x:v>Gestor da área</x:v>
      </x:c>
      <x:c r="J654" s="13" t="str">
        <x:v>Pago</x:v>
      </x:c>
      <x:c r="K654" s="13" t="str">
        <x:v>Pico do descontrole</x:v>
      </x:c>
      <x:c r="L654" s="17" t="n">
        <x:f>H654-G654</x:f>
        <x:v>2250.130000000001</x:v>
      </x:c>
      <x:c r="M654" s="19" t="n">
        <x:f>IFERROR(L654/G654,0)</x:f>
        <x:v>0.07219820567342439</x:v>
      </x:c>
      <x:c r="N654" s="13" t="n">
        <x:f>D654-C654</x:f>
        <x:v>0</x:v>
      </x:c>
    </x:row>
    <x:row r="655">
      <x:c r="A655" s="13" t="str">
        <x:v>PAG-000654</x:v>
      </x:c>
      <x:c r="B655" s="23" t="n">
        <x:v>45751</x:v>
      </x:c>
      <x:c r="C655" s="23" t="n">
        <x:v>45766</x:v>
      </x:c>
      <x:c r="D655" s="23" t="n">
        <x:v>45767</x:v>
      </x:c>
      <x:c r="E655" s="13" t="str">
        <x:v>Banco Integra</x:v>
      </x:c>
      <x:c r="F655" s="13" t="str">
        <x:v>Serviços bancários</x:v>
      </x:c>
      <x:c r="G655" s="17" t="n">
        <x:v>8985.83</x:v>
      </x:c>
      <x:c r="H655" s="17" t="n">
        <x:v>9078.26</x:v>
      </x:c>
      <x:c r="I655" s="13" t="str">
        <x:v>Gestor da área</x:v>
      </x:c>
      <x:c r="J655" s="13" t="str">
        <x:v>Pago</x:v>
      </x:c>
      <x:c r="K655" s="13" t="str">
        <x:v>Pico do descontrole</x:v>
      </x:c>
      <x:c r="L655" s="17" t="n">
        <x:f>H655-G655</x:f>
        <x:v>92.43000000000029</x:v>
      </x:c>
      <x:c r="M655" s="19" t="n">
        <x:f>IFERROR(L655/G655,0)</x:f>
        <x:v>0.010286195042639388</x:v>
      </x:c>
      <x:c r="N655" s="13" t="n">
        <x:f>D655-C655</x:f>
        <x:v>1</x:v>
      </x:c>
    </x:row>
    <x:row r="656">
      <x:c r="A656" s="13" t="str">
        <x:v>PAG-000655</x:v>
      </x:c>
      <x:c r="B656" s="23" t="n">
        <x:v>45748</x:v>
      </x:c>
      <x:c r="C656" s="23" t="n">
        <x:v>45755</x:v>
      </x:c>
      <x:c r="D656" s="23" t="n">
        <x:v>45756</x:v>
      </x:c>
      <x:c r="E656" s="13" t="str">
        <x:v>PeopleHub</x:v>
      </x:c>
      <x:c r="F656" s="13" t="str">
        <x:v>Recursos Humanos</x:v>
      </x:c>
      <x:c r="G656" s="17" t="n">
        <x:v>20892.58</x:v>
      </x:c>
      <x:c r="H656" s="17" t="n">
        <x:v>21263.9</x:v>
      </x:c>
      <x:c r="I656" s="13" t="str">
        <x:v>Financeiro</x:v>
      </x:c>
      <x:c r="J656" s="13" t="str">
        <x:v>Pago</x:v>
      </x:c>
      <x:c r="K656" s="13" t="str">
        <x:v>Pico do descontrole</x:v>
      </x:c>
      <x:c r="L656" s="17" t="n">
        <x:f>H656-G656</x:f>
        <x:v>371.3199999999997</x:v>
      </x:c>
      <x:c r="M656" s="19" t="n">
        <x:f>IFERROR(L656/G656,0)</x:f>
        <x:v>0.01777281695223853</x:v>
      </x:c>
      <x:c r="N656" s="13" t="n">
        <x:f>D656-C656</x:f>
        <x:v>1</x:v>
      </x:c>
    </x:row>
    <x:row r="657">
      <x:c r="A657" s="13" t="str">
        <x:v>PAG-000656</x:v>
      </x:c>
      <x:c r="B657" s="23" t="n">
        <x:v>45762</x:v>
      </x:c>
      <x:c r="C657" s="23" t="n">
        <x:v>45777</x:v>
      </x:c>
      <x:c r="D657" s="23" t="n">
        <x:v>45777</x:v>
      </x:c>
      <x:c r="E657" s="13" t="str">
        <x:v>EducaPro</x:v>
      </x:c>
      <x:c r="F657" s="13" t="str">
        <x:v>Treinamentos</x:v>
      </x:c>
      <x:c r="G657" s="17" t="n">
        <x:v>25028.57</x:v>
      </x:c>
      <x:c r="H657" s="17" t="n">
        <x:v>25515.74</x:v>
      </x:c>
      <x:c r="I657" s="13" t="str">
        <x:v>Gestor da área</x:v>
      </x:c>
      <x:c r="J657" s="13" t="str">
        <x:v>Pago</x:v>
      </x:c>
      <x:c r="K657" s="13" t="str">
        <x:v>Pico do descontrole</x:v>
      </x:c>
      <x:c r="L657" s="17" t="n">
        <x:f>H657-G657</x:f>
        <x:v>487.1700000000019</x:v>
      </x:c>
      <x:c r="M657" s="19" t="n">
        <x:f>IFERROR(L657/G657,0)</x:f>
        <x:v>0.019464555905511258</x:v>
      </x:c>
      <x:c r="N657" s="13" t="n">
        <x:f>D657-C657</x:f>
        <x:v>0</x:v>
      </x:c>
    </x:row>
    <x:row r="658">
      <x:c r="A658" s="13" t="str">
        <x:v>PAG-000657</x:v>
      </x:c>
      <x:c r="B658" s="23" t="n">
        <x:v>45750</x:v>
      </x:c>
      <x:c r="C658" s="23" t="n">
        <x:v>45757</x:v>
      </x:c>
      <x:c r="D658" s="23" t="n">
        <x:v>45755</x:v>
      </x:c>
      <x:c r="E658" s="13" t="str">
        <x:v>PeopleHub</x:v>
      </x:c>
      <x:c r="F658" s="13" t="str">
        <x:v>Recursos Humanos</x:v>
      </x:c>
      <x:c r="G658" s="17" t="n">
        <x:v>31263.27</x:v>
      </x:c>
      <x:c r="H658" s="17" t="n">
        <x:v>32614.27</x:v>
      </x:c>
      <x:c r="I658" s="13" t="str">
        <x:v>Financeiro</x:v>
      </x:c>
      <x:c r="J658" s="13" t="str">
        <x:v>Pago</x:v>
      </x:c>
      <x:c r="K658" s="13" t="str">
        <x:v>Pico do descontrole</x:v>
      </x:c>
      <x:c r="L658" s="17" t="n">
        <x:f>H658-G658</x:f>
        <x:v>1351</x:v>
      </x:c>
      <x:c r="M658" s="19" t="n">
        <x:f>IFERROR(L658/G658,0)</x:f>
        <x:v>0.04321364975576771</x:v>
      </x:c>
      <x:c r="N658" s="13" t="n">
        <x:f>D658-C658</x:f>
        <x:v>-2</x:v>
      </x:c>
    </x:row>
    <x:row r="659">
      <x:c r="A659" s="13" t="str">
        <x:v>PAG-000658</x:v>
      </x:c>
      <x:c r="B659" s="23" t="n">
        <x:v>45761</x:v>
      </x:c>
      <x:c r="C659" s="23" t="n">
        <x:v>45768</x:v>
      </x:c>
      <x:c r="D659" s="23" t="n">
        <x:v>45768</x:v>
      </x:c>
      <x:c r="E659" s="13" t="str">
        <x:v>LegalMais</x:v>
      </x:c>
      <x:c r="F659" s="13" t="str">
        <x:v>Jurídico</x:v>
      </x:c>
      <x:c r="G659" s="17" t="n">
        <x:v>29902.86</x:v>
      </x:c>
      <x:c r="H659" s="17" t="n">
        <x:v>31225.73</x:v>
      </x:c>
      <x:c r="I659" s="13" t="str">
        <x:v>Gestor da área</x:v>
      </x:c>
      <x:c r="J659" s="13" t="str">
        <x:v>Pago</x:v>
      </x:c>
      <x:c r="K659" s="13" t="str">
        <x:v>Pico do descontrole</x:v>
      </x:c>
      <x:c r="L659" s="17" t="n">
        <x:f>H659-G659</x:f>
        <x:v>1322.869999999999</x:v>
      </x:c>
      <x:c r="M659" s="19" t="n">
        <x:f>IFERROR(L659/G659,0)</x:f>
        <x:v>0.04423891226457934</x:v>
      </x:c>
      <x:c r="N659" s="13" t="n">
        <x:f>D659-C659</x:f>
        <x:v>0</x:v>
      </x:c>
    </x:row>
    <x:row r="660">
      <x:c r="A660" s="13" t="str">
        <x:v>PAG-000659</x:v>
      </x:c>
      <x:c r="B660" s="23" t="n">
        <x:v>45758</x:v>
      </x:c>
      <x:c r="C660" s="23" t="n">
        <x:v>45765</x:v>
      </x:c>
      <x:c r="D660" s="23" t="n">
        <x:v>45765</x:v>
      </x:c>
      <x:c r="E660" s="13" t="str">
        <x:v>EducaPro</x:v>
      </x:c>
      <x:c r="F660" s="13" t="str">
        <x:v>Treinamentos</x:v>
      </x:c>
      <x:c r="G660" s="17" t="n">
        <x:v>11166.92</x:v>
      </x:c>
      <x:c r="H660" s="17" t="n">
        <x:v>11103.98</x:v>
      </x:c>
      <x:c r="I660" s="13" t="str">
        <x:v>Diretoria</x:v>
      </x:c>
      <x:c r="J660" s="13" t="str">
        <x:v>Pago</x:v>
      </x:c>
      <x:c r="K660" s="13" t="str">
        <x:v>Pico do descontrole</x:v>
      </x:c>
      <x:c r="L660" s="17" t="n">
        <x:f>H660-G660</x:f>
        <x:v>-62.94000000000051</x:v>
      </x:c>
      <x:c r="M660" s="19" t="n">
        <x:f>IFERROR(L660/G660,0)</x:f>
        <x:v>-0.005636290042375204</x:v>
      </x:c>
      <x:c r="N660" s="13" t="n">
        <x:f>D660-C660</x:f>
        <x:v>0</x:v>
      </x:c>
    </x:row>
    <x:row r="661">
      <x:c r="A661" s="13" t="str">
        <x:v>PAG-000660</x:v>
      </x:c>
      <x:c r="B661" s="23" t="n">
        <x:v>45762</x:v>
      </x:c>
      <x:c r="C661" s="23" t="n">
        <x:v>45792</x:v>
      </x:c>
      <x:c r="D661" s="23" t="n">
        <x:v>45791</x:v>
      </x:c>
      <x:c r="E661" s="13" t="str">
        <x:v>WorkSpace</x:v>
      </x:c>
      <x:c r="F661" s="13" t="str">
        <x:v>Locação</x:v>
      </x:c>
      <x:c r="G661" s="17" t="n">
        <x:v>9306.84</x:v>
      </x:c>
      <x:c r="H661" s="17" t="n">
        <x:v>9435.11</x:v>
      </x:c>
      <x:c r="I661" s="13" t="str">
        <x:v>Diretoria</x:v>
      </x:c>
      <x:c r="J661" s="13" t="str">
        <x:v>Pago</x:v>
      </x:c>
      <x:c r="K661" s="13" t="str">
        <x:v>Pico do descontrole</x:v>
      </x:c>
      <x:c r="L661" s="17" t="n">
        <x:f>H661-G661</x:f>
        <x:v>128.27000000000044</x:v>
      </x:c>
      <x:c r="M661" s="19" t="n">
        <x:f>IFERROR(L661/G661,0)</x:f>
        <x:v>0.013782336432129534</x:v>
      </x:c>
      <x:c r="N661" s="13" t="n">
        <x:f>D661-C661</x:f>
        <x:v>-1</x:v>
      </x:c>
    </x:row>
    <x:row r="662">
      <x:c r="A662" s="13" t="str">
        <x:v>PAG-000661</x:v>
      </x:c>
      <x:c r="B662" s="23" t="n">
        <x:v>45759</x:v>
      </x:c>
      <x:c r="C662" s="23" t="n">
        <x:v>45766</x:v>
      </x:c>
      <x:c r="D662" s="23" t="n">
        <x:v>45766</x:v>
      </x:c>
      <x:c r="E662" s="13" t="str">
        <x:v>PeopleHub</x:v>
      </x:c>
      <x:c r="F662" s="13" t="str">
        <x:v>Recursos Humanos</x:v>
      </x:c>
      <x:c r="G662" s="17" t="n">
        <x:v>23862.18</x:v>
      </x:c>
      <x:c r="H662" s="17" t="n">
        <x:v>24077.08</x:v>
      </x:c>
      <x:c r="I662" s="13" t="str">
        <x:v>Gestor da área</x:v>
      </x:c>
      <x:c r="J662" s="13" t="str">
        <x:v>Pago</x:v>
      </x:c>
      <x:c r="K662" s="13" t="str">
        <x:v>Pico do descontrole</x:v>
      </x:c>
      <x:c r="L662" s="17" t="n">
        <x:f>H662-G662</x:f>
        <x:v>214.90000000000146</x:v>
      </x:c>
      <x:c r="M662" s="19" t="n">
        <x:f>IFERROR(L662/G662,0)</x:f>
        <x:v>0.009005882949504255</x:v>
      </x:c>
      <x:c r="N662" s="13" t="n">
        <x:f>D662-C662</x:f>
        <x:v>0</x:v>
      </x:c>
    </x:row>
    <x:row r="663">
      <x:c r="A663" s="13" t="str">
        <x:v>PAG-000662</x:v>
      </x:c>
      <x:c r="B663" s="23" t="n">
        <x:v>45761</x:v>
      </x:c>
      <x:c r="C663" s="23" t="n">
        <x:v>45781</x:v>
      </x:c>
      <x:c r="D663" s="23" t="n">
        <x:v>45783</x:v>
      </x:c>
      <x:c r="E663" s="13" t="str">
        <x:v>Insight BI</x:v>
      </x:c>
      <x:c r="F663" s="13" t="str">
        <x:v>Dados e Analytics</x:v>
      </x:c>
      <x:c r="G663" s="17" t="n">
        <x:v>1543.71</x:v>
      </x:c>
      <x:c r="H663" s="17" t="n">
        <x:v>1514.95</x:v>
      </x:c>
      <x:c r="I663" s="13" t="str">
        <x:v>Financeiro</x:v>
      </x:c>
      <x:c r="J663" s="13" t="str">
        <x:v>Pago</x:v>
      </x:c>
      <x:c r="K663" s="13" t="str">
        <x:v>Pico do descontrole</x:v>
      </x:c>
      <x:c r="L663" s="17" t="n">
        <x:f>H663-G663</x:f>
        <x:v>-28.75999999999999</x:v>
      </x:c>
      <x:c r="M663" s="19" t="n">
        <x:f>IFERROR(L663/G663,0)</x:f>
        <x:v>-0.01863044224627682</x:v>
      </x:c>
      <x:c r="N663" s="13" t="n">
        <x:f>D663-C663</x:f>
        <x:v>2</x:v>
      </x:c>
    </x:row>
    <x:row r="664">
      <x:c r="A664" s="13" t="str">
        <x:v>PAG-000663</x:v>
      </x:c>
      <x:c r="B664" s="23" t="n">
        <x:v>45752</x:v>
      </x:c>
      <x:c r="C664" s="23" t="n">
        <x:v>45759</x:v>
      </x:c>
      <x:c r="D664" s="23" t="n">
        <x:v>45759</x:v>
      </x:c>
      <x:c r="E664" s="13" t="str">
        <x:v>Office Prime</x:v>
      </x:c>
      <x:c r="F664" s="13" t="str">
        <x:v>Escritório</x:v>
      </x:c>
      <x:c r="G664" s="17" t="n">
        <x:v>13941.49</x:v>
      </x:c>
      <x:c r="H664" s="17" t="n">
        <x:v>14151.18</x:v>
      </x:c>
      <x:c r="I664" s="13" t="str">
        <x:v>Diretoria</x:v>
      </x:c>
      <x:c r="J664" s="13" t="str">
        <x:v>Pago</x:v>
      </x:c>
      <x:c r="K664" s="13" t="str">
        <x:v>Pico do descontrole</x:v>
      </x:c>
      <x:c r="L664" s="17" t="n">
        <x:f>H664-G664</x:f>
        <x:v>209.6900000000005</x:v>
      </x:c>
      <x:c r="M664" s="19" t="n">
        <x:f>IFERROR(L664/G664,0)</x:f>
        <x:v>0.015040716594854675</x:v>
      </x:c>
      <x:c r="N664" s="13" t="n">
        <x:f>D664-C664</x:f>
        <x:v>0</x:v>
      </x:c>
    </x:row>
    <x:row r="665">
      <x:c r="A665" s="13" t="str">
        <x:v>PAG-000664</x:v>
      </x:c>
      <x:c r="B665" s="23" t="n">
        <x:v>45754</x:v>
      </x:c>
      <x:c r="C665" s="23" t="n">
        <x:v>45769</x:v>
      </x:c>
      <x:c r="D665" s="23" t="n">
        <x:v>45768</x:v>
      </x:c>
      <x:c r="E665" s="13" t="str">
        <x:v>WorkSpace</x:v>
      </x:c>
      <x:c r="F665" s="13" t="str">
        <x:v>Locação</x:v>
      </x:c>
      <x:c r="G665" s="17" t="n">
        <x:v>6475.06</x:v>
      </x:c>
      <x:c r="H665" s="17" t="n">
        <x:v>6434.75</x:v>
      </x:c>
      <x:c r="I665" s="13" t="str">
        <x:v>Diretoria</x:v>
      </x:c>
      <x:c r="J665" s="13" t="str">
        <x:v>Pago</x:v>
      </x:c>
      <x:c r="K665" s="13" t="str">
        <x:v>Pico do descontrole</x:v>
      </x:c>
      <x:c r="L665" s="17" t="n">
        <x:f>H665-G665</x:f>
        <x:v>-40.3100000000004</x:v>
      </x:c>
      <x:c r="M665" s="19" t="n">
        <x:f>IFERROR(L665/G665,0)</x:f>
        <x:v>-0.006225424938147353</x:v>
      </x:c>
      <x:c r="N665" s="13" t="n">
        <x:f>D665-C665</x:f>
        <x:v>-1</x:v>
      </x:c>
    </x:row>
    <x:row r="666">
      <x:c r="A666" s="13" t="str">
        <x:v>PAG-000665</x:v>
      </x:c>
      <x:c r="B666" s="23" t="n">
        <x:v>45767</x:v>
      </x:c>
      <x:c r="C666" s="23" t="n">
        <x:v>45787</x:v>
      </x:c>
      <x:c r="D666" s="23" t="n">
        <x:v>45788</x:v>
      </x:c>
      <x:c r="E666" s="13" t="str">
        <x:v>LegalMais</x:v>
      </x:c>
      <x:c r="F666" s="13" t="str">
        <x:v>Jurídico</x:v>
      </x:c>
      <x:c r="G666" s="17" t="n">
        <x:v>15953.43</x:v>
      </x:c>
      <x:c r="H666" s="17" t="n">
        <x:v>16766.34</x:v>
      </x:c>
      <x:c r="I666" s="13" t="str">
        <x:v>Diretoria</x:v>
      </x:c>
      <x:c r="J666" s="13" t="str">
        <x:v>Pago</x:v>
      </x:c>
      <x:c r="K666" s="13" t="str">
        <x:v>Pico do descontrole</x:v>
      </x:c>
      <x:c r="L666" s="17" t="n">
        <x:f>H666-G666</x:f>
        <x:v>812.9099999999999</x:v>
      </x:c>
      <x:c r="M666" s="19" t="n">
        <x:f>IFERROR(L666/G666,0)</x:f>
        <x:v>0.05095518643953055</x:v>
      </x:c>
      <x:c r="N666" s="13" t="n">
        <x:f>D666-C666</x:f>
        <x:v>1</x:v>
      </x:c>
    </x:row>
    <x:row r="667">
      <x:c r="A667" s="13" t="str">
        <x:v>PAG-000666</x:v>
      </x:c>
      <x:c r="B667" s="23" t="n">
        <x:v>45756</x:v>
      </x:c>
      <x:c r="C667" s="23" t="n">
        <x:v>45763</x:v>
      </x:c>
      <x:c r="D667" s="23" t="n">
        <x:v>45763</x:v>
      </x:c>
      <x:c r="E667" s="13" t="str">
        <x:v>LegalMais</x:v>
      </x:c>
      <x:c r="F667" s="13" t="str">
        <x:v>Jurídico</x:v>
      </x:c>
      <x:c r="G667" s="17" t="n">
        <x:v>31635.04</x:v>
      </x:c>
      <x:c r="H667" s="17" t="n">
        <x:v>31781.57</x:v>
      </x:c>
      <x:c r="I667" s="13" t="str">
        <x:v>Gestor da área</x:v>
      </x:c>
      <x:c r="J667" s="13" t="str">
        <x:v>Pago</x:v>
      </x:c>
      <x:c r="K667" s="13" t="str">
        <x:v>Pico do descontrole</x:v>
      </x:c>
      <x:c r="L667" s="17" t="n">
        <x:f>H667-G667</x:f>
        <x:v>146.52999999999884</x:v>
      </x:c>
      <x:c r="M667" s="19" t="n">
        <x:f>IFERROR(L667/G667,0)</x:f>
        <x:v>0.004631889196283578</x:v>
      </x:c>
      <x:c r="N667" s="13" t="n">
        <x:f>D667-C667</x:f>
        <x:v>0</x:v>
      </x:c>
    </x:row>
    <x:row r="668">
      <x:c r="A668" s="13" t="str">
        <x:v>PAG-000667</x:v>
      </x:c>
      <x:c r="B668" s="23" t="n">
        <x:v>45759</x:v>
      </x:c>
      <x:c r="C668" s="23" t="n">
        <x:v>45789</x:v>
      </x:c>
      <x:c r="D668" s="23" t="n">
        <x:v>45786</x:v>
      </x:c>
      <x:c r="E668" s="13" t="str">
        <x:v>WorkSpace</x:v>
      </x:c>
      <x:c r="F668" s="13" t="str">
        <x:v>Locação</x:v>
      </x:c>
      <x:c r="G668" s="17" t="n">
        <x:v>15367.57</x:v>
      </x:c>
      <x:c r="H668" s="17" t="n">
        <x:v>15815.43</x:v>
      </x:c>
      <x:c r="I668" s="13" t="str">
        <x:v>Gestor da área</x:v>
      </x:c>
      <x:c r="J668" s="13" t="str">
        <x:v>Pago</x:v>
      </x:c>
      <x:c r="K668" s="13" t="str">
        <x:v>Pico do descontrole</x:v>
      </x:c>
      <x:c r="L668" s="17" t="n">
        <x:f>H668-G668</x:f>
        <x:v>447.8600000000006</x:v>
      </x:c>
      <x:c r="M668" s="19" t="n">
        <x:f>IFERROR(L668/G668,0)</x:f>
        <x:v>0.029143189196470267</x:v>
      </x:c>
      <x:c r="N668" s="13" t="n">
        <x:f>D668-C668</x:f>
        <x:v>-3</x:v>
      </x:c>
    </x:row>
    <x:row r="669">
      <x:c r="A669" s="13" t="str">
        <x:v>PAG-000668</x:v>
      </x:c>
      <x:c r="B669" s="23" t="n">
        <x:v>45757</x:v>
      </x:c>
      <x:c r="C669" s="23" t="n">
        <x:v>45787</x:v>
      </x:c>
      <x:c r="D669" s="23" t="n">
        <x:v>45787</x:v>
      </x:c>
      <x:c r="E669" s="13" t="str">
        <x:v>Office Prime</x:v>
      </x:c>
      <x:c r="F669" s="13" t="str">
        <x:v>Escritório</x:v>
      </x:c>
      <x:c r="G669" s="17" t="n">
        <x:v>10672.19</x:v>
      </x:c>
      <x:c r="H669" s="17" t="n">
        <x:v>10841.45</x:v>
      </x:c>
      <x:c r="I669" s="13" t="str">
        <x:v>Diretoria</x:v>
      </x:c>
      <x:c r="J669" s="13" t="str">
        <x:v>Pago</x:v>
      </x:c>
      <x:c r="K669" s="13" t="str">
        <x:v>Pico do descontrole</x:v>
      </x:c>
      <x:c r="L669" s="17" t="n">
        <x:f>H669-G669</x:f>
        <x:v>169.26000000000022</x:v>
      </x:c>
      <x:c r="M669" s="19" t="n">
        <x:f>IFERROR(L669/G669,0)</x:f>
        <x:v>0.015859912539038398</x:v>
      </x:c>
      <x:c r="N669" s="13" t="n">
        <x:f>D669-C669</x:f>
        <x:v>0</x:v>
      </x:c>
    </x:row>
    <x:row r="670">
      <x:c r="A670" s="13" t="str">
        <x:v>PAG-000669</x:v>
      </x:c>
      <x:c r="B670" s="23" t="n">
        <x:v>45766</x:v>
      </x:c>
      <x:c r="C670" s="23" t="n">
        <x:v>45781</x:v>
      </x:c>
      <x:c r="D670" s="23" t="n">
        <x:v>45781</x:v>
      </x:c>
      <x:c r="E670" s="13" t="str">
        <x:v>Insight BI</x:v>
      </x:c>
      <x:c r="F670" s="13" t="str">
        <x:v>Dados e Analytics</x:v>
      </x:c>
      <x:c r="G670" s="17" t="n">
        <x:v>6406.95</x:v>
      </x:c>
      <x:c r="H670" s="17" t="n">
        <x:v>6423.61</x:v>
      </x:c>
      <x:c r="I670" s="13" t="str">
        <x:v>Diretoria</x:v>
      </x:c>
      <x:c r="J670" s="13" t="str">
        <x:v>Pago</x:v>
      </x:c>
      <x:c r="K670" s="13" t="str">
        <x:v>Pico do descontrole</x:v>
      </x:c>
      <x:c r="L670" s="17" t="n">
        <x:f>H670-G670</x:f>
        <x:v>16.659999999999854</x:v>
      </x:c>
      <x:c r="M670" s="19" t="n">
        <x:f>IFERROR(L670/G670,0)</x:f>
        <x:v>0.002600301235377185</x:v>
      </x:c>
      <x:c r="N670" s="13" t="n">
        <x:f>D670-C670</x:f>
        <x:v>0</x:v>
      </x:c>
    </x:row>
    <x:row r="671">
      <x:c r="A671" s="13" t="str">
        <x:v>PAG-000670</x:v>
      </x:c>
      <x:c r="B671" s="23" t="n">
        <x:v>45754</x:v>
      </x:c>
      <x:c r="C671" s="23" t="n">
        <x:v>45784</x:v>
      </x:c>
      <x:c r="D671" s="23" t="n">
        <x:v>45783</x:v>
      </x:c>
      <x:c r="E671" s="13" t="str">
        <x:v>CloudCore</x:v>
      </x:c>
      <x:c r="F671" s="13" t="str">
        <x:v>Tecnologia</x:v>
      </x:c>
      <x:c r="G671" s="17" t="n">
        <x:v>29586.6</x:v>
      </x:c>
      <x:c r="H671" s="17" t="n">
        <x:v>31071.41</x:v>
      </x:c>
      <x:c r="I671" s="13" t="str">
        <x:v>Diretoria</x:v>
      </x:c>
      <x:c r="J671" s="13" t="str">
        <x:v>Pago</x:v>
      </x:c>
      <x:c r="K671" s="13" t="str">
        <x:v>Pico do descontrole</x:v>
      </x:c>
      <x:c r="L671" s="17" t="n">
        <x:f>H671-G671</x:f>
        <x:v>1484.8100000000013</x:v>
      </x:c>
      <x:c r="M671" s="19" t="n">
        <x:f>IFERROR(L671/G671,0)</x:f>
        <x:v>0.050185218984269954</x:v>
      </x:c>
      <x:c r="N671" s="13" t="n">
        <x:f>D671-C671</x:f>
        <x:v>-1</x:v>
      </x:c>
    </x:row>
    <x:row r="672">
      <x:c r="A672" s="13" t="str">
        <x:v>PAG-000671</x:v>
      </x:c>
      <x:c r="B672" s="23" t="n">
        <x:v>45764</x:v>
      </x:c>
      <x:c r="C672" s="23" t="n">
        <x:v>45784</x:v>
      </x:c>
      <x:c r="D672" s="23" t="n">
        <x:v>45785</x:v>
      </x:c>
      <x:c r="E672" s="13" t="str">
        <x:v>LegalMais</x:v>
      </x:c>
      <x:c r="F672" s="13" t="str">
        <x:v>Jurídico</x:v>
      </x:c>
      <x:c r="G672" s="17" t="n">
        <x:v>4922.35</x:v>
      </x:c>
      <x:c r="H672" s="17" t="n">
        <x:v>5212.51</x:v>
      </x:c>
      <x:c r="I672" s="13" t="str">
        <x:v>Financeiro</x:v>
      </x:c>
      <x:c r="J672" s="13" t="str">
        <x:v>Pago</x:v>
      </x:c>
      <x:c r="K672" s="13" t="str">
        <x:v>Pico do descontrole</x:v>
      </x:c>
      <x:c r="L672" s="17" t="n">
        <x:f>H672-G672</x:f>
        <x:v>290.15999999999985</x:v>
      </x:c>
      <x:c r="M672" s="19" t="n">
        <x:f>IFERROR(L672/G672,0)</x:f>
        <x:v>0.058947453959998744</x:v>
      </x:c>
      <x:c r="N672" s="13" t="n">
        <x:f>D672-C672</x:f>
        <x:v>1</x:v>
      </x:c>
    </x:row>
    <x:row r="673">
      <x:c r="A673" s="13" t="str">
        <x:v>PAG-000672</x:v>
      </x:c>
      <x:c r="B673" s="23" t="n">
        <x:v>45753</x:v>
      </x:c>
      <x:c r="C673" s="23" t="n">
        <x:v>45768</x:v>
      </x:c>
      <x:c r="D673" s="23" t="n">
        <x:v>45769</x:v>
      </x:c>
      <x:c r="E673" s="13" t="str">
        <x:v>EducaPro</x:v>
      </x:c>
      <x:c r="F673" s="13" t="str">
        <x:v>Treinamentos</x:v>
      </x:c>
      <x:c r="G673" s="17" t="n">
        <x:v>24390.1</x:v>
      </x:c>
      <x:c r="H673" s="17" t="n">
        <x:v>24556.99</x:v>
      </x:c>
      <x:c r="I673" s="13" t="str">
        <x:v>Gestor da área</x:v>
      </x:c>
      <x:c r="J673" s="13" t="str">
        <x:v>Pago</x:v>
      </x:c>
      <x:c r="K673" s="13" t="str">
        <x:v>Pico do descontrole</x:v>
      </x:c>
      <x:c r="L673" s="17" t="n">
        <x:f>H673-G673</x:f>
        <x:v>166.89000000000306</x:v>
      </x:c>
      <x:c r="M673" s="19" t="n">
        <x:f>IFERROR(L673/G673,0)</x:f>
        <x:v>0.0068425303709293145</x:v>
      </x:c>
      <x:c r="N673" s="13" t="n">
        <x:f>D673-C673</x:f>
        <x:v>1</x:v>
      </x:c>
    </x:row>
    <x:row r="674">
      <x:c r="A674" s="13" t="str">
        <x:v>PAG-000673</x:v>
      </x:c>
      <x:c r="B674" s="23" t="n">
        <x:v>45785</x:v>
      </x:c>
      <x:c r="C674" s="23" t="n">
        <x:v>45800</x:v>
      </x:c>
      <x:c r="D674" s="23" t="n">
        <x:v>45801</x:v>
      </x:c>
      <x:c r="E674" s="13" t="str">
        <x:v>Insight BI</x:v>
      </x:c>
      <x:c r="F674" s="13" t="str">
        <x:v>Dados e Analytics</x:v>
      </x:c>
      <x:c r="G674" s="17" t="n">
        <x:v>28266.34</x:v>
      </x:c>
      <x:c r="H674" s="17" t="n">
        <x:v>27315.64</x:v>
      </x:c>
      <x:c r="I674" s="13" t="str">
        <x:v>Gestor da área</x:v>
      </x:c>
      <x:c r="J674" s="13" t="str">
        <x:v>Pago</x:v>
      </x:c>
      <x:c r="K674" s="13" t="str">
        <x:v>Operação Clareza</x:v>
      </x:c>
      <x:c r="L674" s="17" t="n">
        <x:f>H674-G674</x:f>
        <x:v>-950.7000000000007</x:v>
      </x:c>
      <x:c r="M674" s="19" t="n">
        <x:f>IFERROR(L674/G674,0)</x:f>
        <x:v>-0.033633643407671485</x:v>
      </x:c>
      <x:c r="N674" s="13" t="n">
        <x:f>D674-C674</x:f>
        <x:v>1</x:v>
      </x:c>
    </x:row>
    <x:row r="675">
      <x:c r="A675" s="13" t="str">
        <x:v>PAG-000674</x:v>
      </x:c>
      <x:c r="B675" s="23" t="n">
        <x:v>45782</x:v>
      </x:c>
      <x:c r="C675" s="23" t="n">
        <x:v>45802</x:v>
      </x:c>
      <x:c r="D675" s="23" t="n">
        <x:v>45802</x:v>
      </x:c>
      <x:c r="E675" s="13" t="str">
        <x:v>NetLink</x:v>
      </x:c>
      <x:c r="F675" s="13" t="str">
        <x:v>Telecomunicações</x:v>
      </x:c>
      <x:c r="G675" s="17" t="n">
        <x:v>26679.49</x:v>
      </x:c>
      <x:c r="H675" s="17" t="n">
        <x:v>25889.08</x:v>
      </x:c>
      <x:c r="I675" s="13" t="str">
        <x:v>Financeiro</x:v>
      </x:c>
      <x:c r="J675" s="13" t="str">
        <x:v>Pago</x:v>
      </x:c>
      <x:c r="K675" s="13" t="str">
        <x:v>Operação Clareza</x:v>
      </x:c>
      <x:c r="L675" s="17" t="n">
        <x:f>H675-G675</x:f>
        <x:v>-790.4099999999999</x:v>
      </x:c>
      <x:c r="M675" s="19" t="n">
        <x:f>IFERROR(L675/G675,0)</x:f>
        <x:v>-0.029626128535440513</x:v>
      </x:c>
      <x:c r="N675" s="13" t="n">
        <x:f>D675-C675</x:f>
        <x:v>0</x:v>
      </x:c>
    </x:row>
    <x:row r="676">
      <x:c r="A676" s="13" t="str">
        <x:v>PAG-000675</x:v>
      </x:c>
      <x:c r="B676" s="23" t="n">
        <x:v>45790</x:v>
      </x:c>
      <x:c r="C676" s="23" t="n">
        <x:v>45820</x:v>
      </x:c>
      <x:c r="D676" s="23" t="n">
        <x:v>45818</x:v>
      </x:c>
      <x:c r="E676" s="13" t="str">
        <x:v>Conta Certa</x:v>
      </x:c>
      <x:c r="F676" s="13" t="str">
        <x:v>Contabilidade</x:v>
      </x:c>
      <x:c r="G676" s="17" t="n">
        <x:v>22580.25</x:v>
      </x:c>
      <x:c r="H676" s="17" t="n">
        <x:v>23531.03</x:v>
      </x:c>
      <x:c r="I676" s="13" t="str">
        <x:v>Diretoria</x:v>
      </x:c>
      <x:c r="J676" s="13" t="str">
        <x:v>Pago</x:v>
      </x:c>
      <x:c r="K676" s="13" t="str">
        <x:v>Operação Clareza</x:v>
      </x:c>
      <x:c r="L676" s="17" t="n">
        <x:f>H676-G676</x:f>
        <x:v>950.7799999999988</x:v>
      </x:c>
      <x:c r="M676" s="19" t="n">
        <x:f>IFERROR(L676/G676,0)</x:f>
        <x:v>0.042106708295966556</x:v>
      </x:c>
      <x:c r="N676" s="13" t="n">
        <x:f>D676-C676</x:f>
        <x:v>-2</x:v>
      </x:c>
    </x:row>
    <x:row r="677">
      <x:c r="A677" s="13" t="str">
        <x:v>PAG-000676</x:v>
      </x:c>
      <x:c r="B677" s="23" t="n">
        <x:v>45793</x:v>
      </x:c>
      <x:c r="C677" s="23" t="n">
        <x:v>45808</x:v>
      </x:c>
      <x:c r="D677" s="23" t="n">
        <x:v>45807</x:v>
      </x:c>
      <x:c r="E677" s="13" t="str">
        <x:v>MarketLab</x:v>
      </x:c>
      <x:c r="F677" s="13" t="str">
        <x:v>Marketing</x:v>
      </x:c>
      <x:c r="G677" s="17" t="n">
        <x:v>22730.67</x:v>
      </x:c>
      <x:c r="H677" s="17" t="n">
        <x:v>23009.14</x:v>
      </x:c>
      <x:c r="I677" s="13" t="str">
        <x:v>Financeiro</x:v>
      </x:c>
      <x:c r="J677" s="13" t="str">
        <x:v>Pago</x:v>
      </x:c>
      <x:c r="K677" s="13" t="str">
        <x:v>Operação Clareza</x:v>
      </x:c>
      <x:c r="L677" s="17" t="n">
        <x:f>H677-G677</x:f>
        <x:v>278.47000000000116</x:v>
      </x:c>
      <x:c r="M677" s="19" t="n">
        <x:f>IFERROR(L677/G677,0)</x:f>
        <x:v>0.012250848743129929</x:v>
      </x:c>
      <x:c r="N677" s="13" t="n">
        <x:f>D677-C677</x:f>
        <x:v>-1</x:v>
      </x:c>
    </x:row>
    <x:row r="678">
      <x:c r="A678" s="13" t="str">
        <x:v>PAG-000677</x:v>
      </x:c>
      <x:c r="B678" s="23" t="n">
        <x:v>45786</x:v>
      </x:c>
      <x:c r="C678" s="23" t="n">
        <x:v>45806</x:v>
      </x:c>
      <x:c r="D678" s="23" t="n">
        <x:v>45807</x:v>
      </x:c>
      <x:c r="E678" s="13" t="str">
        <x:v>NetLink</x:v>
      </x:c>
      <x:c r="F678" s="13" t="str">
        <x:v>Telecomunicações</x:v>
      </x:c>
      <x:c r="G678" s="17" t="n">
        <x:v>23445.09</x:v>
      </x:c>
      <x:c r="H678" s="17" t="n">
        <x:v>22889.5</x:v>
      </x:c>
      <x:c r="I678" s="13" t="str">
        <x:v>Diretoria</x:v>
      </x:c>
      <x:c r="J678" s="13" t="str">
        <x:v>Pago</x:v>
      </x:c>
      <x:c r="K678" s="13" t="str">
        <x:v>Operação Clareza</x:v>
      </x:c>
      <x:c r="L678" s="17" t="n">
        <x:f>H678-G678</x:f>
        <x:v>-555.5900000000001</x:v>
      </x:c>
      <x:c r="M678" s="19" t="n">
        <x:f>IFERROR(L678/G678,0)</x:f>
        <x:v>-0.023697499135213393</x:v>
      </x:c>
      <x:c r="N678" s="13" t="n">
        <x:f>D678-C678</x:f>
        <x:v>1</x:v>
      </x:c>
    </x:row>
    <x:row r="679">
      <x:c r="A679" s="13" t="str">
        <x:v>PAG-000678</x:v>
      </x:c>
      <x:c r="B679" s="23" t="n">
        <x:v>45780</x:v>
      </x:c>
      <x:c r="C679" s="23" t="n">
        <x:v>45810</x:v>
      </x:c>
      <x:c r="D679" s="23" t="n">
        <x:v>45810</x:v>
      </x:c>
      <x:c r="E679" s="13" t="str">
        <x:v>PeopleHub</x:v>
      </x:c>
      <x:c r="F679" s="13" t="str">
        <x:v>Recursos Humanos</x:v>
      </x:c>
      <x:c r="G679" s="17" t="n">
        <x:v>15757.54</x:v>
      </x:c>
      <x:c r="H679" s="17" t="n">
        <x:v>15498.12</x:v>
      </x:c>
      <x:c r="I679" s="13" t="str">
        <x:v>Gestor da área</x:v>
      </x:c>
      <x:c r="J679" s="13" t="str">
        <x:v>Pago</x:v>
      </x:c>
      <x:c r="K679" s="13" t="str">
        <x:v>Operação Clareza</x:v>
      </x:c>
      <x:c r="L679" s="17" t="n">
        <x:f>H679-G679</x:f>
        <x:v>-259.4200000000001</x:v>
      </x:c>
      <x:c r="M679" s="19" t="n">
        <x:f>IFERROR(L679/G679,0)</x:f>
        <x:v>-0.016463229666559633</x:v>
      </x:c>
      <x:c r="N679" s="13" t="n">
        <x:f>D679-C679</x:f>
        <x:v>0</x:v>
      </x:c>
    </x:row>
    <x:row r="680">
      <x:c r="A680" s="13" t="str">
        <x:v>PAG-000679</x:v>
      </x:c>
      <x:c r="B680" s="23" t="n">
        <x:v>45792</x:v>
      </x:c>
      <x:c r="C680" s="23" t="n">
        <x:v>45799</x:v>
      </x:c>
      <x:c r="D680" s="23" t="n">
        <x:v>45799</x:v>
      </x:c>
      <x:c r="E680" s="13" t="str">
        <x:v>PeopleHub</x:v>
      </x:c>
      <x:c r="F680" s="13" t="str">
        <x:v>Recursos Humanos</x:v>
      </x:c>
      <x:c r="G680" s="17" t="n">
        <x:v>19648.29</x:v>
      </x:c>
      <x:c r="H680" s="17" t="n">
        <x:v>19431.53</x:v>
      </x:c>
      <x:c r="I680" s="13" t="str">
        <x:v>Gestor da área</x:v>
      </x:c>
      <x:c r="J680" s="13" t="str">
        <x:v>Pago</x:v>
      </x:c>
      <x:c r="K680" s="13" t="str">
        <x:v>Operação Clareza</x:v>
      </x:c>
      <x:c r="L680" s="17" t="n">
        <x:f>H680-G680</x:f>
        <x:v>-216.76000000000204</x:v>
      </x:c>
      <x:c r="M680" s="19" t="n">
        <x:f>IFERROR(L680/G680,0)</x:f>
        <x:v>-0.011032003293925428</x:v>
      </x:c>
      <x:c r="N680" s="13" t="n">
        <x:f>D680-C680</x:f>
        <x:v>0</x:v>
      </x:c>
    </x:row>
    <x:row r="681">
      <x:c r="A681" s="13" t="str">
        <x:v>PAG-000680</x:v>
      </x:c>
      <x:c r="B681" s="23" t="n">
        <x:v>45794</x:v>
      </x:c>
      <x:c r="C681" s="23" t="n">
        <x:v>45824</x:v>
      </x:c>
      <x:c r="D681" s="23" t="n">
        <x:v>45825</x:v>
      </x:c>
      <x:c r="E681" s="13" t="str">
        <x:v>NetLink</x:v>
      </x:c>
      <x:c r="F681" s="13" t="str">
        <x:v>Telecomunicações</x:v>
      </x:c>
      <x:c r="G681" s="17" t="n">
        <x:v>12225.31</x:v>
      </x:c>
      <x:c r="H681" s="17" t="n">
        <x:v>11858.47</x:v>
      </x:c>
      <x:c r="I681" s="13" t="str">
        <x:v>Gestor da área</x:v>
      </x:c>
      <x:c r="J681" s="13" t="str">
        <x:v>Pago</x:v>
      </x:c>
      <x:c r="K681" s="13" t="str">
        <x:v>Operação Clareza</x:v>
      </x:c>
      <x:c r="L681" s="17" t="n">
        <x:f>H681-G681</x:f>
        <x:v>-366.84000000000015</x:v>
      </x:c>
      <x:c r="M681" s="19" t="n">
        <x:f>IFERROR(L681/G681,0)</x:f>
        <x:v>-0.030006601059605047</x:v>
      </x:c>
      <x:c r="N681" s="13" t="n">
        <x:f>D681-C681</x:f>
        <x:v>1</x:v>
      </x:c>
    </x:row>
    <x:row r="682">
      <x:c r="A682" s="13" t="str">
        <x:v>PAG-000681</x:v>
      </x:c>
      <x:c r="B682" s="23" t="n">
        <x:v>45784</x:v>
      </x:c>
      <x:c r="C682" s="23" t="n">
        <x:v>45814</x:v>
      </x:c>
      <x:c r="D682" s="23" t="n">
        <x:v>45812</x:v>
      </x:c>
      <x:c r="E682" s="13" t="str">
        <x:v>Insight BI</x:v>
      </x:c>
      <x:c r="F682" s="13" t="str">
        <x:v>Dados e Analytics</x:v>
      </x:c>
      <x:c r="G682" s="17" t="n">
        <x:v>7403.08</x:v>
      </x:c>
      <x:c r="H682" s="17" t="n">
        <x:v>7724.93</x:v>
      </x:c>
      <x:c r="I682" s="13" t="str">
        <x:v>Financeiro</x:v>
      </x:c>
      <x:c r="J682" s="13" t="str">
        <x:v>Pago</x:v>
      </x:c>
      <x:c r="K682" s="13" t="str">
        <x:v>Operação Clareza</x:v>
      </x:c>
      <x:c r="L682" s="17" t="n">
        <x:f>H682-G682</x:f>
        <x:v>321.85000000000036</x:v>
      </x:c>
      <x:c r="M682" s="19" t="n">
        <x:f>IFERROR(L682/G682,0)</x:f>
        <x:v>0.043475148181567724</x:v>
      </x:c>
      <x:c r="N682" s="13" t="n">
        <x:f>D682-C682</x:f>
        <x:v>-2</x:v>
      </x:c>
    </x:row>
    <x:row r="683">
      <x:c r="A683" s="13" t="str">
        <x:v>PAG-000682</x:v>
      </x:c>
      <x:c r="B683" s="23" t="n">
        <x:v>45792</x:v>
      </x:c>
      <x:c r="C683" s="23" t="n">
        <x:v>45812</x:v>
      </x:c>
      <x:c r="D683" s="23" t="n">
        <x:v>45810</x:v>
      </x:c>
      <x:c r="E683" s="13" t="str">
        <x:v>Banco Integra</x:v>
      </x:c>
      <x:c r="F683" s="13" t="str">
        <x:v>Serviços bancários</x:v>
      </x:c>
      <x:c r="G683" s="17" t="n">
        <x:v>3279.57</x:v>
      </x:c>
      <x:c r="H683" s="17" t="n">
        <x:v>3298.62</x:v>
      </x:c>
      <x:c r="I683" s="13" t="str">
        <x:v>Diretoria</x:v>
      </x:c>
      <x:c r="J683" s="13" t="str">
        <x:v>Pago</x:v>
      </x:c>
      <x:c r="K683" s="13" t="str">
        <x:v>Operação Clareza</x:v>
      </x:c>
      <x:c r="L683" s="17" t="n">
        <x:f>H683-G683</x:f>
        <x:v>19.049999999999727</x:v>
      </x:c>
      <x:c r="M683" s="19" t="n">
        <x:f>IFERROR(L683/G683,0)</x:f>
        <x:v>0.005808688334141283</x:v>
      </x:c>
      <x:c r="N683" s="13" t="n">
        <x:f>D683-C683</x:f>
        <x:v>-2</x:v>
      </x:c>
    </x:row>
    <x:row r="684">
      <x:c r="A684" s="13" t="str">
        <x:v>PAG-000683</x:v>
      </x:c>
      <x:c r="B684" s="23" t="n">
        <x:v>45793</x:v>
      </x:c>
      <x:c r="C684" s="23" t="n">
        <x:v>45813</x:v>
      </x:c>
      <x:c r="D684" s="23" t="n">
        <x:v>45813</x:v>
      </x:c>
      <x:c r="E684" s="13" t="str">
        <x:v>Insight BI</x:v>
      </x:c>
      <x:c r="F684" s="13" t="str">
        <x:v>Dados e Analytics</x:v>
      </x:c>
      <x:c r="G684" s="17" t="n">
        <x:v>15640.85</x:v>
      </x:c>
      <x:c r="H684" s="17" t="n">
        <x:v>16216.87</x:v>
      </x:c>
      <x:c r="I684" s="13" t="str">
        <x:v>Financeiro</x:v>
      </x:c>
      <x:c r="J684" s="13" t="str">
        <x:v>Pago</x:v>
      </x:c>
      <x:c r="K684" s="13" t="str">
        <x:v>Operação Clareza</x:v>
      </x:c>
      <x:c r="L684" s="17" t="n">
        <x:f>H684-G684</x:f>
        <x:v>576.0200000000004</x:v>
      </x:c>
      <x:c r="M684" s="19" t="n">
        <x:f>IFERROR(L684/G684,0)</x:f>
        <x:v>0.03682792175617057</x:v>
      </x:c>
      <x:c r="N684" s="13" t="n">
        <x:f>D684-C684</x:f>
        <x:v>0</x:v>
      </x:c>
    </x:row>
    <x:row r="685">
      <x:c r="A685" s="13" t="str">
        <x:v>PAG-000684</x:v>
      </x:c>
      <x:c r="B685" s="23" t="n">
        <x:v>45783</x:v>
      </x:c>
      <x:c r="C685" s="23" t="n">
        <x:v>45790</x:v>
      </x:c>
      <x:c r="D685" s="23" t="n">
        <x:v>45790</x:v>
      </x:c>
      <x:c r="E685" s="13" t="str">
        <x:v>MarketLab</x:v>
      </x:c>
      <x:c r="F685" s="13" t="str">
        <x:v>Marketing</x:v>
      </x:c>
      <x:c r="G685" s="17" t="n">
        <x:v>12729.98</x:v>
      </x:c>
      <x:c r="H685" s="17" t="n">
        <x:v>12501.63</x:v>
      </x:c>
      <x:c r="I685" s="13" t="str">
        <x:v>Financeiro</x:v>
      </x:c>
      <x:c r="J685" s="13" t="str">
        <x:v>Pago</x:v>
      </x:c>
      <x:c r="K685" s="13" t="str">
        <x:v>Operação Clareza</x:v>
      </x:c>
      <x:c r="L685" s="17" t="n">
        <x:f>H685-G685</x:f>
        <x:v>-228.35000000000036</x:v>
      </x:c>
      <x:c r="M685" s="19" t="n">
        <x:f>IFERROR(L685/G685,0)</x:f>
        <x:v>-0.01793797005179901</x:v>
      </x:c>
      <x:c r="N685" s="13" t="n">
        <x:f>D685-C685</x:f>
        <x:v>0</x:v>
      </x:c>
    </x:row>
    <x:row r="686">
      <x:c r="A686" s="13" t="str">
        <x:v>PAG-000685</x:v>
      </x:c>
      <x:c r="B686" s="23" t="n">
        <x:v>45790</x:v>
      </x:c>
      <x:c r="C686" s="23" t="n">
        <x:v>45797</x:v>
      </x:c>
      <x:c r="D686" s="23" t="n">
        <x:v>45795</x:v>
      </x:c>
      <x:c r="E686" s="13" t="str">
        <x:v>Insight BI</x:v>
      </x:c>
      <x:c r="F686" s="13" t="str">
        <x:v>Dados e Analytics</x:v>
      </x:c>
      <x:c r="G686" s="17" t="n">
        <x:v>951.4</x:v>
      </x:c>
      <x:c r="H686" s="17" t="n">
        <x:v>921.2</x:v>
      </x:c>
      <x:c r="I686" s="13" t="str">
        <x:v>Financeiro</x:v>
      </x:c>
      <x:c r="J686" s="13" t="str">
        <x:v>Pago</x:v>
      </x:c>
      <x:c r="K686" s="13" t="str">
        <x:v>Operação Clareza</x:v>
      </x:c>
      <x:c r="L686" s="17" t="n">
        <x:f>H686-G686</x:f>
        <x:v>-30.199999999999932</x:v>
      </x:c>
      <x:c r="M686" s="19" t="n">
        <x:f>IFERROR(L686/G686,0)</x:f>
        <x:v>-0.03174269497582503</x:v>
      </x:c>
      <x:c r="N686" s="13" t="n">
        <x:f>D686-C686</x:f>
        <x:v>-2</x:v>
      </x:c>
    </x:row>
    <x:row r="687">
      <x:c r="A687" s="13" t="str">
        <x:v>PAG-000686</x:v>
      </x:c>
      <x:c r="B687" s="23" t="n">
        <x:v>45796</x:v>
      </x:c>
      <x:c r="C687" s="23" t="n">
        <x:v>45826</x:v>
      </x:c>
      <x:c r="D687" s="23" t="n">
        <x:v>45823</x:v>
      </x:c>
      <x:c r="E687" s="13" t="str">
        <x:v>Office Prime</x:v>
      </x:c>
      <x:c r="F687" s="13" t="str">
        <x:v>Escritório</x:v>
      </x:c>
      <x:c r="G687" s="17" t="n">
        <x:v>7518.77</x:v>
      </x:c>
      <x:c r="H687" s="17" t="n">
        <x:v>7372.95</x:v>
      </x:c>
      <x:c r="I687" s="13" t="str">
        <x:v>Diretoria</x:v>
      </x:c>
      <x:c r="J687" s="13" t="str">
        <x:v>Pago</x:v>
      </x:c>
      <x:c r="K687" s="13" t="str">
        <x:v>Operação Clareza</x:v>
      </x:c>
      <x:c r="L687" s="17" t="n">
        <x:f>H687-G687</x:f>
        <x:v>-145.82000000000062</x:v>
      </x:c>
      <x:c r="M687" s="19" t="n">
        <x:f>IFERROR(L687/G687,0)</x:f>
        <x:v>-0.019394129624925434</x:v>
      </x:c>
      <x:c r="N687" s="13" t="n">
        <x:f>D687-C687</x:f>
        <x:v>-3</x:v>
      </x:c>
    </x:row>
    <x:row r="688">
      <x:c r="A688" s="13" t="str">
        <x:v>PAG-000687</x:v>
      </x:c>
      <x:c r="B688" s="23" t="n">
        <x:v>45788</x:v>
      </x:c>
      <x:c r="C688" s="23" t="n">
        <x:v>45818</x:v>
      </x:c>
      <x:c r="D688" s="23" t="n">
        <x:v>45816</x:v>
      </x:c>
      <x:c r="E688" s="13" t="str">
        <x:v>PeopleHub</x:v>
      </x:c>
      <x:c r="F688" s="13" t="str">
        <x:v>Recursos Humanos</x:v>
      </x:c>
      <x:c r="G688" s="17" t="n">
        <x:v>13421.31</x:v>
      </x:c>
      <x:c r="H688" s="17" t="n">
        <x:v>13597.85</x:v>
      </x:c>
      <x:c r="I688" s="13" t="str">
        <x:v>Diretoria</x:v>
      </x:c>
      <x:c r="J688" s="13" t="str">
        <x:v>Pago</x:v>
      </x:c>
      <x:c r="K688" s="13" t="str">
        <x:v>Operação Clareza</x:v>
      </x:c>
      <x:c r="L688" s="17" t="n">
        <x:f>H688-G688</x:f>
        <x:v>176.54000000000087</x:v>
      </x:c>
      <x:c r="M688" s="19" t="n">
        <x:f>IFERROR(L688/G688,0)</x:f>
        <x:v>0.013153708542608798</x:v>
      </x:c>
      <x:c r="N688" s="13" t="n">
        <x:f>D688-C688</x:f>
        <x:v>-2</x:v>
      </x:c>
    </x:row>
    <x:row r="689">
      <x:c r="A689" s="13" t="str">
        <x:v>PAG-000688</x:v>
      </x:c>
      <x:c r="B689" s="23" t="n">
        <x:v>45787</x:v>
      </x:c>
      <x:c r="C689" s="23" t="n">
        <x:v>45817</x:v>
      </x:c>
      <x:c r="D689" s="23" t="n">
        <x:v>45816</x:v>
      </x:c>
      <x:c r="E689" s="13" t="str">
        <x:v>MarketLab</x:v>
      </x:c>
      <x:c r="F689" s="13" t="str">
        <x:v>Marketing</x:v>
      </x:c>
      <x:c r="G689" s="17" t="n">
        <x:v>20098.45</x:v>
      </x:c>
      <x:c r="H689" s="17" t="n">
        <x:v>20040.17</x:v>
      </x:c>
      <x:c r="I689" s="13" t="str">
        <x:v>Diretoria</x:v>
      </x:c>
      <x:c r="J689" s="13" t="str">
        <x:v>Pago</x:v>
      </x:c>
      <x:c r="K689" s="13" t="str">
        <x:v>Operação Clareza</x:v>
      </x:c>
      <x:c r="L689" s="17" t="n">
        <x:f>H689-G689</x:f>
        <x:v>-58.280000000002474</x:v>
      </x:c>
      <x:c r="M689" s="19" t="n">
        <x:f>IFERROR(L689/G689,0)</x:f>
        <x:v>-0.0028997260982813336</x:v>
      </x:c>
      <x:c r="N689" s="13" t="n">
        <x:f>D689-C689</x:f>
        <x:v>-1</x:v>
      </x:c>
    </x:row>
    <x:row r="690">
      <x:c r="A690" s="13" t="str">
        <x:v>PAG-000689</x:v>
      </x:c>
      <x:c r="B690" s="23" t="n">
        <x:v>45780</x:v>
      </x:c>
      <x:c r="C690" s="23" t="n">
        <x:v>45800</x:v>
      </x:c>
      <x:c r="D690" s="23" t="n">
        <x:v>45798</x:v>
      </x:c>
      <x:c r="E690" s="13" t="str">
        <x:v>DataSafe</x:v>
      </x:c>
      <x:c r="F690" s="13" t="str">
        <x:v>Segurança da informação</x:v>
      </x:c>
      <x:c r="G690" s="17" t="n">
        <x:v>3615.01</x:v>
      </x:c>
      <x:c r="H690" s="17" t="n">
        <x:v>3576.72</x:v>
      </x:c>
      <x:c r="I690" s="13" t="str">
        <x:v>Gestor da área</x:v>
      </x:c>
      <x:c r="J690" s="13" t="str">
        <x:v>Pago</x:v>
      </x:c>
      <x:c r="K690" s="13" t="str">
        <x:v>Operação Clareza</x:v>
      </x:c>
      <x:c r="L690" s="17" t="n">
        <x:f>H690-G690</x:f>
        <x:v>-38.29000000000042</x:v>
      </x:c>
      <x:c r="M690" s="19" t="n">
        <x:f>IFERROR(L690/G690,0)</x:f>
        <x:v>-0.01059194856999024</x:v>
      </x:c>
      <x:c r="N690" s="13" t="n">
        <x:f>D690-C690</x:f>
        <x:v>-2</x:v>
      </x:c>
    </x:row>
    <x:row r="691">
      <x:c r="A691" s="13" t="str">
        <x:v>PAG-000690</x:v>
      </x:c>
      <x:c r="B691" s="23" t="n">
        <x:v>45787</x:v>
      </x:c>
      <x:c r="C691" s="23" t="n">
        <x:v>45817</x:v>
      </x:c>
      <x:c r="D691" s="23" t="n">
        <x:v>45817</x:v>
      </x:c>
      <x:c r="E691" s="13" t="str">
        <x:v>CloudCore</x:v>
      </x:c>
      <x:c r="F691" s="13" t="str">
        <x:v>Tecnologia</x:v>
      </x:c>
      <x:c r="G691" s="17" t="n">
        <x:v>3907.08</x:v>
      </x:c>
      <x:c r="H691" s="17" t="n">
        <x:v>3846.63</x:v>
      </x:c>
      <x:c r="I691" s="13" t="str">
        <x:v>Financeiro</x:v>
      </x:c>
      <x:c r="J691" s="13" t="str">
        <x:v>Pago</x:v>
      </x:c>
      <x:c r="K691" s="13" t="str">
        <x:v>Operação Clareza</x:v>
      </x:c>
      <x:c r="L691" s="17" t="n">
        <x:f>H691-G691</x:f>
        <x:v>-60.44999999999982</x:v>
      </x:c>
      <x:c r="M691" s="19" t="n">
        <x:f>IFERROR(L691/G691,0)</x:f>
        <x:v>-0.015471912528025999</x:v>
      </x:c>
      <x:c r="N691" s="13" t="n">
        <x:f>D691-C691</x:f>
        <x:v>0</x:v>
      </x:c>
    </x:row>
    <x:row r="692">
      <x:c r="A692" s="13" t="str">
        <x:v>PAG-000691</x:v>
      </x:c>
      <x:c r="B692" s="23" t="n">
        <x:v>45797</x:v>
      </x:c>
      <x:c r="C692" s="23" t="n">
        <x:v>45827</x:v>
      </x:c>
      <x:c r="D692" s="23" t="n">
        <x:v>45829</x:v>
      </x:c>
      <x:c r="E692" s="13" t="str">
        <x:v>Banco Integra</x:v>
      </x:c>
      <x:c r="F692" s="13" t="str">
        <x:v>Serviços bancários</x:v>
      </x:c>
      <x:c r="G692" s="17" t="n">
        <x:v>22586.18</x:v>
      </x:c>
      <x:c r="H692" s="17" t="n">
        <x:v>23592.48</x:v>
      </x:c>
      <x:c r="I692" s="13" t="str">
        <x:v>Diretoria</x:v>
      </x:c>
      <x:c r="J692" s="13" t="str">
        <x:v>Pago</x:v>
      </x:c>
      <x:c r="K692" s="13" t="str">
        <x:v>Operação Clareza</x:v>
      </x:c>
      <x:c r="L692" s="17" t="n">
        <x:f>H692-G692</x:f>
        <x:v>1006.2999999999993</x:v>
      </x:c>
      <x:c r="M692" s="19" t="n">
        <x:f>IFERROR(L692/G692,0)</x:f>
        <x:v>0.0445537935144411</x:v>
      </x:c>
      <x:c r="N692" s="13" t="n">
        <x:f>D692-C692</x:f>
        <x:v>2</x:v>
      </x:c>
    </x:row>
    <x:row r="693">
      <x:c r="A693" s="13" t="str">
        <x:v>PAG-000692</x:v>
      </x:c>
      <x:c r="B693" s="23" t="n">
        <x:v>45784</x:v>
      </x:c>
      <x:c r="C693" s="23" t="n">
        <x:v>45804</x:v>
      </x:c>
      <x:c r="D693" s="23" t="n">
        <x:v>45801</x:v>
      </x:c>
      <x:c r="E693" s="13" t="str">
        <x:v>LegalMais</x:v>
      </x:c>
      <x:c r="F693" s="13" t="str">
        <x:v>Jurídico</x:v>
      </x:c>
      <x:c r="G693" s="17" t="n">
        <x:v>29310.97</x:v>
      </x:c>
      <x:c r="H693" s="17" t="n">
        <x:v>29926.07</x:v>
      </x:c>
      <x:c r="I693" s="13" t="str">
        <x:v>Diretoria</x:v>
      </x:c>
      <x:c r="J693" s="13" t="str">
        <x:v>Pago</x:v>
      </x:c>
      <x:c r="K693" s="13" t="str">
        <x:v>Operação Clareza</x:v>
      </x:c>
      <x:c r="L693" s="17" t="n">
        <x:f>H693-G693</x:f>
        <x:v>615.0999999999985</x:v>
      </x:c>
      <x:c r="M693" s="19" t="n">
        <x:f>IFERROR(L693/G693,0)</x:f>
        <x:v>0.020985317101412833</x:v>
      </x:c>
      <x:c r="N693" s="13" t="n">
        <x:f>D693-C693</x:f>
        <x:v>-3</x:v>
      </x:c>
    </x:row>
    <x:row r="694">
      <x:c r="A694" s="13" t="str">
        <x:v>PAG-000693</x:v>
      </x:c>
      <x:c r="B694" s="23" t="n">
        <x:v>45781</x:v>
      </x:c>
      <x:c r="C694" s="23" t="n">
        <x:v>45796</x:v>
      </x:c>
      <x:c r="D694" s="23" t="n">
        <x:v>45796</x:v>
      </x:c>
      <x:c r="E694" s="13" t="str">
        <x:v>Banco Integra</x:v>
      </x:c>
      <x:c r="F694" s="13" t="str">
        <x:v>Serviços bancários</x:v>
      </x:c>
      <x:c r="G694" s="17" t="n">
        <x:v>29538.5</x:v>
      </x:c>
      <x:c r="H694" s="17" t="n">
        <x:v>29332.51</x:v>
      </x:c>
      <x:c r="I694" s="13" t="str">
        <x:v>Gestor da área</x:v>
      </x:c>
      <x:c r="J694" s="13" t="str">
        <x:v>Pago</x:v>
      </x:c>
      <x:c r="K694" s="13" t="str">
        <x:v>Operação Clareza</x:v>
      </x:c>
      <x:c r="L694" s="17" t="n">
        <x:f>H694-G694</x:f>
        <x:v>-205.9900000000016</x:v>
      </x:c>
      <x:c r="M694" s="19" t="n">
        <x:f>IFERROR(L694/G694,0)</x:f>
        <x:v>-0.0069736107114444406</x:v>
      </x:c>
      <x:c r="N694" s="13" t="n">
        <x:f>D694-C694</x:f>
        <x:v>0</x:v>
      </x:c>
    </x:row>
    <x:row r="695">
      <x:c r="A695" s="13" t="str">
        <x:v>PAG-000694</x:v>
      </x:c>
      <x:c r="B695" s="23" t="n">
        <x:v>45792</x:v>
      </x:c>
      <x:c r="C695" s="23" t="n">
        <x:v>45799</x:v>
      </x:c>
      <x:c r="D695" s="23" t="n">
        <x:v>45799</x:v>
      </x:c>
      <x:c r="E695" s="13" t="str">
        <x:v>Banco Integra</x:v>
      </x:c>
      <x:c r="F695" s="13" t="str">
        <x:v>Serviços bancários</x:v>
      </x:c>
      <x:c r="G695" s="17" t="n">
        <x:v>6942.78</x:v>
      </x:c>
      <x:c r="H695" s="17" t="n">
        <x:v>6878.83</x:v>
      </x:c>
      <x:c r="I695" s="13" t="str">
        <x:v>Diretoria</x:v>
      </x:c>
      <x:c r="J695" s="13" t="str">
        <x:v>Pago</x:v>
      </x:c>
      <x:c r="K695" s="13" t="str">
        <x:v>Operação Clareza</x:v>
      </x:c>
      <x:c r="L695" s="17" t="n">
        <x:f>H695-G695</x:f>
        <x:v>-63.94999999999982</x:v>
      </x:c>
      <x:c r="M695" s="19" t="n">
        <x:f>IFERROR(L695/G695,0)</x:f>
        <x:v>-0.00921100769432415</x:v>
      </x:c>
      <x:c r="N695" s="13" t="n">
        <x:f>D695-C695</x:f>
        <x:v>0</x:v>
      </x:c>
    </x:row>
    <x:row r="696">
      <x:c r="A696" s="13" t="str">
        <x:v>PAG-000695</x:v>
      </x:c>
      <x:c r="B696" s="23" t="n">
        <x:v>45781</x:v>
      </x:c>
      <x:c r="C696" s="23" t="n">
        <x:v>45801</x:v>
      </x:c>
      <x:c r="D696" s="23" t="n">
        <x:v>45801</x:v>
      </x:c>
      <x:c r="E696" s="13" t="str">
        <x:v>Insight BI</x:v>
      </x:c>
      <x:c r="F696" s="13" t="str">
        <x:v>Dados e Analytics</x:v>
      </x:c>
      <x:c r="G696" s="17" t="n">
        <x:v>13820.71</x:v>
      </x:c>
      <x:c r="H696" s="17" t="n">
        <x:v>13819.7</x:v>
      </x:c>
      <x:c r="I696" s="13" t="str">
        <x:v>Financeiro</x:v>
      </x:c>
      <x:c r="J696" s="13" t="str">
        <x:v>Pago</x:v>
      </x:c>
      <x:c r="K696" s="13" t="str">
        <x:v>Operação Clareza</x:v>
      </x:c>
      <x:c r="L696" s="17" t="n">
        <x:f>H696-G696</x:f>
        <x:v>-1.0099999999983993</x:v>
      </x:c>
      <x:c r="M696" s="19" t="n">
        <x:f>IFERROR(L696/G696,0)</x:f>
        <x:v>-0.00007307873473927167</x:v>
      </x:c>
      <x:c r="N696" s="13" t="n">
        <x:f>D696-C696</x:f>
        <x:v>0</x:v>
      </x:c>
    </x:row>
    <x:row r="697">
      <x:c r="A697" s="13" t="str">
        <x:v>PAG-000696</x:v>
      </x:c>
      <x:c r="B697" s="23" t="n">
        <x:v>45794</x:v>
      </x:c>
      <x:c r="C697" s="23" t="n">
        <x:v>45814</x:v>
      </x:c>
      <x:c r="D697" s="23" t="n">
        <x:v>45811</x:v>
      </x:c>
      <x:c r="E697" s="13" t="str">
        <x:v>Office Prime</x:v>
      </x:c>
      <x:c r="F697" s="13" t="str">
        <x:v>Escritório</x:v>
      </x:c>
      <x:c r="G697" s="17" t="n">
        <x:v>23534.53</x:v>
      </x:c>
      <x:c r="H697" s="17" t="n">
        <x:v>23099.67</x:v>
      </x:c>
      <x:c r="I697" s="13" t="str">
        <x:v>Financeiro</x:v>
      </x:c>
      <x:c r="J697" s="13" t="str">
        <x:v>Pago</x:v>
      </x:c>
      <x:c r="K697" s="13" t="str">
        <x:v>Operação Clareza</x:v>
      </x:c>
      <x:c r="L697" s="17" t="n">
        <x:f>H697-G697</x:f>
        <x:v>-434.8600000000006</x:v>
      </x:c>
      <x:c r="M697" s="19" t="n">
        <x:f>IFERROR(L697/G697,0)</x:f>
        <x:v>-0.018477530675139915</x:v>
      </x:c>
      <x:c r="N697" s="13" t="n">
        <x:f>D697-C697</x:f>
        <x:v>-3</x:v>
      </x:c>
    </x:row>
    <x:row r="698">
      <x:c r="A698" s="13" t="str">
        <x:v>PAG-000697</x:v>
      </x:c>
      <x:c r="B698" s="23" t="n">
        <x:v>45791</x:v>
      </x:c>
      <x:c r="C698" s="23" t="n">
        <x:v>45798</x:v>
      </x:c>
      <x:c r="D698" s="23" t="n">
        <x:v>45798</x:v>
      </x:c>
      <x:c r="E698" s="13" t="str">
        <x:v>EducaPro</x:v>
      </x:c>
      <x:c r="F698" s="13" t="str">
        <x:v>Treinamentos</x:v>
      </x:c>
      <x:c r="G698" s="17" t="n">
        <x:v>12090.68</x:v>
      </x:c>
      <x:c r="H698" s="17" t="n">
        <x:v>12110.63</x:v>
      </x:c>
      <x:c r="I698" s="13" t="str">
        <x:v>Financeiro</x:v>
      </x:c>
      <x:c r="J698" s="13" t="str">
        <x:v>Pago</x:v>
      </x:c>
      <x:c r="K698" s="13" t="str">
        <x:v>Operação Clareza</x:v>
      </x:c>
      <x:c r="L698" s="17" t="n">
        <x:f>H698-G698</x:f>
        <x:v>19.94999999999891</x:v>
      </x:c>
      <x:c r="M698" s="19" t="n">
        <x:f>IFERROR(L698/G698,0)</x:f>
        <x:v>0.0016500312637501703</x:v>
      </x:c>
      <x:c r="N698" s="13" t="n">
        <x:f>D698-C698</x:f>
        <x:v>0</x:v>
      </x:c>
    </x:row>
    <x:row r="699">
      <x:c r="A699" s="13" t="str">
        <x:v>PAG-000698</x:v>
      </x:c>
      <x:c r="B699" s="23" t="n">
        <x:v>45788</x:v>
      </x:c>
      <x:c r="C699" s="23" t="n">
        <x:v>45795</x:v>
      </x:c>
      <x:c r="D699" s="23" t="n">
        <x:v>45795</x:v>
      </x:c>
      <x:c r="E699" s="13" t="str">
        <x:v>LegalMais</x:v>
      </x:c>
      <x:c r="F699" s="13" t="str">
        <x:v>Jurídico</x:v>
      </x:c>
      <x:c r="G699" s="17" t="n">
        <x:v>17025.56</x:v>
      </x:c>
      <x:c r="H699" s="17" t="n">
        <x:v>17218.33</x:v>
      </x:c>
      <x:c r="I699" s="13" t="str">
        <x:v>Gestor da área</x:v>
      </x:c>
      <x:c r="J699" s="13" t="str">
        <x:v>Pago</x:v>
      </x:c>
      <x:c r="K699" s="13" t="str">
        <x:v>Operação Clareza</x:v>
      </x:c>
      <x:c r="L699" s="17" t="n">
        <x:f>H699-G699</x:f>
        <x:v>192.77000000000044</x:v>
      </x:c>
      <x:c r="M699" s="19" t="n">
        <x:f>IFERROR(L699/G699,0)</x:f>
        <x:v>0.011322388221004209</x:v>
      </x:c>
      <x:c r="N699" s="13" t="n">
        <x:f>D699-C699</x:f>
        <x:v>0</x:v>
      </x:c>
    </x:row>
    <x:row r="700">
      <x:c r="A700" s="13" t="str">
        <x:v>PAG-000699</x:v>
      </x:c>
      <x:c r="B700" s="23" t="n">
        <x:v>45795</x:v>
      </x:c>
      <x:c r="C700" s="23" t="n">
        <x:v>45810</x:v>
      </x:c>
      <x:c r="D700" s="23" t="n">
        <x:v>45811</x:v>
      </x:c>
      <x:c r="E700" s="13" t="str">
        <x:v>PeopleHub</x:v>
      </x:c>
      <x:c r="F700" s="13" t="str">
        <x:v>Recursos Humanos</x:v>
      </x:c>
      <x:c r="G700" s="17" t="n">
        <x:v>11165.47</x:v>
      </x:c>
      <x:c r="H700" s="17" t="n">
        <x:v>10939.35</x:v>
      </x:c>
      <x:c r="I700" s="13" t="str">
        <x:v>Financeiro</x:v>
      </x:c>
      <x:c r="J700" s="13" t="str">
        <x:v>Pago</x:v>
      </x:c>
      <x:c r="K700" s="13" t="str">
        <x:v>Operação Clareza</x:v>
      </x:c>
      <x:c r="L700" s="17" t="n">
        <x:f>H700-G700</x:f>
        <x:v>-226.11999999999898</x:v>
      </x:c>
      <x:c r="M700" s="19" t="n">
        <x:f>IFERROR(L700/G700,0)</x:f>
        <x:v>-0.02025172249802283</x:v>
      </x:c>
      <x:c r="N700" s="13" t="n">
        <x:f>D700-C700</x:f>
        <x:v>1</x:v>
      </x:c>
    </x:row>
    <x:row r="701">
      <x:c r="A701" s="13" t="str">
        <x:v>PAG-000700</x:v>
      </x:c>
      <x:c r="B701" s="23" t="n">
        <x:v>45789</x:v>
      </x:c>
      <x:c r="C701" s="23" t="n">
        <x:v>45804</x:v>
      </x:c>
      <x:c r="D701" s="23" t="n">
        <x:v>45804</x:v>
      </x:c>
      <x:c r="E701" s="13" t="str">
        <x:v>LegalMais</x:v>
      </x:c>
      <x:c r="F701" s="13" t="str">
        <x:v>Jurídico</x:v>
      </x:c>
      <x:c r="G701" s="17" t="n">
        <x:v>19800.91</x:v>
      </x:c>
      <x:c r="H701" s="17" t="n">
        <x:v>19752.43</x:v>
      </x:c>
      <x:c r="I701" s="13" t="str">
        <x:v>Gestor da área</x:v>
      </x:c>
      <x:c r="J701" s="13" t="str">
        <x:v>Pago</x:v>
      </x:c>
      <x:c r="K701" s="13" t="str">
        <x:v>Operação Clareza</x:v>
      </x:c>
      <x:c r="L701" s="17" t="n">
        <x:f>H701-G701</x:f>
        <x:v>-48.47999999999956</x:v>
      </x:c>
      <x:c r="M701" s="19" t="n">
        <x:f>IFERROR(L701/G701,0)</x:f>
        <x:v>-0.0024483723222821357</x:v>
      </x:c>
      <x:c r="N701" s="13" t="n">
        <x:f>D701-C701</x:f>
        <x:v>0</x:v>
      </x:c>
    </x:row>
    <x:row r="702">
      <x:c r="A702" s="13" t="str">
        <x:v>PAG-000701</x:v>
      </x:c>
      <x:c r="B702" s="23" t="n">
        <x:v>45784</x:v>
      </x:c>
      <x:c r="C702" s="23" t="n">
        <x:v>45799</x:v>
      </x:c>
      <x:c r="D702" s="23" t="n">
        <x:v>45796</x:v>
      </x:c>
      <x:c r="E702" s="13" t="str">
        <x:v>Office Prime</x:v>
      </x:c>
      <x:c r="F702" s="13" t="str">
        <x:v>Escritório</x:v>
      </x:c>
      <x:c r="G702" s="17" t="n">
        <x:v>2566.04</x:v>
      </x:c>
      <x:c r="H702" s="17" t="n">
        <x:v>2633.83</x:v>
      </x:c>
      <x:c r="I702" s="13" t="str">
        <x:v>Gestor da área</x:v>
      </x:c>
      <x:c r="J702" s="13" t="str">
        <x:v>Pago</x:v>
      </x:c>
      <x:c r="K702" s="13" t="str">
        <x:v>Operação Clareza</x:v>
      </x:c>
      <x:c r="L702" s="17" t="n">
        <x:f>H702-G702</x:f>
        <x:v>67.78999999999996</x:v>
      </x:c>
      <x:c r="M702" s="19" t="n">
        <x:f>IFERROR(L702/G702,0)</x:f>
        <x:v>0.0264181384545837</x:v>
      </x:c>
      <x:c r="N702" s="13" t="n">
        <x:f>D702-C702</x:f>
        <x:v>-3</x:v>
      </x:c>
    </x:row>
    <x:row r="703">
      <x:c r="A703" s="13" t="str">
        <x:v>PAG-000702</x:v>
      </x:c>
      <x:c r="B703" s="23" t="n">
        <x:v>45788</x:v>
      </x:c>
      <x:c r="C703" s="23" t="n">
        <x:v>45795</x:v>
      </x:c>
      <x:c r="D703" s="23" t="n">
        <x:v>45792</x:v>
      </x:c>
      <x:c r="E703" s="13" t="str">
        <x:v>MarketLab</x:v>
      </x:c>
      <x:c r="F703" s="13" t="str">
        <x:v>Marketing</x:v>
      </x:c>
      <x:c r="G703" s="17" t="n">
        <x:v>7517.83</x:v>
      </x:c>
      <x:c r="H703" s="17" t="n">
        <x:v>7399.63</x:v>
      </x:c>
      <x:c r="I703" s="13" t="str">
        <x:v>Financeiro</x:v>
      </x:c>
      <x:c r="J703" s="13" t="str">
        <x:v>Pago</x:v>
      </x:c>
      <x:c r="K703" s="13" t="str">
        <x:v>Operação Clareza</x:v>
      </x:c>
      <x:c r="L703" s="17" t="n">
        <x:f>H703-G703</x:f>
        <x:v>-118.19999999999982</x:v>
      </x:c>
      <x:c r="M703" s="19" t="n">
        <x:f>IFERROR(L703/G703,0)</x:f>
        <x:v>-0.01572262208642651</x:v>
      </x:c>
      <x:c r="N703" s="13" t="n">
        <x:f>D703-C703</x:f>
        <x:v>-3</x:v>
      </x:c>
    </x:row>
    <x:row r="704">
      <x:c r="A704" s="13" t="str">
        <x:v>PAG-000703</x:v>
      </x:c>
      <x:c r="B704" s="23" t="n">
        <x:v>45791</x:v>
      </x:c>
      <x:c r="C704" s="23" t="n">
        <x:v>45806</x:v>
      </x:c>
      <x:c r="D704" s="23" t="n">
        <x:v>45804</x:v>
      </x:c>
      <x:c r="E704" s="13" t="str">
        <x:v>EducaPro</x:v>
      </x:c>
      <x:c r="F704" s="13" t="str">
        <x:v>Treinamentos</x:v>
      </x:c>
      <x:c r="G704" s="17" t="n">
        <x:v>12954.28</x:v>
      </x:c>
      <x:c r="H704" s="17" t="n">
        <x:v>13407.15</x:v>
      </x:c>
      <x:c r="I704" s="13" t="str">
        <x:v>Diretoria</x:v>
      </x:c>
      <x:c r="J704" s="13" t="str">
        <x:v>Pago</x:v>
      </x:c>
      <x:c r="K704" s="13" t="str">
        <x:v>Operação Clareza</x:v>
      </x:c>
      <x:c r="L704" s="17" t="n">
        <x:f>H704-G704</x:f>
        <x:v>452.869999999999</x:v>
      </x:c>
      <x:c r="M704" s="19" t="n">
        <x:f>IFERROR(L704/G704,0)</x:f>
        <x:v>0.034959102319850964</x:v>
      </x:c>
      <x:c r="N704" s="13" t="n">
        <x:f>D704-C704</x:f>
        <x:v>-2</x:v>
      </x:c>
    </x:row>
    <x:row r="705">
      <x:c r="A705" s="13" t="str">
        <x:v>PAG-000704</x:v>
      </x:c>
      <x:c r="B705" s="23" t="n">
        <x:v>45796</x:v>
      </x:c>
      <x:c r="C705" s="23" t="n">
        <x:v>45816</x:v>
      </x:c>
      <x:c r="D705" s="23" t="n">
        <x:v>45816</x:v>
      </x:c>
      <x:c r="E705" s="13" t="str">
        <x:v>MarketLab</x:v>
      </x:c>
      <x:c r="F705" s="13" t="str">
        <x:v>Marketing</x:v>
      </x:c>
      <x:c r="G705" s="17" t="n">
        <x:v>4281.64</x:v>
      </x:c>
      <x:c r="H705" s="17" t="n">
        <x:v>4401.3</x:v>
      </x:c>
      <x:c r="I705" s="13" t="str">
        <x:v>Diretoria</x:v>
      </x:c>
      <x:c r="J705" s="13" t="str">
        <x:v>Pago</x:v>
      </x:c>
      <x:c r="K705" s="13" t="str">
        <x:v>Operação Clareza</x:v>
      </x:c>
      <x:c r="L705" s="17" t="n">
        <x:f>H705-G705</x:f>
        <x:v>119.65999999999985</x:v>
      </x:c>
      <x:c r="M705" s="19" t="n">
        <x:f>IFERROR(L705/G705,0)</x:f>
        <x:v>0.027947235171569735</x:v>
      </x:c>
      <x:c r="N705" s="13" t="n">
        <x:f>D705-C705</x:f>
        <x:v>0</x:v>
      </x:c>
    </x:row>
    <x:row r="706">
      <x:c r="A706" s="13" t="str">
        <x:v>PAG-000705</x:v>
      </x:c>
      <x:c r="B706" s="23" t="n">
        <x:v>45789</x:v>
      </x:c>
      <x:c r="C706" s="23" t="n">
        <x:v>45804</x:v>
      </x:c>
      <x:c r="D706" s="23" t="n">
        <x:v>45806</x:v>
      </x:c>
      <x:c r="E706" s="13" t="str">
        <x:v>Office Prime</x:v>
      </x:c>
      <x:c r="F706" s="13" t="str">
        <x:v>Escritório</x:v>
      </x:c>
      <x:c r="G706" s="17" t="n">
        <x:v>10002.16</x:v>
      </x:c>
      <x:c r="H706" s="17" t="n">
        <x:v>10226.64</x:v>
      </x:c>
      <x:c r="I706" s="13" t="str">
        <x:v>Diretoria</x:v>
      </x:c>
      <x:c r="J706" s="13" t="str">
        <x:v>Pago</x:v>
      </x:c>
      <x:c r="K706" s="13" t="str">
        <x:v>Operação Clareza</x:v>
      </x:c>
      <x:c r="L706" s="17" t="n">
        <x:f>H706-G706</x:f>
        <x:v>224.47999999999956</x:v>
      </x:c>
      <x:c r="M706" s="19" t="n">
        <x:f>IFERROR(L706/G706,0)</x:f>
        <x:v>0.02244315227910767</x:v>
      </x:c>
      <x:c r="N706" s="13" t="n">
        <x:f>D706-C706</x:f>
        <x:v>2</x:v>
      </x:c>
    </x:row>
    <x:row r="707">
      <x:c r="A707" s="13" t="str">
        <x:v>PAG-000706</x:v>
      </x:c>
      <x:c r="B707" s="23" t="n">
        <x:v>45795</x:v>
      </x:c>
      <x:c r="C707" s="23" t="n">
        <x:v>45810</x:v>
      </x:c>
      <x:c r="D707" s="23" t="n">
        <x:v>45807</x:v>
      </x:c>
      <x:c r="E707" s="13" t="str">
        <x:v>CloudCore</x:v>
      </x:c>
      <x:c r="F707" s="13" t="str">
        <x:v>Tecnologia</x:v>
      </x:c>
      <x:c r="G707" s="17" t="n">
        <x:v>24319.02</x:v>
      </x:c>
      <x:c r="H707" s="17" t="n">
        <x:v>24050.58</x:v>
      </x:c>
      <x:c r="I707" s="13" t="str">
        <x:v>Gestor da área</x:v>
      </x:c>
      <x:c r="J707" s="13" t="str">
        <x:v>Pago</x:v>
      </x:c>
      <x:c r="K707" s="13" t="str">
        <x:v>Operação Clareza</x:v>
      </x:c>
      <x:c r="L707" s="17" t="n">
        <x:f>H707-G707</x:f>
        <x:v>-268.4399999999987</x:v>
      </x:c>
      <x:c r="M707" s="19" t="n">
        <x:f>IFERROR(L707/G707,0)</x:f>
        <x:v>-0.011038273746228207</x:v>
      </x:c>
      <x:c r="N707" s="13" t="n">
        <x:f>D707-C707</x:f>
        <x:v>-3</x:v>
      </x:c>
    </x:row>
    <x:row r="708">
      <x:c r="A708" s="13" t="str">
        <x:v>PAG-000707</x:v>
      </x:c>
      <x:c r="B708" s="23" t="n">
        <x:v>45780</x:v>
      </x:c>
      <x:c r="C708" s="23" t="n">
        <x:v>45810</x:v>
      </x:c>
      <x:c r="D708" s="23" t="n">
        <x:v>45809</x:v>
      </x:c>
      <x:c r="E708" s="13" t="str">
        <x:v>Office Prime</x:v>
      </x:c>
      <x:c r="F708" s="13" t="str">
        <x:v>Escritório</x:v>
      </x:c>
      <x:c r="G708" s="17" t="n">
        <x:v>22641.85</x:v>
      </x:c>
      <x:c r="H708" s="17" t="n">
        <x:v>23360.53</x:v>
      </x:c>
      <x:c r="I708" s="13" t="str">
        <x:v>Gestor da área</x:v>
      </x:c>
      <x:c r="J708" s="13" t="str">
        <x:v>Pago</x:v>
      </x:c>
      <x:c r="K708" s="13" t="str">
        <x:v>Operação Clareza</x:v>
      </x:c>
      <x:c r="L708" s="17" t="n">
        <x:f>H708-G708</x:f>
        <x:v>718.6800000000003</x:v>
      </x:c>
      <x:c r="M708" s="19" t="n">
        <x:f>IFERROR(L708/G708,0)</x:f>
        <x:v>0.03174122255911069</x:v>
      </x:c>
      <x:c r="N708" s="13" t="n">
        <x:f>D708-C708</x:f>
        <x:v>-1</x:v>
      </x:c>
    </x:row>
    <x:row r="709">
      <x:c r="A709" s="13" t="str">
        <x:v>PAG-000708</x:v>
      </x:c>
      <x:c r="B709" s="23" t="n">
        <x:v>45796</x:v>
      </x:c>
      <x:c r="C709" s="23" t="n">
        <x:v>45826</x:v>
      </x:c>
      <x:c r="D709" s="23" t="n">
        <x:v>45826</x:v>
      </x:c>
      <x:c r="E709" s="13" t="str">
        <x:v>LegalMais</x:v>
      </x:c>
      <x:c r="F709" s="13" t="str">
        <x:v>Jurídico</x:v>
      </x:c>
      <x:c r="G709" s="17" t="n">
        <x:v>13158.41</x:v>
      </x:c>
      <x:c r="H709" s="17" t="n">
        <x:v>13366.6</x:v>
      </x:c>
      <x:c r="I709" s="13" t="str">
        <x:v>Diretoria</x:v>
      </x:c>
      <x:c r="J709" s="13" t="str">
        <x:v>Pago</x:v>
      </x:c>
      <x:c r="K709" s="13" t="str">
        <x:v>Operação Clareza</x:v>
      </x:c>
      <x:c r="L709" s="17" t="n">
        <x:f>H709-G709</x:f>
        <x:v>208.1900000000005</x:v>
      </x:c>
      <x:c r="M709" s="19" t="n">
        <x:f>IFERROR(L709/G709,0)</x:f>
        <x:v>0.01582182041751249</x:v>
      </x:c>
      <x:c r="N709" s="13" t="n">
        <x:f>D709-C709</x:f>
        <x:v>0</x:v>
      </x:c>
    </x:row>
    <x:row r="710">
      <x:c r="A710" s="13" t="str">
        <x:v>PAG-000709</x:v>
      </x:c>
      <x:c r="B710" s="23" t="n">
        <x:v>45791</x:v>
      </x:c>
      <x:c r="C710" s="23" t="n">
        <x:v>45811</x:v>
      </x:c>
      <x:c r="D710" s="23" t="n">
        <x:v>45813</x:v>
      </x:c>
      <x:c r="E710" s="13" t="str">
        <x:v>WorkSpace</x:v>
      </x:c>
      <x:c r="F710" s="13" t="str">
        <x:v>Locação</x:v>
      </x:c>
      <x:c r="G710" s="17" t="n">
        <x:v>6304.59</x:v>
      </x:c>
      <x:c r="H710" s="17" t="n">
        <x:v>6437.24</x:v>
      </x:c>
      <x:c r="I710" s="13" t="str">
        <x:v>Gestor da área</x:v>
      </x:c>
      <x:c r="J710" s="13" t="str">
        <x:v>Pago</x:v>
      </x:c>
      <x:c r="K710" s="13" t="str">
        <x:v>Operação Clareza</x:v>
      </x:c>
      <x:c r="L710" s="17" t="n">
        <x:f>H710-G710</x:f>
        <x:v>132.64999999999964</x:v>
      </x:c>
      <x:c r="M710" s="19" t="n">
        <x:f>IFERROR(L710/G710,0)</x:f>
        <x:v>0.021040226247860627</x:v>
      </x:c>
      <x:c r="N710" s="13" t="n">
        <x:f>D710-C710</x:f>
        <x:v>2</x:v>
      </x:c>
    </x:row>
    <x:row r="711">
      <x:c r="A711" s="13" t="str">
        <x:v>PAG-000710</x:v>
      </x:c>
      <x:c r="B711" s="23" t="n">
        <x:v>45794</x:v>
      </x:c>
      <x:c r="C711" s="23" t="n">
        <x:v>45809</x:v>
      </x:c>
      <x:c r="D711" s="23" t="n">
        <x:v>45811</x:v>
      </x:c>
      <x:c r="E711" s="13" t="str">
        <x:v>MarketLab</x:v>
      </x:c>
      <x:c r="F711" s="13" t="str">
        <x:v>Marketing</x:v>
      </x:c>
      <x:c r="G711" s="17" t="n">
        <x:v>3573.64</x:v>
      </x:c>
      <x:c r="H711" s="17" t="n">
        <x:v>3725.78</x:v>
      </x:c>
      <x:c r="I711" s="13" t="str">
        <x:v>Gestor da área</x:v>
      </x:c>
      <x:c r="J711" s="13" t="str">
        <x:v>Pago</x:v>
      </x:c>
      <x:c r="K711" s="13" t="str">
        <x:v>Operação Clareza</x:v>
      </x:c>
      <x:c r="L711" s="17" t="n">
        <x:f>H711-G711</x:f>
        <x:v>152.14000000000033</x:v>
      </x:c>
      <x:c r="M711" s="19" t="n">
        <x:f>IFERROR(L711/G711,0)</x:f>
        <x:v>0.04257283889815436</x:v>
      </x:c>
      <x:c r="N711" s="13" t="n">
        <x:f>D711-C711</x:f>
        <x:v>2</x:v>
      </x:c>
    </x:row>
    <x:row r="712">
      <x:c r="A712" s="13" t="str">
        <x:v>PAG-000711</x:v>
      </x:c>
      <x:c r="B712" s="23" t="n">
        <x:v>45786</x:v>
      </x:c>
      <x:c r="C712" s="23" t="n">
        <x:v>45816</x:v>
      </x:c>
      <x:c r="D712" s="23" t="n">
        <x:v>45818</x:v>
      </x:c>
      <x:c r="E712" s="13" t="str">
        <x:v>CloudCore</x:v>
      </x:c>
      <x:c r="F712" s="13" t="str">
        <x:v>Tecnologia</x:v>
      </x:c>
      <x:c r="G712" s="17" t="n">
        <x:v>5767.93</x:v>
      </x:c>
      <x:c r="H712" s="17" t="n">
        <x:v>5728.72</x:v>
      </x:c>
      <x:c r="I712" s="13" t="str">
        <x:v>Gestor da área</x:v>
      </x:c>
      <x:c r="J712" s="13" t="str">
        <x:v>Pago</x:v>
      </x:c>
      <x:c r="K712" s="13" t="str">
        <x:v>Operação Clareza</x:v>
      </x:c>
      <x:c r="L712" s="17" t="n">
        <x:f>H712-G712</x:f>
        <x:v>-39.210000000000036</x:v>
      </x:c>
      <x:c r="M712" s="19" t="n">
        <x:f>IFERROR(L712/G712,0)</x:f>
        <x:v>-0.006797932707227729</x:v>
      </x:c>
      <x:c r="N712" s="13" t="n">
        <x:f>D712-C712</x:f>
        <x:v>2</x:v>
      </x:c>
    </x:row>
    <x:row r="713">
      <x:c r="A713" s="13" t="str">
        <x:v>PAG-000712</x:v>
      </x:c>
      <x:c r="B713" s="23" t="n">
        <x:v>45787</x:v>
      </x:c>
      <x:c r="C713" s="23" t="n">
        <x:v>45807</x:v>
      </x:c>
      <x:c r="D713" s="23" t="n">
        <x:v>45807</x:v>
      </x:c>
      <x:c r="E713" s="13" t="str">
        <x:v>Conta Certa</x:v>
      </x:c>
      <x:c r="F713" s="13" t="str">
        <x:v>Contabilidade</x:v>
      </x:c>
      <x:c r="G713" s="17" t="n">
        <x:v>24766.52</x:v>
      </x:c>
      <x:c r="H713" s="17" t="n">
        <x:v>25878</x:v>
      </x:c>
      <x:c r="I713" s="13" t="str">
        <x:v>Diretoria</x:v>
      </x:c>
      <x:c r="J713" s="13" t="str">
        <x:v>Pago</x:v>
      </x:c>
      <x:c r="K713" s="13" t="str">
        <x:v>Operação Clareza</x:v>
      </x:c>
      <x:c r="L713" s="17" t="n">
        <x:f>H713-G713</x:f>
        <x:v>1111.4799999999996</x:v>
      </x:c>
      <x:c r="M713" s="19" t="n">
        <x:f>IFERROR(L713/G713,0)</x:f>
        <x:v>0.044878327677848946</x:v>
      </x:c>
      <x:c r="N713" s="13" t="n">
        <x:f>D713-C713</x:f>
        <x:v>0</x:v>
      </x:c>
    </x:row>
    <x:row r="714">
      <x:c r="A714" s="13" t="str">
        <x:v>PAG-000713</x:v>
      </x:c>
      <x:c r="B714" s="23" t="n">
        <x:v>45781</x:v>
      </x:c>
      <x:c r="C714" s="23" t="n">
        <x:v>45788</x:v>
      </x:c>
      <x:c r="D714" s="23" t="n">
        <x:v>45788</x:v>
      </x:c>
      <x:c r="E714" s="13" t="str">
        <x:v>Insight BI</x:v>
      </x:c>
      <x:c r="F714" s="13" t="str">
        <x:v>Dados e Analytics</x:v>
      </x:c>
      <x:c r="G714" s="17" t="n">
        <x:v>20105.44</x:v>
      </x:c>
      <x:c r="H714" s="17" t="n">
        <x:v>20319.35</x:v>
      </x:c>
      <x:c r="I714" s="13" t="str">
        <x:v>Gestor da área</x:v>
      </x:c>
      <x:c r="J714" s="13" t="str">
        <x:v>Pago</x:v>
      </x:c>
      <x:c r="K714" s="13" t="str">
        <x:v>Operação Clareza</x:v>
      </x:c>
      <x:c r="L714" s="17" t="n">
        <x:f>H714-G714</x:f>
        <x:v>213.90999999999985</x:v>
      </x:c>
      <x:c r="M714" s="19" t="n">
        <x:f>IFERROR(L714/G714,0)</x:f>
        <x:v>0.010639409035564498</x:v>
      </x:c>
      <x:c r="N714" s="13" t="n">
        <x:f>D714-C714</x:f>
        <x:v>0</x:v>
      </x:c>
    </x:row>
    <x:row r="715">
      <x:c r="A715" s="13" t="str">
        <x:v>PAG-000714</x:v>
      </x:c>
      <x:c r="B715" s="23" t="n">
        <x:v>45781</x:v>
      </x:c>
      <x:c r="C715" s="23" t="n">
        <x:v>45788</x:v>
      </x:c>
      <x:c r="D715" s="23" t="n">
        <x:v>45788</x:v>
      </x:c>
      <x:c r="E715" s="13" t="str">
        <x:v>NetLink</x:v>
      </x:c>
      <x:c r="F715" s="13" t="str">
        <x:v>Telecomunicações</x:v>
      </x:c>
      <x:c r="G715" s="17" t="n">
        <x:v>24773.43</x:v>
      </x:c>
      <x:c r="H715" s="17" t="n">
        <x:v>24802.15</x:v>
      </x:c>
      <x:c r="I715" s="13" t="str">
        <x:v>Diretoria</x:v>
      </x:c>
      <x:c r="J715" s="13" t="str">
        <x:v>Pago</x:v>
      </x:c>
      <x:c r="K715" s="13" t="str">
        <x:v>Operação Clareza</x:v>
      </x:c>
      <x:c r="L715" s="17" t="n">
        <x:f>H715-G715</x:f>
        <x:v>28.720000000001164</x:v>
      </x:c>
      <x:c r="M715" s="19" t="n">
        <x:f>IFERROR(L715/G715,0)</x:f>
        <x:v>0.0011593065635239514</x:v>
      </x:c>
      <x:c r="N715" s="13" t="n">
        <x:f>D715-C715</x:f>
        <x:v>0</x:v>
      </x:c>
    </x:row>
    <x:row r="716">
      <x:c r="A716" s="13" t="str">
        <x:v>PAG-000715</x:v>
      </x:c>
      <x:c r="B716" s="23" t="n">
        <x:v>45817</x:v>
      </x:c>
      <x:c r="C716" s="23" t="n">
        <x:v>45824</x:v>
      </x:c>
      <x:c r="D716" s="23" t="n">
        <x:v>45823</x:v>
      </x:c>
      <x:c r="E716" s="13" t="str">
        <x:v>Banco Integra</x:v>
      </x:c>
      <x:c r="F716" s="13" t="str">
        <x:v>Serviços bancários</x:v>
      </x:c>
      <x:c r="G716" s="17" t="n">
        <x:v>19136.97</x:v>
      </x:c>
      <x:c r="H716" s="17" t="n">
        <x:v>19114.94</x:v>
      </x:c>
      <x:c r="I716" s="13" t="str">
        <x:v>Gestor da área</x:v>
      </x:c>
      <x:c r="J716" s="13" t="str">
        <x:v>Pago</x:v>
      </x:c>
      <x:c r="K716" s="13" t="str">
        <x:v>Operação Clareza</x:v>
      </x:c>
      <x:c r="L716" s="17" t="n">
        <x:f>H716-G716</x:f>
        <x:v>-22.030000000002474</x:v>
      </x:c>
      <x:c r="M716" s="19" t="n">
        <x:f>IFERROR(L716/G716,0)</x:f>
        <x:v>-0.001151174924766171</x:v>
      </x:c>
      <x:c r="N716" s="13" t="n">
        <x:f>D716-C716</x:f>
        <x:v>-1</x:v>
      </x:c>
    </x:row>
    <x:row r="717">
      <x:c r="A717" s="13" t="str">
        <x:v>PAG-000716</x:v>
      </x:c>
      <x:c r="B717" s="23" t="n">
        <x:v>45826</x:v>
      </x:c>
      <x:c r="C717" s="23" t="n">
        <x:v>45833</x:v>
      </x:c>
      <x:c r="D717" s="23" t="n">
        <x:v>45833</x:v>
      </x:c>
      <x:c r="E717" s="13" t="str">
        <x:v>CloudCore</x:v>
      </x:c>
      <x:c r="F717" s="13" t="str">
        <x:v>Tecnologia</x:v>
      </x:c>
      <x:c r="G717" s="17" t="n">
        <x:v>31579.11</x:v>
      </x:c>
      <x:c r="H717" s="17" t="n">
        <x:v>32042.6</x:v>
      </x:c>
      <x:c r="I717" s="13" t="str">
        <x:v>Diretoria</x:v>
      </x:c>
      <x:c r="J717" s="13" t="str">
        <x:v>Pago</x:v>
      </x:c>
      <x:c r="K717" s="13" t="str">
        <x:v>Operação Clareza</x:v>
      </x:c>
      <x:c r="L717" s="17" t="n">
        <x:f>H717-G717</x:f>
        <x:v>463.48999999999796</x:v>
      </x:c>
      <x:c r="M717" s="19" t="n">
        <x:f>IFERROR(L717/G717,0)</x:f>
        <x:v>0.014677107746228376</x:v>
      </x:c>
      <x:c r="N717" s="13" t="n">
        <x:f>D717-C717</x:f>
        <x:v>0</x:v>
      </x:c>
    </x:row>
    <x:row r="718">
      <x:c r="A718" s="13" t="str">
        <x:v>PAG-000717</x:v>
      </x:c>
      <x:c r="B718" s="23" t="n">
        <x:v>45811</x:v>
      </x:c>
      <x:c r="C718" s="23" t="n">
        <x:v>45841</x:v>
      </x:c>
      <x:c r="D718" s="23" t="n">
        <x:v>45843</x:v>
      </x:c>
      <x:c r="E718" s="13" t="str">
        <x:v>WorkSpace</x:v>
      </x:c>
      <x:c r="F718" s="13" t="str">
        <x:v>Locação</x:v>
      </x:c>
      <x:c r="G718" s="17" t="n">
        <x:v>27203.98</x:v>
      </x:c>
      <x:c r="H718" s="17" t="n">
        <x:v>27186.76</x:v>
      </x:c>
      <x:c r="I718" s="13" t="str">
        <x:v>Financeiro</x:v>
      </x:c>
      <x:c r="J718" s="13" t="str">
        <x:v>Pago</x:v>
      </x:c>
      <x:c r="K718" s="13" t="str">
        <x:v>Operação Clareza</x:v>
      </x:c>
      <x:c r="L718" s="17" t="n">
        <x:f>H718-G718</x:f>
        <x:v>-17.220000000001164</x:v>
      </x:c>
      <x:c r="M718" s="19" t="n">
        <x:f>IFERROR(L718/G718,0)</x:f>
        <x:v>-0.0006329956131419434</x:v>
      </x:c>
      <x:c r="N718" s="13" t="n">
        <x:f>D718-C718</x:f>
        <x:v>2</x:v>
      </x:c>
    </x:row>
    <x:row r="719">
      <x:c r="A719" s="13" t="str">
        <x:v>PAG-000718</x:v>
      </x:c>
      <x:c r="B719" s="23" t="n">
        <x:v>45826</x:v>
      </x:c>
      <x:c r="C719" s="23" t="n">
        <x:v>45841</x:v>
      </x:c>
      <x:c r="D719" s="23" t="n">
        <x:v>45841</x:v>
      </x:c>
      <x:c r="E719" s="13" t="str">
        <x:v>PeopleHub</x:v>
      </x:c>
      <x:c r="F719" s="13" t="str">
        <x:v>Recursos Humanos</x:v>
      </x:c>
      <x:c r="G719" s="17" t="n">
        <x:v>14024.45</x:v>
      </x:c>
      <x:c r="H719" s="17" t="n">
        <x:v>14343.83</x:v>
      </x:c>
      <x:c r="I719" s="13" t="str">
        <x:v>Financeiro</x:v>
      </x:c>
      <x:c r="J719" s="13" t="str">
        <x:v>Pago</x:v>
      </x:c>
      <x:c r="K719" s="13" t="str">
        <x:v>Operação Clareza</x:v>
      </x:c>
      <x:c r="L719" s="17" t="n">
        <x:f>H719-G719</x:f>
        <x:v>319.3799999999992</x:v>
      </x:c>
      <x:c r="M719" s="19" t="n">
        <x:f>IFERROR(L719/G719,0)</x:f>
        <x:v>0.022773085575548357</x:v>
      </x:c>
      <x:c r="N719" s="13" t="n">
        <x:f>D719-C719</x:f>
        <x:v>0</x:v>
      </x:c>
    </x:row>
    <x:row r="720">
      <x:c r="A720" s="13" t="str">
        <x:v>PAG-000719</x:v>
      </x:c>
      <x:c r="B720" s="23" t="n">
        <x:v>45815</x:v>
      </x:c>
      <x:c r="C720" s="23" t="n">
        <x:v>45835</x:v>
      </x:c>
      <x:c r="D720" s="23" t="n">
        <x:v>45835</x:v>
      </x:c>
      <x:c r="E720" s="13" t="str">
        <x:v>Banco Integra</x:v>
      </x:c>
      <x:c r="F720" s="13" t="str">
        <x:v>Serviços bancários</x:v>
      </x:c>
      <x:c r="G720" s="17" t="n">
        <x:v>1228.73</x:v>
      </x:c>
      <x:c r="H720" s="17" t="n">
        <x:v>1232.22</x:v>
      </x:c>
      <x:c r="I720" s="13" t="str">
        <x:v>Diretoria</x:v>
      </x:c>
      <x:c r="J720" s="13" t="str">
        <x:v>Pago</x:v>
      </x:c>
      <x:c r="K720" s="13" t="str">
        <x:v>Operação Clareza</x:v>
      </x:c>
      <x:c r="L720" s="17" t="n">
        <x:f>H720-G720</x:f>
        <x:v>3.490000000000009</x:v>
      </x:c>
      <x:c r="M720" s="19" t="n">
        <x:f>IFERROR(L720/G720,0)</x:f>
        <x:v>0.002840331073547491</x:v>
      </x:c>
      <x:c r="N720" s="13" t="n">
        <x:f>D720-C720</x:f>
        <x:v>0</x:v>
      </x:c>
    </x:row>
    <x:row r="721">
      <x:c r="A721" s="13" t="str">
        <x:v>PAG-000720</x:v>
      </x:c>
      <x:c r="B721" s="23" t="n">
        <x:v>45810</x:v>
      </x:c>
      <x:c r="C721" s="23" t="n">
        <x:v>45830</x:v>
      </x:c>
      <x:c r="D721" s="23" t="n">
        <x:v>45830</x:v>
      </x:c>
      <x:c r="E721" s="13" t="str">
        <x:v>Conta Certa</x:v>
      </x:c>
      <x:c r="F721" s="13" t="str">
        <x:v>Contabilidade</x:v>
      </x:c>
      <x:c r="G721" s="17" t="n">
        <x:v>19570.28</x:v>
      </x:c>
      <x:c r="H721" s="17" t="n">
        <x:v>20249.43</x:v>
      </x:c>
      <x:c r="I721" s="13" t="str">
        <x:v>Gestor da área</x:v>
      </x:c>
      <x:c r="J721" s="13" t="str">
        <x:v>Pago</x:v>
      </x:c>
      <x:c r="K721" s="13" t="str">
        <x:v>Operação Clareza</x:v>
      </x:c>
      <x:c r="L721" s="17" t="n">
        <x:f>H721-G721</x:f>
        <x:v>679.1500000000015</x:v>
      </x:c>
      <x:c r="M721" s="19" t="n">
        <x:f>IFERROR(L721/G721,0)</x:f>
        <x:v>0.034703131483044776</x:v>
      </x:c>
      <x:c r="N721" s="13" t="n">
        <x:f>D721-C721</x:f>
        <x:v>0</x:v>
      </x:c>
    </x:row>
    <x:row r="722">
      <x:c r="A722" s="13" t="str">
        <x:v>PAG-000721</x:v>
      </x:c>
      <x:c r="B722" s="23" t="n">
        <x:v>45818</x:v>
      </x:c>
      <x:c r="C722" s="23" t="n">
        <x:v>45825</x:v>
      </x:c>
      <x:c r="D722" s="23" t="n">
        <x:v>45824</x:v>
      </x:c>
      <x:c r="E722" s="13" t="str">
        <x:v>Insight BI</x:v>
      </x:c>
      <x:c r="F722" s="13" t="str">
        <x:v>Dados e Analytics</x:v>
      </x:c>
      <x:c r="G722" s="17" t="n">
        <x:v>8437.12</x:v>
      </x:c>
      <x:c r="H722" s="17" t="n">
        <x:v>8348.69</x:v>
      </x:c>
      <x:c r="I722" s="13" t="str">
        <x:v>Gestor da área</x:v>
      </x:c>
      <x:c r="J722" s="13" t="str">
        <x:v>Pago</x:v>
      </x:c>
      <x:c r="K722" s="13" t="str">
        <x:v>Operação Clareza</x:v>
      </x:c>
      <x:c r="L722" s="17" t="n">
        <x:f>H722-G722</x:f>
        <x:v>-88.43000000000029</x:v>
      </x:c>
      <x:c r="M722" s="19" t="n">
        <x:f>IFERROR(L722/G722,0)</x:f>
        <x:v>-0.010481064628688495</x:v>
      </x:c>
      <x:c r="N722" s="13" t="n">
        <x:f>D722-C722</x:f>
        <x:v>-1</x:v>
      </x:c>
    </x:row>
    <x:row r="723">
      <x:c r="A723" s="13" t="str">
        <x:v>PAG-000722</x:v>
      </x:c>
      <x:c r="B723" s="23" t="n">
        <x:v>45828</x:v>
      </x:c>
      <x:c r="C723" s="23" t="n">
        <x:v>45835</x:v>
      </x:c>
      <x:c r="D723" s="23" t="n">
        <x:v>45832</x:v>
      </x:c>
      <x:c r="E723" s="13" t="str">
        <x:v>EducaPro</x:v>
      </x:c>
      <x:c r="F723" s="13" t="str">
        <x:v>Treinamentos</x:v>
      </x:c>
      <x:c r="G723" s="17" t="n">
        <x:v>18216.78</x:v>
      </x:c>
      <x:c r="H723" s="17" t="n">
        <x:v>17763.06</x:v>
      </x:c>
      <x:c r="I723" s="13" t="str">
        <x:v>Diretoria</x:v>
      </x:c>
      <x:c r="J723" s="13" t="str">
        <x:v>Pago</x:v>
      </x:c>
      <x:c r="K723" s="13" t="str">
        <x:v>Operação Clareza</x:v>
      </x:c>
      <x:c r="L723" s="17" t="n">
        <x:f>H723-G723</x:f>
        <x:v>-453.7199999999975</x:v>
      </x:c>
      <x:c r="M723" s="19" t="n">
        <x:f>IFERROR(L723/G723,0)</x:f>
        <x:v>-0.02490670689331471</x:v>
      </x:c>
      <x:c r="N723" s="13" t="n">
        <x:f>D723-C723</x:f>
        <x:v>-3</x:v>
      </x:c>
    </x:row>
    <x:row r="724">
      <x:c r="A724" s="13" t="str">
        <x:v>PAG-000723</x:v>
      </x:c>
      <x:c r="B724" s="23" t="n">
        <x:v>45820</x:v>
      </x:c>
      <x:c r="C724" s="23" t="n">
        <x:v>45827</x:v>
      </x:c>
      <x:c r="D724" s="23" t="n">
        <x:v>45825</x:v>
      </x:c>
      <x:c r="E724" s="13" t="str">
        <x:v>MarketLab</x:v>
      </x:c>
      <x:c r="F724" s="13" t="str">
        <x:v>Marketing</x:v>
      </x:c>
      <x:c r="G724" s="17" t="n">
        <x:v>506.05</x:v>
      </x:c>
      <x:c r="H724" s="17" t="n">
        <x:v>525.46</x:v>
      </x:c>
      <x:c r="I724" s="13" t="str">
        <x:v>Diretoria</x:v>
      </x:c>
      <x:c r="J724" s="13" t="str">
        <x:v>Pago</x:v>
      </x:c>
      <x:c r="K724" s="13" t="str">
        <x:v>Operação Clareza</x:v>
      </x:c>
      <x:c r="L724" s="17" t="n">
        <x:f>H724-G724</x:f>
        <x:v>19.410000000000025</x:v>
      </x:c>
      <x:c r="M724" s="19" t="n">
        <x:f>IFERROR(L724/G724,0)</x:f>
        <x:v>0.03835589368639467</x:v>
      </x:c>
      <x:c r="N724" s="13" t="n">
        <x:f>D724-C724</x:f>
        <x:v>-2</x:v>
      </x:c>
    </x:row>
    <x:row r="725">
      <x:c r="A725" s="13" t="str">
        <x:v>PAG-000724</x:v>
      </x:c>
      <x:c r="B725" s="23" t="n">
        <x:v>45819</x:v>
      </x:c>
      <x:c r="C725" s="23" t="n">
        <x:v>45849</x:v>
      </x:c>
      <x:c r="D725" s="23" t="n">
        <x:v>45849</x:v>
      </x:c>
      <x:c r="E725" s="13" t="str">
        <x:v>DataSafe</x:v>
      </x:c>
      <x:c r="F725" s="13" t="str">
        <x:v>Segurança da informação</x:v>
      </x:c>
      <x:c r="G725" s="17" t="n">
        <x:v>26274.26</x:v>
      </x:c>
      <x:c r="H725" s="17" t="n">
        <x:v>27337.37</x:v>
      </x:c>
      <x:c r="I725" s="13" t="str">
        <x:v>Diretoria</x:v>
      </x:c>
      <x:c r="J725" s="13" t="str">
        <x:v>Pago</x:v>
      </x:c>
      <x:c r="K725" s="13" t="str">
        <x:v>Operação Clareza</x:v>
      </x:c>
      <x:c r="L725" s="17" t="n">
        <x:f>H725-G725</x:f>
        <x:v>1063.1100000000006</x:v>
      </x:c>
      <x:c r="M725" s="19" t="n">
        <x:f>IFERROR(L725/G725,0)</x:f>
        <x:v>0.04046203394500932</x:v>
      </x:c>
      <x:c r="N725" s="13" t="n">
        <x:f>D725-C725</x:f>
        <x:v>0</x:v>
      </x:c>
    </x:row>
    <x:row r="726">
      <x:c r="A726" s="13" t="str">
        <x:v>PAG-000725</x:v>
      </x:c>
      <x:c r="B726" s="23" t="n">
        <x:v>45817</x:v>
      </x:c>
      <x:c r="C726" s="23" t="n">
        <x:v>45847</x:v>
      </x:c>
      <x:c r="D726" s="23" t="n">
        <x:v>45845</x:v>
      </x:c>
      <x:c r="E726" s="13" t="str">
        <x:v>LegalMais</x:v>
      </x:c>
      <x:c r="F726" s="13" t="str">
        <x:v>Jurídico</x:v>
      </x:c>
      <x:c r="G726" s="17" t="n">
        <x:v>29155.63</x:v>
      </x:c>
      <x:c r="H726" s="17" t="n">
        <x:v>30322.55</x:v>
      </x:c>
      <x:c r="I726" s="13" t="str">
        <x:v>Financeiro</x:v>
      </x:c>
      <x:c r="J726" s="13" t="str">
        <x:v>Pago</x:v>
      </x:c>
      <x:c r="K726" s="13" t="str">
        <x:v>Operação Clareza</x:v>
      </x:c>
      <x:c r="L726" s="17" t="n">
        <x:f>H726-G726</x:f>
        <x:v>1166.9199999999983</x:v>
      </x:c>
      <x:c r="M726" s="19" t="n">
        <x:f>IFERROR(L726/G726,0)</x:f>
        <x:v>0.04002383073183458</x:v>
      </x:c>
      <x:c r="N726" s="13" t="n">
        <x:f>D726-C726</x:f>
        <x:v>-2</x:v>
      </x:c>
    </x:row>
    <x:row r="727">
      <x:c r="A727" s="13" t="str">
        <x:v>PAG-000726</x:v>
      </x:c>
      <x:c r="B727" s="23" t="n">
        <x:v>45811</x:v>
      </x:c>
      <x:c r="C727" s="23" t="n">
        <x:v>45841</x:v>
      </x:c>
      <x:c r="D727" s="23" t="n">
        <x:v>45842</x:v>
      </x:c>
      <x:c r="E727" s="13" t="str">
        <x:v>PeopleHub</x:v>
      </x:c>
      <x:c r="F727" s="13" t="str">
        <x:v>Recursos Humanos</x:v>
      </x:c>
      <x:c r="G727" s="17" t="n">
        <x:v>28714.33</x:v>
      </x:c>
      <x:c r="H727" s="17" t="n">
        <x:v>28647.5</x:v>
      </x:c>
      <x:c r="I727" s="13" t="str">
        <x:v>Financeiro</x:v>
      </x:c>
      <x:c r="J727" s="13" t="str">
        <x:v>Pago</x:v>
      </x:c>
      <x:c r="K727" s="13" t="str">
        <x:v>Operação Clareza</x:v>
      </x:c>
      <x:c r="L727" s="17" t="n">
        <x:f>H727-G727</x:f>
        <x:v>-66.83000000000175</x:v>
      </x:c>
      <x:c r="M727" s="19" t="n">
        <x:f>IFERROR(L727/G727,0)</x:f>
        <x:v>-0.002327409345786642</x:v>
      </x:c>
      <x:c r="N727" s="13" t="n">
        <x:f>D727-C727</x:f>
        <x:v>1</x:v>
      </x:c>
    </x:row>
    <x:row r="728">
      <x:c r="A728" s="13" t="str">
        <x:v>PAG-000727</x:v>
      </x:c>
      <x:c r="B728" s="23" t="n">
        <x:v>45821</x:v>
      </x:c>
      <x:c r="C728" s="23" t="n">
        <x:v>45851</x:v>
      </x:c>
      <x:c r="D728" s="23" t="n">
        <x:v>45849</x:v>
      </x:c>
      <x:c r="E728" s="13" t="str">
        <x:v>EducaPro</x:v>
      </x:c>
      <x:c r="F728" s="13" t="str">
        <x:v>Treinamentos</x:v>
      </x:c>
      <x:c r="G728" s="17" t="n">
        <x:v>26706.29</x:v>
      </x:c>
      <x:c r="H728" s="17" t="n">
        <x:v>26935.12</x:v>
      </x:c>
      <x:c r="I728" s="13" t="str">
        <x:v>Diretoria</x:v>
      </x:c>
      <x:c r="J728" s="13" t="str">
        <x:v>Pago</x:v>
      </x:c>
      <x:c r="K728" s="13" t="str">
        <x:v>Operação Clareza</x:v>
      </x:c>
      <x:c r="L728" s="17" t="n">
        <x:f>H728-G728</x:f>
        <x:v>228.8299999999981</x:v>
      </x:c>
      <x:c r="M728" s="19" t="n">
        <x:f>IFERROR(L728/G728,0)</x:f>
        <x:v>0.008568393438399647</x:v>
      </x:c>
      <x:c r="N728" s="13" t="n">
        <x:f>D728-C728</x:f>
        <x:v>-2</x:v>
      </x:c>
    </x:row>
    <x:row r="729">
      <x:c r="A729" s="13" t="str">
        <x:v>PAG-000728</x:v>
      </x:c>
      <x:c r="B729" s="23" t="n">
        <x:v>45823</x:v>
      </x:c>
      <x:c r="C729" s="23" t="n">
        <x:v>45830</x:v>
      </x:c>
      <x:c r="D729" s="23" t="n">
        <x:v>45827</x:v>
      </x:c>
      <x:c r="E729" s="13" t="str">
        <x:v>Conta Certa</x:v>
      </x:c>
      <x:c r="F729" s="13" t="str">
        <x:v>Contabilidade</x:v>
      </x:c>
      <x:c r="G729" s="17" t="n">
        <x:v>13191.77</x:v>
      </x:c>
      <x:c r="H729" s="17" t="n">
        <x:v>13608.86</x:v>
      </x:c>
      <x:c r="I729" s="13" t="str">
        <x:v>Diretoria</x:v>
      </x:c>
      <x:c r="J729" s="13" t="str">
        <x:v>Pago</x:v>
      </x:c>
      <x:c r="K729" s="13" t="str">
        <x:v>Operação Clareza</x:v>
      </x:c>
      <x:c r="L729" s="17" t="n">
        <x:f>H729-G729</x:f>
        <x:v>417.09000000000015</x:v>
      </x:c>
      <x:c r="M729" s="19" t="n">
        <x:f>IFERROR(L729/G729,0)</x:f>
        <x:v>0.031617440267682054</x:v>
      </x:c>
      <x:c r="N729" s="13" t="n">
        <x:f>D729-C729</x:f>
        <x:v>-3</x:v>
      </x:c>
    </x:row>
    <x:row r="730">
      <x:c r="A730" s="13" t="str">
        <x:v>PAG-000729</x:v>
      </x:c>
      <x:c r="B730" s="23" t="n">
        <x:v>45828</x:v>
      </x:c>
      <x:c r="C730" s="23" t="n">
        <x:v>45858</x:v>
      </x:c>
      <x:c r="D730" s="23" t="n">
        <x:v>45858</x:v>
      </x:c>
      <x:c r="E730" s="13" t="str">
        <x:v>EducaPro</x:v>
      </x:c>
      <x:c r="F730" s="13" t="str">
        <x:v>Treinamentos</x:v>
      </x:c>
      <x:c r="G730" s="17" t="n">
        <x:v>18882.52</x:v>
      </x:c>
      <x:c r="H730" s="17" t="n">
        <x:v>18586.52</x:v>
      </x:c>
      <x:c r="I730" s="13" t="str">
        <x:v>Diretoria</x:v>
      </x:c>
      <x:c r="J730" s="13" t="str">
        <x:v>Pago</x:v>
      </x:c>
      <x:c r="K730" s="13" t="str">
        <x:v>Operação Clareza</x:v>
      </x:c>
      <x:c r="L730" s="17" t="n">
        <x:f>H730-G730</x:f>
        <x:v>-296</x:v>
      </x:c>
      <x:c r="M730" s="19" t="n">
        <x:f>IFERROR(L730/G730,0)</x:f>
        <x:v>-0.01567587377108564</x:v>
      </x:c>
      <x:c r="N730" s="13" t="n">
        <x:f>D730-C730</x:f>
        <x:v>0</x:v>
      </x:c>
    </x:row>
    <x:row r="731">
      <x:c r="A731" s="13" t="str">
        <x:v>PAG-000730</x:v>
      </x:c>
      <x:c r="B731" s="23" t="n">
        <x:v>45825</x:v>
      </x:c>
      <x:c r="C731" s="23" t="n">
        <x:v>45845</x:v>
      </x:c>
      <x:c r="D731" s="23" t="n">
        <x:v>45847</x:v>
      </x:c>
      <x:c r="E731" s="13" t="str">
        <x:v>CloudCore</x:v>
      </x:c>
      <x:c r="F731" s="13" t="str">
        <x:v>Tecnologia</x:v>
      </x:c>
      <x:c r="G731" s="17" t="n">
        <x:v>16252.65</x:v>
      </x:c>
      <x:c r="H731" s="17" t="n">
        <x:v>15951.77</x:v>
      </x:c>
      <x:c r="I731" s="13" t="str">
        <x:v>Financeiro</x:v>
      </x:c>
      <x:c r="J731" s="13" t="str">
        <x:v>Pago</x:v>
      </x:c>
      <x:c r="K731" s="13" t="str">
        <x:v>Operação Clareza</x:v>
      </x:c>
      <x:c r="L731" s="17" t="n">
        <x:f>H731-G731</x:f>
        <x:v>-300.8799999999992</x:v>
      </x:c>
      <x:c r="M731" s="19" t="n">
        <x:f>IFERROR(L731/G731,0)</x:f>
        <x:v>-0.01851267331788965</x:v>
      </x:c>
      <x:c r="N731" s="13" t="n">
        <x:f>D731-C731</x:f>
        <x:v>2</x:v>
      </x:c>
    </x:row>
    <x:row r="732">
      <x:c r="A732" s="13" t="str">
        <x:v>PAG-000731</x:v>
      </x:c>
      <x:c r="B732" s="23" t="n">
        <x:v>45825</x:v>
      </x:c>
      <x:c r="C732" s="23" t="n">
        <x:v>45845</x:v>
      </x:c>
      <x:c r="D732" s="23" t="n">
        <x:v>45845</x:v>
      </x:c>
      <x:c r="E732" s="13" t="str">
        <x:v>EducaPro</x:v>
      </x:c>
      <x:c r="F732" s="13" t="str">
        <x:v>Treinamentos</x:v>
      </x:c>
      <x:c r="G732" s="17" t="n">
        <x:v>21142.86</x:v>
      </x:c>
      <x:c r="H732" s="17" t="n">
        <x:v>21964.4</x:v>
      </x:c>
      <x:c r="I732" s="13" t="str">
        <x:v>Gestor da área</x:v>
      </x:c>
      <x:c r="J732" s="13" t="str">
        <x:v>Pago</x:v>
      </x:c>
      <x:c r="K732" s="13" t="str">
        <x:v>Operação Clareza</x:v>
      </x:c>
      <x:c r="L732" s="17" t="n">
        <x:f>H732-G732</x:f>
        <x:v>821.5400000000009</x:v>
      </x:c>
      <x:c r="M732" s="19" t="n">
        <x:f>IFERROR(L732/G732,0)</x:f>
        <x:v>0.038856616370727556</x:v>
      </x:c>
      <x:c r="N732" s="13" t="n">
        <x:f>D732-C732</x:f>
        <x:v>0</x:v>
      </x:c>
    </x:row>
    <x:row r="733">
      <x:c r="A733" s="13" t="str">
        <x:v>PAG-000732</x:v>
      </x:c>
      <x:c r="B733" s="23" t="n">
        <x:v>45813</x:v>
      </x:c>
      <x:c r="C733" s="23" t="n">
        <x:v>45833</x:v>
      </x:c>
      <x:c r="D733" s="23" t="n">
        <x:v>45834</x:v>
      </x:c>
      <x:c r="E733" s="13" t="str">
        <x:v>LegalMais</x:v>
      </x:c>
      <x:c r="F733" s="13" t="str">
        <x:v>Jurídico</x:v>
      </x:c>
      <x:c r="G733" s="17" t="n">
        <x:v>5292.25</x:v>
      </x:c>
      <x:c r="H733" s="17" t="n">
        <x:v>5260.31</x:v>
      </x:c>
      <x:c r="I733" s="13" t="str">
        <x:v>Diretoria</x:v>
      </x:c>
      <x:c r="J733" s="13" t="str">
        <x:v>Pago</x:v>
      </x:c>
      <x:c r="K733" s="13" t="str">
        <x:v>Operação Clareza</x:v>
      </x:c>
      <x:c r="L733" s="17" t="n">
        <x:f>H733-G733</x:f>
        <x:v>-31.9399999999996</x:v>
      </x:c>
      <x:c r="M733" s="19" t="n">
        <x:f>IFERROR(L733/G733,0)</x:f>
        <x:v>-0.006035240209740583</x:v>
      </x:c>
      <x:c r="N733" s="13" t="n">
        <x:f>D733-C733</x:f>
        <x:v>1</x:v>
      </x:c>
    </x:row>
    <x:row r="734">
      <x:c r="A734" s="13" t="str">
        <x:v>PAG-000733</x:v>
      </x:c>
      <x:c r="B734" s="23" t="n">
        <x:v>45826</x:v>
      </x:c>
      <x:c r="C734" s="23" t="n">
        <x:v>45846</x:v>
      </x:c>
      <x:c r="D734" s="23" t="n">
        <x:v>45843</x:v>
      </x:c>
      <x:c r="E734" s="13" t="str">
        <x:v>Conta Certa</x:v>
      </x:c>
      <x:c r="F734" s="13" t="str">
        <x:v>Contabilidade</x:v>
      </x:c>
      <x:c r="G734" s="17" t="n">
        <x:v>6615.53</x:v>
      </x:c>
      <x:c r="H734" s="17" t="n">
        <x:v>6478.08</x:v>
      </x:c>
      <x:c r="I734" s="13" t="str">
        <x:v>Gestor da área</x:v>
      </x:c>
      <x:c r="J734" s="13" t="str">
        <x:v>Pago</x:v>
      </x:c>
      <x:c r="K734" s="13" t="str">
        <x:v>Operação Clareza</x:v>
      </x:c>
      <x:c r="L734" s="17" t="n">
        <x:f>H734-G734</x:f>
        <x:v>-137.44999999999982</x:v>
      </x:c>
      <x:c r="M734" s="19" t="n">
        <x:f>IFERROR(L734/G734,0)</x:f>
        <x:v>-0.020776868973460906</x:v>
      </x:c>
      <x:c r="N734" s="13" t="n">
        <x:f>D734-C734</x:f>
        <x:v>-3</x:v>
      </x:c>
    </x:row>
    <x:row r="735">
      <x:c r="A735" s="13" t="str">
        <x:v>PAG-000734</x:v>
      </x:c>
      <x:c r="B735" s="23" t="n">
        <x:v>45815</x:v>
      </x:c>
      <x:c r="C735" s="23" t="n">
        <x:v>45845</x:v>
      </x:c>
      <x:c r="D735" s="23" t="n">
        <x:v>45845</x:v>
      </x:c>
      <x:c r="E735" s="13" t="str">
        <x:v>Insight BI</x:v>
      </x:c>
      <x:c r="F735" s="13" t="str">
        <x:v>Dados e Analytics</x:v>
      </x:c>
      <x:c r="G735" s="17" t="n">
        <x:v>14034.46</x:v>
      </x:c>
      <x:c r="H735" s="17" t="n">
        <x:v>13797.3</x:v>
      </x:c>
      <x:c r="I735" s="13" t="str">
        <x:v>Financeiro</x:v>
      </x:c>
      <x:c r="J735" s="13" t="str">
        <x:v>Pago</x:v>
      </x:c>
      <x:c r="K735" s="13" t="str">
        <x:v>Operação Clareza</x:v>
      </x:c>
      <x:c r="L735" s="17" t="n">
        <x:f>H735-G735</x:f>
        <x:v>-237.15999999999985</x:v>
      </x:c>
      <x:c r="M735" s="19" t="n">
        <x:f>IFERROR(L735/G735,0)</x:f>
        <x:v>-0.016898405781198556</x:v>
      </x:c>
      <x:c r="N735" s="13" t="n">
        <x:f>D735-C735</x:f>
        <x:v>0</x:v>
      </x:c>
    </x:row>
    <x:row r="736">
      <x:c r="A736" s="13" t="str">
        <x:v>PAG-000735</x:v>
      </x:c>
      <x:c r="B736" s="23" t="n">
        <x:v>45822</x:v>
      </x:c>
      <x:c r="C736" s="23" t="n">
        <x:v>45837</x:v>
      </x:c>
      <x:c r="D736" s="23" t="n">
        <x:v>45836</x:v>
      </x:c>
      <x:c r="E736" s="13" t="str">
        <x:v>Office Prime</x:v>
      </x:c>
      <x:c r="F736" s="13" t="str">
        <x:v>Escritório</x:v>
      </x:c>
      <x:c r="G736" s="17" t="n">
        <x:v>22501.87</x:v>
      </x:c>
      <x:c r="H736" s="17" t="n">
        <x:v>22090.25</x:v>
      </x:c>
      <x:c r="I736" s="13" t="str">
        <x:v>Financeiro</x:v>
      </x:c>
      <x:c r="J736" s="13" t="str">
        <x:v>Pago</x:v>
      </x:c>
      <x:c r="K736" s="13" t="str">
        <x:v>Operação Clareza</x:v>
      </x:c>
      <x:c r="L736" s="17" t="n">
        <x:f>H736-G736</x:f>
        <x:v>-411.619999999999</x:v>
      </x:c>
      <x:c r="M736" s="19" t="n">
        <x:f>IFERROR(L736/G736,0)</x:f>
        <x:v>-0.018292701895442423</x:v>
      </x:c>
      <x:c r="N736" s="13" t="n">
        <x:f>D736-C736</x:f>
        <x:v>-1</x:v>
      </x:c>
    </x:row>
    <x:row r="737">
      <x:c r="A737" s="13" t="str">
        <x:v>PAG-000736</x:v>
      </x:c>
      <x:c r="B737" s="23" t="n">
        <x:v>45827</x:v>
      </x:c>
      <x:c r="C737" s="23" t="n">
        <x:v>45857</x:v>
      </x:c>
      <x:c r="D737" s="23" t="n">
        <x:v>45859</x:v>
      </x:c>
      <x:c r="E737" s="13" t="str">
        <x:v>NetLink</x:v>
      </x:c>
      <x:c r="F737" s="13" t="str">
        <x:v>Telecomunicações</x:v>
      </x:c>
      <x:c r="G737" s="17" t="n">
        <x:v>27592.45</x:v>
      </x:c>
      <x:c r="H737" s="17" t="n">
        <x:v>28521.06</x:v>
      </x:c>
      <x:c r="I737" s="13" t="str">
        <x:v>Financeiro</x:v>
      </x:c>
      <x:c r="J737" s="13" t="str">
        <x:v>Pago</x:v>
      </x:c>
      <x:c r="K737" s="13" t="str">
        <x:v>Operação Clareza</x:v>
      </x:c>
      <x:c r="L737" s="17" t="n">
        <x:f>H737-G737</x:f>
        <x:v>928.6100000000006</x:v>
      </x:c>
      <x:c r="M737" s="19" t="n">
        <x:f>IFERROR(L737/G737,0)</x:f>
        <x:v>0.03365449606685889</x:v>
      </x:c>
      <x:c r="N737" s="13" t="n">
        <x:f>D737-C737</x:f>
        <x:v>2</x:v>
      </x:c>
    </x:row>
    <x:row r="738">
      <x:c r="A738" s="13" t="str">
        <x:v>PAG-000737</x:v>
      </x:c>
      <x:c r="B738" s="23" t="n">
        <x:v>45825</x:v>
      </x:c>
      <x:c r="C738" s="23" t="n">
        <x:v>45845</x:v>
      </x:c>
      <x:c r="D738" s="23" t="n">
        <x:v>45845</x:v>
      </x:c>
      <x:c r="E738" s="13" t="str">
        <x:v>EducaPro</x:v>
      </x:c>
      <x:c r="F738" s="13" t="str">
        <x:v>Treinamentos</x:v>
      </x:c>
      <x:c r="G738" s="17" t="n">
        <x:v>3385.87</x:v>
      </x:c>
      <x:c r="H738" s="17" t="n">
        <x:v>3389.66</x:v>
      </x:c>
      <x:c r="I738" s="13" t="str">
        <x:v>Gestor da área</x:v>
      </x:c>
      <x:c r="J738" s="13" t="str">
        <x:v>Pago</x:v>
      </x:c>
      <x:c r="K738" s="13" t="str">
        <x:v>Operação Clareza</x:v>
      </x:c>
      <x:c r="L738" s="17" t="n">
        <x:f>H738-G738</x:f>
        <x:v>3.7899999999999636</x:v>
      </x:c>
      <x:c r="M738" s="19" t="n">
        <x:f>IFERROR(L738/G738,0)</x:f>
        <x:v>0.001119357801687591</x:v>
      </x:c>
      <x:c r="N738" s="13" t="n">
        <x:f>D738-C738</x:f>
        <x:v>0</x:v>
      </x:c>
    </x:row>
    <x:row r="739">
      <x:c r="A739" s="13" t="str">
        <x:v>PAG-000738</x:v>
      </x:c>
      <x:c r="B739" s="23" t="n">
        <x:v>45817</x:v>
      </x:c>
      <x:c r="C739" s="23" t="n">
        <x:v>45824</x:v>
      </x:c>
      <x:c r="D739" s="23" t="n">
        <x:v>45822</x:v>
      </x:c>
      <x:c r="E739" s="13" t="str">
        <x:v>Conta Certa</x:v>
      </x:c>
      <x:c r="F739" s="13" t="str">
        <x:v>Contabilidade</x:v>
      </x:c>
      <x:c r="G739" s="17" t="n">
        <x:v>10309.1</x:v>
      </x:c>
      <x:c r="H739" s="17" t="n">
        <x:v>10626.7</x:v>
      </x:c>
      <x:c r="I739" s="13" t="str">
        <x:v>Gestor da área</x:v>
      </x:c>
      <x:c r="J739" s="13" t="str">
        <x:v>Pago</x:v>
      </x:c>
      <x:c r="K739" s="13" t="str">
        <x:v>Operação Clareza</x:v>
      </x:c>
      <x:c r="L739" s="17" t="n">
        <x:f>H739-G739</x:f>
        <x:v>317.60000000000036</x:v>
      </x:c>
      <x:c r="M739" s="19" t="n">
        <x:f>IFERROR(L739/G739,0)</x:f>
        <x:v>0.03080773297378048</x:v>
      </x:c>
      <x:c r="N739" s="13" t="n">
        <x:f>D739-C739</x:f>
        <x:v>-2</x:v>
      </x:c>
    </x:row>
    <x:row r="740">
      <x:c r="A740" s="13" t="str">
        <x:v>PAG-000739</x:v>
      </x:c>
      <x:c r="B740" s="23" t="n">
        <x:v>45818</x:v>
      </x:c>
      <x:c r="C740" s="23" t="n">
        <x:v>45833</x:v>
      </x:c>
      <x:c r="D740" s="23" t="n">
        <x:v>45833</x:v>
      </x:c>
      <x:c r="E740" s="13" t="str">
        <x:v>MarketLab</x:v>
      </x:c>
      <x:c r="F740" s="13" t="str">
        <x:v>Marketing</x:v>
      </x:c>
      <x:c r="G740" s="17" t="n">
        <x:v>4370.36</x:v>
      </x:c>
      <x:c r="H740" s="17" t="n">
        <x:v>4415.3</x:v>
      </x:c>
      <x:c r="I740" s="13" t="str">
        <x:v>Financeiro</x:v>
      </x:c>
      <x:c r="J740" s="13" t="str">
        <x:v>Pago</x:v>
      </x:c>
      <x:c r="K740" s="13" t="str">
        <x:v>Operação Clareza</x:v>
      </x:c>
      <x:c r="L740" s="17" t="n">
        <x:f>H740-G740</x:f>
        <x:v>44.94000000000051</x:v>
      </x:c>
      <x:c r="M740" s="19" t="n">
        <x:f>IFERROR(L740/G740,0)</x:f>
        <x:v>0.010282905756047674</x:v>
      </x:c>
      <x:c r="N740" s="13" t="n">
        <x:f>D740-C740</x:f>
        <x:v>0</x:v>
      </x:c>
    </x:row>
    <x:row r="741">
      <x:c r="A741" s="13" t="str">
        <x:v>PAG-000740</x:v>
      </x:c>
      <x:c r="B741" s="23" t="n">
        <x:v>45813</x:v>
      </x:c>
      <x:c r="C741" s="23" t="n">
        <x:v>45833</x:v>
      </x:c>
      <x:c r="D741" s="23" t="n">
        <x:v>45832</x:v>
      </x:c>
      <x:c r="E741" s="13" t="str">
        <x:v>CloudCore</x:v>
      </x:c>
      <x:c r="F741" s="13" t="str">
        <x:v>Tecnologia</x:v>
      </x:c>
      <x:c r="G741" s="17" t="n">
        <x:v>24725.97</x:v>
      </x:c>
      <x:c r="H741" s="17" t="n">
        <x:v>25779.91</x:v>
      </x:c>
      <x:c r="I741" s="13" t="str">
        <x:v>Gestor da área</x:v>
      </x:c>
      <x:c r="J741" s="13" t="str">
        <x:v>Pago</x:v>
      </x:c>
      <x:c r="K741" s="13" t="str">
        <x:v>Operação Clareza</x:v>
      </x:c>
      <x:c r="L741" s="17" t="n">
        <x:f>H741-G741</x:f>
        <x:v>1053.9399999999987</x:v>
      </x:c>
      <x:c r="M741" s="19" t="n">
        <x:f>IFERROR(L741/G741,0)</x:f>
        <x:v>0.042624819167862725</x:v>
      </x:c>
      <x:c r="N741" s="13" t="n">
        <x:f>D741-C741</x:f>
        <x:v>-1</x:v>
      </x:c>
    </x:row>
    <x:row r="742">
      <x:c r="A742" s="13" t="str">
        <x:v>PAG-000741</x:v>
      </x:c>
      <x:c r="B742" s="23" t="n">
        <x:v>45822</x:v>
      </x:c>
      <x:c r="C742" s="23" t="n">
        <x:v>45852</x:v>
      </x:c>
      <x:c r="D742" s="23" t="n">
        <x:v>45852</x:v>
      </x:c>
      <x:c r="E742" s="13" t="str">
        <x:v>Office Prime</x:v>
      </x:c>
      <x:c r="F742" s="13" t="str">
        <x:v>Escritório</x:v>
      </x:c>
      <x:c r="G742" s="17" t="n">
        <x:v>15077.39</x:v>
      </x:c>
      <x:c r="H742" s="17" t="n">
        <x:v>15657.73</x:v>
      </x:c>
      <x:c r="I742" s="13" t="str">
        <x:v>Gestor da área</x:v>
      </x:c>
      <x:c r="J742" s="13" t="str">
        <x:v>Pago</x:v>
      </x:c>
      <x:c r="K742" s="13" t="str">
        <x:v>Operação Clareza</x:v>
      </x:c>
      <x:c r="L742" s="17" t="n">
        <x:f>H742-G742</x:f>
        <x:v>580.3400000000001</x:v>
      </x:c>
      <x:c r="M742" s="19" t="n">
        <x:f>IFERROR(L742/G742,0)</x:f>
        <x:v>0.03849074674064942</x:v>
      </x:c>
      <x:c r="N742" s="13" t="n">
        <x:f>D742-C742</x:f>
        <x:v>0</x:v>
      </x:c>
    </x:row>
    <x:row r="743">
      <x:c r="A743" s="13" t="str">
        <x:v>PAG-000742</x:v>
      </x:c>
      <x:c r="B743" s="23" t="n">
        <x:v>45819</x:v>
      </x:c>
      <x:c r="C743" s="23" t="n">
        <x:v>45839</x:v>
      </x:c>
      <x:c r="D743" s="23" t="n">
        <x:v>45839</x:v>
      </x:c>
      <x:c r="E743" s="13" t="str">
        <x:v>PeopleHub</x:v>
      </x:c>
      <x:c r="F743" s="13" t="str">
        <x:v>Recursos Humanos</x:v>
      </x:c>
      <x:c r="G743" s="17" t="n">
        <x:v>5053.37</x:v>
      </x:c>
      <x:c r="H743" s="17" t="n">
        <x:v>5084.06</x:v>
      </x:c>
      <x:c r="I743" s="13" t="str">
        <x:v>Financeiro</x:v>
      </x:c>
      <x:c r="J743" s="13" t="str">
        <x:v>Pago</x:v>
      </x:c>
      <x:c r="K743" s="13" t="str">
        <x:v>Operação Clareza</x:v>
      </x:c>
      <x:c r="L743" s="17" t="n">
        <x:f>H743-G743</x:f>
        <x:v>30.69000000000051</x:v>
      </x:c>
      <x:c r="M743" s="19" t="n">
        <x:f>IFERROR(L743/G743,0)</x:f>
        <x:v>0.0060731749307888615</x:v>
      </x:c>
      <x:c r="N743" s="13" t="n">
        <x:f>D743-C743</x:f>
        <x:v>0</x:v>
      </x:c>
    </x:row>
    <x:row r="744">
      <x:c r="A744" s="13" t="str">
        <x:v>PAG-000743</x:v>
      </x:c>
      <x:c r="B744" s="23" t="n">
        <x:v>45826</x:v>
      </x:c>
      <x:c r="C744" s="23" t="n">
        <x:v>45841</x:v>
      </x:c>
      <x:c r="D744" s="23" t="n">
        <x:v>45839</x:v>
      </x:c>
      <x:c r="E744" s="13" t="str">
        <x:v>NetLink</x:v>
      </x:c>
      <x:c r="F744" s="13" t="str">
        <x:v>Telecomunicações</x:v>
      </x:c>
      <x:c r="G744" s="17" t="n">
        <x:v>22990.07</x:v>
      </x:c>
      <x:c r="H744" s="17" t="n">
        <x:v>23197.91</x:v>
      </x:c>
      <x:c r="I744" s="13" t="str">
        <x:v>Diretoria</x:v>
      </x:c>
      <x:c r="J744" s="13" t="str">
        <x:v>Pago</x:v>
      </x:c>
      <x:c r="K744" s="13" t="str">
        <x:v>Operação Clareza</x:v>
      </x:c>
      <x:c r="L744" s="17" t="n">
        <x:f>H744-G744</x:f>
        <x:v>207.84000000000015</x:v>
      </x:c>
      <x:c r="M744" s="19" t="n">
        <x:f>IFERROR(L744/G744,0)</x:f>
        <x:v>0.009040424844291477</x:v>
      </x:c>
      <x:c r="N744" s="13" t="n">
        <x:f>D744-C744</x:f>
        <x:v>-2</x:v>
      </x:c>
    </x:row>
    <x:row r="745">
      <x:c r="A745" s="13" t="str">
        <x:v>PAG-000744</x:v>
      </x:c>
      <x:c r="B745" s="23" t="n">
        <x:v>45814</x:v>
      </x:c>
      <x:c r="C745" s="23" t="n">
        <x:v>45834</x:v>
      </x:c>
      <x:c r="D745" s="23" t="n">
        <x:v>45836</x:v>
      </x:c>
      <x:c r="E745" s="13" t="str">
        <x:v>NetLink</x:v>
      </x:c>
      <x:c r="F745" s="13" t="str">
        <x:v>Telecomunicações</x:v>
      </x:c>
      <x:c r="G745" s="17" t="n">
        <x:v>20396.46</x:v>
      </x:c>
      <x:c r="H745" s="17" t="n">
        <x:v>19706.31</x:v>
      </x:c>
      <x:c r="I745" s="13" t="str">
        <x:v>Gestor da área</x:v>
      </x:c>
      <x:c r="J745" s="13" t="str">
        <x:v>Pago</x:v>
      </x:c>
      <x:c r="K745" s="13" t="str">
        <x:v>Operação Clareza</x:v>
      </x:c>
      <x:c r="L745" s="17" t="n">
        <x:f>H745-G745</x:f>
        <x:v>-690.1499999999978</x:v>
      </x:c>
      <x:c r="M745" s="19" t="n">
        <x:f>IFERROR(L745/G745,0)</x:f>
        <x:v>-0.03383675402496305</x:v>
      </x:c>
      <x:c r="N745" s="13" t="n">
        <x:f>D745-C745</x:f>
        <x:v>2</x:v>
      </x:c>
    </x:row>
    <x:row r="746">
      <x:c r="A746" s="13" t="str">
        <x:v>PAG-000745</x:v>
      </x:c>
      <x:c r="B746" s="23" t="n">
        <x:v>45820</x:v>
      </x:c>
      <x:c r="C746" s="23" t="n">
        <x:v>45850</x:v>
      </x:c>
      <x:c r="D746" s="23" t="n">
        <x:v>45848</x:v>
      </x:c>
      <x:c r="E746" s="13" t="str">
        <x:v>Office Prime</x:v>
      </x:c>
      <x:c r="F746" s="13" t="str">
        <x:v>Escritório</x:v>
      </x:c>
      <x:c r="G746" s="17" t="n">
        <x:v>6178.52</x:v>
      </x:c>
      <x:c r="H746" s="17" t="n">
        <x:v>6173.22</x:v>
      </x:c>
      <x:c r="I746" s="13" t="str">
        <x:v>Diretoria</x:v>
      </x:c>
      <x:c r="J746" s="13" t="str">
        <x:v>Pago</x:v>
      </x:c>
      <x:c r="K746" s="13" t="str">
        <x:v>Operação Clareza</x:v>
      </x:c>
      <x:c r="L746" s="17" t="n">
        <x:f>H746-G746</x:f>
        <x:v>-5.300000000000182</x:v>
      </x:c>
      <x:c r="M746" s="19" t="n">
        <x:f>IFERROR(L746/G746,0)</x:f>
        <x:v>-0.0008578106083657869</x:v>
      </x:c>
      <x:c r="N746" s="13" t="n">
        <x:f>D746-C746</x:f>
        <x:v>-2</x:v>
      </x:c>
    </x:row>
    <x:row r="747">
      <x:c r="A747" s="13" t="str">
        <x:v>PAG-000746</x:v>
      </x:c>
      <x:c r="B747" s="23" t="n">
        <x:v>45815</x:v>
      </x:c>
      <x:c r="C747" s="23" t="n">
        <x:v>45830</x:v>
      </x:c>
      <x:c r="D747" s="23" t="n">
        <x:v>45831</x:v>
      </x:c>
      <x:c r="E747" s="13" t="str">
        <x:v>WorkSpace</x:v>
      </x:c>
      <x:c r="F747" s="13" t="str">
        <x:v>Locação</x:v>
      </x:c>
      <x:c r="G747" s="17" t="n">
        <x:v>11186.2</x:v>
      </x:c>
      <x:c r="H747" s="17" t="n">
        <x:v>11573.01</x:v>
      </x:c>
      <x:c r="I747" s="13" t="str">
        <x:v>Diretoria</x:v>
      </x:c>
      <x:c r="J747" s="13" t="str">
        <x:v>Pago</x:v>
      </x:c>
      <x:c r="K747" s="13" t="str">
        <x:v>Operação Clareza</x:v>
      </x:c>
      <x:c r="L747" s="17" t="n">
        <x:f>H747-G747</x:f>
        <x:v>386.8099999999995</x:v>
      </x:c>
      <x:c r="M747" s="19" t="n">
        <x:f>IFERROR(L747/G747,0)</x:f>
        <x:v>0.03457921367399112</x:v>
      </x:c>
      <x:c r="N747" s="13" t="n">
        <x:f>D747-C747</x:f>
        <x:v>1</x:v>
      </x:c>
    </x:row>
    <x:row r="748">
      <x:c r="A748" s="13" t="str">
        <x:v>PAG-000747</x:v>
      </x:c>
      <x:c r="B748" s="23" t="n">
        <x:v>45827</x:v>
      </x:c>
      <x:c r="C748" s="23" t="n">
        <x:v>45834</x:v>
      </x:c>
      <x:c r="D748" s="23" t="n">
        <x:v>45834</x:v>
      </x:c>
      <x:c r="E748" s="13" t="str">
        <x:v>LegalMais</x:v>
      </x:c>
      <x:c r="F748" s="13" t="str">
        <x:v>Jurídico</x:v>
      </x:c>
      <x:c r="G748" s="17" t="n">
        <x:v>28918.57</x:v>
      </x:c>
      <x:c r="H748" s="17" t="n">
        <x:v>28413.92</x:v>
      </x:c>
      <x:c r="I748" s="13" t="str">
        <x:v>Gestor da área</x:v>
      </x:c>
      <x:c r="J748" s="13" t="str">
        <x:v>Pago</x:v>
      </x:c>
      <x:c r="K748" s="13" t="str">
        <x:v>Operação Clareza</x:v>
      </x:c>
      <x:c r="L748" s="17" t="n">
        <x:f>H748-G748</x:f>
        <x:v>-504.65000000000146</x:v>
      </x:c>
      <x:c r="M748" s="19" t="n">
        <x:f>IFERROR(L748/G748,0)</x:f>
        <x:v>-0.017450724569022653</x:v>
      </x:c>
      <x:c r="N748" s="13" t="n">
        <x:f>D748-C748</x:f>
        <x:v>0</x:v>
      </x:c>
    </x:row>
    <x:row r="749">
      <x:c r="A749" s="13" t="str">
        <x:v>PAG-000748</x:v>
      </x:c>
      <x:c r="B749" s="23" t="n">
        <x:v>45828</x:v>
      </x:c>
      <x:c r="C749" s="23" t="n">
        <x:v>45848</x:v>
      </x:c>
      <x:c r="D749" s="23" t="n">
        <x:v>45848</x:v>
      </x:c>
      <x:c r="E749" s="13" t="str">
        <x:v>NetLink</x:v>
      </x:c>
      <x:c r="F749" s="13" t="str">
        <x:v>Telecomunicações</x:v>
      </x:c>
      <x:c r="G749" s="17" t="n">
        <x:v>12214.04</x:v>
      </x:c>
      <x:c r="H749" s="17" t="n">
        <x:v>12186.82</x:v>
      </x:c>
      <x:c r="I749" s="13" t="str">
        <x:v>Financeiro</x:v>
      </x:c>
      <x:c r="J749" s="13" t="str">
        <x:v>Pago</x:v>
      </x:c>
      <x:c r="K749" s="13" t="str">
        <x:v>Operação Clareza</x:v>
      </x:c>
      <x:c r="L749" s="17" t="n">
        <x:f>H749-G749</x:f>
        <x:v>-27.220000000001164</x:v>
      </x:c>
      <x:c r="M749" s="19" t="n">
        <x:f>IFERROR(L749/G749,0)</x:f>
        <x:v>-0.002228582844005846</x:v>
      </x:c>
      <x:c r="N749" s="13" t="n">
        <x:f>D749-C749</x:f>
        <x:v>0</x:v>
      </x:c>
    </x:row>
    <x:row r="750">
      <x:c r="A750" s="13" t="str">
        <x:v>PAG-000749</x:v>
      </x:c>
      <x:c r="B750" s="23" t="n">
        <x:v>45822</x:v>
      </x:c>
      <x:c r="C750" s="23" t="n">
        <x:v>45837</x:v>
      </x:c>
      <x:c r="D750" s="23" t="n">
        <x:v>45839</x:v>
      </x:c>
      <x:c r="E750" s="13" t="str">
        <x:v>Conta Certa</x:v>
      </x:c>
      <x:c r="F750" s="13" t="str">
        <x:v>Contabilidade</x:v>
      </x:c>
      <x:c r="G750" s="17" t="n">
        <x:v>25468.69</x:v>
      </x:c>
      <x:c r="H750" s="17" t="n">
        <x:v>26609.02</x:v>
      </x:c>
      <x:c r="I750" s="13" t="str">
        <x:v>Financeiro</x:v>
      </x:c>
      <x:c r="J750" s="13" t="str">
        <x:v>Pago</x:v>
      </x:c>
      <x:c r="K750" s="13" t="str">
        <x:v>Operação Clareza</x:v>
      </x:c>
      <x:c r="L750" s="17" t="n">
        <x:f>H750-G750</x:f>
        <x:v>1140.3300000000017</x:v>
      </x:c>
      <x:c r="M750" s="19" t="n">
        <x:f>IFERROR(L750/G750,0)</x:f>
        <x:v>0.04477379873091242</x:v>
      </x:c>
      <x:c r="N750" s="13" t="n">
        <x:f>D750-C750</x:f>
        <x:v>2</x:v>
      </x:c>
    </x:row>
    <x:row r="751">
      <x:c r="A751" s="13" t="str">
        <x:v>PAG-000750</x:v>
      </x:c>
      <x:c r="B751" s="23" t="n">
        <x:v>45820</x:v>
      </x:c>
      <x:c r="C751" s="23" t="n">
        <x:v>45840</x:v>
      </x:c>
      <x:c r="D751" s="23" t="n">
        <x:v>45840</x:v>
      </x:c>
      <x:c r="E751" s="13" t="str">
        <x:v>MarketLab</x:v>
      </x:c>
      <x:c r="F751" s="13" t="str">
        <x:v>Marketing</x:v>
      </x:c>
      <x:c r="G751" s="17" t="n">
        <x:v>28519.85</x:v>
      </x:c>
      <x:c r="H751" s="17" t="n">
        <x:v>28940.6</x:v>
      </x:c>
      <x:c r="I751" s="13" t="str">
        <x:v>Gestor da área</x:v>
      </x:c>
      <x:c r="J751" s="13" t="str">
        <x:v>Pago</x:v>
      </x:c>
      <x:c r="K751" s="13" t="str">
        <x:v>Operação Clareza</x:v>
      </x:c>
      <x:c r="L751" s="17" t="n">
        <x:f>H751-G751</x:f>
        <x:v>420.75</x:v>
      </x:c>
      <x:c r="M751" s="19" t="n">
        <x:f>IFERROR(L751/G751,0)</x:f>
        <x:v>0.014752882641388368</x:v>
      </x:c>
      <x:c r="N751" s="13" t="n">
        <x:f>D751-C751</x:f>
        <x:v>0</x:v>
      </x:c>
    </x:row>
    <x:row r="752">
      <x:c r="A752" s="13" t="str">
        <x:v>PAG-000751</x:v>
      </x:c>
      <x:c r="B752" s="23" t="n">
        <x:v>45821</x:v>
      </x:c>
      <x:c r="C752" s="23" t="n">
        <x:v>45841</x:v>
      </x:c>
      <x:c r="D752" s="23" t="n">
        <x:v>45841</x:v>
      </x:c>
      <x:c r="E752" s="13" t="str">
        <x:v>CloudCore</x:v>
      </x:c>
      <x:c r="F752" s="13" t="str">
        <x:v>Tecnologia</x:v>
      </x:c>
      <x:c r="G752" s="17" t="n">
        <x:v>6802.12</x:v>
      </x:c>
      <x:c r="H752" s="17" t="n">
        <x:v>6717.15</x:v>
      </x:c>
      <x:c r="I752" s="13" t="str">
        <x:v>Gestor da área</x:v>
      </x:c>
      <x:c r="J752" s="13" t="str">
        <x:v>Pago</x:v>
      </x:c>
      <x:c r="K752" s="13" t="str">
        <x:v>Operação Clareza</x:v>
      </x:c>
      <x:c r="L752" s="17" t="n">
        <x:f>H752-G752</x:f>
        <x:v>-84.97000000000025</x:v>
      </x:c>
      <x:c r="M752" s="19" t="n">
        <x:f>IFERROR(L752/G752,0)</x:f>
        <x:v>-0.012491693766061207</x:v>
      </x:c>
      <x:c r="N752" s="13" t="n">
        <x:f>D752-C752</x:f>
        <x:v>0</x:v>
      </x:c>
    </x:row>
    <x:row r="753">
      <x:c r="A753" s="13" t="str">
        <x:v>PAG-000752</x:v>
      </x:c>
      <x:c r="B753" s="23" t="n">
        <x:v>45818</x:v>
      </x:c>
      <x:c r="C753" s="23" t="n">
        <x:v>45833</x:v>
      </x:c>
      <x:c r="D753" s="23" t="n">
        <x:v>45834</x:v>
      </x:c>
      <x:c r="E753" s="13" t="str">
        <x:v>EducaPro</x:v>
      </x:c>
      <x:c r="F753" s="13" t="str">
        <x:v>Treinamentos</x:v>
      </x:c>
      <x:c r="G753" s="17" t="n">
        <x:v>10715.36</x:v>
      </x:c>
      <x:c r="H753" s="17" t="n">
        <x:v>10598.81</x:v>
      </x:c>
      <x:c r="I753" s="13" t="str">
        <x:v>Gestor da área</x:v>
      </x:c>
      <x:c r="J753" s="13" t="str">
        <x:v>Pago</x:v>
      </x:c>
      <x:c r="K753" s="13" t="str">
        <x:v>Operação Clareza</x:v>
      </x:c>
      <x:c r="L753" s="17" t="n">
        <x:f>H753-G753</x:f>
        <x:v>-116.55000000000109</x:v>
      </x:c>
      <x:c r="M753" s="19" t="n">
        <x:f>IFERROR(L753/G753,0)</x:f>
        <x:v>-0.010876909408550071</x:v>
      </x:c>
      <x:c r="N753" s="13" t="n">
        <x:f>D753-C753</x:f>
        <x:v>1</x:v>
      </x:c>
    </x:row>
    <x:row r="754">
      <x:c r="A754" s="13" t="str">
        <x:v>PAG-000753</x:v>
      </x:c>
      <x:c r="B754" s="23" t="n">
        <x:v>45817</x:v>
      </x:c>
      <x:c r="C754" s="23" t="n">
        <x:v>45847</x:v>
      </x:c>
      <x:c r="D754" s="23" t="n">
        <x:v>45847</x:v>
      </x:c>
      <x:c r="E754" s="13" t="str">
        <x:v>Insight BI</x:v>
      </x:c>
      <x:c r="F754" s="13" t="str">
        <x:v>Dados e Analytics</x:v>
      </x:c>
      <x:c r="G754" s="17" t="n">
        <x:v>17773.3</x:v>
      </x:c>
      <x:c r="H754" s="17" t="n">
        <x:v>18032.6</x:v>
      </x:c>
      <x:c r="I754" s="13" t="str">
        <x:v>Gestor da área</x:v>
      </x:c>
      <x:c r="J754" s="13" t="str">
        <x:v>Pago</x:v>
      </x:c>
      <x:c r="K754" s="13" t="str">
        <x:v>Operação Clareza</x:v>
      </x:c>
      <x:c r="L754" s="17" t="n">
        <x:f>H754-G754</x:f>
        <x:v>259.2999999999993</x:v>
      </x:c>
      <x:c r="M754" s="19" t="n">
        <x:f>IFERROR(L754/G754,0)</x:f>
        <x:v>0.014589299679856824</x:v>
      </x:c>
      <x:c r="N754" s="13" t="n">
        <x:f>D754-C754</x:f>
        <x:v>0</x:v>
      </x:c>
    </x:row>
    <x:row r="755">
      <x:c r="A755" s="13" t="str">
        <x:v>PAG-000754</x:v>
      </x:c>
      <x:c r="B755" s="23" t="n">
        <x:v>45818</x:v>
      </x:c>
      <x:c r="C755" s="23" t="n">
        <x:v>45848</x:v>
      </x:c>
      <x:c r="D755" s="23" t="n">
        <x:v>45850</x:v>
      </x:c>
      <x:c r="E755" s="13" t="str">
        <x:v>Office Prime</x:v>
      </x:c>
      <x:c r="F755" s="13" t="str">
        <x:v>Escritório</x:v>
      </x:c>
      <x:c r="G755" s="17" t="n">
        <x:v>20072.51</x:v>
      </x:c>
      <x:c r="H755" s="17" t="n">
        <x:v>19787.58</x:v>
      </x:c>
      <x:c r="I755" s="13" t="str">
        <x:v>Gestor da área</x:v>
      </x:c>
      <x:c r="J755" s="13" t="str">
        <x:v>Pago</x:v>
      </x:c>
      <x:c r="K755" s="13" t="str">
        <x:v>Operação Clareza</x:v>
      </x:c>
      <x:c r="L755" s="17" t="n">
        <x:f>H755-G755</x:f>
        <x:v>-284.92999999999665</x:v>
      </x:c>
      <x:c r="M755" s="19" t="n">
        <x:f>IFERROR(L755/G755,0)</x:f>
        <x:v>-0.014195035897353978</x:v>
      </x:c>
      <x:c r="N755" s="13" t="n">
        <x:f>D755-C755</x:f>
        <x:v>2</x:v>
      </x:c>
    </x:row>
    <x:row r="756">
      <x:c r="A756" s="13" t="str">
        <x:v>PAG-000755</x:v>
      </x:c>
      <x:c r="B756" s="23" t="n">
        <x:v>45819</x:v>
      </x:c>
      <x:c r="C756" s="23" t="n">
        <x:v>45839</x:v>
      </x:c>
      <x:c r="D756" s="23" t="n">
        <x:v>45840</x:v>
      </x:c>
      <x:c r="E756" s="13" t="str">
        <x:v>PeopleHub</x:v>
      </x:c>
      <x:c r="F756" s="13" t="str">
        <x:v>Recursos Humanos</x:v>
      </x:c>
      <x:c r="G756" s="17" t="n">
        <x:v>13017.6</x:v>
      </x:c>
      <x:c r="H756" s="17" t="n">
        <x:v>13233.59</x:v>
      </x:c>
      <x:c r="I756" s="13" t="str">
        <x:v>Financeiro</x:v>
      </x:c>
      <x:c r="J756" s="13" t="str">
        <x:v>Pago</x:v>
      </x:c>
      <x:c r="K756" s="13" t="str">
        <x:v>Operação Clareza</x:v>
      </x:c>
      <x:c r="L756" s="17" t="n">
        <x:f>H756-G756</x:f>
        <x:v>215.98999999999978</x:v>
      </x:c>
      <x:c r="M756" s="19" t="n">
        <x:f>IFERROR(L756/G756,0)</x:f>
        <x:v>0.016592152163225155</x:v>
      </x:c>
      <x:c r="N756" s="13" t="n">
        <x:f>D756-C756</x:f>
        <x:v>1</x:v>
      </x:c>
    </x:row>
    <x:row r="757">
      <x:c r="A757" s="13" t="str">
        <x:v>PAG-000756</x:v>
      </x:c>
      <x:c r="B757" s="23" t="n">
        <x:v>45811</x:v>
      </x:c>
      <x:c r="C757" s="23" t="n">
        <x:v>45826</x:v>
      </x:c>
      <x:c r="D757" s="23" t="n">
        <x:v>45826</x:v>
      </x:c>
      <x:c r="E757" s="13" t="str">
        <x:v>LegalMais</x:v>
      </x:c>
      <x:c r="F757" s="13" t="str">
        <x:v>Jurídico</x:v>
      </x:c>
      <x:c r="G757" s="17" t="n">
        <x:v>11628.49</x:v>
      </x:c>
      <x:c r="H757" s="17" t="n">
        <x:v>11738.6</x:v>
      </x:c>
      <x:c r="I757" s="13" t="str">
        <x:v>Financeiro</x:v>
      </x:c>
      <x:c r="J757" s="13" t="str">
        <x:v>Pago</x:v>
      </x:c>
      <x:c r="K757" s="13" t="str">
        <x:v>Operação Clareza</x:v>
      </x:c>
      <x:c r="L757" s="17" t="n">
        <x:f>H757-G757</x:f>
        <x:v>110.11000000000058</x:v>
      </x:c>
      <x:c r="M757" s="19" t="n">
        <x:f>IFERROR(L757/G757,0)</x:f>
        <x:v>0.009468985225080865</x:v>
      </x:c>
      <x:c r="N757" s="13" t="n">
        <x:f>D757-C757</x:f>
        <x:v>0</x:v>
      </x:c>
    </x:row>
    <x:row r="758">
      <x:c r="A758" s="13" t="str">
        <x:v>PAG-000757</x:v>
      </x:c>
      <x:c r="B758" s="23" t="n">
        <x:v>45844</x:v>
      </x:c>
      <x:c r="C758" s="23" t="n">
        <x:v>45851</x:v>
      </x:c>
      <x:c r="D758" s="23" t="n">
        <x:v>45851</x:v>
      </x:c>
      <x:c r="E758" s="13" t="str">
        <x:v>Insight BI</x:v>
      </x:c>
      <x:c r="F758" s="13" t="str">
        <x:v>Dados e Analytics</x:v>
      </x:c>
      <x:c r="G758" s="17" t="n">
        <x:v>11720.97</x:v>
      </x:c>
      <x:c r="H758" s="17" t="n">
        <x:v>11554.91</x:v>
      </x:c>
      <x:c r="I758" s="13" t="str">
        <x:v>Financeiro</x:v>
      </x:c>
      <x:c r="J758" s="13" t="str">
        <x:v>Pago</x:v>
      </x:c>
      <x:c r="K758" s="13" t="str">
        <x:v>Operação Clareza</x:v>
      </x:c>
      <x:c r="L758" s="17" t="n">
        <x:f>H758-G758</x:f>
        <x:v>-166.0599999999995</x:v>
      </x:c>
      <x:c r="M758" s="19" t="n">
        <x:f>IFERROR(L758/G758,0)</x:f>
        <x:v>-0.01416776939109984</x:v>
      </x:c>
      <x:c r="N758" s="13" t="n">
        <x:f>D758-C758</x:f>
        <x:v>0</x:v>
      </x:c>
    </x:row>
    <x:row r="759">
      <x:c r="A759" s="13" t="str">
        <x:v>PAG-000758</x:v>
      </x:c>
      <x:c r="B759" s="23" t="n">
        <x:v>45845</x:v>
      </x:c>
      <x:c r="C759" s="23" t="n">
        <x:v>45852</x:v>
      </x:c>
      <x:c r="D759" s="23" t="n">
        <x:v>45854</x:v>
      </x:c>
      <x:c r="E759" s="13" t="str">
        <x:v>DataSafe</x:v>
      </x:c>
      <x:c r="F759" s="13" t="str">
        <x:v>Segurança da informação</x:v>
      </x:c>
      <x:c r="G759" s="17" t="n">
        <x:v>30492.55</x:v>
      </x:c>
      <x:c r="H759" s="17" t="n">
        <x:v>29751.48</x:v>
      </x:c>
      <x:c r="I759" s="13" t="str">
        <x:v>Gestor da área</x:v>
      </x:c>
      <x:c r="J759" s="13" t="str">
        <x:v>Pago</x:v>
      </x:c>
      <x:c r="K759" s="13" t="str">
        <x:v>Operação Clareza</x:v>
      </x:c>
      <x:c r="L759" s="17" t="n">
        <x:f>H759-G759</x:f>
        <x:v>-741.0699999999997</x:v>
      </x:c>
      <x:c r="M759" s="19" t="n">
        <x:f>IFERROR(L759/G759,0)</x:f>
        <x:v>-0.02430331343229739</x:v>
      </x:c>
      <x:c r="N759" s="13" t="n">
        <x:f>D759-C759</x:f>
        <x:v>2</x:v>
      </x:c>
    </x:row>
    <x:row r="760">
      <x:c r="A760" s="13" t="str">
        <x:v>PAG-000759</x:v>
      </x:c>
      <x:c r="B760" s="23" t="n">
        <x:v>45844</x:v>
      </x:c>
      <x:c r="C760" s="23" t="n">
        <x:v>45859</x:v>
      </x:c>
      <x:c r="D760" s="23" t="n">
        <x:v>45859</x:v>
      </x:c>
      <x:c r="E760" s="13" t="str">
        <x:v>Insight BI</x:v>
      </x:c>
      <x:c r="F760" s="13" t="str">
        <x:v>Dados e Analytics</x:v>
      </x:c>
      <x:c r="G760" s="17" t="n">
        <x:v>8293.19</x:v>
      </x:c>
      <x:c r="H760" s="17" t="n">
        <x:v>8219.06</x:v>
      </x:c>
      <x:c r="I760" s="13" t="str">
        <x:v>Financeiro</x:v>
      </x:c>
      <x:c r="J760" s="13" t="str">
        <x:v>Pago</x:v>
      </x:c>
      <x:c r="K760" s="13" t="str">
        <x:v>Operação Clareza</x:v>
      </x:c>
      <x:c r="L760" s="17" t="n">
        <x:f>H760-G760</x:f>
        <x:v>-74.13000000000102</x:v>
      </x:c>
      <x:c r="M760" s="19" t="n">
        <x:f>IFERROR(L760/G760,0)</x:f>
        <x:v>-0.008938659309626455</x:v>
      </x:c>
      <x:c r="N760" s="13" t="n">
        <x:f>D760-C760</x:f>
        <x:v>0</x:v>
      </x:c>
    </x:row>
    <x:row r="761">
      <x:c r="A761" s="13" t="str">
        <x:v>PAG-000760</x:v>
      </x:c>
      <x:c r="B761" s="23" t="n">
        <x:v>45841</x:v>
      </x:c>
      <x:c r="C761" s="23" t="n">
        <x:v>45861</x:v>
      </x:c>
      <x:c r="D761" s="23" t="n">
        <x:v>45862</x:v>
      </x:c>
      <x:c r="E761" s="13" t="str">
        <x:v>LegalMais</x:v>
      </x:c>
      <x:c r="F761" s="13" t="str">
        <x:v>Jurídico</x:v>
      </x:c>
      <x:c r="G761" s="17" t="n">
        <x:v>5167.15</x:v>
      </x:c>
      <x:c r="H761" s="17" t="n">
        <x:v>5032.97</x:v>
      </x:c>
      <x:c r="I761" s="13" t="str">
        <x:v>Diretoria</x:v>
      </x:c>
      <x:c r="J761" s="13" t="str">
        <x:v>Pago</x:v>
      </x:c>
      <x:c r="K761" s="13" t="str">
        <x:v>Operação Clareza</x:v>
      </x:c>
      <x:c r="L761" s="17" t="n">
        <x:f>H761-G761</x:f>
        <x:v>-134.17999999999938</x:v>
      </x:c>
      <x:c r="M761" s="19" t="n">
        <x:f>IFERROR(L761/G761,0)</x:f>
        <x:v>-0.025967893326108084</x:v>
      </x:c>
      <x:c r="N761" s="13" t="n">
        <x:f>D761-C761</x:f>
        <x:v>1</x:v>
      </x:c>
    </x:row>
    <x:row r="762">
      <x:c r="A762" s="13" t="str">
        <x:v>PAG-000761</x:v>
      </x:c>
      <x:c r="B762" s="23" t="n">
        <x:v>45851</x:v>
      </x:c>
      <x:c r="C762" s="23" t="n">
        <x:v>45858</x:v>
      </x:c>
      <x:c r="D762" s="23" t="n">
        <x:v>45857</x:v>
      </x:c>
      <x:c r="E762" s="13" t="str">
        <x:v>LegalMais</x:v>
      </x:c>
      <x:c r="F762" s="13" t="str">
        <x:v>Jurídico</x:v>
      </x:c>
      <x:c r="G762" s="17" t="n">
        <x:v>14656.36</x:v>
      </x:c>
      <x:c r="H762" s="17" t="n">
        <x:v>15130.83</x:v>
      </x:c>
      <x:c r="I762" s="13" t="str">
        <x:v>Gestor da área</x:v>
      </x:c>
      <x:c r="J762" s="13" t="str">
        <x:v>Pago</x:v>
      </x:c>
      <x:c r="K762" s="13" t="str">
        <x:v>Operação Clareza</x:v>
      </x:c>
      <x:c r="L762" s="17" t="n">
        <x:f>H762-G762</x:f>
        <x:v>474.46999999999935</x:v>
      </x:c>
      <x:c r="M762" s="19" t="n">
        <x:f>IFERROR(L762/G762,0)</x:f>
        <x:v>0.03237297664631596</x:v>
      </x:c>
      <x:c r="N762" s="13" t="n">
        <x:f>D762-C762</x:f>
        <x:v>-1</x:v>
      </x:c>
    </x:row>
    <x:row r="763">
      <x:c r="A763" s="13" t="str">
        <x:v>PAG-000762</x:v>
      </x:c>
      <x:c r="B763" s="23" t="n">
        <x:v>45843</x:v>
      </x:c>
      <x:c r="C763" s="23" t="n">
        <x:v>45863</x:v>
      </x:c>
      <x:c r="D763" s="23" t="n">
        <x:v>45861</x:v>
      </x:c>
      <x:c r="E763" s="13" t="str">
        <x:v>DataSafe</x:v>
      </x:c>
      <x:c r="F763" s="13" t="str">
        <x:v>Segurança da informação</x:v>
      </x:c>
      <x:c r="G763" s="17" t="n">
        <x:v>12881.75</x:v>
      </x:c>
      <x:c r="H763" s="17" t="n">
        <x:v>12506.82</x:v>
      </x:c>
      <x:c r="I763" s="13" t="str">
        <x:v>Diretoria</x:v>
      </x:c>
      <x:c r="J763" s="13" t="str">
        <x:v>Pago</x:v>
      </x:c>
      <x:c r="K763" s="13" t="str">
        <x:v>Operação Clareza</x:v>
      </x:c>
      <x:c r="L763" s="17" t="n">
        <x:f>H763-G763</x:f>
        <x:v>-374.9300000000003</x:v>
      </x:c>
      <x:c r="M763" s="19" t="n">
        <x:f>IFERROR(L763/G763,0)</x:f>
        <x:v>-0.0291055174956819</x:v>
      </x:c>
      <x:c r="N763" s="13" t="n">
        <x:f>D763-C763</x:f>
        <x:v>-2</x:v>
      </x:c>
    </x:row>
    <x:row r="764">
      <x:c r="A764" s="13" t="str">
        <x:v>PAG-000763</x:v>
      </x:c>
      <x:c r="B764" s="23" t="n">
        <x:v>45856</x:v>
      </x:c>
      <x:c r="C764" s="23" t="n">
        <x:v>45863</x:v>
      </x:c>
      <x:c r="D764" s="23" t="n">
        <x:v>45865</x:v>
      </x:c>
      <x:c r="E764" s="13" t="str">
        <x:v>NetLink</x:v>
      </x:c>
      <x:c r="F764" s="13" t="str">
        <x:v>Telecomunicações</x:v>
      </x:c>
      <x:c r="G764" s="17" t="n">
        <x:v>29864.25</x:v>
      </x:c>
      <x:c r="H764" s="17" t="n">
        <x:v>30711.08</x:v>
      </x:c>
      <x:c r="I764" s="13" t="str">
        <x:v>Financeiro</x:v>
      </x:c>
      <x:c r="J764" s="13" t="str">
        <x:v>Pago</x:v>
      </x:c>
      <x:c r="K764" s="13" t="str">
        <x:v>Operação Clareza</x:v>
      </x:c>
      <x:c r="L764" s="17" t="n">
        <x:f>H764-G764</x:f>
        <x:v>846.8300000000017</x:v>
      </x:c>
      <x:c r="M764" s="19" t="n">
        <x:f>IFERROR(L764/G764,0)</x:f>
        <x:v>0.028355977464694468</x:v>
      </x:c>
      <x:c r="N764" s="13" t="n">
        <x:f>D764-C764</x:f>
        <x:v>2</x:v>
      </x:c>
    </x:row>
    <x:row r="765">
      <x:c r="A765" s="13" t="str">
        <x:v>PAG-000764</x:v>
      </x:c>
      <x:c r="B765" s="23" t="n">
        <x:v>45858</x:v>
      </x:c>
      <x:c r="C765" s="23" t="n">
        <x:v>45873</x:v>
      </x:c>
      <x:c r="D765" s="23" t="n">
        <x:v>45873</x:v>
      </x:c>
      <x:c r="E765" s="13" t="str">
        <x:v>NetLink</x:v>
      </x:c>
      <x:c r="F765" s="13" t="str">
        <x:v>Telecomunicações</x:v>
      </x:c>
      <x:c r="G765" s="17" t="n">
        <x:v>8338.57</x:v>
      </x:c>
      <x:c r="H765" s="17" t="n">
        <x:v>8266.1</x:v>
      </x:c>
      <x:c r="I765" s="13" t="str">
        <x:v>Financeiro</x:v>
      </x:c>
      <x:c r="J765" s="13" t="str">
        <x:v>Pago</x:v>
      </x:c>
      <x:c r="K765" s="13" t="str">
        <x:v>Operação Clareza</x:v>
      </x:c>
      <x:c r="L765" s="17" t="n">
        <x:f>H765-G765</x:f>
        <x:v>-72.46999999999935</x:v>
      </x:c>
      <x:c r="M765" s="19" t="n">
        <x:f>IFERROR(L765/G765,0)</x:f>
        <x:v>-0.008690938614174774</x:v>
      </x:c>
      <x:c r="N765" s="13" t="n">
        <x:f>D765-C765</x:f>
        <x:v>0</x:v>
      </x:c>
    </x:row>
    <x:row r="766">
      <x:c r="A766" s="13" t="str">
        <x:v>PAG-000765</x:v>
      </x:c>
      <x:c r="B766" s="23" t="n">
        <x:v>45846</x:v>
      </x:c>
      <x:c r="C766" s="23" t="n">
        <x:v>45876</x:v>
      </x:c>
      <x:c r="D766" s="23" t="n">
        <x:v>45878</x:v>
      </x:c>
      <x:c r="E766" s="13" t="str">
        <x:v>Office Prime</x:v>
      </x:c>
      <x:c r="F766" s="13" t="str">
        <x:v>Escritório</x:v>
      </x:c>
      <x:c r="G766" s="17" t="n">
        <x:v>1885.56</x:v>
      </x:c>
      <x:c r="H766" s="17" t="n">
        <x:v>1923.86</x:v>
      </x:c>
      <x:c r="I766" s="13" t="str">
        <x:v>Financeiro</x:v>
      </x:c>
      <x:c r="J766" s="13" t="str">
        <x:v>Pago</x:v>
      </x:c>
      <x:c r="K766" s="13" t="str">
        <x:v>Operação Clareza</x:v>
      </x:c>
      <x:c r="L766" s="17" t="n">
        <x:f>H766-G766</x:f>
        <x:v>38.299999999999955</x:v>
      </x:c>
      <x:c r="M766" s="19" t="n">
        <x:f>IFERROR(L766/G766,0)</x:f>
        <x:v>0.020312267973440226</x:v>
      </x:c>
      <x:c r="N766" s="13" t="n">
        <x:f>D766-C766</x:f>
        <x:v>2</x:v>
      </x:c>
    </x:row>
    <x:row r="767">
      <x:c r="A767" s="13" t="str">
        <x:v>PAG-000766</x:v>
      </x:c>
      <x:c r="B767" s="23" t="n">
        <x:v>45858</x:v>
      </x:c>
      <x:c r="C767" s="23" t="n">
        <x:v>45878</x:v>
      </x:c>
      <x:c r="D767" s="23" t="n">
        <x:v>45876</x:v>
      </x:c>
      <x:c r="E767" s="13" t="str">
        <x:v>EducaPro</x:v>
      </x:c>
      <x:c r="F767" s="13" t="str">
        <x:v>Treinamentos</x:v>
      </x:c>
      <x:c r="G767" s="17" t="n">
        <x:v>29369.6</x:v>
      </x:c>
      <x:c r="H767" s="17" t="n">
        <x:v>29585.57</x:v>
      </x:c>
      <x:c r="I767" s="13" t="str">
        <x:v>Financeiro</x:v>
      </x:c>
      <x:c r="J767" s="13" t="str">
        <x:v>Pago</x:v>
      </x:c>
      <x:c r="K767" s="13" t="str">
        <x:v>Operação Clareza</x:v>
      </x:c>
      <x:c r="L767" s="17" t="n">
        <x:f>H767-G767</x:f>
        <x:v>215.97000000000116</x:v>
      </x:c>
      <x:c r="M767" s="19" t="n">
        <x:f>IFERROR(L767/G767,0)</x:f>
        <x:v>0.007353522009152361</x:v>
      </x:c>
      <x:c r="N767" s="13" t="n">
        <x:f>D767-C767</x:f>
        <x:v>-2</x:v>
      </x:c>
    </x:row>
    <x:row r="768">
      <x:c r="A768" s="13" t="str">
        <x:v>PAG-000767</x:v>
      </x:c>
      <x:c r="B768" s="23" t="n">
        <x:v>45850</x:v>
      </x:c>
      <x:c r="C768" s="23" t="n">
        <x:v>45880</x:v>
      </x:c>
      <x:c r="D768" s="23" t="n">
        <x:v>45881</x:v>
      </x:c>
      <x:c r="E768" s="13" t="str">
        <x:v>PeopleHub</x:v>
      </x:c>
      <x:c r="F768" s="13" t="str">
        <x:v>Recursos Humanos</x:v>
      </x:c>
      <x:c r="G768" s="17" t="n">
        <x:v>2359.01</x:v>
      </x:c>
      <x:c r="H768" s="17" t="n">
        <x:v>2354.07</x:v>
      </x:c>
      <x:c r="I768" s="13" t="str">
        <x:v>Gestor da área</x:v>
      </x:c>
      <x:c r="J768" s="13" t="str">
        <x:v>Pago</x:v>
      </x:c>
      <x:c r="K768" s="13" t="str">
        <x:v>Operação Clareza</x:v>
      </x:c>
      <x:c r="L768" s="17" t="n">
        <x:f>H768-G768</x:f>
        <x:v>-4.940000000000055</x:v>
      </x:c>
      <x:c r="M768" s="19" t="n">
        <x:f>IFERROR(L768/G768,0)</x:f>
        <x:v>-0.002094098795681262</x:v>
      </x:c>
      <x:c r="N768" s="13" t="n">
        <x:f>D768-C768</x:f>
        <x:v>1</x:v>
      </x:c>
    </x:row>
    <x:row r="769">
      <x:c r="A769" s="13" t="str">
        <x:v>PAG-000768</x:v>
      </x:c>
      <x:c r="B769" s="23" t="n">
        <x:v>45847</x:v>
      </x:c>
      <x:c r="C769" s="23" t="n">
        <x:v>45877</x:v>
      </x:c>
      <x:c r="D769" s="23" t="n">
        <x:v>45877</x:v>
      </x:c>
      <x:c r="E769" s="13" t="str">
        <x:v>MarketLab</x:v>
      </x:c>
      <x:c r="F769" s="13" t="str">
        <x:v>Marketing</x:v>
      </x:c>
      <x:c r="G769" s="17" t="n">
        <x:v>24197.35</x:v>
      </x:c>
      <x:c r="H769" s="17" t="n">
        <x:v>24445.38</x:v>
      </x:c>
      <x:c r="I769" s="13" t="str">
        <x:v>Diretoria</x:v>
      </x:c>
      <x:c r="J769" s="13" t="str">
        <x:v>Pago</x:v>
      </x:c>
      <x:c r="K769" s="13" t="str">
        <x:v>Operação Clareza</x:v>
      </x:c>
      <x:c r="L769" s="17" t="n">
        <x:f>H769-G769</x:f>
        <x:v>248.03000000000247</x:v>
      </x:c>
      <x:c r="M769" s="19" t="n">
        <x:f>IFERROR(L769/G769,0)</x:f>
        <x:v>0.010250296003488087</x:v>
      </x:c>
      <x:c r="N769" s="13" t="n">
        <x:f>D769-C769</x:f>
        <x:v>0</x:v>
      </x:c>
    </x:row>
    <x:row r="770">
      <x:c r="A770" s="13" t="str">
        <x:v>PAG-000769</x:v>
      </x:c>
      <x:c r="B770" s="23" t="n">
        <x:v>45848</x:v>
      </x:c>
      <x:c r="C770" s="23" t="n">
        <x:v>45863</x:v>
      </x:c>
      <x:c r="D770" s="23" t="n">
        <x:v>45864</x:v>
      </x:c>
      <x:c r="E770" s="13" t="str">
        <x:v>Insight BI</x:v>
      </x:c>
      <x:c r="F770" s="13" t="str">
        <x:v>Dados e Analytics</x:v>
      </x:c>
      <x:c r="G770" s="17" t="n">
        <x:v>24869.12</x:v>
      </x:c>
      <x:c r="H770" s="17" t="n">
        <x:v>25643.11</x:v>
      </x:c>
      <x:c r="I770" s="13" t="str">
        <x:v>Diretoria</x:v>
      </x:c>
      <x:c r="J770" s="13" t="str">
        <x:v>Pago</x:v>
      </x:c>
      <x:c r="K770" s="13" t="str">
        <x:v>Operação Clareza</x:v>
      </x:c>
      <x:c r="L770" s="17" t="n">
        <x:f>H770-G770</x:f>
        <x:v>773.9900000000016</x:v>
      </x:c>
      <x:c r="M770" s="19" t="n">
        <x:f>IFERROR(L770/G770,0)</x:f>
        <x:v>0.031122532683102645</x:v>
      </x:c>
      <x:c r="N770" s="13" t="n">
        <x:f>D770-C770</x:f>
        <x:v>1</x:v>
      </x:c>
    </x:row>
    <x:row r="771">
      <x:c r="A771" s="13" t="str">
        <x:v>PAG-000770</x:v>
      </x:c>
      <x:c r="B771" s="23" t="n">
        <x:v>45850</x:v>
      </x:c>
      <x:c r="C771" s="23" t="n">
        <x:v>45857</x:v>
      </x:c>
      <x:c r="D771" s="23" t="n">
        <x:v>45854</x:v>
      </x:c>
      <x:c r="E771" s="13" t="str">
        <x:v>WorkSpace</x:v>
      </x:c>
      <x:c r="F771" s="13" t="str">
        <x:v>Locação</x:v>
      </x:c>
      <x:c r="G771" s="17" t="n">
        <x:v>16518.35</x:v>
      </x:c>
      <x:c r="H771" s="17" t="n">
        <x:v>16584.46</x:v>
      </x:c>
      <x:c r="I771" s="13" t="str">
        <x:v>Gestor da área</x:v>
      </x:c>
      <x:c r="J771" s="13" t="str">
        <x:v>Pago</x:v>
      </x:c>
      <x:c r="K771" s="13" t="str">
        <x:v>Operação Clareza</x:v>
      </x:c>
      <x:c r="L771" s="17" t="n">
        <x:f>H771-G771</x:f>
        <x:v>66.11000000000058</x:v>
      </x:c>
      <x:c r="M771" s="19" t="n">
        <x:f>IFERROR(L771/G771,0)</x:f>
        <x:v>0.004002215717671595</x:v>
      </x:c>
      <x:c r="N771" s="13" t="n">
        <x:f>D771-C771</x:f>
        <x:v>-3</x:v>
      </x:c>
    </x:row>
    <x:row r="772">
      <x:c r="A772" s="13" t="str">
        <x:v>PAG-000771</x:v>
      </x:c>
      <x:c r="B772" s="23" t="n">
        <x:v>45843</x:v>
      </x:c>
      <x:c r="C772" s="23" t="n">
        <x:v>45863</x:v>
      </x:c>
      <x:c r="D772" s="23" t="n">
        <x:v>45861</x:v>
      </x:c>
      <x:c r="E772" s="13" t="str">
        <x:v>MarketLab</x:v>
      </x:c>
      <x:c r="F772" s="13" t="str">
        <x:v>Marketing</x:v>
      </x:c>
      <x:c r="G772" s="17" t="n">
        <x:v>13309.03</x:v>
      </x:c>
      <x:c r="H772" s="17" t="n">
        <x:v>13398.6</x:v>
      </x:c>
      <x:c r="I772" s="13" t="str">
        <x:v>Gestor da área</x:v>
      </x:c>
      <x:c r="J772" s="13" t="str">
        <x:v>Pago</x:v>
      </x:c>
      <x:c r="K772" s="13" t="str">
        <x:v>Operação Clareza</x:v>
      </x:c>
      <x:c r="L772" s="17" t="n">
        <x:f>H772-G772</x:f>
        <x:v>89.56999999999971</x:v>
      </x:c>
      <x:c r="M772" s="19" t="n">
        <x:f>IFERROR(L772/G772,0)</x:f>
        <x:v>0.006730017138739616</x:v>
      </x:c>
      <x:c r="N772" s="13" t="n">
        <x:f>D772-C772</x:f>
        <x:v>-2</x:v>
      </x:c>
    </x:row>
    <x:row r="773">
      <x:c r="A773" s="13" t="str">
        <x:v>PAG-000772</x:v>
      </x:c>
      <x:c r="B773" s="23" t="n">
        <x:v>45849</x:v>
      </x:c>
      <x:c r="C773" s="23" t="n">
        <x:v>45856</x:v>
      </x:c>
      <x:c r="D773" s="23" t="n">
        <x:v>45855</x:v>
      </x:c>
      <x:c r="E773" s="13" t="str">
        <x:v>WorkSpace</x:v>
      </x:c>
      <x:c r="F773" s="13" t="str">
        <x:v>Locação</x:v>
      </x:c>
      <x:c r="G773" s="17" t="n">
        <x:v>31937.33</x:v>
      </x:c>
      <x:c r="H773" s="17" t="n">
        <x:v>32963.84</x:v>
      </x:c>
      <x:c r="I773" s="13" t="str">
        <x:v>Gestor da área</x:v>
      </x:c>
      <x:c r="J773" s="13" t="str">
        <x:v>Pago</x:v>
      </x:c>
      <x:c r="K773" s="13" t="str">
        <x:v>Operação Clareza</x:v>
      </x:c>
      <x:c r="L773" s="17" t="n">
        <x:f>H773-G773</x:f>
        <x:v>1026.5099999999948</x:v>
      </x:c>
      <x:c r="M773" s="19" t="n">
        <x:f>IFERROR(L773/G773,0)</x:f>
        <x:v>0.03214138439249602</x:v>
      </x:c>
      <x:c r="N773" s="13" t="n">
        <x:f>D773-C773</x:f>
        <x:v>-1</x:v>
      </x:c>
    </x:row>
    <x:row r="774">
      <x:c r="A774" s="13" t="str">
        <x:v>PAG-000773</x:v>
      </x:c>
      <x:c r="B774" s="23" t="n">
        <x:v>45842</x:v>
      </x:c>
      <x:c r="C774" s="23" t="n">
        <x:v>45857</x:v>
      </x:c>
      <x:c r="D774" s="23" t="n">
        <x:v>45855</x:v>
      </x:c>
      <x:c r="E774" s="13" t="str">
        <x:v>EducaPro</x:v>
      </x:c>
      <x:c r="F774" s="13" t="str">
        <x:v>Treinamentos</x:v>
      </x:c>
      <x:c r="G774" s="17" t="n">
        <x:v>21634.29</x:v>
      </x:c>
      <x:c r="H774" s="17" t="n">
        <x:v>21902.64</x:v>
      </x:c>
      <x:c r="I774" s="13" t="str">
        <x:v>Diretoria</x:v>
      </x:c>
      <x:c r="J774" s="13" t="str">
        <x:v>Pago</x:v>
      </x:c>
      <x:c r="K774" s="13" t="str">
        <x:v>Operação Clareza</x:v>
      </x:c>
      <x:c r="L774" s="17" t="n">
        <x:f>H774-G774</x:f>
        <x:v>268.34999999999854</x:v>
      </x:c>
      <x:c r="M774" s="19" t="n">
        <x:f>IFERROR(L774/G774,0)</x:f>
        <x:v>0.012403919888288385</x:v>
      </x:c>
      <x:c r="N774" s="13" t="n">
        <x:f>D774-C774</x:f>
        <x:v>-2</x:v>
      </x:c>
    </x:row>
    <x:row r="775">
      <x:c r="A775" s="13" t="str">
        <x:v>PAG-000774</x:v>
      </x:c>
      <x:c r="B775" s="23" t="n">
        <x:v>45845</x:v>
      </x:c>
      <x:c r="C775" s="23" t="n">
        <x:v>45860</x:v>
      </x:c>
      <x:c r="D775" s="23" t="n">
        <x:v>45860</x:v>
      </x:c>
      <x:c r="E775" s="13" t="str">
        <x:v>DataSafe</x:v>
      </x:c>
      <x:c r="F775" s="13" t="str">
        <x:v>Segurança da informação</x:v>
      </x:c>
      <x:c r="G775" s="17" t="n">
        <x:v>9372.37</x:v>
      </x:c>
      <x:c r="H775" s="17" t="n">
        <x:v>9486.57</x:v>
      </x:c>
      <x:c r="I775" s="13" t="str">
        <x:v>Gestor da área</x:v>
      </x:c>
      <x:c r="J775" s="13" t="str">
        <x:v>Pago</x:v>
      </x:c>
      <x:c r="K775" s="13" t="str">
        <x:v>Operação Clareza</x:v>
      </x:c>
      <x:c r="L775" s="17" t="n">
        <x:f>H775-G775</x:f>
        <x:v>114.19999999999891</x:v>
      </x:c>
      <x:c r="M775" s="19" t="n">
        <x:f>IFERROR(L775/G775,0)</x:f>
        <x:v>0.012184751562304828</x:v>
      </x:c>
      <x:c r="N775" s="13" t="n">
        <x:f>D775-C775</x:f>
        <x:v>0</x:v>
      </x:c>
    </x:row>
    <x:row r="776">
      <x:c r="A776" s="13" t="str">
        <x:v>PAG-000775</x:v>
      </x:c>
      <x:c r="B776" s="23" t="n">
        <x:v>45855</x:v>
      </x:c>
      <x:c r="C776" s="23" t="n">
        <x:v>45862</x:v>
      </x:c>
      <x:c r="D776" s="23" t="n">
        <x:v>45861</x:v>
      </x:c>
      <x:c r="E776" s="13" t="str">
        <x:v>Banco Integra</x:v>
      </x:c>
      <x:c r="F776" s="13" t="str">
        <x:v>Serviços bancários</x:v>
      </x:c>
      <x:c r="G776" s="17" t="n">
        <x:v>18588.22</x:v>
      </x:c>
      <x:c r="H776" s="17" t="n">
        <x:v>18187.12</x:v>
      </x:c>
      <x:c r="I776" s="13" t="str">
        <x:v>Financeiro</x:v>
      </x:c>
      <x:c r="J776" s="13" t="str">
        <x:v>Pago</x:v>
      </x:c>
      <x:c r="K776" s="13" t="str">
        <x:v>Operação Clareza</x:v>
      </x:c>
      <x:c r="L776" s="17" t="n">
        <x:f>H776-G776</x:f>
        <x:v>-401.1000000000022</x:v>
      </x:c>
      <x:c r="M776" s="19" t="n">
        <x:f>IFERROR(L776/G776,0)</x:f>
        <x:v>-0.021578182311162777</x:v>
      </x:c>
      <x:c r="N776" s="13" t="n">
        <x:f>D776-C776</x:f>
        <x:v>-1</x:v>
      </x:c>
    </x:row>
    <x:row r="777">
      <x:c r="A777" s="13" t="str">
        <x:v>PAG-000776</x:v>
      </x:c>
      <x:c r="B777" s="23" t="n">
        <x:v>45852</x:v>
      </x:c>
      <x:c r="C777" s="23" t="n">
        <x:v>45882</x:v>
      </x:c>
      <x:c r="D777" s="23" t="n">
        <x:v>45882</x:v>
      </x:c>
      <x:c r="E777" s="13" t="str">
        <x:v>PeopleHub</x:v>
      </x:c>
      <x:c r="F777" s="13" t="str">
        <x:v>Recursos Humanos</x:v>
      </x:c>
      <x:c r="G777" s="17" t="n">
        <x:v>7839.09</x:v>
      </x:c>
      <x:c r="H777" s="17" t="n">
        <x:v>7658.11</x:v>
      </x:c>
      <x:c r="I777" s="13" t="str">
        <x:v>Gestor da área</x:v>
      </x:c>
      <x:c r="J777" s="13" t="str">
        <x:v>Pago</x:v>
      </x:c>
      <x:c r="K777" s="13" t="str">
        <x:v>Operação Clareza</x:v>
      </x:c>
      <x:c r="L777" s="17" t="n">
        <x:f>H777-G777</x:f>
        <x:v>-180.98000000000047</x:v>
      </x:c>
      <x:c r="M777" s="19" t="n">
        <x:f>IFERROR(L777/G777,0)</x:f>
        <x:v>-0.023086863398685365</x:v>
      </x:c>
      <x:c r="N777" s="13" t="n">
        <x:f>D777-C777</x:f>
        <x:v>0</x:v>
      </x:c>
    </x:row>
    <x:row r="778">
      <x:c r="A778" s="13" t="str">
        <x:v>PAG-000777</x:v>
      </x:c>
      <x:c r="B778" s="23" t="n">
        <x:v>45856</x:v>
      </x:c>
      <x:c r="C778" s="23" t="n">
        <x:v>45863</x:v>
      </x:c>
      <x:c r="D778" s="23" t="n">
        <x:v>45861</x:v>
      </x:c>
      <x:c r="E778" s="13" t="str">
        <x:v>PeopleHub</x:v>
      </x:c>
      <x:c r="F778" s="13" t="str">
        <x:v>Recursos Humanos</x:v>
      </x:c>
      <x:c r="G778" s="17" t="n">
        <x:v>22006.31</x:v>
      </x:c>
      <x:c r="H778" s="17" t="n">
        <x:v>21666.25</x:v>
      </x:c>
      <x:c r="I778" s="13" t="str">
        <x:v>Diretoria</x:v>
      </x:c>
      <x:c r="J778" s="13" t="str">
        <x:v>Pago</x:v>
      </x:c>
      <x:c r="K778" s="13" t="str">
        <x:v>Operação Clareza</x:v>
      </x:c>
      <x:c r="L778" s="17" t="n">
        <x:f>H778-G778</x:f>
        <x:v>-340.0600000000013</x:v>
      </x:c>
      <x:c r="M778" s="19" t="n">
        <x:f>IFERROR(L778/G778,0)</x:f>
        <x:v>-0.015452840571636104</x:v>
      </x:c>
      <x:c r="N778" s="13" t="n">
        <x:f>D778-C778</x:f>
        <x:v>-2</x:v>
      </x:c>
    </x:row>
    <x:row r="779">
      <x:c r="A779" s="13" t="str">
        <x:v>PAG-000778</x:v>
      </x:c>
      <x:c r="B779" s="23" t="n">
        <x:v>45854</x:v>
      </x:c>
      <x:c r="C779" s="23" t="n">
        <x:v>45884</x:v>
      </x:c>
      <x:c r="D779" s="23" t="n">
        <x:v>45884</x:v>
      </x:c>
      <x:c r="E779" s="13" t="str">
        <x:v>LegalMais</x:v>
      </x:c>
      <x:c r="F779" s="13" t="str">
        <x:v>Jurídico</x:v>
      </x:c>
      <x:c r="G779" s="17" t="n">
        <x:v>29862.67</x:v>
      </x:c>
      <x:c r="H779" s="17" t="n">
        <x:v>30116.19</x:v>
      </x:c>
      <x:c r="I779" s="13" t="str">
        <x:v>Financeiro</x:v>
      </x:c>
      <x:c r="J779" s="13" t="str">
        <x:v>Pago</x:v>
      </x:c>
      <x:c r="K779" s="13" t="str">
        <x:v>Operação Clareza</x:v>
      </x:c>
      <x:c r="L779" s="17" t="n">
        <x:f>H779-G779</x:f>
        <x:v>253.52000000000044</x:v>
      </x:c>
      <x:c r="M779" s="19" t="n">
        <x:f>IFERROR(L779/G779,0)</x:f>
        <x:v>0.008489528900128503</x:v>
      </x:c>
      <x:c r="N779" s="13" t="n">
        <x:f>D779-C779</x:f>
        <x:v>0</x:v>
      </x:c>
    </x:row>
    <x:row r="780">
      <x:c r="A780" s="13" t="str">
        <x:v>PAG-000779</x:v>
      </x:c>
      <x:c r="B780" s="23" t="n">
        <x:v>45854</x:v>
      </x:c>
      <x:c r="C780" s="23" t="n">
        <x:v>45884</x:v>
      </x:c>
      <x:c r="D780" s="23" t="n">
        <x:v>45884</x:v>
      </x:c>
      <x:c r="E780" s="13" t="str">
        <x:v>Insight BI</x:v>
      </x:c>
      <x:c r="F780" s="13" t="str">
        <x:v>Dados e Analytics</x:v>
      </x:c>
      <x:c r="G780" s="17" t="n">
        <x:v>5655.37</x:v>
      </x:c>
      <x:c r="H780" s="17" t="n">
        <x:v>5804.31</x:v>
      </x:c>
      <x:c r="I780" s="13" t="str">
        <x:v>Financeiro</x:v>
      </x:c>
      <x:c r="J780" s="13" t="str">
        <x:v>Pago</x:v>
      </x:c>
      <x:c r="K780" s="13" t="str">
        <x:v>Operação Clareza</x:v>
      </x:c>
      <x:c r="L780" s="17" t="n">
        <x:f>H780-G780</x:f>
        <x:v>148.9400000000005</x:v>
      </x:c>
      <x:c r="M780" s="19" t="n">
        <x:f>IFERROR(L780/G780,0)</x:f>
        <x:v>0.026336031064280587</x:v>
      </x:c>
      <x:c r="N780" s="13" t="n">
        <x:f>D780-C780</x:f>
        <x:v>0</x:v>
      </x:c>
    </x:row>
    <x:row r="781">
      <x:c r="A781" s="13" t="str">
        <x:v>PAG-000780</x:v>
      </x:c>
      <x:c r="B781" s="23" t="n">
        <x:v>45848</x:v>
      </x:c>
      <x:c r="C781" s="23" t="n">
        <x:v>45868</x:v>
      </x:c>
      <x:c r="D781" s="23" t="n">
        <x:v>45868</x:v>
      </x:c>
      <x:c r="E781" s="13" t="str">
        <x:v>LegalMais</x:v>
      </x:c>
      <x:c r="F781" s="13" t="str">
        <x:v>Jurídico</x:v>
      </x:c>
      <x:c r="G781" s="17" t="n">
        <x:v>12519.11</x:v>
      </x:c>
      <x:c r="H781" s="17" t="n">
        <x:v>12347.98</x:v>
      </x:c>
      <x:c r="I781" s="13" t="str">
        <x:v>Gestor da área</x:v>
      </x:c>
      <x:c r="J781" s="13" t="str">
        <x:v>Pago</x:v>
      </x:c>
      <x:c r="K781" s="13" t="str">
        <x:v>Operação Clareza</x:v>
      </x:c>
      <x:c r="L781" s="17" t="n">
        <x:f>H781-G781</x:f>
        <x:v>-171.13000000000102</x:v>
      </x:c>
      <x:c r="M781" s="19" t="n">
        <x:f>IFERROR(L781/G781,0)</x:f>
        <x:v>-0.013669502065242738</x:v>
      </x:c>
      <x:c r="N781" s="13" t="n">
        <x:f>D781-C781</x:f>
        <x:v>0</x:v>
      </x:c>
    </x:row>
    <x:row r="782">
      <x:c r="A782" s="13" t="str">
        <x:v>PAG-000781</x:v>
      </x:c>
      <x:c r="B782" s="23" t="n">
        <x:v>45853</x:v>
      </x:c>
      <x:c r="C782" s="23" t="n">
        <x:v>45868</x:v>
      </x:c>
      <x:c r="D782" s="23" t="n">
        <x:v>45868</x:v>
      </x:c>
      <x:c r="E782" s="13" t="str">
        <x:v>Conta Certa</x:v>
      </x:c>
      <x:c r="F782" s="13" t="str">
        <x:v>Contabilidade</x:v>
      </x:c>
      <x:c r="G782" s="17" t="n">
        <x:v>8961.42</x:v>
      </x:c>
      <x:c r="H782" s="17" t="n">
        <x:v>9245.15</x:v>
      </x:c>
      <x:c r="I782" s="13" t="str">
        <x:v>Financeiro</x:v>
      </x:c>
      <x:c r="J782" s="13" t="str">
        <x:v>Pago</x:v>
      </x:c>
      <x:c r="K782" s="13" t="str">
        <x:v>Operação Clareza</x:v>
      </x:c>
      <x:c r="L782" s="17" t="n">
        <x:f>H782-G782</x:f>
        <x:v>283.72999999999956</x:v>
      </x:c>
      <x:c r="M782" s="19" t="n">
        <x:f>IFERROR(L782/G782,0)</x:f>
        <x:v>0.03166127689584905</x:v>
      </x:c>
      <x:c r="N782" s="13" t="n">
        <x:f>D782-C782</x:f>
        <x:v>0</x:v>
      </x:c>
    </x:row>
    <x:row r="783">
      <x:c r="A783" s="13" t="str">
        <x:v>PAG-000782</x:v>
      </x:c>
      <x:c r="B783" s="23" t="n">
        <x:v>45839</x:v>
      </x:c>
      <x:c r="C783" s="23" t="n">
        <x:v>45859</x:v>
      </x:c>
      <x:c r="D783" s="23" t="n">
        <x:v>45860</x:v>
      </x:c>
      <x:c r="E783" s="13" t="str">
        <x:v>DataSafe</x:v>
      </x:c>
      <x:c r="F783" s="13" t="str">
        <x:v>Segurança da informação</x:v>
      </x:c>
      <x:c r="G783" s="17" t="n">
        <x:v>14721.14</x:v>
      </x:c>
      <x:c r="H783" s="17" t="n">
        <x:v>15238.59</x:v>
      </x:c>
      <x:c r="I783" s="13" t="str">
        <x:v>Financeiro</x:v>
      </x:c>
      <x:c r="J783" s="13" t="str">
        <x:v>Pago</x:v>
      </x:c>
      <x:c r="K783" s="13" t="str">
        <x:v>Operação Clareza</x:v>
      </x:c>
      <x:c r="L783" s="17" t="n">
        <x:f>H783-G783</x:f>
        <x:v>517.4500000000007</x:v>
      </x:c>
      <x:c r="M783" s="19" t="n">
        <x:f>IFERROR(L783/G783,0)</x:f>
        <x:v>0.035150131036047534</x:v>
      </x:c>
      <x:c r="N783" s="13" t="n">
        <x:f>D783-C783</x:f>
        <x:v>1</x:v>
      </x:c>
    </x:row>
    <x:row r="784">
      <x:c r="A784" s="13" t="str">
        <x:v>PAG-000783</x:v>
      </x:c>
      <x:c r="B784" s="23" t="n">
        <x:v>45849</x:v>
      </x:c>
      <x:c r="C784" s="23" t="n">
        <x:v>45856</x:v>
      </x:c>
      <x:c r="D784" s="23" t="n">
        <x:v>45853</x:v>
      </x:c>
      <x:c r="E784" s="13" t="str">
        <x:v>WorkSpace</x:v>
      </x:c>
      <x:c r="F784" s="13" t="str">
        <x:v>Locação</x:v>
      </x:c>
      <x:c r="G784" s="17" t="n">
        <x:v>7350.33</x:v>
      </x:c>
      <x:c r="H784" s="17" t="n">
        <x:v>7481.02</x:v>
      </x:c>
      <x:c r="I784" s="13" t="str">
        <x:v>Diretoria</x:v>
      </x:c>
      <x:c r="J784" s="13" t="str">
        <x:v>Pago</x:v>
      </x:c>
      <x:c r="K784" s="13" t="str">
        <x:v>Operação Clareza</x:v>
      </x:c>
      <x:c r="L784" s="17" t="n">
        <x:f>H784-G784</x:f>
        <x:v>130.6900000000005</x:v>
      </x:c>
      <x:c r="M784" s="19" t="n">
        <x:f>IFERROR(L784/G784,0)</x:f>
        <x:v>0.017780154088319913</x:v>
      </x:c>
      <x:c r="N784" s="13" t="n">
        <x:f>D784-C784</x:f>
        <x:v>-3</x:v>
      </x:c>
    </x:row>
    <x:row r="785">
      <x:c r="A785" s="13" t="str">
        <x:v>PAG-000784</x:v>
      </x:c>
      <x:c r="B785" s="23" t="n">
        <x:v>45856</x:v>
      </x:c>
      <x:c r="C785" s="23" t="n">
        <x:v>45871</x:v>
      </x:c>
      <x:c r="D785" s="23" t="n">
        <x:v>45872</x:v>
      </x:c>
      <x:c r="E785" s="13" t="str">
        <x:v>WorkSpace</x:v>
      </x:c>
      <x:c r="F785" s="13" t="str">
        <x:v>Locação</x:v>
      </x:c>
      <x:c r="G785" s="17" t="n">
        <x:v>26165.84</x:v>
      </x:c>
      <x:c r="H785" s="17" t="n">
        <x:v>27013.99</x:v>
      </x:c>
      <x:c r="I785" s="13" t="str">
        <x:v>Gestor da área</x:v>
      </x:c>
      <x:c r="J785" s="13" t="str">
        <x:v>Pago</x:v>
      </x:c>
      <x:c r="K785" s="13" t="str">
        <x:v>Operação Clareza</x:v>
      </x:c>
      <x:c r="L785" s="17" t="n">
        <x:f>H785-G785</x:f>
        <x:v>848.1500000000015</x:v>
      </x:c>
      <x:c r="M785" s="19" t="n">
        <x:f>IFERROR(L785/G785,0)</x:f>
        <x:v>0.032414399843460076</x:v>
      </x:c>
      <x:c r="N785" s="13" t="n">
        <x:f>D785-C785</x:f>
        <x:v>1</x:v>
      </x:c>
    </x:row>
    <x:row r="786">
      <x:c r="A786" s="13" t="str">
        <x:v>PAG-000785</x:v>
      </x:c>
      <x:c r="B786" s="23" t="n">
        <x:v>45850</x:v>
      </x:c>
      <x:c r="C786" s="23" t="n">
        <x:v>45865</x:v>
      </x:c>
      <x:c r="D786" s="23" t="n">
        <x:v>45865</x:v>
      </x:c>
      <x:c r="E786" s="13" t="str">
        <x:v>WorkSpace</x:v>
      </x:c>
      <x:c r="F786" s="13" t="str">
        <x:v>Locação</x:v>
      </x:c>
      <x:c r="G786" s="17" t="n">
        <x:v>29282.63</x:v>
      </x:c>
      <x:c r="H786" s="17" t="n">
        <x:v>29021.71</x:v>
      </x:c>
      <x:c r="I786" s="13" t="str">
        <x:v>Financeiro</x:v>
      </x:c>
      <x:c r="J786" s="13" t="str">
        <x:v>Pago</x:v>
      </x:c>
      <x:c r="K786" s="13" t="str">
        <x:v>Operação Clareza</x:v>
      </x:c>
      <x:c r="L786" s="17" t="n">
        <x:f>H786-G786</x:f>
        <x:v>-260.9200000000019</x:v>
      </x:c>
      <x:c r="M786" s="19" t="n">
        <x:f>IFERROR(L786/G786,0)</x:f>
        <x:v>-0.00891040183207594</x:v>
      </x:c>
      <x:c r="N786" s="13" t="n">
        <x:f>D786-C786</x:f>
        <x:v>0</x:v>
      </x:c>
    </x:row>
    <x:row r="787">
      <x:c r="A787" s="13" t="str">
        <x:v>PAG-000786</x:v>
      </x:c>
      <x:c r="B787" s="23" t="n">
        <x:v>45840</x:v>
      </x:c>
      <x:c r="C787" s="23" t="n">
        <x:v>45847</x:v>
      </x:c>
      <x:c r="D787" s="23" t="n">
        <x:v>45847</x:v>
      </x:c>
      <x:c r="E787" s="13" t="str">
        <x:v>NetLink</x:v>
      </x:c>
      <x:c r="F787" s="13" t="str">
        <x:v>Telecomunicações</x:v>
      </x:c>
      <x:c r="G787" s="17" t="n">
        <x:v>23391.59</x:v>
      </x:c>
      <x:c r="H787" s="17" t="n">
        <x:v>23759.88</x:v>
      </x:c>
      <x:c r="I787" s="13" t="str">
        <x:v>Gestor da área</x:v>
      </x:c>
      <x:c r="J787" s="13" t="str">
        <x:v>Pago</x:v>
      </x:c>
      <x:c r="K787" s="13" t="str">
        <x:v>Operação Clareza</x:v>
      </x:c>
      <x:c r="L787" s="17" t="n">
        <x:f>H787-G787</x:f>
        <x:v>368.2900000000009</x:v>
      </x:c>
      <x:c r="M787" s="19" t="n">
        <x:f>IFERROR(L787/G787,0)</x:f>
        <x:v>0.015744547506176404</x:v>
      </x:c>
      <x:c r="N787" s="13" t="n">
        <x:f>D787-C787</x:f>
        <x:v>0</x:v>
      </x:c>
    </x:row>
    <x:row r="788">
      <x:c r="A788" s="13" t="str">
        <x:v>PAG-000787</x:v>
      </x:c>
      <x:c r="B788" s="23" t="n">
        <x:v>45858</x:v>
      </x:c>
      <x:c r="C788" s="23" t="n">
        <x:v>45865</x:v>
      </x:c>
      <x:c r="D788" s="23" t="n">
        <x:v>45862</x:v>
      </x:c>
      <x:c r="E788" s="13" t="str">
        <x:v>Insight BI</x:v>
      </x:c>
      <x:c r="F788" s="13" t="str">
        <x:v>Dados e Analytics</x:v>
      </x:c>
      <x:c r="G788" s="17" t="n">
        <x:v>8535.84</x:v>
      </x:c>
      <x:c r="H788" s="17" t="n">
        <x:v>8466.76</x:v>
      </x:c>
      <x:c r="I788" s="13" t="str">
        <x:v>Gestor da área</x:v>
      </x:c>
      <x:c r="J788" s="13" t="str">
        <x:v>Pago</x:v>
      </x:c>
      <x:c r="K788" s="13" t="str">
        <x:v>Operação Clareza</x:v>
      </x:c>
      <x:c r="L788" s="17" t="n">
        <x:f>H788-G788</x:f>
        <x:v>-69.07999999999993</x:v>
      </x:c>
      <x:c r="M788" s="19" t="n">
        <x:f>IFERROR(L788/G788,0)</x:f>
        <x:v>-0.008092935200284907</x:v>
      </x:c>
      <x:c r="N788" s="13" t="n">
        <x:f>D788-C788</x:f>
        <x:v>-3</x:v>
      </x:c>
    </x:row>
    <x:row r="789">
      <x:c r="A789" s="13" t="str">
        <x:v>PAG-000788</x:v>
      </x:c>
      <x:c r="B789" s="23" t="n">
        <x:v>45840</x:v>
      </x:c>
      <x:c r="C789" s="23" t="n">
        <x:v>45870</x:v>
      </x:c>
      <x:c r="D789" s="23" t="n">
        <x:v>45872</x:v>
      </x:c>
      <x:c r="E789" s="13" t="str">
        <x:v>DataSafe</x:v>
      </x:c>
      <x:c r="F789" s="13" t="str">
        <x:v>Segurança da informação</x:v>
      </x:c>
      <x:c r="G789" s="17" t="n">
        <x:v>11423.13</x:v>
      </x:c>
      <x:c r="H789" s="17" t="n">
        <x:v>11310.2</x:v>
      </x:c>
      <x:c r="I789" s="13" t="str">
        <x:v>Gestor da área</x:v>
      </x:c>
      <x:c r="J789" s="13" t="str">
        <x:v>Pago</x:v>
      </x:c>
      <x:c r="K789" s="13" t="str">
        <x:v>Operação Clareza</x:v>
      </x:c>
      <x:c r="L789" s="17" t="n">
        <x:f>H789-G789</x:f>
        <x:v>-112.92999999999847</x:v>
      </x:c>
      <x:c r="M789" s="19" t="n">
        <x:f>IFERROR(L789/G789,0)</x:f>
        <x:v>-0.009886082010797258</x:v>
      </x:c>
      <x:c r="N789" s="13" t="n">
        <x:f>D789-C789</x:f>
        <x:v>2</x:v>
      </x:c>
    </x:row>
    <x:row r="790">
      <x:c r="A790" s="13" t="str">
        <x:v>PAG-000789</x:v>
      </x:c>
      <x:c r="B790" s="23" t="n">
        <x:v>45848</x:v>
      </x:c>
      <x:c r="C790" s="23" t="n">
        <x:v>45868</x:v>
      </x:c>
      <x:c r="D790" s="23" t="n">
        <x:v>45868</x:v>
      </x:c>
      <x:c r="E790" s="13" t="str">
        <x:v>Banco Integra</x:v>
      </x:c>
      <x:c r="F790" s="13" t="str">
        <x:v>Serviços bancários</x:v>
      </x:c>
      <x:c r="G790" s="17" t="n">
        <x:v>20879.66</x:v>
      </x:c>
      <x:c r="H790" s="17" t="n">
        <x:v>21025.18</x:v>
      </x:c>
      <x:c r="I790" s="13" t="str">
        <x:v>Gestor da área</x:v>
      </x:c>
      <x:c r="J790" s="13" t="str">
        <x:v>Pago</x:v>
      </x:c>
      <x:c r="K790" s="13" t="str">
        <x:v>Operação Clareza</x:v>
      </x:c>
      <x:c r="L790" s="17" t="n">
        <x:f>H790-G790</x:f>
        <x:v>145.52000000000044</x:v>
      </x:c>
      <x:c r="M790" s="19" t="n">
        <x:f>IFERROR(L790/G790,0)</x:f>
        <x:v>0.006969462146414283</x:v>
      </x:c>
      <x:c r="N790" s="13" t="n">
        <x:f>D790-C790</x:f>
        <x:v>0</x:v>
      </x:c>
    </x:row>
    <x:row r="791">
      <x:c r="A791" s="13" t="str">
        <x:v>PAG-000790</x:v>
      </x:c>
      <x:c r="B791" s="23" t="n">
        <x:v>45845</x:v>
      </x:c>
      <x:c r="C791" s="23" t="n">
        <x:v>45865</x:v>
      </x:c>
      <x:c r="D791" s="23" t="n">
        <x:v>45864</x:v>
      </x:c>
      <x:c r="E791" s="13" t="str">
        <x:v>Banco Integra</x:v>
      </x:c>
      <x:c r="F791" s="13" t="str">
        <x:v>Serviços bancários</x:v>
      </x:c>
      <x:c r="G791" s="17" t="n">
        <x:v>19040.69</x:v>
      </x:c>
      <x:c r="H791" s="17" t="n">
        <x:v>19408.12</x:v>
      </x:c>
      <x:c r="I791" s="13" t="str">
        <x:v>Gestor da área</x:v>
      </x:c>
      <x:c r="J791" s="13" t="str">
        <x:v>Pago</x:v>
      </x:c>
      <x:c r="K791" s="13" t="str">
        <x:v>Operação Clareza</x:v>
      </x:c>
      <x:c r="L791" s="17" t="n">
        <x:f>H791-G791</x:f>
        <x:v>367.4300000000003</x:v>
      </x:c>
      <x:c r="M791" s="19" t="n">
        <x:f>IFERROR(L791/G791,0)</x:f>
        <x:v>0.01929709480066113</x:v>
      </x:c>
      <x:c r="N791" s="13" t="n">
        <x:f>D791-C791</x:f>
        <x:v>-1</x:v>
      </x:c>
    </x:row>
    <x:row r="792">
      <x:c r="A792" s="13" t="str">
        <x:v>PAG-000791</x:v>
      </x:c>
      <x:c r="B792" s="23" t="n">
        <x:v>45854</x:v>
      </x:c>
      <x:c r="C792" s="23" t="n">
        <x:v>45884</x:v>
      </x:c>
      <x:c r="D792" s="23" t="n">
        <x:v>45884</x:v>
      </x:c>
      <x:c r="E792" s="13" t="str">
        <x:v>Banco Integra</x:v>
      </x:c>
      <x:c r="F792" s="13" t="str">
        <x:v>Serviços bancários</x:v>
      </x:c>
      <x:c r="G792" s="17" t="n">
        <x:v>10788.2</x:v>
      </x:c>
      <x:c r="H792" s="17" t="n">
        <x:v>11158.61</x:v>
      </x:c>
      <x:c r="I792" s="13" t="str">
        <x:v>Financeiro</x:v>
      </x:c>
      <x:c r="J792" s="13" t="str">
        <x:v>Pago</x:v>
      </x:c>
      <x:c r="K792" s="13" t="str">
        <x:v>Operação Clareza</x:v>
      </x:c>
      <x:c r="L792" s="17" t="n">
        <x:f>H792-G792</x:f>
        <x:v>370.40999999999985</x:v>
      </x:c>
      <x:c r="M792" s="19" t="n">
        <x:f>IFERROR(L792/G792,0)</x:f>
        <x:v>0.03433473610055429</x:v>
      </x:c>
      <x:c r="N792" s="13" t="n">
        <x:f>D792-C792</x:f>
        <x:v>0</x:v>
      </x:c>
    </x:row>
    <x:row r="793">
      <x:c r="A793" s="13" t="str">
        <x:v>PAG-000792</x:v>
      </x:c>
      <x:c r="B793" s="23" t="n">
        <x:v>45858</x:v>
      </x:c>
      <x:c r="C793" s="23" t="n">
        <x:v>45888</x:v>
      </x:c>
      <x:c r="D793" s="23" t="n">
        <x:v>45886</x:v>
      </x:c>
      <x:c r="E793" s="13" t="str">
        <x:v>WorkSpace</x:v>
      </x:c>
      <x:c r="F793" s="13" t="str">
        <x:v>Locação</x:v>
      </x:c>
      <x:c r="G793" s="17" t="n">
        <x:v>11713.73</x:v>
      </x:c>
      <x:c r="H793" s="17" t="n">
        <x:v>12041.96</x:v>
      </x:c>
      <x:c r="I793" s="13" t="str">
        <x:v>Financeiro</x:v>
      </x:c>
      <x:c r="J793" s="13" t="str">
        <x:v>Pago</x:v>
      </x:c>
      <x:c r="K793" s="13" t="str">
        <x:v>Operação Clareza</x:v>
      </x:c>
      <x:c r="L793" s="17" t="n">
        <x:f>H793-G793</x:f>
        <x:v>328.22999999999956</x:v>
      </x:c>
      <x:c r="M793" s="19" t="n">
        <x:f>IFERROR(L793/G793,0)</x:f>
        <x:v>0.028020963433509186</x:v>
      </x:c>
      <x:c r="N793" s="13" t="n">
        <x:f>D793-C793</x:f>
        <x:v>-2</x:v>
      </x:c>
    </x:row>
    <x:row r="794">
      <x:c r="A794" s="13" t="str">
        <x:v>PAG-000793</x:v>
      </x:c>
      <x:c r="B794" s="23" t="n">
        <x:v>45851</x:v>
      </x:c>
      <x:c r="C794" s="23" t="n">
        <x:v>45866</x:v>
      </x:c>
      <x:c r="D794" s="23" t="n">
        <x:v>45865</x:v>
      </x:c>
      <x:c r="E794" s="13" t="str">
        <x:v>Conta Certa</x:v>
      </x:c>
      <x:c r="F794" s="13" t="str">
        <x:v>Contabilidade</x:v>
      </x:c>
      <x:c r="G794" s="17" t="n">
        <x:v>16545.11</x:v>
      </x:c>
      <x:c r="H794" s="17" t="n">
        <x:v>17207.46</x:v>
      </x:c>
      <x:c r="I794" s="13" t="str">
        <x:v>Gestor da área</x:v>
      </x:c>
      <x:c r="J794" s="13" t="str">
        <x:v>Pago</x:v>
      </x:c>
      <x:c r="K794" s="13" t="str">
        <x:v>Operação Clareza</x:v>
      </x:c>
      <x:c r="L794" s="17" t="n">
        <x:f>H794-G794</x:f>
        <x:v>662.3499999999985</x:v>
      </x:c>
      <x:c r="M794" s="19" t="n">
        <x:f>IFERROR(L794/G794,0)</x:f>
        <x:v>0.040032976510884395</x:v>
      </x:c>
      <x:c r="N794" s="13" t="n">
        <x:f>D794-C794</x:f>
        <x:v>-1</x:v>
      </x:c>
    </x:row>
    <x:row r="795">
      <x:c r="A795" s="13" t="str">
        <x:v>PAG-000794</x:v>
      </x:c>
      <x:c r="B795" s="23" t="n">
        <x:v>45845</x:v>
      </x:c>
      <x:c r="C795" s="23" t="n">
        <x:v>45875</x:v>
      </x:c>
      <x:c r="D795" s="23" t="n">
        <x:v>45876</x:v>
      </x:c>
      <x:c r="E795" s="13" t="str">
        <x:v>NetLink</x:v>
      </x:c>
      <x:c r="F795" s="13" t="str">
        <x:v>Telecomunicações</x:v>
      </x:c>
      <x:c r="G795" s="17" t="n">
        <x:v>9144.28</x:v>
      </x:c>
      <x:c r="H795" s="17" t="n">
        <x:v>9221.86</x:v>
      </x:c>
      <x:c r="I795" s="13" t="str">
        <x:v>Financeiro</x:v>
      </x:c>
      <x:c r="J795" s="13" t="str">
        <x:v>Pago</x:v>
      </x:c>
      <x:c r="K795" s="13" t="str">
        <x:v>Operação Clareza</x:v>
      </x:c>
      <x:c r="L795" s="17" t="n">
        <x:f>H795-G795</x:f>
        <x:v>77.57999999999993</x:v>
      </x:c>
      <x:c r="M795" s="19" t="n">
        <x:f>IFERROR(L795/G795,0)</x:f>
        <x:v>0.00848399217871718</x:v>
      </x:c>
      <x:c r="N795" s="13" t="n">
        <x:f>D795-C795</x:f>
        <x:v>1</x:v>
      </x:c>
    </x:row>
    <x:row r="796">
      <x:c r="A796" s="13" t="str">
        <x:v>PAG-000795</x:v>
      </x:c>
      <x:c r="B796" s="23" t="n">
        <x:v>45847</x:v>
      </x:c>
      <x:c r="C796" s="23" t="n">
        <x:v>45867</x:v>
      </x:c>
      <x:c r="D796" s="23" t="n">
        <x:v>45865</x:v>
      </x:c>
      <x:c r="E796" s="13" t="str">
        <x:v>Insight BI</x:v>
      </x:c>
      <x:c r="F796" s="13" t="str">
        <x:v>Dados e Analytics</x:v>
      </x:c>
      <x:c r="G796" s="17" t="n">
        <x:v>20554.4</x:v>
      </x:c>
      <x:c r="H796" s="17" t="n">
        <x:v>19879.93</x:v>
      </x:c>
      <x:c r="I796" s="13" t="str">
        <x:v>Diretoria</x:v>
      </x:c>
      <x:c r="J796" s="13" t="str">
        <x:v>Pago</x:v>
      </x:c>
      <x:c r="K796" s="13" t="str">
        <x:v>Operação Clareza</x:v>
      </x:c>
      <x:c r="L796" s="17" t="n">
        <x:f>H796-G796</x:f>
        <x:v>-674.4700000000012</x:v>
      </x:c>
      <x:c r="M796" s="19" t="n">
        <x:f>IFERROR(L796/G796,0)</x:f>
        <x:v>-0.032813898727279855</x:v>
      </x:c>
      <x:c r="N796" s="13" t="n">
        <x:f>D796-C796</x:f>
        <x:v>-2</x:v>
      </x:c>
    </x:row>
    <x:row r="797">
      <x:c r="A797" s="13" t="str">
        <x:v>PAG-000796</x:v>
      </x:c>
      <x:c r="B797" s="23" t="n">
        <x:v>45854</x:v>
      </x:c>
      <x:c r="C797" s="23" t="n">
        <x:v>45884</x:v>
      </x:c>
      <x:c r="D797" s="23" t="n">
        <x:v>45884</x:v>
      </x:c>
      <x:c r="E797" s="13" t="str">
        <x:v>CloudCore</x:v>
      </x:c>
      <x:c r="F797" s="13" t="str">
        <x:v>Tecnologia</x:v>
      </x:c>
      <x:c r="G797" s="17" t="n">
        <x:v>26102.91</x:v>
      </x:c>
      <x:c r="H797" s="17" t="n">
        <x:v>26989.1</x:v>
      </x:c>
      <x:c r="I797" s="13" t="str">
        <x:v>Financeiro</x:v>
      </x:c>
      <x:c r="J797" s="13" t="str">
        <x:v>Pago</x:v>
      </x:c>
      <x:c r="K797" s="13" t="str">
        <x:v>Operação Clareza</x:v>
      </x:c>
      <x:c r="L797" s="17" t="n">
        <x:f>H797-G797</x:f>
        <x:v>886.1899999999987</x:v>
      </x:c>
      <x:c r="M797" s="19" t="n">
        <x:f>IFERROR(L797/G797,0)</x:f>
        <x:v>0.03394985463306577</x:v>
      </x:c>
      <x:c r="N797" s="13" t="n">
        <x:f>D797-C797</x:f>
        <x:v>0</x:v>
      </x:c>
    </x:row>
    <x:row r="798">
      <x:c r="A798" s="13" t="str">
        <x:v>PAG-000797</x:v>
      </x:c>
      <x:c r="B798" s="23" t="n">
        <x:v>45839</x:v>
      </x:c>
      <x:c r="C798" s="23" t="n">
        <x:v>45859</x:v>
      </x:c>
      <x:c r="D798" s="23" t="n">
        <x:v>45859</x:v>
      </x:c>
      <x:c r="E798" s="13" t="str">
        <x:v>CloudCore</x:v>
      </x:c>
      <x:c r="F798" s="13" t="str">
        <x:v>Tecnologia</x:v>
      </x:c>
      <x:c r="G798" s="17" t="n">
        <x:v>2590.83</x:v>
      </x:c>
      <x:c r="H798" s="17" t="n">
        <x:v>2700.06</x:v>
      </x:c>
      <x:c r="I798" s="13" t="str">
        <x:v>Gestor da área</x:v>
      </x:c>
      <x:c r="J798" s="13" t="str">
        <x:v>Pago</x:v>
      </x:c>
      <x:c r="K798" s="13" t="str">
        <x:v>Operação Clareza</x:v>
      </x:c>
      <x:c r="L798" s="17" t="n">
        <x:f>H798-G798</x:f>
        <x:v>109.23000000000002</x:v>
      </x:c>
      <x:c r="M798" s="19" t="n">
        <x:f>IFERROR(L798/G798,0)</x:f>
        <x:v>0.042160234365049044</x:v>
      </x:c>
      <x:c r="N798" s="13" t="n">
        <x:f>D798-C798</x:f>
        <x:v>0</x:v>
      </x:c>
    </x:row>
    <x:row r="799">
      <x:c r="A799" s="13" t="str">
        <x:v>PAG-000798</x:v>
      </x:c>
      <x:c r="B799" s="23" t="n">
        <x:v>45841</x:v>
      </x:c>
      <x:c r="C799" s="23" t="n">
        <x:v>45871</x:v>
      </x:c>
      <x:c r="D799" s="23" t="n">
        <x:v>45871</x:v>
      </x:c>
      <x:c r="E799" s="13" t="str">
        <x:v>WorkSpace</x:v>
      </x:c>
      <x:c r="F799" s="13" t="str">
        <x:v>Locação</x:v>
      </x:c>
      <x:c r="G799" s="17" t="n">
        <x:v>26567.49</x:v>
      </x:c>
      <x:c r="H799" s="17" t="n">
        <x:v>26765.53</x:v>
      </x:c>
      <x:c r="I799" s="13" t="str">
        <x:v>Financeiro</x:v>
      </x:c>
      <x:c r="J799" s="13" t="str">
        <x:v>Pago</x:v>
      </x:c>
      <x:c r="K799" s="13" t="str">
        <x:v>Operação Clareza</x:v>
      </x:c>
      <x:c r="L799" s="17" t="n">
        <x:f>H799-G799</x:f>
        <x:v>198.03999999999724</x:v>
      </x:c>
      <x:c r="M799" s="19" t="n">
        <x:f>IFERROR(L799/G799,0)</x:f>
        <x:v>0.007454223187813272</x:v>
      </x:c>
      <x:c r="N799" s="13" t="n">
        <x:f>D799-C799</x:f>
        <x:v>0</x:v>
      </x:c>
    </x:row>
    <x:row r="800">
      <x:c r="A800" s="13" t="str">
        <x:v>PAG-000799</x:v>
      </x:c>
      <x:c r="B800" s="23" t="n">
        <x:v>45876</x:v>
      </x:c>
      <x:c r="C800" s="23" t="n">
        <x:v>45896</x:v>
      </x:c>
      <x:c r="D800" s="23" t="n">
        <x:v>45894</x:v>
      </x:c>
      <x:c r="E800" s="13" t="str">
        <x:v>NetLink</x:v>
      </x:c>
      <x:c r="F800" s="13" t="str">
        <x:v>Telecomunicações</x:v>
      </x:c>
      <x:c r="G800" s="17" t="n">
        <x:v>12708.41</x:v>
      </x:c>
      <x:c r="H800" s="17" t="n">
        <x:v>13120.18</x:v>
      </x:c>
      <x:c r="I800" s="13" t="str">
        <x:v>Gestor da área</x:v>
      </x:c>
      <x:c r="J800" s="13" t="str">
        <x:v>Pago</x:v>
      </x:c>
      <x:c r="K800" s="13" t="str">
        <x:v>Operação Clareza</x:v>
      </x:c>
      <x:c r="L800" s="17" t="n">
        <x:f>H800-G800</x:f>
        <x:v>411.77000000000044</x:v>
      </x:c>
      <x:c r="M800" s="19" t="n">
        <x:f>IFERROR(L800/G800,0)</x:f>
        <x:v>0.03240137829988177</x:v>
      </x:c>
      <x:c r="N800" s="13" t="n">
        <x:f>D800-C800</x:f>
        <x:v>-2</x:v>
      </x:c>
    </x:row>
    <x:row r="801">
      <x:c r="A801" s="13" t="str">
        <x:v>PAG-000800</x:v>
      </x:c>
      <x:c r="B801" s="23" t="n">
        <x:v>45871</x:v>
      </x:c>
      <x:c r="C801" s="23" t="n">
        <x:v>45878</x:v>
      </x:c>
      <x:c r="D801" s="23" t="n">
        <x:v>45878</x:v>
      </x:c>
      <x:c r="E801" s="13" t="str">
        <x:v>LegalMais</x:v>
      </x:c>
      <x:c r="F801" s="13" t="str">
        <x:v>Jurídico</x:v>
      </x:c>
      <x:c r="G801" s="17" t="n">
        <x:v>11965</x:v>
      </x:c>
      <x:c r="H801" s="17" t="n">
        <x:v>12271.22</x:v>
      </x:c>
      <x:c r="I801" s="13" t="str">
        <x:v>Diretoria</x:v>
      </x:c>
      <x:c r="J801" s="13" t="str">
        <x:v>Pago</x:v>
      </x:c>
      <x:c r="K801" s="13" t="str">
        <x:v>Operação Clareza</x:v>
      </x:c>
      <x:c r="L801" s="17" t="n">
        <x:f>H801-G801</x:f>
        <x:v>306.21999999999935</x:v>
      </x:c>
      <x:c r="M801" s="19" t="n">
        <x:f>IFERROR(L801/G801,0)</x:f>
        <x:v>0.025592979523610476</x:v>
      </x:c>
      <x:c r="N801" s="13" t="n">
        <x:f>D801-C801</x:f>
        <x:v>0</x:v>
      </x:c>
    </x:row>
    <x:row r="802">
      <x:c r="A802" s="13" t="str">
        <x:v>PAG-000801</x:v>
      </x:c>
      <x:c r="B802" s="23" t="n">
        <x:v>45886</x:v>
      </x:c>
      <x:c r="C802" s="23" t="n">
        <x:v>45916</x:v>
      </x:c>
      <x:c r="D802" s="23" t="n">
        <x:v>45916</x:v>
      </x:c>
      <x:c r="E802" s="13" t="str">
        <x:v>DataSafe</x:v>
      </x:c>
      <x:c r="F802" s="13" t="str">
        <x:v>Segurança da informação</x:v>
      </x:c>
      <x:c r="G802" s="17" t="n">
        <x:v>27985.44</x:v>
      </x:c>
      <x:c r="H802" s="17" t="n">
        <x:v>28211.78</x:v>
      </x:c>
      <x:c r="I802" s="13" t="str">
        <x:v>Financeiro</x:v>
      </x:c>
      <x:c r="J802" s="13" t="str">
        <x:v>Pago</x:v>
      </x:c>
      <x:c r="K802" s="13" t="str">
        <x:v>Operação Clareza</x:v>
      </x:c>
      <x:c r="L802" s="17" t="n">
        <x:f>H802-G802</x:f>
        <x:v>226.34000000000015</x:v>
      </x:c>
      <x:c r="M802" s="19" t="n">
        <x:f>IFERROR(L802/G802,0)</x:f>
        <x:v>0.008087777072649212</x:v>
      </x:c>
      <x:c r="N802" s="13" t="n">
        <x:f>D802-C802</x:f>
        <x:v>0</x:v>
      </x:c>
    </x:row>
    <x:row r="803">
      <x:c r="A803" s="13" t="str">
        <x:v>PAG-000802</x:v>
      </x:c>
      <x:c r="B803" s="23" t="n">
        <x:v>45879</x:v>
      </x:c>
      <x:c r="C803" s="23" t="n">
        <x:v>45894</x:v>
      </x:c>
      <x:c r="D803" s="23" t="n">
        <x:v>45892</x:v>
      </x:c>
      <x:c r="E803" s="13" t="str">
        <x:v>CloudCore</x:v>
      </x:c>
      <x:c r="F803" s="13" t="str">
        <x:v>Tecnologia</x:v>
      </x:c>
      <x:c r="G803" s="17" t="n">
        <x:v>12956.11</x:v>
      </x:c>
      <x:c r="H803" s="17" t="n">
        <x:v>12909.48</x:v>
      </x:c>
      <x:c r="I803" s="13" t="str">
        <x:v>Gestor da área</x:v>
      </x:c>
      <x:c r="J803" s="13" t="str">
        <x:v>Pago</x:v>
      </x:c>
      <x:c r="K803" s="13" t="str">
        <x:v>Operação Clareza</x:v>
      </x:c>
      <x:c r="L803" s="17" t="n">
        <x:f>H803-G803</x:f>
        <x:v>-46.63000000000102</x:v>
      </x:c>
      <x:c r="M803" s="19" t="n">
        <x:f>IFERROR(L803/G803,0)</x:f>
        <x:v>-0.0035990741048046843</x:v>
      </x:c>
      <x:c r="N803" s="13" t="n">
        <x:f>D803-C803</x:f>
        <x:v>-2</x:v>
      </x:c>
    </x:row>
    <x:row r="804">
      <x:c r="A804" s="13" t="str">
        <x:v>PAG-000803</x:v>
      </x:c>
      <x:c r="B804" s="23" t="n">
        <x:v>45884</x:v>
      </x:c>
      <x:c r="C804" s="23" t="n">
        <x:v>45891</x:v>
      </x:c>
      <x:c r="D804" s="23" t="n">
        <x:v>45891</x:v>
      </x:c>
      <x:c r="E804" s="13" t="str">
        <x:v>NetLink</x:v>
      </x:c>
      <x:c r="F804" s="13" t="str">
        <x:v>Telecomunicações</x:v>
      </x:c>
      <x:c r="G804" s="17" t="n">
        <x:v>7264.02</x:v>
      </x:c>
      <x:c r="H804" s="17" t="n">
        <x:v>7030.98</x:v>
      </x:c>
      <x:c r="I804" s="13" t="str">
        <x:v>Diretoria</x:v>
      </x:c>
      <x:c r="J804" s="13" t="str">
        <x:v>Pago</x:v>
      </x:c>
      <x:c r="K804" s="13" t="str">
        <x:v>Operação Clareza</x:v>
      </x:c>
      <x:c r="L804" s="17" t="n">
        <x:f>H804-G804</x:f>
        <x:v>-233.04000000000087</x:v>
      </x:c>
      <x:c r="M804" s="19" t="n">
        <x:f>IFERROR(L804/G804,0)</x:f>
        <x:v>-0.03208140946748506</x:v>
      </x:c>
      <x:c r="N804" s="13" t="n">
        <x:f>D804-C804</x:f>
        <x:v>0</x:v>
      </x:c>
    </x:row>
    <x:row r="805">
      <x:c r="A805" s="13" t="str">
        <x:v>PAG-000804</x:v>
      </x:c>
      <x:c r="B805" s="23" t="n">
        <x:v>45877</x:v>
      </x:c>
      <x:c r="C805" s="23" t="n">
        <x:v>45897</x:v>
      </x:c>
      <x:c r="D805" s="23" t="n">
        <x:v>45899</x:v>
      </x:c>
      <x:c r="E805" s="13" t="str">
        <x:v>CloudCore</x:v>
      </x:c>
      <x:c r="F805" s="13" t="str">
        <x:v>Tecnologia</x:v>
      </x:c>
      <x:c r="G805" s="17" t="n">
        <x:v>24956.7</x:v>
      </x:c>
      <x:c r="H805" s="17" t="n">
        <x:v>24705.57</x:v>
      </x:c>
      <x:c r="I805" s="13" t="str">
        <x:v>Gestor da área</x:v>
      </x:c>
      <x:c r="J805" s="13" t="str">
        <x:v>Pago</x:v>
      </x:c>
      <x:c r="K805" s="13" t="str">
        <x:v>Operação Clareza</x:v>
      </x:c>
      <x:c r="L805" s="17" t="n">
        <x:f>H805-G805</x:f>
        <x:v>-251.13000000000102</x:v>
      </x:c>
      <x:c r="M805" s="19" t="n">
        <x:f>IFERROR(L805/G805,0)</x:f>
        <x:v>-0.010062628472514436</x:v>
      </x:c>
      <x:c r="N805" s="13" t="n">
        <x:f>D805-C805</x:f>
        <x:v>2</x:v>
      </x:c>
    </x:row>
    <x:row r="806">
      <x:c r="A806" s="13" t="str">
        <x:v>PAG-000805</x:v>
      </x:c>
      <x:c r="B806" s="23" t="n">
        <x:v>45874</x:v>
      </x:c>
      <x:c r="C806" s="23" t="n">
        <x:v>45904</x:v>
      </x:c>
      <x:c r="D806" s="23" t="n">
        <x:v>45904</x:v>
      </x:c>
      <x:c r="E806" s="13" t="str">
        <x:v>Conta Certa</x:v>
      </x:c>
      <x:c r="F806" s="13" t="str">
        <x:v>Contabilidade</x:v>
      </x:c>
      <x:c r="G806" s="17" t="n">
        <x:v>26677.21</x:v>
      </x:c>
      <x:c r="H806" s="17" t="n">
        <x:v>27088.13</x:v>
      </x:c>
      <x:c r="I806" s="13" t="str">
        <x:v>Gestor da área</x:v>
      </x:c>
      <x:c r="J806" s="13" t="str">
        <x:v>Pago</x:v>
      </x:c>
      <x:c r="K806" s="13" t="str">
        <x:v>Operação Clareza</x:v>
      </x:c>
      <x:c r="L806" s="17" t="n">
        <x:f>H806-G806</x:f>
        <x:v>410.9200000000019</x:v>
      </x:c>
      <x:c r="M806" s="19" t="n">
        <x:f>IFERROR(L806/G806,0)</x:f>
        <x:v>0.015403409876820024</x:v>
      </x:c>
      <x:c r="N806" s="13" t="n">
        <x:f>D806-C806</x:f>
        <x:v>0</x:v>
      </x:c>
    </x:row>
    <x:row r="807">
      <x:c r="A807" s="13" t="str">
        <x:v>PAG-000806</x:v>
      </x:c>
      <x:c r="B807" s="23" t="n">
        <x:v>45888</x:v>
      </x:c>
      <x:c r="C807" s="23" t="n">
        <x:v>45895</x:v>
      </x:c>
      <x:c r="D807" s="23" t="n">
        <x:v>45894</x:v>
      </x:c>
      <x:c r="E807" s="13" t="str">
        <x:v>LegalMais</x:v>
      </x:c>
      <x:c r="F807" s="13" t="str">
        <x:v>Jurídico</x:v>
      </x:c>
      <x:c r="G807" s="17" t="n">
        <x:v>998.66</x:v>
      </x:c>
      <x:c r="H807" s="17" t="n">
        <x:v>1002.4</x:v>
      </x:c>
      <x:c r="I807" s="13" t="str">
        <x:v>Financeiro</x:v>
      </x:c>
      <x:c r="J807" s="13" t="str">
        <x:v>Pago</x:v>
      </x:c>
      <x:c r="K807" s="13" t="str">
        <x:v>Operação Clareza</x:v>
      </x:c>
      <x:c r="L807" s="17" t="n">
        <x:f>H807-G807</x:f>
        <x:v>3.740000000000009</x:v>
      </x:c>
      <x:c r="M807" s="19" t="n">
        <x:f>IFERROR(L807/G807,0)</x:f>
        <x:v>0.0037450183245549126</x:v>
      </x:c>
      <x:c r="N807" s="13" t="n">
        <x:f>D807-C807</x:f>
        <x:v>-1</x:v>
      </x:c>
    </x:row>
    <x:row r="808">
      <x:c r="A808" s="13" t="str">
        <x:v>PAG-000807</x:v>
      </x:c>
      <x:c r="B808" s="23" t="n">
        <x:v>45877</x:v>
      </x:c>
      <x:c r="C808" s="23" t="n">
        <x:v>45897</x:v>
      </x:c>
      <x:c r="D808" s="23" t="n">
        <x:v>45897</x:v>
      </x:c>
      <x:c r="E808" s="13" t="str">
        <x:v>PeopleHub</x:v>
      </x:c>
      <x:c r="F808" s="13" t="str">
        <x:v>Recursos Humanos</x:v>
      </x:c>
      <x:c r="G808" s="17" t="n">
        <x:v>21210.45</x:v>
      </x:c>
      <x:c r="H808" s="17" t="n">
        <x:v>22087.21</x:v>
      </x:c>
      <x:c r="I808" s="13" t="str">
        <x:v>Financeiro</x:v>
      </x:c>
      <x:c r="J808" s="13" t="str">
        <x:v>Pago</x:v>
      </x:c>
      <x:c r="K808" s="13" t="str">
        <x:v>Operação Clareza</x:v>
      </x:c>
      <x:c r="L808" s="17" t="n">
        <x:f>H808-G808</x:f>
        <x:v>876.7599999999984</x:v>
      </x:c>
      <x:c r="M808" s="19" t="n">
        <x:f>IFERROR(L808/G808,0)</x:f>
        <x:v>0.04133622813283067</x:v>
      </x:c>
      <x:c r="N808" s="13" t="n">
        <x:f>D808-C808</x:f>
        <x:v>0</x:v>
      </x:c>
    </x:row>
    <x:row r="809">
      <x:c r="A809" s="13" t="str">
        <x:v>PAG-000808</x:v>
      </x:c>
      <x:c r="B809" s="23" t="n">
        <x:v>45876</x:v>
      </x:c>
      <x:c r="C809" s="23" t="n">
        <x:v>45906</x:v>
      </x:c>
      <x:c r="D809" s="23" t="n">
        <x:v>45908</x:v>
      </x:c>
      <x:c r="E809" s="13" t="str">
        <x:v>CloudCore</x:v>
      </x:c>
      <x:c r="F809" s="13" t="str">
        <x:v>Tecnologia</x:v>
      </x:c>
      <x:c r="G809" s="17" t="n">
        <x:v>7908.79</x:v>
      </x:c>
      <x:c r="H809" s="17" t="n">
        <x:v>8200.07</x:v>
      </x:c>
      <x:c r="I809" s="13" t="str">
        <x:v>Diretoria</x:v>
      </x:c>
      <x:c r="J809" s="13" t="str">
        <x:v>Pago</x:v>
      </x:c>
      <x:c r="K809" s="13" t="str">
        <x:v>Operação Clareza</x:v>
      </x:c>
      <x:c r="L809" s="17" t="n">
        <x:f>H809-G809</x:f>
        <x:v>291.27999999999975</x:v>
      </x:c>
      <x:c r="M809" s="19" t="n">
        <x:f>IFERROR(L809/G809,0)</x:f>
        <x:v>0.03682990697692058</x:v>
      </x:c>
      <x:c r="N809" s="13" t="n">
        <x:f>D809-C809</x:f>
        <x:v>2</x:v>
      </x:c>
    </x:row>
    <x:row r="810">
      <x:c r="A810" s="13" t="str">
        <x:v>PAG-000809</x:v>
      </x:c>
      <x:c r="B810" s="23" t="n">
        <x:v>45889</x:v>
      </x:c>
      <x:c r="C810" s="23" t="n">
        <x:v>45904</x:v>
      </x:c>
      <x:c r="D810" s="23" t="n">
        <x:v>45906</x:v>
      </x:c>
      <x:c r="E810" s="13" t="str">
        <x:v>LegalMais</x:v>
      </x:c>
      <x:c r="F810" s="13" t="str">
        <x:v>Jurídico</x:v>
      </x:c>
      <x:c r="G810" s="17" t="n">
        <x:v>14210.25</x:v>
      </x:c>
      <x:c r="H810" s="17" t="n">
        <x:v>14737.06</x:v>
      </x:c>
      <x:c r="I810" s="13" t="str">
        <x:v>Financeiro</x:v>
      </x:c>
      <x:c r="J810" s="13" t="str">
        <x:v>Pago</x:v>
      </x:c>
      <x:c r="K810" s="13" t="str">
        <x:v>Operação Clareza</x:v>
      </x:c>
      <x:c r="L810" s="17" t="n">
        <x:f>H810-G810</x:f>
        <x:v>526.8099999999995</x:v>
      </x:c>
      <x:c r="M810" s="19" t="n">
        <x:f>IFERROR(L810/G810,0)</x:f>
        <x:v>0.03707253566967502</x:v>
      </x:c>
      <x:c r="N810" s="13" t="n">
        <x:f>D810-C810</x:f>
        <x:v>2</x:v>
      </x:c>
    </x:row>
    <x:row r="811">
      <x:c r="A811" s="13" t="str">
        <x:v>PAG-000810</x:v>
      </x:c>
      <x:c r="B811" s="23" t="n">
        <x:v>45887</x:v>
      </x:c>
      <x:c r="C811" s="23" t="n">
        <x:v>45907</x:v>
      </x:c>
      <x:c r="D811" s="23" t="n">
        <x:v>45904</x:v>
      </x:c>
      <x:c r="E811" s="13" t="str">
        <x:v>NetLink</x:v>
      </x:c>
      <x:c r="F811" s="13" t="str">
        <x:v>Telecomunicações</x:v>
      </x:c>
      <x:c r="G811" s="17" t="n">
        <x:v>9770.65</x:v>
      </x:c>
      <x:c r="H811" s="17" t="n">
        <x:v>9908.45</x:v>
      </x:c>
      <x:c r="I811" s="13" t="str">
        <x:v>Financeiro</x:v>
      </x:c>
      <x:c r="J811" s="13" t="str">
        <x:v>Pago</x:v>
      </x:c>
      <x:c r="K811" s="13" t="str">
        <x:v>Operação Clareza</x:v>
      </x:c>
      <x:c r="L811" s="17" t="n">
        <x:f>H811-G811</x:f>
        <x:v>137.8000000000011</x:v>
      </x:c>
      <x:c r="M811" s="19" t="n">
        <x:f>IFERROR(L811/G811,0)</x:f>
        <x:v>0.014103462922118906</x:v>
      </x:c>
      <x:c r="N811" s="13" t="n">
        <x:f>D811-C811</x:f>
        <x:v>-3</x:v>
      </x:c>
    </x:row>
    <x:row r="812">
      <x:c r="A812" s="13" t="str">
        <x:v>PAG-000811</x:v>
      </x:c>
      <x:c r="B812" s="23" t="n">
        <x:v>45872</x:v>
      </x:c>
      <x:c r="C812" s="23" t="n">
        <x:v>45902</x:v>
      </x:c>
      <x:c r="D812" s="23" t="n">
        <x:v>45901</x:v>
      </x:c>
      <x:c r="E812" s="13" t="str">
        <x:v>Insight BI</x:v>
      </x:c>
      <x:c r="F812" s="13" t="str">
        <x:v>Dados e Analytics</x:v>
      </x:c>
      <x:c r="G812" s="17" t="n">
        <x:v>11991.54</x:v>
      </x:c>
      <x:c r="H812" s="17" t="n">
        <x:v>12425.27</x:v>
      </x:c>
      <x:c r="I812" s="13" t="str">
        <x:v>Financeiro</x:v>
      </x:c>
      <x:c r="J812" s="13" t="str">
        <x:v>Pago</x:v>
      </x:c>
      <x:c r="K812" s="13" t="str">
        <x:v>Operação Clareza</x:v>
      </x:c>
      <x:c r="L812" s="17" t="n">
        <x:f>H812-G812</x:f>
        <x:v>433.72999999999956</x:v>
      </x:c>
      <x:c r="M812" s="19" t="n">
        <x:f>IFERROR(L812/G812,0)</x:f>
        <x:v>0.036169666281395015</x:v>
      </x:c>
      <x:c r="N812" s="13" t="n">
        <x:f>D812-C812</x:f>
        <x:v>-1</x:v>
      </x:c>
    </x:row>
    <x:row r="813">
      <x:c r="A813" s="13" t="str">
        <x:v>PAG-000812</x:v>
      </x:c>
      <x:c r="B813" s="23" t="n">
        <x:v>45879</x:v>
      </x:c>
      <x:c r="C813" s="23" t="n">
        <x:v>45899</x:v>
      </x:c>
      <x:c r="D813" s="23" t="n">
        <x:v>45901</x:v>
      </x:c>
      <x:c r="E813" s="13" t="str">
        <x:v>Insight BI</x:v>
      </x:c>
      <x:c r="F813" s="13" t="str">
        <x:v>Dados e Analytics</x:v>
      </x:c>
      <x:c r="G813" s="17" t="n">
        <x:v>30797.4</x:v>
      </x:c>
      <x:c r="H813" s="17" t="n">
        <x:v>31996.49</x:v>
      </x:c>
      <x:c r="I813" s="13" t="str">
        <x:v>Gestor da área</x:v>
      </x:c>
      <x:c r="J813" s="13" t="str">
        <x:v>Pago</x:v>
      </x:c>
      <x:c r="K813" s="13" t="str">
        <x:v>Operação Clareza</x:v>
      </x:c>
      <x:c r="L813" s="17" t="n">
        <x:f>H813-G813</x:f>
        <x:v>1199.0900000000001</x:v>
      </x:c>
      <x:c r="M813" s="19" t="n">
        <x:f>IFERROR(L813/G813,0)</x:f>
        <x:v>0.03893478020871892</x:v>
      </x:c>
      <x:c r="N813" s="13" t="n">
        <x:f>D813-C813</x:f>
        <x:v>2</x:v>
      </x:c>
    </x:row>
    <x:row r="814">
      <x:c r="A814" s="13" t="str">
        <x:v>PAG-000813</x:v>
      </x:c>
      <x:c r="B814" s="23" t="n">
        <x:v>45879</x:v>
      </x:c>
      <x:c r="C814" s="23" t="n">
        <x:v>45886</x:v>
      </x:c>
      <x:c r="D814" s="23" t="n">
        <x:v>45886</x:v>
      </x:c>
      <x:c r="E814" s="13" t="str">
        <x:v>EducaPro</x:v>
      </x:c>
      <x:c r="F814" s="13" t="str">
        <x:v>Treinamentos</x:v>
      </x:c>
      <x:c r="G814" s="17" t="n">
        <x:v>13079.7</x:v>
      </x:c>
      <x:c r="H814" s="17" t="n">
        <x:v>13090.66</x:v>
      </x:c>
      <x:c r="I814" s="13" t="str">
        <x:v>Gestor da área</x:v>
      </x:c>
      <x:c r="J814" s="13" t="str">
        <x:v>Pago</x:v>
      </x:c>
      <x:c r="K814" s="13" t="str">
        <x:v>Operação Clareza</x:v>
      </x:c>
      <x:c r="L814" s="17" t="n">
        <x:f>H814-G814</x:f>
        <x:v>10.959999999999127</x:v>
      </x:c>
      <x:c r="M814" s="19" t="n">
        <x:f>IFERROR(L814/G814,0)</x:f>
        <x:v>0.0008379397080972137</x:v>
      </x:c>
      <x:c r="N814" s="13" t="n">
        <x:f>D814-C814</x:f>
        <x:v>0</x:v>
      </x:c>
    </x:row>
    <x:row r="815">
      <x:c r="A815" s="13" t="str">
        <x:v>PAG-000814</x:v>
      </x:c>
      <x:c r="B815" s="23" t="n">
        <x:v>45874</x:v>
      </x:c>
      <x:c r="C815" s="23" t="n">
        <x:v>45904</x:v>
      </x:c>
      <x:c r="D815" s="23" t="n">
        <x:v>45903</x:v>
      </x:c>
      <x:c r="E815" s="13" t="str">
        <x:v>Conta Certa</x:v>
      </x:c>
      <x:c r="F815" s="13" t="str">
        <x:v>Contabilidade</x:v>
      </x:c>
      <x:c r="G815" s="17" t="n">
        <x:v>5413.05</x:v>
      </x:c>
      <x:c r="H815" s="17" t="n">
        <x:v>5356.25</x:v>
      </x:c>
      <x:c r="I815" s="13" t="str">
        <x:v>Financeiro</x:v>
      </x:c>
      <x:c r="J815" s="13" t="str">
        <x:v>Pago</x:v>
      </x:c>
      <x:c r="K815" s="13" t="str">
        <x:v>Operação Clareza</x:v>
      </x:c>
      <x:c r="L815" s="17" t="n">
        <x:f>H815-G815</x:f>
        <x:v>-56.80000000000018</x:v>
      </x:c>
      <x:c r="M815" s="19" t="n">
        <x:f>IFERROR(L815/G815,0)</x:f>
        <x:v>-0.010493160048401581</x:v>
      </x:c>
      <x:c r="N815" s="13" t="n">
        <x:f>D815-C815</x:f>
        <x:v>-1</x:v>
      </x:c>
    </x:row>
    <x:row r="816">
      <x:c r="A816" s="13" t="str">
        <x:v>PAG-000815</x:v>
      </x:c>
      <x:c r="B816" s="23" t="n">
        <x:v>45875</x:v>
      </x:c>
      <x:c r="C816" s="23" t="n">
        <x:v>45905</x:v>
      </x:c>
      <x:c r="D816" s="23" t="n">
        <x:v>45906</x:v>
      </x:c>
      <x:c r="E816" s="13" t="str">
        <x:v>CloudCore</x:v>
      </x:c>
      <x:c r="F816" s="13" t="str">
        <x:v>Tecnologia</x:v>
      </x:c>
      <x:c r="G816" s="17" t="n">
        <x:v>13808.47</x:v>
      </x:c>
      <x:c r="H816" s="17" t="n">
        <x:v>13806.94</x:v>
      </x:c>
      <x:c r="I816" s="13" t="str">
        <x:v>Financeiro</x:v>
      </x:c>
      <x:c r="J816" s="13" t="str">
        <x:v>Pago</x:v>
      </x:c>
      <x:c r="K816" s="13" t="str">
        <x:v>Operação Clareza</x:v>
      </x:c>
      <x:c r="L816" s="17" t="n">
        <x:f>H816-G816</x:f>
        <x:v>-1.5299999999988358</x:v>
      </x:c>
      <x:c r="M816" s="19" t="n">
        <x:f>IFERROR(L816/G816,0)</x:f>
        <x:v>-0.00011080155875334746</x:v>
      </x:c>
      <x:c r="N816" s="13" t="n">
        <x:f>D816-C816</x:f>
        <x:v>1</x:v>
      </x:c>
    </x:row>
    <x:row r="817">
      <x:c r="A817" s="13" t="str">
        <x:v>PAG-000816</x:v>
      </x:c>
      <x:c r="B817" s="23" t="n">
        <x:v>45878</x:v>
      </x:c>
      <x:c r="C817" s="23" t="n">
        <x:v>45893</x:v>
      </x:c>
      <x:c r="D817" s="23" t="n">
        <x:v>45893</x:v>
      </x:c>
      <x:c r="E817" s="13" t="str">
        <x:v>PeopleHub</x:v>
      </x:c>
      <x:c r="F817" s="13" t="str">
        <x:v>Recursos Humanos</x:v>
      </x:c>
      <x:c r="G817" s="17" t="n">
        <x:v>21767.6</x:v>
      </x:c>
      <x:c r="H817" s="17" t="n">
        <x:v>21280.03</x:v>
      </x:c>
      <x:c r="I817" s="13" t="str">
        <x:v>Financeiro</x:v>
      </x:c>
      <x:c r="J817" s="13" t="str">
        <x:v>Pago</x:v>
      </x:c>
      <x:c r="K817" s="13" t="str">
        <x:v>Operação Clareza</x:v>
      </x:c>
      <x:c r="L817" s="17" t="n">
        <x:f>H817-G817</x:f>
        <x:v>-487.5699999999997</x:v>
      </x:c>
      <x:c r="M817" s="19" t="n">
        <x:f>IFERROR(L817/G817,0)</x:f>
        <x:v>-0.02239888641834652</x:v>
      </x:c>
      <x:c r="N817" s="13" t="n">
        <x:f>D817-C817</x:f>
        <x:v>0</x:v>
      </x:c>
    </x:row>
    <x:row r="818">
      <x:c r="A818" s="13" t="str">
        <x:v>PAG-000817</x:v>
      </x:c>
      <x:c r="B818" s="23" t="n">
        <x:v>45871</x:v>
      </x:c>
      <x:c r="C818" s="23" t="n">
        <x:v>45891</x:v>
      </x:c>
      <x:c r="D818" s="23" t="n">
        <x:v>45892</x:v>
      </x:c>
      <x:c r="E818" s="13" t="str">
        <x:v>PeopleHub</x:v>
      </x:c>
      <x:c r="F818" s="13" t="str">
        <x:v>Recursos Humanos</x:v>
      </x:c>
      <x:c r="G818" s="17" t="n">
        <x:v>10956.89</x:v>
      </x:c>
      <x:c r="H818" s="17" t="n">
        <x:v>11361.35</x:v>
      </x:c>
      <x:c r="I818" s="13" t="str">
        <x:v>Diretoria</x:v>
      </x:c>
      <x:c r="J818" s="13" t="str">
        <x:v>Pago</x:v>
      </x:c>
      <x:c r="K818" s="13" t="str">
        <x:v>Operação Clareza</x:v>
      </x:c>
      <x:c r="L818" s="17" t="n">
        <x:f>H818-G818</x:f>
        <x:v>404.46000000000095</x:v>
      </x:c>
      <x:c r="M818" s="19" t="n">
        <x:f>IFERROR(L818/G818,0)</x:f>
        <x:v>0.036913759287535146</x:v>
      </x:c>
      <x:c r="N818" s="13" t="n">
        <x:f>D818-C818</x:f>
        <x:v>1</x:v>
      </x:c>
    </x:row>
    <x:row r="819">
      <x:c r="A819" s="13" t="str">
        <x:v>PAG-000818</x:v>
      </x:c>
      <x:c r="B819" s="23" t="n">
        <x:v>45885</x:v>
      </x:c>
      <x:c r="C819" s="23" t="n">
        <x:v>45900</x:v>
      </x:c>
      <x:c r="D819" s="23" t="n">
        <x:v>45900</x:v>
      </x:c>
      <x:c r="E819" s="13" t="str">
        <x:v>MarketLab</x:v>
      </x:c>
      <x:c r="F819" s="13" t="str">
        <x:v>Marketing</x:v>
      </x:c>
      <x:c r="G819" s="17" t="n">
        <x:v>28980.03</x:v>
      </x:c>
      <x:c r="H819" s="17" t="n">
        <x:v>27975.08</x:v>
      </x:c>
      <x:c r="I819" s="13" t="str">
        <x:v>Financeiro</x:v>
      </x:c>
      <x:c r="J819" s="13" t="str">
        <x:v>Pago</x:v>
      </x:c>
      <x:c r="K819" s="13" t="str">
        <x:v>Operação Clareza</x:v>
      </x:c>
      <x:c r="L819" s="17" t="n">
        <x:f>H819-G819</x:f>
        <x:v>-1004.9499999999971</x:v>
      </x:c>
      <x:c r="M819" s="19" t="n">
        <x:f>IFERROR(L819/G819,0)</x:f>
        <x:v>-0.03467732780124786</x:v>
      </x:c>
      <x:c r="N819" s="13" t="n">
        <x:f>D819-C819</x:f>
        <x:v>0</x:v>
      </x:c>
    </x:row>
    <x:row r="820">
      <x:c r="A820" s="13" t="str">
        <x:v>PAG-000819</x:v>
      </x:c>
      <x:c r="B820" s="23" t="n">
        <x:v>45882</x:v>
      </x:c>
      <x:c r="C820" s="23" t="n">
        <x:v>45912</x:v>
      </x:c>
      <x:c r="D820" s="23" t="n">
        <x:v>45912</x:v>
      </x:c>
      <x:c r="E820" s="13" t="str">
        <x:v>DataSafe</x:v>
      </x:c>
      <x:c r="F820" s="13" t="str">
        <x:v>Segurança da informação</x:v>
      </x:c>
      <x:c r="G820" s="17" t="n">
        <x:v>22143.46</x:v>
      </x:c>
      <x:c r="H820" s="17" t="n">
        <x:v>23132.39</x:v>
      </x:c>
      <x:c r="I820" s="13" t="str">
        <x:v>Financeiro</x:v>
      </x:c>
      <x:c r="J820" s="13" t="str">
        <x:v>Pago</x:v>
      </x:c>
      <x:c r="K820" s="13" t="str">
        <x:v>Operação Clareza</x:v>
      </x:c>
      <x:c r="L820" s="17" t="n">
        <x:f>H820-G820</x:f>
        <x:v>988.9300000000003</x:v>
      </x:c>
      <x:c r="M820" s="19" t="n">
        <x:f>IFERROR(L820/G820,0)</x:f>
        <x:v>0.04466013893041107</x:v>
      </x:c>
      <x:c r="N820" s="13" t="n">
        <x:f>D820-C820</x:f>
        <x:v>0</x:v>
      </x:c>
    </x:row>
    <x:row r="821">
      <x:c r="A821" s="13" t="str">
        <x:v>PAG-000820</x:v>
      </x:c>
      <x:c r="B821" s="23" t="n">
        <x:v>45872</x:v>
      </x:c>
      <x:c r="C821" s="23" t="n">
        <x:v>45887</x:v>
      </x:c>
      <x:c r="D821" s="23" t="n">
        <x:v>45885</x:v>
      </x:c>
      <x:c r="E821" s="13" t="str">
        <x:v>Insight BI</x:v>
      </x:c>
      <x:c r="F821" s="13" t="str">
        <x:v>Dados e Analytics</x:v>
      </x:c>
      <x:c r="G821" s="17" t="n">
        <x:v>28014.39</x:v>
      </x:c>
      <x:c r="H821" s="17" t="n">
        <x:v>27620.87</x:v>
      </x:c>
      <x:c r="I821" s="13" t="str">
        <x:v>Diretoria</x:v>
      </x:c>
      <x:c r="J821" s="13" t="str">
        <x:v>Pago</x:v>
      </x:c>
      <x:c r="K821" s="13" t="str">
        <x:v>Operação Clareza</x:v>
      </x:c>
      <x:c r="L821" s="17" t="n">
        <x:f>H821-G821</x:f>
        <x:v>-393.52000000000044</x:v>
      </x:c>
      <x:c r="M821" s="19" t="n">
        <x:f>IFERROR(L821/G821,0)</x:f>
        <x:v>-0.014047066525453542</x:v>
      </x:c>
      <x:c r="N821" s="13" t="n">
        <x:f>D821-C821</x:f>
        <x:v>-2</x:v>
      </x:c>
    </x:row>
    <x:row r="822">
      <x:c r="A822" s="13" t="str">
        <x:v>PAG-000821</x:v>
      </x:c>
      <x:c r="B822" s="23" t="n">
        <x:v>45884</x:v>
      </x:c>
      <x:c r="C822" s="23" t="n">
        <x:v>45914</x:v>
      </x:c>
      <x:c r="D822" s="23" t="n">
        <x:v>45914</x:v>
      </x:c>
      <x:c r="E822" s="13" t="str">
        <x:v>EducaPro</x:v>
      </x:c>
      <x:c r="F822" s="13" t="str">
        <x:v>Treinamentos</x:v>
      </x:c>
      <x:c r="G822" s="17" t="n">
        <x:v>30235.11</x:v>
      </x:c>
      <x:c r="H822" s="17" t="n">
        <x:v>30201.32</x:v>
      </x:c>
      <x:c r="I822" s="13" t="str">
        <x:v>Financeiro</x:v>
      </x:c>
      <x:c r="J822" s="13" t="str">
        <x:v>Pago</x:v>
      </x:c>
      <x:c r="K822" s="13" t="str">
        <x:v>Operação Clareza</x:v>
      </x:c>
      <x:c r="L822" s="17" t="n">
        <x:f>H822-G822</x:f>
        <x:v>-33.79000000000087</x:v>
      </x:c>
      <x:c r="M822" s="19" t="n">
        <x:f>IFERROR(L822/G822,0)</x:f>
        <x:v>-0.0011175748988510666</x:v>
      </x:c>
      <x:c r="N822" s="13" t="n">
        <x:f>D822-C822</x:f>
        <x:v>0</x:v>
      </x:c>
    </x:row>
    <x:row r="823">
      <x:c r="A823" s="13" t="str">
        <x:v>PAG-000822</x:v>
      </x:c>
      <x:c r="B823" s="23" t="n">
        <x:v>45880</x:v>
      </x:c>
      <x:c r="C823" s="23" t="n">
        <x:v>45887</x:v>
      </x:c>
      <x:c r="D823" s="23" t="n">
        <x:v>45886</x:v>
      </x:c>
      <x:c r="E823" s="13" t="str">
        <x:v>PeopleHub</x:v>
      </x:c>
      <x:c r="F823" s="13" t="str">
        <x:v>Recursos Humanos</x:v>
      </x:c>
      <x:c r="G823" s="17" t="n">
        <x:v>9768.34</x:v>
      </x:c>
      <x:c r="H823" s="17" t="n">
        <x:v>9622.53</x:v>
      </x:c>
      <x:c r="I823" s="13" t="str">
        <x:v>Financeiro</x:v>
      </x:c>
      <x:c r="J823" s="13" t="str">
        <x:v>Pago</x:v>
      </x:c>
      <x:c r="K823" s="13" t="str">
        <x:v>Operação Clareza</x:v>
      </x:c>
      <x:c r="L823" s="17" t="n">
        <x:f>H823-G823</x:f>
        <x:v>-145.8099999999995</x:v>
      </x:c>
      <x:c r="M823" s="19" t="n">
        <x:f>IFERROR(L823/G823,0)</x:f>
        <x:v>-0.014926794112407993</x:v>
      </x:c>
      <x:c r="N823" s="13" t="n">
        <x:f>D823-C823</x:f>
        <x:v>-1</x:v>
      </x:c>
    </x:row>
    <x:row r="824">
      <x:c r="A824" s="13" t="str">
        <x:v>PAG-000823</x:v>
      </x:c>
      <x:c r="B824" s="23" t="n">
        <x:v>45871</x:v>
      </x:c>
      <x:c r="C824" s="23" t="n">
        <x:v>45886</x:v>
      </x:c>
      <x:c r="D824" s="23" t="n">
        <x:v>45888</x:v>
      </x:c>
      <x:c r="E824" s="13" t="str">
        <x:v>WorkSpace</x:v>
      </x:c>
      <x:c r="F824" s="13" t="str">
        <x:v>Locação</x:v>
      </x:c>
      <x:c r="G824" s="17" t="n">
        <x:v>19656.53</x:v>
      </x:c>
      <x:c r="H824" s="17" t="n">
        <x:v>20523.95</x:v>
      </x:c>
      <x:c r="I824" s="13" t="str">
        <x:v>Diretoria</x:v>
      </x:c>
      <x:c r="J824" s="13" t="str">
        <x:v>Pago</x:v>
      </x:c>
      <x:c r="K824" s="13" t="str">
        <x:v>Operação Clareza</x:v>
      </x:c>
      <x:c r="L824" s="17" t="n">
        <x:f>H824-G824</x:f>
        <x:v>867.4200000000019</x:v>
      </x:c>
      <x:c r="M824" s="19" t="n">
        <x:f>IFERROR(L824/G824,0)</x:f>
        <x:v>0.0441288467496553</x:v>
      </x:c>
      <x:c r="N824" s="13" t="n">
        <x:f>D824-C824</x:f>
        <x:v>2</x:v>
      </x:c>
    </x:row>
    <x:row r="825">
      <x:c r="A825" s="13" t="str">
        <x:v>PAG-000824</x:v>
      </x:c>
      <x:c r="B825" s="23" t="n">
        <x:v>45886</x:v>
      </x:c>
      <x:c r="C825" s="23" t="n">
        <x:v>45916</x:v>
      </x:c>
      <x:c r="D825" s="23" t="n">
        <x:v>45916</x:v>
      </x:c>
      <x:c r="E825" s="13" t="str">
        <x:v>Banco Integra</x:v>
      </x:c>
      <x:c r="F825" s="13" t="str">
        <x:v>Serviços bancários</x:v>
      </x:c>
      <x:c r="G825" s="17" t="n">
        <x:v>26833.07</x:v>
      </x:c>
      <x:c r="H825" s="17" t="n">
        <x:v>27119.64</x:v>
      </x:c>
      <x:c r="I825" s="13" t="str">
        <x:v>Diretoria</x:v>
      </x:c>
      <x:c r="J825" s="13" t="str">
        <x:v>Pago</x:v>
      </x:c>
      <x:c r="K825" s="13" t="str">
        <x:v>Operação Clareza</x:v>
      </x:c>
      <x:c r="L825" s="17" t="n">
        <x:f>H825-G825</x:f>
        <x:v>286.5699999999997</x:v>
      </x:c>
      <x:c r="M825" s="19" t="n">
        <x:f>IFERROR(L825/G825,0)</x:f>
        <x:v>0.010679732136501701</x:v>
      </x:c>
      <x:c r="N825" s="13" t="n">
        <x:f>D825-C825</x:f>
        <x:v>0</x:v>
      </x:c>
    </x:row>
    <x:row r="826">
      <x:c r="A826" s="13" t="str">
        <x:v>PAG-000825</x:v>
      </x:c>
      <x:c r="B826" s="23" t="n">
        <x:v>45875</x:v>
      </x:c>
      <x:c r="C826" s="23" t="n">
        <x:v>45905</x:v>
      </x:c>
      <x:c r="D826" s="23" t="n">
        <x:v>45905</x:v>
      </x:c>
      <x:c r="E826" s="13" t="str">
        <x:v>Conta Certa</x:v>
      </x:c>
      <x:c r="F826" s="13" t="str">
        <x:v>Contabilidade</x:v>
      </x:c>
      <x:c r="G826" s="17" t="n">
        <x:v>27813.47</x:v>
      </x:c>
      <x:c r="H826" s="17" t="n">
        <x:v>28503.03</x:v>
      </x:c>
      <x:c r="I826" s="13" t="str">
        <x:v>Financeiro</x:v>
      </x:c>
      <x:c r="J826" s="13" t="str">
        <x:v>Pago</x:v>
      </x:c>
      <x:c r="K826" s="13" t="str">
        <x:v>Operação Clareza</x:v>
      </x:c>
      <x:c r="L826" s="17" t="n">
        <x:f>H826-G826</x:f>
        <x:v>689.5599999999977</x:v>
      </x:c>
      <x:c r="M826" s="19" t="n">
        <x:f>IFERROR(L826/G826,0)</x:f>
        <x:v>0.02479230387290754</x:v>
      </x:c>
      <x:c r="N826" s="13" t="n">
        <x:f>D826-C826</x:f>
        <x:v>0</x:v>
      </x:c>
    </x:row>
    <x:row r="827">
      <x:c r="A827" s="13" t="str">
        <x:v>PAG-000826</x:v>
      </x:c>
      <x:c r="B827" s="23" t="n">
        <x:v>45887</x:v>
      </x:c>
      <x:c r="C827" s="23" t="n">
        <x:v>45917</x:v>
      </x:c>
      <x:c r="D827" s="23" t="n">
        <x:v>45917</x:v>
      </x:c>
      <x:c r="E827" s="13" t="str">
        <x:v>Banco Integra</x:v>
      </x:c>
      <x:c r="F827" s="13" t="str">
        <x:v>Serviços bancários</x:v>
      </x:c>
      <x:c r="G827" s="17" t="n">
        <x:v>4389.5</x:v>
      </x:c>
      <x:c r="H827" s="17" t="n">
        <x:v>4301.27</x:v>
      </x:c>
      <x:c r="I827" s="13" t="str">
        <x:v>Financeiro</x:v>
      </x:c>
      <x:c r="J827" s="13" t="str">
        <x:v>Pago</x:v>
      </x:c>
      <x:c r="K827" s="13" t="str">
        <x:v>Operação Clareza</x:v>
      </x:c>
      <x:c r="L827" s="17" t="n">
        <x:f>H827-G827</x:f>
        <x:v>-88.22999999999956</x:v>
      </x:c>
      <x:c r="M827" s="19" t="n">
        <x:f>IFERROR(L827/G827,0)</x:f>
        <x:v>-0.0201002392071989</x:v>
      </x:c>
      <x:c r="N827" s="13" t="n">
        <x:f>D827-C827</x:f>
        <x:v>0</x:v>
      </x:c>
    </x:row>
    <x:row r="828">
      <x:c r="A828" s="13" t="str">
        <x:v>PAG-000827</x:v>
      </x:c>
      <x:c r="B828" s="23" t="n">
        <x:v>45880</x:v>
      </x:c>
      <x:c r="C828" s="23" t="n">
        <x:v>45910</x:v>
      </x:c>
      <x:c r="D828" s="23" t="n">
        <x:v>45912</x:v>
      </x:c>
      <x:c r="E828" s="13" t="str">
        <x:v>WorkSpace</x:v>
      </x:c>
      <x:c r="F828" s="13" t="str">
        <x:v>Locação</x:v>
      </x:c>
      <x:c r="G828" s="17" t="n">
        <x:v>5756.03</x:v>
      </x:c>
      <x:c r="H828" s="17" t="n">
        <x:v>5761.61</x:v>
      </x:c>
      <x:c r="I828" s="13" t="str">
        <x:v>Gestor da área</x:v>
      </x:c>
      <x:c r="J828" s="13" t="str">
        <x:v>Pago</x:v>
      </x:c>
      <x:c r="K828" s="13" t="str">
        <x:v>Operação Clareza</x:v>
      </x:c>
      <x:c r="L828" s="17" t="n">
        <x:f>H828-G828</x:f>
        <x:v>5.579999999999927</x:v>
      </x:c>
      <x:c r="M828" s="19" t="n">
        <x:f>IFERROR(L828/G828,0)</x:f>
        <x:v>0.0009694181580012487</x:v>
      </x:c>
      <x:c r="N828" s="13" t="n">
        <x:f>D828-C828</x:f>
        <x:v>2</x:v>
      </x:c>
    </x:row>
    <x:row r="829">
      <x:c r="A829" s="13" t="str">
        <x:v>PAG-000828</x:v>
      </x:c>
      <x:c r="B829" s="23" t="n">
        <x:v>45886</x:v>
      </x:c>
      <x:c r="C829" s="23" t="n">
        <x:v>45906</x:v>
      </x:c>
      <x:c r="D829" s="23" t="n">
        <x:v>45906</x:v>
      </x:c>
      <x:c r="E829" s="13" t="str">
        <x:v>MarketLab</x:v>
      </x:c>
      <x:c r="F829" s="13" t="str">
        <x:v>Marketing</x:v>
      </x:c>
      <x:c r="G829" s="17" t="n">
        <x:v>5673.89</x:v>
      </x:c>
      <x:c r="H829" s="17" t="n">
        <x:v>5724.69</x:v>
      </x:c>
      <x:c r="I829" s="13" t="str">
        <x:v>Diretoria</x:v>
      </x:c>
      <x:c r="J829" s="13" t="str">
        <x:v>Pago</x:v>
      </x:c>
      <x:c r="K829" s="13" t="str">
        <x:v>Operação Clareza</x:v>
      </x:c>
      <x:c r="L829" s="17" t="n">
        <x:f>H829-G829</x:f>
        <x:v>50.79999999999927</x:v>
      </x:c>
      <x:c r="M829" s="19" t="n">
        <x:f>IFERROR(L829/G829,0)</x:f>
        <x:v>0.008953293067013859</x:v>
      </x:c>
      <x:c r="N829" s="13" t="n">
        <x:f>D829-C829</x:f>
        <x:v>0</x:v>
      </x:c>
    </x:row>
    <x:row r="830">
      <x:c r="A830" s="13" t="str">
        <x:v>PAG-000829</x:v>
      </x:c>
      <x:c r="B830" s="23" t="n">
        <x:v>45879</x:v>
      </x:c>
      <x:c r="C830" s="23" t="n">
        <x:v>45894</x:v>
      </x:c>
      <x:c r="D830" s="23" t="n">
        <x:v>45896</x:v>
      </x:c>
      <x:c r="E830" s="13" t="str">
        <x:v>Conta Certa</x:v>
      </x:c>
      <x:c r="F830" s="13" t="str">
        <x:v>Contabilidade</x:v>
      </x:c>
      <x:c r="G830" s="17" t="n">
        <x:v>28815.59</x:v>
      </x:c>
      <x:c r="H830" s="17" t="n">
        <x:v>28008.22</x:v>
      </x:c>
      <x:c r="I830" s="13" t="str">
        <x:v>Financeiro</x:v>
      </x:c>
      <x:c r="J830" s="13" t="str">
        <x:v>Pago</x:v>
      </x:c>
      <x:c r="K830" s="13" t="str">
        <x:v>Operação Clareza</x:v>
      </x:c>
      <x:c r="L830" s="17" t="n">
        <x:f>H830-G830</x:f>
        <x:v>-807.369999999999</x:v>
      </x:c>
      <x:c r="M830" s="19" t="n">
        <x:f>IFERROR(L830/G830,0)</x:f>
        <x:v>-0.028018513589345175</x:v>
      </x:c>
      <x:c r="N830" s="13" t="n">
        <x:f>D830-C830</x:f>
        <x:v>2</x:v>
      </x:c>
    </x:row>
    <x:row r="831">
      <x:c r="A831" s="13" t="str">
        <x:v>PAG-000830</x:v>
      </x:c>
      <x:c r="B831" s="23" t="n">
        <x:v>45887</x:v>
      </x:c>
      <x:c r="C831" s="23" t="n">
        <x:v>45894</x:v>
      </x:c>
      <x:c r="D831" s="23" t="n">
        <x:v>45892</x:v>
      </x:c>
      <x:c r="E831" s="13" t="str">
        <x:v>DataSafe</x:v>
      </x:c>
      <x:c r="F831" s="13" t="str">
        <x:v>Segurança da informação</x:v>
      </x:c>
      <x:c r="G831" s="17" t="n">
        <x:v>5808.74</x:v>
      </x:c>
      <x:c r="H831" s="17" t="n">
        <x:v>5881.91</x:v>
      </x:c>
      <x:c r="I831" s="13" t="str">
        <x:v>Gestor da área</x:v>
      </x:c>
      <x:c r="J831" s="13" t="str">
        <x:v>Pago</x:v>
      </x:c>
      <x:c r="K831" s="13" t="str">
        <x:v>Operação Clareza</x:v>
      </x:c>
      <x:c r="L831" s="17" t="n">
        <x:f>H831-G831</x:f>
        <x:v>73.17000000000007</x:v>
      </x:c>
      <x:c r="M831" s="19" t="n">
        <x:f>IFERROR(L831/G831,0)</x:f>
        <x:v>0.012596535565372194</x:v>
      </x:c>
      <x:c r="N831" s="13" t="n">
        <x:f>D831-C831</x:f>
        <x:v>-2</x:v>
      </x:c>
    </x:row>
    <x:row r="832">
      <x:c r="A832" s="13" t="str">
        <x:v>PAG-000831</x:v>
      </x:c>
      <x:c r="B832" s="23" t="n">
        <x:v>45874</x:v>
      </x:c>
      <x:c r="C832" s="23" t="n">
        <x:v>45889</x:v>
      </x:c>
      <x:c r="D832" s="23" t="n">
        <x:v>45891</x:v>
      </x:c>
      <x:c r="E832" s="13" t="str">
        <x:v>WorkSpace</x:v>
      </x:c>
      <x:c r="F832" s="13" t="str">
        <x:v>Locação</x:v>
      </x:c>
      <x:c r="G832" s="17" t="n">
        <x:v>12838.05</x:v>
      </x:c>
      <x:c r="H832" s="17" t="n">
        <x:v>12612.63</x:v>
      </x:c>
      <x:c r="I832" s="13" t="str">
        <x:v>Financeiro</x:v>
      </x:c>
      <x:c r="J832" s="13" t="str">
        <x:v>Pago</x:v>
      </x:c>
      <x:c r="K832" s="13" t="str">
        <x:v>Operação Clareza</x:v>
      </x:c>
      <x:c r="L832" s="17" t="n">
        <x:f>H832-G832</x:f>
        <x:v>-225.42000000000007</x:v>
      </x:c>
      <x:c r="M832" s="19" t="n">
        <x:f>IFERROR(L832/G832,0)</x:f>
        <x:v>-0.017558741397642172</x:v>
      </x:c>
      <x:c r="N832" s="13" t="n">
        <x:f>D832-C832</x:f>
        <x:v>2</x:v>
      </x:c>
    </x:row>
    <x:row r="833">
      <x:c r="A833" s="13" t="str">
        <x:v>PAG-000832</x:v>
      </x:c>
      <x:c r="B833" s="23" t="n">
        <x:v>45881</x:v>
      </x:c>
      <x:c r="C833" s="23" t="n">
        <x:v>45896</x:v>
      </x:c>
      <x:c r="D833" s="23" t="n">
        <x:v>45898</x:v>
      </x:c>
      <x:c r="E833" s="13" t="str">
        <x:v>PeopleHub</x:v>
      </x:c>
      <x:c r="F833" s="13" t="str">
        <x:v>Recursos Humanos</x:v>
      </x:c>
      <x:c r="G833" s="17" t="n">
        <x:v>25534.18</x:v>
      </x:c>
      <x:c r="H833" s="17" t="n">
        <x:v>25548.11</x:v>
      </x:c>
      <x:c r="I833" s="13" t="str">
        <x:v>Financeiro</x:v>
      </x:c>
      <x:c r="J833" s="13" t="str">
        <x:v>Pago</x:v>
      </x:c>
      <x:c r="K833" s="13" t="str">
        <x:v>Operação Clareza</x:v>
      </x:c>
      <x:c r="L833" s="17" t="n">
        <x:f>H833-G833</x:f>
        <x:v>13.930000000000291</x:v>
      </x:c>
      <x:c r="M833" s="19" t="n">
        <x:f>IFERROR(L833/G833,0)</x:f>
        <x:v>0.0005455432678864288</x:v>
      </x:c>
      <x:c r="N833" s="13" t="n">
        <x:f>D833-C833</x:f>
        <x:v>2</x:v>
      </x:c>
    </x:row>
    <x:row r="834">
      <x:c r="A834" s="13" t="str">
        <x:v>PAG-000833</x:v>
      </x:c>
      <x:c r="B834" s="23" t="n">
        <x:v>45885</x:v>
      </x:c>
      <x:c r="C834" s="23" t="n">
        <x:v>45900</x:v>
      </x:c>
      <x:c r="D834" s="23" t="n">
        <x:v>45900</x:v>
      </x:c>
      <x:c r="E834" s="13" t="str">
        <x:v>Conta Certa</x:v>
      </x:c>
      <x:c r="F834" s="13" t="str">
        <x:v>Contabilidade</x:v>
      </x:c>
      <x:c r="G834" s="17" t="n">
        <x:v>20889.19</x:v>
      </x:c>
      <x:c r="H834" s="17" t="n">
        <x:v>21265.25</x:v>
      </x:c>
      <x:c r="I834" s="13" t="str">
        <x:v>Gestor da área</x:v>
      </x:c>
      <x:c r="J834" s="13" t="str">
        <x:v>Pago</x:v>
      </x:c>
      <x:c r="K834" s="13" t="str">
        <x:v>Operação Clareza</x:v>
      </x:c>
      <x:c r="L834" s="17" t="n">
        <x:f>H834-G834</x:f>
        <x:v>376.0600000000013</x:v>
      </x:c>
      <x:c r="M834" s="19" t="n">
        <x:f>IFERROR(L834/G834,0)</x:f>
        <x:v>0.018002612834676756</x:v>
      </x:c>
      <x:c r="N834" s="13" t="n">
        <x:f>D834-C834</x:f>
        <x:v>0</x:v>
      </x:c>
    </x:row>
    <x:row r="835">
      <x:c r="A835" s="13" t="str">
        <x:v>PAG-000834</x:v>
      </x:c>
      <x:c r="B835" s="23" t="n">
        <x:v>45871</x:v>
      </x:c>
      <x:c r="C835" s="23" t="n">
        <x:v>45886</x:v>
      </x:c>
      <x:c r="D835" s="23" t="n">
        <x:v>45886</x:v>
      </x:c>
      <x:c r="E835" s="13" t="str">
        <x:v>Conta Certa</x:v>
      </x:c>
      <x:c r="F835" s="13" t="str">
        <x:v>Contabilidade</x:v>
      </x:c>
      <x:c r="G835" s="17" t="n">
        <x:v>18604.94</x:v>
      </x:c>
      <x:c r="H835" s="17" t="n">
        <x:v>18462.4</x:v>
      </x:c>
      <x:c r="I835" s="13" t="str">
        <x:v>Diretoria</x:v>
      </x:c>
      <x:c r="J835" s="13" t="str">
        <x:v>Pago</x:v>
      </x:c>
      <x:c r="K835" s="13" t="str">
        <x:v>Operação Clareza</x:v>
      </x:c>
      <x:c r="L835" s="17" t="n">
        <x:f>H835-G835</x:f>
        <x:v>-142.53999999999724</x:v>
      </x:c>
      <x:c r="M835" s="19" t="n">
        <x:f>IFERROR(L835/G835,0)</x:f>
        <x:v>-0.0076614060566708225</x:v>
      </x:c>
      <x:c r="N835" s="13" t="n">
        <x:f>D835-C835</x:f>
        <x:v>0</x:v>
      </x:c>
    </x:row>
    <x:row r="836">
      <x:c r="A836" s="13" t="str">
        <x:v>PAG-000835</x:v>
      </x:c>
      <x:c r="B836" s="23" t="n">
        <x:v>45875</x:v>
      </x:c>
      <x:c r="C836" s="23" t="n">
        <x:v>45905</x:v>
      </x:c>
      <x:c r="D836" s="23" t="n">
        <x:v>45905</x:v>
      </x:c>
      <x:c r="E836" s="13" t="str">
        <x:v>PeopleHub</x:v>
      </x:c>
      <x:c r="F836" s="13" t="str">
        <x:v>Recursos Humanos</x:v>
      </x:c>
      <x:c r="G836" s="17" t="n">
        <x:v>8377.47</x:v>
      </x:c>
      <x:c r="H836" s="17" t="n">
        <x:v>8531.22</x:v>
      </x:c>
      <x:c r="I836" s="13" t="str">
        <x:v>Diretoria</x:v>
      </x:c>
      <x:c r="J836" s="13" t="str">
        <x:v>Pago</x:v>
      </x:c>
      <x:c r="K836" s="13" t="str">
        <x:v>Operação Clareza</x:v>
      </x:c>
      <x:c r="L836" s="17" t="n">
        <x:f>H836-G836</x:f>
        <x:v>153.75</x:v>
      </x:c>
      <x:c r="M836" s="19" t="n">
        <x:f>IFERROR(L836/G836,0)</x:f>
        <x:v>0.018352796249941808</x:v>
      </x:c>
      <x:c r="N836" s="13" t="n">
        <x:f>D836-C836</x:f>
        <x:v>0</x:v>
      </x:c>
    </x:row>
    <x:row r="837">
      <x:c r="A837" s="13" t="str">
        <x:v>PAG-000836</x:v>
      </x:c>
      <x:c r="B837" s="23" t="n">
        <x:v>45880</x:v>
      </x:c>
      <x:c r="C837" s="23" t="n">
        <x:v>45910</x:v>
      </x:c>
      <x:c r="D837" s="23" t="n">
        <x:v>45907</x:v>
      </x:c>
      <x:c r="E837" s="13" t="str">
        <x:v>NetLink</x:v>
      </x:c>
      <x:c r="F837" s="13" t="str">
        <x:v>Telecomunicações</x:v>
      </x:c>
      <x:c r="G837" s="17" t="n">
        <x:v>14291.89</x:v>
      </x:c>
      <x:c r="H837" s="17" t="n">
        <x:v>14219.36</x:v>
      </x:c>
      <x:c r="I837" s="13" t="str">
        <x:v>Gestor da área</x:v>
      </x:c>
      <x:c r="J837" s="13" t="str">
        <x:v>Pago</x:v>
      </x:c>
      <x:c r="K837" s="13" t="str">
        <x:v>Operação Clareza</x:v>
      </x:c>
      <x:c r="L837" s="17" t="n">
        <x:f>H837-G837</x:f>
        <x:v>-72.52999999999884</x:v>
      </x:c>
      <x:c r="M837" s="19" t="n">
        <x:f>IFERROR(L837/G837,0)</x:f>
        <x:v>-0.005074906118085071</x:v>
      </x:c>
      <x:c r="N837" s="13" t="n">
        <x:f>D837-C837</x:f>
        <x:v>-3</x:v>
      </x:c>
    </x:row>
    <x:row r="838">
      <x:c r="A838" s="13" t="str">
        <x:v>PAG-000837</x:v>
      </x:c>
      <x:c r="B838" s="23" t="n">
        <x:v>45881</x:v>
      </x:c>
      <x:c r="C838" s="23" t="n">
        <x:v>45911</x:v>
      </x:c>
      <x:c r="D838" s="23" t="n">
        <x:v>45911</x:v>
      </x:c>
      <x:c r="E838" s="13" t="str">
        <x:v>Banco Integra</x:v>
      </x:c>
      <x:c r="F838" s="13" t="str">
        <x:v>Serviços bancários</x:v>
      </x:c>
      <x:c r="G838" s="17" t="n">
        <x:v>23841.51</x:v>
      </x:c>
      <x:c r="H838" s="17" t="n">
        <x:v>24820</x:v>
      </x:c>
      <x:c r="I838" s="13" t="str">
        <x:v>Gestor da área</x:v>
      </x:c>
      <x:c r="J838" s="13" t="str">
        <x:v>Pago</x:v>
      </x:c>
      <x:c r="K838" s="13" t="str">
        <x:v>Operação Clareza</x:v>
      </x:c>
      <x:c r="L838" s="17" t="n">
        <x:f>H838-G838</x:f>
        <x:v>978.4900000000016</x:v>
      </x:c>
      <x:c r="M838" s="19" t="n">
        <x:f>IFERROR(L838/G838,0)</x:f>
        <x:v>0.041041444103162995</x:v>
      </x:c>
      <x:c r="N838" s="13" t="n">
        <x:f>D838-C838</x:f>
        <x:v>0</x:v>
      </x:c>
    </x:row>
    <x:row r="839">
      <x:c r="A839" s="13" t="str">
        <x:v>PAG-000838</x:v>
      </x:c>
      <x:c r="B839" s="23" t="n">
        <x:v>45888</x:v>
      </x:c>
      <x:c r="C839" s="23" t="n">
        <x:v>45895</x:v>
      </x:c>
      <x:c r="D839" s="23" t="n">
        <x:v>45895</x:v>
      </x:c>
      <x:c r="E839" s="13" t="str">
        <x:v>Insight BI</x:v>
      </x:c>
      <x:c r="F839" s="13" t="str">
        <x:v>Dados e Analytics</x:v>
      </x:c>
      <x:c r="G839" s="17" t="n">
        <x:v>6635.92</x:v>
      </x:c>
      <x:c r="H839" s="17" t="n">
        <x:v>6778.68</x:v>
      </x:c>
      <x:c r="I839" s="13" t="str">
        <x:v>Financeiro</x:v>
      </x:c>
      <x:c r="J839" s="13" t="str">
        <x:v>Pago</x:v>
      </x:c>
      <x:c r="K839" s="13" t="str">
        <x:v>Operação Clareza</x:v>
      </x:c>
      <x:c r="L839" s="17" t="n">
        <x:f>H839-G839</x:f>
        <x:v>142.76000000000022</x:v>
      </x:c>
      <x:c r="M839" s="19" t="n">
        <x:f>IFERROR(L839/G839,0)</x:f>
        <x:v>0.021513218965870627</x:v>
      </x:c>
      <x:c r="N839" s="13" t="n">
        <x:f>D839-C839</x:f>
        <x:v>0</x:v>
      </x:c>
    </x:row>
    <x:row r="840">
      <x:c r="A840" s="13" t="str">
        <x:v>PAG-000839</x:v>
      </x:c>
      <x:c r="B840" s="23" t="n">
        <x:v>45887</x:v>
      </x:c>
      <x:c r="C840" s="23" t="n">
        <x:v>45917</x:v>
      </x:c>
      <x:c r="D840" s="23" t="n">
        <x:v>45917</x:v>
      </x:c>
      <x:c r="E840" s="13" t="str">
        <x:v>Office Prime</x:v>
      </x:c>
      <x:c r="F840" s="13" t="str">
        <x:v>Escritório</x:v>
      </x:c>
      <x:c r="G840" s="17" t="n">
        <x:v>13585.66</x:v>
      </x:c>
      <x:c r="H840" s="17" t="n">
        <x:v>13181.45</x:v>
      </x:c>
      <x:c r="I840" s="13" t="str">
        <x:v>Gestor da área</x:v>
      </x:c>
      <x:c r="J840" s="13" t="str">
        <x:v>Pago</x:v>
      </x:c>
      <x:c r="K840" s="13" t="str">
        <x:v>Operação Clareza</x:v>
      </x:c>
      <x:c r="L840" s="17" t="n">
        <x:f>H840-G840</x:f>
        <x:v>-404.2099999999991</x:v>
      </x:c>
      <x:c r="M840" s="19" t="n">
        <x:f>IFERROR(L840/G840,0)</x:f>
        <x:v>-0.02975269512117918</x:v>
      </x:c>
      <x:c r="N840" s="13" t="n">
        <x:f>D840-C840</x:f>
        <x:v>0</x:v>
      </x:c>
    </x:row>
    <x:row r="841">
      <x:c r="A841" s="13" t="str">
        <x:v>PAG-000840</x:v>
      </x:c>
      <x:c r="B841" s="23" t="n">
        <x:v>45888</x:v>
      </x:c>
      <x:c r="C841" s="23" t="n">
        <x:v>45918</x:v>
      </x:c>
      <x:c r="D841" s="23" t="n">
        <x:v>45918</x:v>
      </x:c>
      <x:c r="E841" s="13" t="str">
        <x:v>Banco Integra</x:v>
      </x:c>
      <x:c r="F841" s="13" t="str">
        <x:v>Serviços bancários</x:v>
      </x:c>
      <x:c r="G841" s="17" t="n">
        <x:v>21353.24</x:v>
      </x:c>
      <x:c r="H841" s="17" t="n">
        <x:v>21519.88</x:v>
      </x:c>
      <x:c r="I841" s="13" t="str">
        <x:v>Diretoria</x:v>
      </x:c>
      <x:c r="J841" s="13" t="str">
        <x:v>Pago</x:v>
      </x:c>
      <x:c r="K841" s="13" t="str">
        <x:v>Operação Clareza</x:v>
      </x:c>
      <x:c r="L841" s="17" t="n">
        <x:f>H841-G841</x:f>
        <x:v>166.63999999999942</x:v>
      </x:c>
      <x:c r="M841" s="19" t="n">
        <x:f>IFERROR(L841/G841,0)</x:f>
        <x:v>0.007803967922432352</x:v>
      </x:c>
      <x:c r="N841" s="13" t="n">
        <x:f>D841-C841</x:f>
        <x:v>0</x:v>
      </x:c>
    </x:row>
    <x:row r="842">
      <x:c r="A842" s="13" t="str">
        <x:v>PAG-000841</x:v>
      </x:c>
      <x:c r="B842" s="23" t="n">
        <x:v>45904</x:v>
      </x:c>
      <x:c r="C842" s="23" t="n">
        <x:v>45919</x:v>
      </x:c>
      <x:c r="D842" s="23" t="n">
        <x:v>45920</x:v>
      </x:c>
      <x:c r="E842" s="13" t="str">
        <x:v>Insight BI</x:v>
      </x:c>
      <x:c r="F842" s="13" t="str">
        <x:v>Dados e Analytics</x:v>
      </x:c>
      <x:c r="G842" s="17" t="n">
        <x:v>1589.71</x:v>
      </x:c>
      <x:c r="H842" s="17" t="n">
        <x:v>1619.28</x:v>
      </x:c>
      <x:c r="I842" s="13" t="str">
        <x:v>Financeiro</x:v>
      </x:c>
      <x:c r="J842" s="13" t="str">
        <x:v>Pago</x:v>
      </x:c>
      <x:c r="K842" s="13" t="str">
        <x:v>Operação Clareza</x:v>
      </x:c>
      <x:c r="L842" s="17" t="n">
        <x:f>H842-G842</x:f>
        <x:v>29.569999999999936</x:v>
      </x:c>
      <x:c r="M842" s="19" t="n">
        <x:f>IFERROR(L842/G842,0)</x:f>
        <x:v>0.018600876889495528</x:v>
      </x:c>
      <x:c r="N842" s="13" t="n">
        <x:f>D842-C842</x:f>
        <x:v>1</x:v>
      </x:c>
    </x:row>
    <x:row r="843">
      <x:c r="A843" s="13" t="str">
        <x:v>PAG-000842</x:v>
      </x:c>
      <x:c r="B843" s="23" t="n">
        <x:v>45918</x:v>
      </x:c>
      <x:c r="C843" s="23" t="n">
        <x:v>45948</x:v>
      </x:c>
      <x:c r="D843" s="23" t="n">
        <x:v>45950</x:v>
      </x:c>
      <x:c r="E843" s="13" t="str">
        <x:v>LegalMais</x:v>
      </x:c>
      <x:c r="F843" s="13" t="str">
        <x:v>Jurídico</x:v>
      </x:c>
      <x:c r="G843" s="17" t="n">
        <x:v>28963.77</x:v>
      </x:c>
      <x:c r="H843" s="17" t="n">
        <x:v>27953.87</x:v>
      </x:c>
      <x:c r="I843" s="13" t="str">
        <x:v>Gestor da área</x:v>
      </x:c>
      <x:c r="J843" s="13" t="str">
        <x:v>Pago</x:v>
      </x:c>
      <x:c r="K843" s="13" t="str">
        <x:v>Operação Clareza</x:v>
      </x:c>
      <x:c r="L843" s="17" t="n">
        <x:f>H843-G843</x:f>
        <x:v>-1009.9000000000015</x:v>
      </x:c>
      <x:c r="M843" s="19" t="n">
        <x:f>IFERROR(L843/G843,0)</x:f>
        <x:v>-0.034867698507480255</x:v>
      </x:c>
      <x:c r="N843" s="13" t="n">
        <x:f>D843-C843</x:f>
        <x:v>2</x:v>
      </x:c>
    </x:row>
    <x:row r="844">
      <x:c r="A844" s="13" t="str">
        <x:v>PAG-000843</x:v>
      </x:c>
      <x:c r="B844" s="23" t="n">
        <x:v>45916</x:v>
      </x:c>
      <x:c r="C844" s="23" t="n">
        <x:v>45936</x:v>
      </x:c>
      <x:c r="D844" s="23" t="n">
        <x:v>45933</x:v>
      </x:c>
      <x:c r="E844" s="13" t="str">
        <x:v>Office Prime</x:v>
      </x:c>
      <x:c r="F844" s="13" t="str">
        <x:v>Escritório</x:v>
      </x:c>
      <x:c r="G844" s="17" t="n">
        <x:v>18795.43</x:v>
      </x:c>
      <x:c r="H844" s="17" t="n">
        <x:v>18454.13</x:v>
      </x:c>
      <x:c r="I844" s="13" t="str">
        <x:v>Financeiro</x:v>
      </x:c>
      <x:c r="J844" s="13" t="str">
        <x:v>Pago</x:v>
      </x:c>
      <x:c r="K844" s="13" t="str">
        <x:v>Operação Clareza</x:v>
      </x:c>
      <x:c r="L844" s="17" t="n">
        <x:f>H844-G844</x:f>
        <x:v>-341.2999999999993</x:v>
      </x:c>
      <x:c r="M844" s="19" t="n">
        <x:f>IFERROR(L844/G844,0)</x:f>
        <x:v>-0.018158669421236933</x:v>
      </x:c>
      <x:c r="N844" s="13" t="n">
        <x:f>D844-C844</x:f>
        <x:v>-3</x:v>
      </x:c>
    </x:row>
    <x:row r="845">
      <x:c r="A845" s="13" t="str">
        <x:v>PAG-000844</x:v>
      </x:c>
      <x:c r="B845" s="23" t="n">
        <x:v>45910</x:v>
      </x:c>
      <x:c r="C845" s="23" t="n">
        <x:v>45930</x:v>
      </x:c>
      <x:c r="D845" s="23" t="n">
        <x:v>45930</x:v>
      </x:c>
      <x:c r="E845" s="13" t="str">
        <x:v>MarketLab</x:v>
      </x:c>
      <x:c r="F845" s="13" t="str">
        <x:v>Marketing</x:v>
      </x:c>
      <x:c r="G845" s="17" t="n">
        <x:v>11814.08</x:v>
      </x:c>
      <x:c r="H845" s="17" t="n">
        <x:v>12025.62</x:v>
      </x:c>
      <x:c r="I845" s="13" t="str">
        <x:v>Diretoria</x:v>
      </x:c>
      <x:c r="J845" s="13" t="str">
        <x:v>Pago</x:v>
      </x:c>
      <x:c r="K845" s="13" t="str">
        <x:v>Operação Clareza</x:v>
      </x:c>
      <x:c r="L845" s="17" t="n">
        <x:f>H845-G845</x:f>
        <x:v>211.54000000000087</x:v>
      </x:c>
      <x:c r="M845" s="19" t="n">
        <x:f>IFERROR(L845/G845,0)</x:f>
        <x:v>0.017905753135242092</x:v>
      </x:c>
      <x:c r="N845" s="13" t="n">
        <x:f>D845-C845</x:f>
        <x:v>0</x:v>
      </x:c>
    </x:row>
    <x:row r="846">
      <x:c r="A846" s="13" t="str">
        <x:v>PAG-000845</x:v>
      </x:c>
      <x:c r="B846" s="23" t="n">
        <x:v>45910</x:v>
      </x:c>
      <x:c r="C846" s="23" t="n">
        <x:v>45917</x:v>
      </x:c>
      <x:c r="D846" s="23" t="n">
        <x:v>45916</x:v>
      </x:c>
      <x:c r="E846" s="13" t="str">
        <x:v>EducaPro</x:v>
      </x:c>
      <x:c r="F846" s="13" t="str">
        <x:v>Treinamentos</x:v>
      </x:c>
      <x:c r="G846" s="17" t="n">
        <x:v>24281.48</x:v>
      </x:c>
      <x:c r="H846" s="17" t="n">
        <x:v>24761.15</x:v>
      </x:c>
      <x:c r="I846" s="13" t="str">
        <x:v>Diretoria</x:v>
      </x:c>
      <x:c r="J846" s="13" t="str">
        <x:v>Pago</x:v>
      </x:c>
      <x:c r="K846" s="13" t="str">
        <x:v>Operação Clareza</x:v>
      </x:c>
      <x:c r="L846" s="17" t="n">
        <x:f>H846-G846</x:f>
        <x:v>479.6700000000019</x:v>
      </x:c>
      <x:c r="M846" s="19" t="n">
        <x:f>IFERROR(L846/G846,0)</x:f>
        <x:v>0.019754561913030093</x:v>
      </x:c>
      <x:c r="N846" s="13" t="n">
        <x:f>D846-C846</x:f>
        <x:v>-1</x:v>
      </x:c>
    </x:row>
    <x:row r="847">
      <x:c r="A847" s="13" t="str">
        <x:v>PAG-000846</x:v>
      </x:c>
      <x:c r="B847" s="23" t="n">
        <x:v>45916</x:v>
      </x:c>
      <x:c r="C847" s="23" t="n">
        <x:v>45946</x:v>
      </x:c>
      <x:c r="D847" s="23" t="n">
        <x:v>45946</x:v>
      </x:c>
      <x:c r="E847" s="13" t="str">
        <x:v>Conta Certa</x:v>
      </x:c>
      <x:c r="F847" s="13" t="str">
        <x:v>Contabilidade</x:v>
      </x:c>
      <x:c r="G847" s="17" t="n">
        <x:v>7681.31</x:v>
      </x:c>
      <x:c r="H847" s="17" t="n">
        <x:v>7568.67</x:v>
      </x:c>
      <x:c r="I847" s="13" t="str">
        <x:v>Financeiro</x:v>
      </x:c>
      <x:c r="J847" s="13" t="str">
        <x:v>Pago</x:v>
      </x:c>
      <x:c r="K847" s="13" t="str">
        <x:v>Operação Clareza</x:v>
      </x:c>
      <x:c r="L847" s="17" t="n">
        <x:f>H847-G847</x:f>
        <x:v>-112.64000000000033</x:v>
      </x:c>
      <x:c r="M847" s="19" t="n">
        <x:f>IFERROR(L847/G847,0)</x:f>
        <x:v>-0.014664165357211247</x:v>
      </x:c>
      <x:c r="N847" s="13" t="n">
        <x:f>D847-C847</x:f>
        <x:v>0</x:v>
      </x:c>
    </x:row>
    <x:row r="848">
      <x:c r="A848" s="13" t="str">
        <x:v>PAG-000847</x:v>
      </x:c>
      <x:c r="B848" s="23" t="n">
        <x:v>45915</x:v>
      </x:c>
      <x:c r="C848" s="23" t="n">
        <x:v>45935</x:v>
      </x:c>
      <x:c r="D848" s="23" t="n">
        <x:v>45934</x:v>
      </x:c>
      <x:c r="E848" s="13" t="str">
        <x:v>PeopleHub</x:v>
      </x:c>
      <x:c r="F848" s="13" t="str">
        <x:v>Recursos Humanos</x:v>
      </x:c>
      <x:c r="G848" s="17" t="n">
        <x:v>30519.36</x:v>
      </x:c>
      <x:c r="H848" s="17" t="n">
        <x:v>29588.89</x:v>
      </x:c>
      <x:c r="I848" s="13" t="str">
        <x:v>Financeiro</x:v>
      </x:c>
      <x:c r="J848" s="13" t="str">
        <x:v>Pago</x:v>
      </x:c>
      <x:c r="K848" s="13" t="str">
        <x:v>Operação Clareza</x:v>
      </x:c>
      <x:c r="L848" s="17" t="n">
        <x:f>H848-G848</x:f>
        <x:v>-930.4700000000012</x:v>
      </x:c>
      <x:c r="M848" s="19" t="n">
        <x:f>IFERROR(L848/G848,0)</x:f>
        <x:v>-0.0304878608201483</x:v>
      </x:c>
      <x:c r="N848" s="13" t="n">
        <x:f>D848-C848</x:f>
        <x:v>-1</x:v>
      </x:c>
    </x:row>
    <x:row r="849">
      <x:c r="A849" s="13" t="str">
        <x:v>PAG-000848</x:v>
      </x:c>
      <x:c r="B849" s="23" t="n">
        <x:v>45914</x:v>
      </x:c>
      <x:c r="C849" s="23" t="n">
        <x:v>45944</x:v>
      </x:c>
      <x:c r="D849" s="23" t="n">
        <x:v>45942</x:v>
      </x:c>
      <x:c r="E849" s="13" t="str">
        <x:v>Conta Certa</x:v>
      </x:c>
      <x:c r="F849" s="13" t="str">
        <x:v>Contabilidade</x:v>
      </x:c>
      <x:c r="G849" s="17" t="n">
        <x:v>20081.94</x:v>
      </x:c>
      <x:c r="H849" s="17" t="n">
        <x:v>20632.3</x:v>
      </x:c>
      <x:c r="I849" s="13" t="str">
        <x:v>Gestor da área</x:v>
      </x:c>
      <x:c r="J849" s="13" t="str">
        <x:v>Pago</x:v>
      </x:c>
      <x:c r="K849" s="13" t="str">
        <x:v>Operação Clareza</x:v>
      </x:c>
      <x:c r="L849" s="17" t="n">
        <x:f>H849-G849</x:f>
        <x:v>550.3600000000006</x:v>
      </x:c>
      <x:c r="M849" s="19" t="n">
        <x:f>IFERROR(L849/G849,0)</x:f>
        <x:v>0.02740571877019853</x:v>
      </x:c>
      <x:c r="N849" s="13" t="n">
        <x:f>D849-C849</x:f>
        <x:v>-2</x:v>
      </x:c>
    </x:row>
    <x:row r="850">
      <x:c r="A850" s="13" t="str">
        <x:v>PAG-000849</x:v>
      </x:c>
      <x:c r="B850" s="23" t="n">
        <x:v>45911</x:v>
      </x:c>
      <x:c r="C850" s="23" t="n">
        <x:v>45926</x:v>
      </x:c>
      <x:c r="D850" s="23" t="n">
        <x:v>45926</x:v>
      </x:c>
      <x:c r="E850" s="13" t="str">
        <x:v>LegalMais</x:v>
      </x:c>
      <x:c r="F850" s="13" t="str">
        <x:v>Jurídico</x:v>
      </x:c>
      <x:c r="G850" s="17" t="n">
        <x:v>22239.66</x:v>
      </x:c>
      <x:c r="H850" s="17" t="n">
        <x:v>21779.29</x:v>
      </x:c>
      <x:c r="I850" s="13" t="str">
        <x:v>Gestor da área</x:v>
      </x:c>
      <x:c r="J850" s="13" t="str">
        <x:v>Pago</x:v>
      </x:c>
      <x:c r="K850" s="13" t="str">
        <x:v>Operação Clareza</x:v>
      </x:c>
      <x:c r="L850" s="17" t="n">
        <x:f>H850-G850</x:f>
        <x:v>-460.369999999999</x:v>
      </x:c>
      <x:c r="M850" s="19" t="n">
        <x:f>IFERROR(L850/G850,0)</x:f>
        <x:v>-0.020700406391104854</x:v>
      </x:c>
      <x:c r="N850" s="13" t="n">
        <x:f>D850-C850</x:f>
        <x:v>0</x:v>
      </x:c>
    </x:row>
    <x:row r="851">
      <x:c r="A851" s="13" t="str">
        <x:v>PAG-000850</x:v>
      </x:c>
      <x:c r="B851" s="23" t="n">
        <x:v>45902</x:v>
      </x:c>
      <x:c r="C851" s="23" t="n">
        <x:v>45922</x:v>
      </x:c>
      <x:c r="D851" s="23" t="n">
        <x:v>45920</x:v>
      </x:c>
      <x:c r="E851" s="13" t="str">
        <x:v>EducaPro</x:v>
      </x:c>
      <x:c r="F851" s="13" t="str">
        <x:v>Treinamentos</x:v>
      </x:c>
      <x:c r="G851" s="17" t="n">
        <x:v>17663.1</x:v>
      </x:c>
      <x:c r="H851" s="17" t="n">
        <x:v>17293.03</x:v>
      </x:c>
      <x:c r="I851" s="13" t="str">
        <x:v>Financeiro</x:v>
      </x:c>
      <x:c r="J851" s="13" t="str">
        <x:v>Pago</x:v>
      </x:c>
      <x:c r="K851" s="13" t="str">
        <x:v>Operação Clareza</x:v>
      </x:c>
      <x:c r="L851" s="17" t="n">
        <x:f>H851-G851</x:f>
        <x:v>-370.0699999999997</x:v>
      </x:c>
      <x:c r="M851" s="19" t="n">
        <x:f>IFERROR(L851/G851,0)</x:f>
        <x:v>-0.020951588339532683</x:v>
      </x:c>
      <x:c r="N851" s="13" t="n">
        <x:f>D851-C851</x:f>
        <x:v>-2</x:v>
      </x:c>
    </x:row>
    <x:row r="852">
      <x:c r="A852" s="13" t="str">
        <x:v>PAG-000851</x:v>
      </x:c>
      <x:c r="B852" s="23" t="n">
        <x:v>45907</x:v>
      </x:c>
      <x:c r="C852" s="23" t="n">
        <x:v>45937</x:v>
      </x:c>
      <x:c r="D852" s="23" t="n">
        <x:v>45937</x:v>
      </x:c>
      <x:c r="E852" s="13" t="str">
        <x:v>EducaPro</x:v>
      </x:c>
      <x:c r="F852" s="13" t="str">
        <x:v>Treinamentos</x:v>
      </x:c>
      <x:c r="G852" s="17" t="n">
        <x:v>21154.75</x:v>
      </x:c>
      <x:c r="H852" s="17" t="n">
        <x:v>20856.86</x:v>
      </x:c>
      <x:c r="I852" s="13" t="str">
        <x:v>Financeiro</x:v>
      </x:c>
      <x:c r="J852" s="13" t="str">
        <x:v>Pago</x:v>
      </x:c>
      <x:c r="K852" s="13" t="str">
        <x:v>Operação Clareza</x:v>
      </x:c>
      <x:c r="L852" s="17" t="n">
        <x:f>H852-G852</x:f>
        <x:v>-297.8899999999994</x:v>
      </x:c>
      <x:c r="M852" s="19" t="n">
        <x:f>IFERROR(L852/G852,0)</x:f>
        <x:v>-0.014081471064418129</x:v>
      </x:c>
      <x:c r="N852" s="13" t="n">
        <x:f>D852-C852</x:f>
        <x:v>0</x:v>
      </x:c>
    </x:row>
    <x:row r="853">
      <x:c r="A853" s="13" t="str">
        <x:v>PAG-000852</x:v>
      </x:c>
      <x:c r="B853" s="23" t="n">
        <x:v>45918</x:v>
      </x:c>
      <x:c r="C853" s="23" t="n">
        <x:v>45933</x:v>
      </x:c>
      <x:c r="D853" s="23" t="n">
        <x:v>45935</x:v>
      </x:c>
      <x:c r="E853" s="13" t="str">
        <x:v>DataSafe</x:v>
      </x:c>
      <x:c r="F853" s="13" t="str">
        <x:v>Segurança da informação</x:v>
      </x:c>
      <x:c r="G853" s="17" t="n">
        <x:v>20873.37</x:v>
      </x:c>
      <x:c r="H853" s="17" t="n">
        <x:v>21034.96</x:v>
      </x:c>
      <x:c r="I853" s="13" t="str">
        <x:v>Diretoria</x:v>
      </x:c>
      <x:c r="J853" s="13" t="str">
        <x:v>Pago</x:v>
      </x:c>
      <x:c r="K853" s="13" t="str">
        <x:v>Operação Clareza</x:v>
      </x:c>
      <x:c r="L853" s="17" t="n">
        <x:f>H853-G853</x:f>
        <x:v>161.59000000000015</x:v>
      </x:c>
      <x:c r="M853" s="19" t="n">
        <x:f>IFERROR(L853/G853,0)</x:f>
        <x:v>0.00774144280487531</x:v>
      </x:c>
      <x:c r="N853" s="13" t="n">
        <x:f>D853-C853</x:f>
        <x:v>2</x:v>
      </x:c>
    </x:row>
    <x:row r="854">
      <x:c r="A854" s="13" t="str">
        <x:v>PAG-000853</x:v>
      </x:c>
      <x:c r="B854" s="23" t="n">
        <x:v>45918</x:v>
      </x:c>
      <x:c r="C854" s="23" t="n">
        <x:v>45933</x:v>
      </x:c>
      <x:c r="D854" s="23" t="n">
        <x:v>45933</x:v>
      </x:c>
      <x:c r="E854" s="13" t="str">
        <x:v>PeopleHub</x:v>
      </x:c>
      <x:c r="F854" s="13" t="str">
        <x:v>Recursos Humanos</x:v>
      </x:c>
      <x:c r="G854" s="17" t="n">
        <x:v>12900.89</x:v>
      </x:c>
      <x:c r="H854" s="17" t="n">
        <x:v>12695.57</x:v>
      </x:c>
      <x:c r="I854" s="13" t="str">
        <x:v>Financeiro</x:v>
      </x:c>
      <x:c r="J854" s="13" t="str">
        <x:v>Pago</x:v>
      </x:c>
      <x:c r="K854" s="13" t="str">
        <x:v>Operação Clareza</x:v>
      </x:c>
      <x:c r="L854" s="17" t="n">
        <x:f>H854-G854</x:f>
        <x:v>-205.3199999999997</x:v>
      </x:c>
      <x:c r="M854" s="19" t="n">
        <x:f>IFERROR(L854/G854,0)</x:f>
        <x:v>-0.015915181045648766</x:v>
      </x:c>
      <x:c r="N854" s="13" t="n">
        <x:f>D854-C854</x:f>
        <x:v>0</x:v>
      </x:c>
    </x:row>
    <x:row r="855">
      <x:c r="A855" s="13" t="str">
        <x:v>PAG-000854</x:v>
      </x:c>
      <x:c r="B855" s="23" t="n">
        <x:v>45909</x:v>
      </x:c>
      <x:c r="C855" s="23" t="n">
        <x:v>45924</x:v>
      </x:c>
      <x:c r="D855" s="23" t="n">
        <x:v>45923</x:v>
      </x:c>
      <x:c r="E855" s="13" t="str">
        <x:v>EducaPro</x:v>
      </x:c>
      <x:c r="F855" s="13" t="str">
        <x:v>Treinamentos</x:v>
      </x:c>
      <x:c r="G855" s="17" t="n">
        <x:v>3825.09</x:v>
      </x:c>
      <x:c r="H855" s="17" t="n">
        <x:v>3958.56</x:v>
      </x:c>
      <x:c r="I855" s="13" t="str">
        <x:v>Diretoria</x:v>
      </x:c>
      <x:c r="J855" s="13" t="str">
        <x:v>Pago</x:v>
      </x:c>
      <x:c r="K855" s="13" t="str">
        <x:v>Operação Clareza</x:v>
      </x:c>
      <x:c r="L855" s="17" t="n">
        <x:f>H855-G855</x:f>
        <x:v>133.4699999999998</x:v>
      </x:c>
      <x:c r="M855" s="19" t="n">
        <x:f>IFERROR(L855/G855,0)</x:f>
        <x:v>0.03489329662831457</x:v>
      </x:c>
      <x:c r="N855" s="13" t="n">
        <x:f>D855-C855</x:f>
        <x:v>-1</x:v>
      </x:c>
    </x:row>
    <x:row r="856">
      <x:c r="A856" s="13" t="str">
        <x:v>PAG-000855</x:v>
      </x:c>
      <x:c r="B856" s="23" t="n">
        <x:v>45906</x:v>
      </x:c>
      <x:c r="C856" s="23" t="n">
        <x:v>45926</x:v>
      </x:c>
      <x:c r="D856" s="23" t="n">
        <x:v>45925</x:v>
      </x:c>
      <x:c r="E856" s="13" t="str">
        <x:v>MarketLab</x:v>
      </x:c>
      <x:c r="F856" s="13" t="str">
        <x:v>Marketing</x:v>
      </x:c>
      <x:c r="G856" s="17" t="n">
        <x:v>26361.01</x:v>
      </x:c>
      <x:c r="H856" s="17" t="n">
        <x:v>26531.04</x:v>
      </x:c>
      <x:c r="I856" s="13" t="str">
        <x:v>Diretoria</x:v>
      </x:c>
      <x:c r="J856" s="13" t="str">
        <x:v>Pago</x:v>
      </x:c>
      <x:c r="K856" s="13" t="str">
        <x:v>Operação Clareza</x:v>
      </x:c>
      <x:c r="L856" s="17" t="n">
        <x:f>H856-G856</x:f>
        <x:v>170.03000000000247</x:v>
      </x:c>
      <x:c r="M856" s="19" t="n">
        <x:f>IFERROR(L856/G856,0)</x:f>
        <x:v>0.00645005635216566</x:v>
      </x:c>
      <x:c r="N856" s="13" t="n">
        <x:f>D856-C856</x:f>
        <x:v>-1</x:v>
      </x:c>
    </x:row>
    <x:row r="857">
      <x:c r="A857" s="13" t="str">
        <x:v>PAG-000856</x:v>
      </x:c>
      <x:c r="B857" s="23" t="n">
        <x:v>45902</x:v>
      </x:c>
      <x:c r="C857" s="23" t="n">
        <x:v>45922</x:v>
      </x:c>
      <x:c r="D857" s="23" t="n">
        <x:v>45922</x:v>
      </x:c>
      <x:c r="E857" s="13" t="str">
        <x:v>Conta Certa</x:v>
      </x:c>
      <x:c r="F857" s="13" t="str">
        <x:v>Contabilidade</x:v>
      </x:c>
      <x:c r="G857" s="17" t="n">
        <x:v>19791.93</x:v>
      </x:c>
      <x:c r="H857" s="17" t="n">
        <x:v>20587.92</x:v>
      </x:c>
      <x:c r="I857" s="13" t="str">
        <x:v>Gestor da área</x:v>
      </x:c>
      <x:c r="J857" s="13" t="str">
        <x:v>Pago</x:v>
      </x:c>
      <x:c r="K857" s="13" t="str">
        <x:v>Operação Clareza</x:v>
      </x:c>
      <x:c r="L857" s="17" t="n">
        <x:f>H857-G857</x:f>
        <x:v>795.989999999998</x:v>
      </x:c>
      <x:c r="M857" s="19" t="n">
        <x:f>IFERROR(L857/G857,0)</x:f>
        <x:v>0.04021790699542682</x:v>
      </x:c>
      <x:c r="N857" s="13" t="n">
        <x:f>D857-C857</x:f>
        <x:v>0</x:v>
      </x:c>
    </x:row>
    <x:row r="858">
      <x:c r="A858" s="13" t="str">
        <x:v>PAG-000857</x:v>
      </x:c>
      <x:c r="B858" s="23" t="n">
        <x:v>45906</x:v>
      </x:c>
      <x:c r="C858" s="23" t="n">
        <x:v>45921</x:v>
      </x:c>
      <x:c r="D858" s="23" t="n">
        <x:v>45920</x:v>
      </x:c>
      <x:c r="E858" s="13" t="str">
        <x:v>EducaPro</x:v>
      </x:c>
      <x:c r="F858" s="13" t="str">
        <x:v>Treinamentos</x:v>
      </x:c>
      <x:c r="G858" s="17" t="n">
        <x:v>18008.13</x:v>
      </x:c>
      <x:c r="H858" s="17" t="n">
        <x:v>18437.11</x:v>
      </x:c>
      <x:c r="I858" s="13" t="str">
        <x:v>Diretoria</x:v>
      </x:c>
      <x:c r="J858" s="13" t="str">
        <x:v>Pago</x:v>
      </x:c>
      <x:c r="K858" s="13" t="str">
        <x:v>Operação Clareza</x:v>
      </x:c>
      <x:c r="L858" s="17" t="n">
        <x:f>H858-G858</x:f>
        <x:v>428.97999999999956</x:v>
      </x:c>
      <x:c r="M858" s="19" t="n">
        <x:f>IFERROR(L858/G858,0)</x:f>
        <x:v>0.02382146286149642</x:v>
      </x:c>
      <x:c r="N858" s="13" t="n">
        <x:f>D858-C858</x:f>
        <x:v>-1</x:v>
      </x:c>
    </x:row>
    <x:row r="859">
      <x:c r="A859" s="13" t="str">
        <x:v>PAG-000858</x:v>
      </x:c>
      <x:c r="B859" s="23" t="n">
        <x:v>45911</x:v>
      </x:c>
      <x:c r="C859" s="23" t="n">
        <x:v>45926</x:v>
      </x:c>
      <x:c r="D859" s="23" t="n">
        <x:v>45923</x:v>
      </x:c>
      <x:c r="E859" s="13" t="str">
        <x:v>WorkSpace</x:v>
      </x:c>
      <x:c r="F859" s="13" t="str">
        <x:v>Locação</x:v>
      </x:c>
      <x:c r="G859" s="17" t="n">
        <x:v>26773.22</x:v>
      </x:c>
      <x:c r="H859" s="17" t="n">
        <x:v>27714.86</x:v>
      </x:c>
      <x:c r="I859" s="13" t="str">
        <x:v>Gestor da área</x:v>
      </x:c>
      <x:c r="J859" s="13" t="str">
        <x:v>Pago</x:v>
      </x:c>
      <x:c r="K859" s="13" t="str">
        <x:v>Operação Clareza</x:v>
      </x:c>
      <x:c r="L859" s="17" t="n">
        <x:f>H859-G859</x:f>
        <x:v>941.6399999999994</x:v>
      </x:c>
      <x:c r="M859" s="19" t="n">
        <x:f>IFERROR(L859/G859,0)</x:f>
        <x:v>0.035170965614147245</x:v>
      </x:c>
      <x:c r="N859" s="13" t="n">
        <x:f>D859-C859</x:f>
        <x:v>-3</x:v>
      </x:c>
    </x:row>
    <x:row r="860">
      <x:c r="A860" s="13" t="str">
        <x:v>PAG-000859</x:v>
      </x:c>
      <x:c r="B860" s="23" t="n">
        <x:v>45904</x:v>
      </x:c>
      <x:c r="C860" s="23" t="n">
        <x:v>45911</x:v>
      </x:c>
      <x:c r="D860" s="23" t="n">
        <x:v>45910</x:v>
      </x:c>
      <x:c r="E860" s="13" t="str">
        <x:v>MarketLab</x:v>
      </x:c>
      <x:c r="F860" s="13" t="str">
        <x:v>Marketing</x:v>
      </x:c>
      <x:c r="G860" s="17" t="n">
        <x:v>8669.09</x:v>
      </x:c>
      <x:c r="H860" s="17" t="n">
        <x:v>8542.54</x:v>
      </x:c>
      <x:c r="I860" s="13" t="str">
        <x:v>Financeiro</x:v>
      </x:c>
      <x:c r="J860" s="13" t="str">
        <x:v>Pago</x:v>
      </x:c>
      <x:c r="K860" s="13" t="str">
        <x:v>Operação Clareza</x:v>
      </x:c>
      <x:c r="L860" s="17" t="n">
        <x:f>H860-G860</x:f>
        <x:v>-126.54999999999927</x:v>
      </x:c>
      <x:c r="M860" s="19" t="n">
        <x:f>IFERROR(L860/G860,0)</x:f>
        <x:v>-0.01459784129591448</x:v>
      </x:c>
      <x:c r="N860" s="13" t="n">
        <x:f>D860-C860</x:f>
        <x:v>-1</x:v>
      </x:c>
    </x:row>
    <x:row r="861">
      <x:c r="A861" s="13" t="str">
        <x:v>PAG-000860</x:v>
      </x:c>
      <x:c r="B861" s="23" t="n">
        <x:v>45914</x:v>
      </x:c>
      <x:c r="C861" s="23" t="n">
        <x:v>45944</x:v>
      </x:c>
      <x:c r="D861" s="23" t="n">
        <x:v>45944</x:v>
      </x:c>
      <x:c r="E861" s="13" t="str">
        <x:v>LegalMais</x:v>
      </x:c>
      <x:c r="F861" s="13" t="str">
        <x:v>Jurídico</x:v>
      </x:c>
      <x:c r="G861" s="17" t="n">
        <x:v>504.35</x:v>
      </x:c>
      <x:c r="H861" s="17" t="n">
        <x:v>515.05</x:v>
      </x:c>
      <x:c r="I861" s="13" t="str">
        <x:v>Gestor da área</x:v>
      </x:c>
      <x:c r="J861" s="13" t="str">
        <x:v>Pago</x:v>
      </x:c>
      <x:c r="K861" s="13" t="str">
        <x:v>Operação Clareza</x:v>
      </x:c>
      <x:c r="L861" s="17" t="n">
        <x:f>H861-G861</x:f>
        <x:v>10.699999999999932</x:v>
      </x:c>
      <x:c r="M861" s="19" t="n">
        <x:f>IFERROR(L861/G861,0)</x:f>
        <x:v>0.021215425795578332</x:v>
      </x:c>
      <x:c r="N861" s="13" t="n">
        <x:f>D861-C861</x:f>
        <x:v>0</x:v>
      </x:c>
    </x:row>
    <x:row r="862">
      <x:c r="A862" s="13" t="str">
        <x:v>PAG-000861</x:v>
      </x:c>
      <x:c r="B862" s="23" t="n">
        <x:v>45910</x:v>
      </x:c>
      <x:c r="C862" s="23" t="n">
        <x:v>45925</x:v>
      </x:c>
      <x:c r="D862" s="23" t="n">
        <x:v>45925</x:v>
      </x:c>
      <x:c r="E862" s="13" t="str">
        <x:v>Insight BI</x:v>
      </x:c>
      <x:c r="F862" s="13" t="str">
        <x:v>Dados e Analytics</x:v>
      </x:c>
      <x:c r="G862" s="17" t="n">
        <x:v>9333.1</x:v>
      </x:c>
      <x:c r="H862" s="17" t="n">
        <x:v>9513.67</x:v>
      </x:c>
      <x:c r="I862" s="13" t="str">
        <x:v>Financeiro</x:v>
      </x:c>
      <x:c r="J862" s="13" t="str">
        <x:v>Pago</x:v>
      </x:c>
      <x:c r="K862" s="13" t="str">
        <x:v>Operação Clareza</x:v>
      </x:c>
      <x:c r="L862" s="17" t="n">
        <x:f>H862-G862</x:f>
        <x:v>180.5699999999997</x:v>
      </x:c>
      <x:c r="M862" s="19" t="n">
        <x:f>IFERROR(L862/G862,0)</x:f>
        <x:v>0.01934726939602058</x:v>
      </x:c>
      <x:c r="N862" s="13" t="n">
        <x:f>D862-C862</x:f>
        <x:v>0</x:v>
      </x:c>
    </x:row>
    <x:row r="863">
      <x:c r="A863" s="13" t="str">
        <x:v>PAG-000862</x:v>
      </x:c>
      <x:c r="B863" s="23" t="n">
        <x:v>45917</x:v>
      </x:c>
      <x:c r="C863" s="23" t="n">
        <x:v>45947</x:v>
      </x:c>
      <x:c r="D863" s="23" t="n">
        <x:v>45947</x:v>
      </x:c>
      <x:c r="E863" s="13" t="str">
        <x:v>Insight BI</x:v>
      </x:c>
      <x:c r="F863" s="13" t="str">
        <x:v>Dados e Analytics</x:v>
      </x:c>
      <x:c r="G863" s="17" t="n">
        <x:v>10679.3</x:v>
      </x:c>
      <x:c r="H863" s="17" t="n">
        <x:v>10815.99</x:v>
      </x:c>
      <x:c r="I863" s="13" t="str">
        <x:v>Financeiro</x:v>
      </x:c>
      <x:c r="J863" s="13" t="str">
        <x:v>Pago</x:v>
      </x:c>
      <x:c r="K863" s="13" t="str">
        <x:v>Operação Clareza</x:v>
      </x:c>
      <x:c r="L863" s="17" t="n">
        <x:f>H863-G863</x:f>
        <x:v>136.6900000000005</x:v>
      </x:c>
      <x:c r="M863" s="19" t="n">
        <x:f>IFERROR(L863/G863,0)</x:f>
        <x:v>0.012799528058955224</x:v>
      </x:c>
      <x:c r="N863" s="13" t="n">
        <x:f>D863-C863</x:f>
        <x:v>0</x:v>
      </x:c>
    </x:row>
    <x:row r="864">
      <x:c r="A864" s="13" t="str">
        <x:v>PAG-000863</x:v>
      </x:c>
      <x:c r="B864" s="23" t="n">
        <x:v>45920</x:v>
      </x:c>
      <x:c r="C864" s="23" t="n">
        <x:v>45927</x:v>
      </x:c>
      <x:c r="D864" s="23" t="n">
        <x:v>45927</x:v>
      </x:c>
      <x:c r="E864" s="13" t="str">
        <x:v>Conta Certa</x:v>
      </x:c>
      <x:c r="F864" s="13" t="str">
        <x:v>Contabilidade</x:v>
      </x:c>
      <x:c r="G864" s="17" t="n">
        <x:v>16771.68</x:v>
      </x:c>
      <x:c r="H864" s="17" t="n">
        <x:v>17248.93</x:v>
      </x:c>
      <x:c r="I864" s="13" t="str">
        <x:v>Financeiro</x:v>
      </x:c>
      <x:c r="J864" s="13" t="str">
        <x:v>Pago</x:v>
      </x:c>
      <x:c r="K864" s="13" t="str">
        <x:v>Operação Clareza</x:v>
      </x:c>
      <x:c r="L864" s="17" t="n">
        <x:f>H864-G864</x:f>
        <x:v>477.25</x:v>
      </x:c>
      <x:c r="M864" s="19" t="n">
        <x:f>IFERROR(L864/G864,0)</x:f>
        <x:v>0.028455706285834215</x:v>
      </x:c>
      <x:c r="N864" s="13" t="n">
        <x:f>D864-C864</x:f>
        <x:v>0</x:v>
      </x:c>
    </x:row>
    <x:row r="865">
      <x:c r="A865" s="13" t="str">
        <x:v>PAG-000864</x:v>
      </x:c>
      <x:c r="B865" s="23" t="n">
        <x:v>45911</x:v>
      </x:c>
      <x:c r="C865" s="23" t="n">
        <x:v>45931</x:v>
      </x:c>
      <x:c r="D865" s="23" t="n">
        <x:v>45931</x:v>
      </x:c>
      <x:c r="E865" s="13" t="str">
        <x:v>Office Prime</x:v>
      </x:c>
      <x:c r="F865" s="13" t="str">
        <x:v>Escritório</x:v>
      </x:c>
      <x:c r="G865" s="17" t="n">
        <x:v>28385.38</x:v>
      </x:c>
      <x:c r="H865" s="17" t="n">
        <x:v>29541.51</x:v>
      </x:c>
      <x:c r="I865" s="13" t="str">
        <x:v>Financeiro</x:v>
      </x:c>
      <x:c r="J865" s="13" t="str">
        <x:v>Pago</x:v>
      </x:c>
      <x:c r="K865" s="13" t="str">
        <x:v>Operação Clareza</x:v>
      </x:c>
      <x:c r="L865" s="17" t="n">
        <x:f>H865-G865</x:f>
        <x:v>1156.1299999999974</x:v>
      </x:c>
      <x:c r="M865" s="19" t="n">
        <x:f>IFERROR(L865/G865,0)</x:f>
        <x:v>0.04072977004359277</x:v>
      </x:c>
      <x:c r="N865" s="13" t="n">
        <x:f>D865-C865</x:f>
        <x:v>0</x:v>
      </x:c>
    </x:row>
    <x:row r="866">
      <x:c r="A866" s="13" t="str">
        <x:v>PAG-000865</x:v>
      </x:c>
      <x:c r="B866" s="23" t="n">
        <x:v>45912</x:v>
      </x:c>
      <x:c r="C866" s="23" t="n">
        <x:v>45942</x:v>
      </x:c>
      <x:c r="D866" s="23" t="n">
        <x:v>45942</x:v>
      </x:c>
      <x:c r="E866" s="13" t="str">
        <x:v>CloudCore</x:v>
      </x:c>
      <x:c r="F866" s="13" t="str">
        <x:v>Tecnologia</x:v>
      </x:c>
      <x:c r="G866" s="17" t="n">
        <x:v>30923.02</x:v>
      </x:c>
      <x:c r="H866" s="17" t="n">
        <x:v>32036.75</x:v>
      </x:c>
      <x:c r="I866" s="13" t="str">
        <x:v>Diretoria</x:v>
      </x:c>
      <x:c r="J866" s="13" t="str">
        <x:v>Pago</x:v>
      </x:c>
      <x:c r="K866" s="13" t="str">
        <x:v>Operação Clareza</x:v>
      </x:c>
      <x:c r="L866" s="17" t="n">
        <x:f>H866-G866</x:f>
        <x:v>1113.7299999999996</x:v>
      </x:c>
      <x:c r="M866" s="19" t="n">
        <x:f>IFERROR(L866/G866,0)</x:f>
        <x:v>0.03601621057710403</x:v>
      </x:c>
      <x:c r="N866" s="13" t="n">
        <x:f>D866-C866</x:f>
        <x:v>0</x:v>
      </x:c>
    </x:row>
    <x:row r="867">
      <x:c r="A867" s="13" t="str">
        <x:v>PAG-000866</x:v>
      </x:c>
      <x:c r="B867" s="23" t="n">
        <x:v>45912</x:v>
      </x:c>
      <x:c r="C867" s="23" t="n">
        <x:v>45942</x:v>
      </x:c>
      <x:c r="D867" s="23" t="n">
        <x:v>45941</x:v>
      </x:c>
      <x:c r="E867" s="13" t="str">
        <x:v>DataSafe</x:v>
      </x:c>
      <x:c r="F867" s="13" t="str">
        <x:v>Segurança da informação</x:v>
      </x:c>
      <x:c r="G867" s="17" t="n">
        <x:v>4633.04</x:v>
      </x:c>
      <x:c r="H867" s="17" t="n">
        <x:v>4579.59</x:v>
      </x:c>
      <x:c r="I867" s="13" t="str">
        <x:v>Gestor da área</x:v>
      </x:c>
      <x:c r="J867" s="13" t="str">
        <x:v>Pago</x:v>
      </x:c>
      <x:c r="K867" s="13" t="str">
        <x:v>Operação Clareza</x:v>
      </x:c>
      <x:c r="L867" s="17" t="n">
        <x:f>H867-G867</x:f>
        <x:v>-53.44999999999982</x:v>
      </x:c>
      <x:c r="M867" s="19" t="n">
        <x:f>IFERROR(L867/G867,0)</x:f>
        <x:v>-0.011536701604130294</x:v>
      </x:c>
      <x:c r="N867" s="13" t="n">
        <x:f>D867-C867</x:f>
        <x:v>-1</x:v>
      </x:c>
    </x:row>
    <x:row r="868">
      <x:c r="A868" s="13" t="str">
        <x:v>PAG-000867</x:v>
      </x:c>
      <x:c r="B868" s="23" t="n">
        <x:v>45919</x:v>
      </x:c>
      <x:c r="C868" s="23" t="n">
        <x:v>45939</x:v>
      </x:c>
      <x:c r="D868" s="23" t="n">
        <x:v>45936</x:v>
      </x:c>
      <x:c r="E868" s="13" t="str">
        <x:v>MarketLab</x:v>
      </x:c>
      <x:c r="F868" s="13" t="str">
        <x:v>Marketing</x:v>
      </x:c>
      <x:c r="G868" s="17" t="n">
        <x:v>23063.07</x:v>
      </x:c>
      <x:c r="H868" s="17" t="n">
        <x:v>22771.68</x:v>
      </x:c>
      <x:c r="I868" s="13" t="str">
        <x:v>Financeiro</x:v>
      </x:c>
      <x:c r="J868" s="13" t="str">
        <x:v>Pago</x:v>
      </x:c>
      <x:c r="K868" s="13" t="str">
        <x:v>Operação Clareza</x:v>
      </x:c>
      <x:c r="L868" s="17" t="n">
        <x:f>H868-G868</x:f>
        <x:v>-291.3899999999994</x:v>
      </x:c>
      <x:c r="M868" s="19" t="n">
        <x:f>IFERROR(L868/G868,0)</x:f>
        <x:v>-0.01263448448103394</x:v>
      </x:c>
      <x:c r="N868" s="13" t="n">
        <x:f>D868-C868</x:f>
        <x:v>-3</x:v>
      </x:c>
    </x:row>
    <x:row r="869">
      <x:c r="A869" s="13" t="str">
        <x:v>PAG-000868</x:v>
      </x:c>
      <x:c r="B869" s="23" t="n">
        <x:v>45909</x:v>
      </x:c>
      <x:c r="C869" s="23" t="n">
        <x:v>45939</x:v>
      </x:c>
      <x:c r="D869" s="23" t="n">
        <x:v>45938</x:v>
      </x:c>
      <x:c r="E869" s="13" t="str">
        <x:v>LegalMais</x:v>
      </x:c>
      <x:c r="F869" s="13" t="str">
        <x:v>Jurídico</x:v>
      </x:c>
      <x:c r="G869" s="17" t="n">
        <x:v>10967.65</x:v>
      </x:c>
      <x:c r="H869" s="17" t="n">
        <x:v>11156.83</x:v>
      </x:c>
      <x:c r="I869" s="13" t="str">
        <x:v>Gestor da área</x:v>
      </x:c>
      <x:c r="J869" s="13" t="str">
        <x:v>Pago</x:v>
      </x:c>
      <x:c r="K869" s="13" t="str">
        <x:v>Operação Clareza</x:v>
      </x:c>
      <x:c r="L869" s="17" t="n">
        <x:f>H869-G869</x:f>
        <x:v>189.1800000000003</x:v>
      </x:c>
      <x:c r="M869" s="19" t="n">
        <x:f>IFERROR(L869/G869,0)</x:f>
        <x:v>0.01724890929232792</x:v>
      </x:c>
      <x:c r="N869" s="13" t="n">
        <x:f>D869-C869</x:f>
        <x:v>-1</x:v>
      </x:c>
    </x:row>
    <x:row r="870">
      <x:c r="A870" s="13" t="str">
        <x:v>PAG-000869</x:v>
      </x:c>
      <x:c r="B870" s="23" t="n">
        <x:v>45913</x:v>
      </x:c>
      <x:c r="C870" s="23" t="n">
        <x:v>45943</x:v>
      </x:c>
      <x:c r="D870" s="23" t="n">
        <x:v>45943</x:v>
      </x:c>
      <x:c r="E870" s="13" t="str">
        <x:v>LegalMais</x:v>
      </x:c>
      <x:c r="F870" s="13" t="str">
        <x:v>Jurídico</x:v>
      </x:c>
      <x:c r="G870" s="17" t="n">
        <x:v>23571.78</x:v>
      </x:c>
      <x:c r="H870" s="17" t="n">
        <x:v>24498.73</x:v>
      </x:c>
      <x:c r="I870" s="13" t="str">
        <x:v>Financeiro</x:v>
      </x:c>
      <x:c r="J870" s="13" t="str">
        <x:v>Pago</x:v>
      </x:c>
      <x:c r="K870" s="13" t="str">
        <x:v>Operação Clareza</x:v>
      </x:c>
      <x:c r="L870" s="17" t="n">
        <x:f>H870-G870</x:f>
        <x:v>926.9500000000007</x:v>
      </x:c>
      <x:c r="M870" s="19" t="n">
        <x:f>IFERROR(L870/G870,0)</x:f>
        <x:v>0.039324565221633696</x:v>
      </x:c>
      <x:c r="N870" s="13" t="n">
        <x:f>D870-C870</x:f>
        <x:v>0</x:v>
      </x:c>
    </x:row>
    <x:row r="871">
      <x:c r="A871" s="13" t="str">
        <x:v>PAG-000870</x:v>
      </x:c>
      <x:c r="B871" s="23" t="n">
        <x:v>45919</x:v>
      </x:c>
      <x:c r="C871" s="23" t="n">
        <x:v>45949</x:v>
      </x:c>
      <x:c r="D871" s="23" t="n">
        <x:v>45949</x:v>
      </x:c>
      <x:c r="E871" s="13" t="str">
        <x:v>DataSafe</x:v>
      </x:c>
      <x:c r="F871" s="13" t="str">
        <x:v>Segurança da informação</x:v>
      </x:c>
      <x:c r="G871" s="17" t="n">
        <x:v>4378.58</x:v>
      </x:c>
      <x:c r="H871" s="17" t="n">
        <x:v>4538.73</x:v>
      </x:c>
      <x:c r="I871" s="13" t="str">
        <x:v>Gestor da área</x:v>
      </x:c>
      <x:c r="J871" s="13" t="str">
        <x:v>Pago</x:v>
      </x:c>
      <x:c r="K871" s="13" t="str">
        <x:v>Operação Clareza</x:v>
      </x:c>
      <x:c r="L871" s="17" t="n">
        <x:f>H871-G871</x:f>
        <x:v>160.14999999999964</x:v>
      </x:c>
      <x:c r="M871" s="19" t="n">
        <x:f>IFERROR(L871/G871,0)</x:f>
        <x:v>0.03657578484348799</x:v>
      </x:c>
      <x:c r="N871" s="13" t="n">
        <x:f>D871-C871</x:f>
        <x:v>0</x:v>
      </x:c>
    </x:row>
    <x:row r="872">
      <x:c r="A872" s="13" t="str">
        <x:v>PAG-000871</x:v>
      </x:c>
      <x:c r="B872" s="23" t="n">
        <x:v>45906</x:v>
      </x:c>
      <x:c r="C872" s="23" t="n">
        <x:v>45913</x:v>
      </x:c>
      <x:c r="D872" s="23" t="n">
        <x:v>45913</x:v>
      </x:c>
      <x:c r="E872" s="13" t="str">
        <x:v>Conta Certa</x:v>
      </x:c>
      <x:c r="F872" s="13" t="str">
        <x:v>Contabilidade</x:v>
      </x:c>
      <x:c r="G872" s="17" t="n">
        <x:v>20297</x:v>
      </x:c>
      <x:c r="H872" s="17" t="n">
        <x:v>19652.93</x:v>
      </x:c>
      <x:c r="I872" s="13" t="str">
        <x:v>Diretoria</x:v>
      </x:c>
      <x:c r="J872" s="13" t="str">
        <x:v>Pago</x:v>
      </x:c>
      <x:c r="K872" s="13" t="str">
        <x:v>Operação Clareza</x:v>
      </x:c>
      <x:c r="L872" s="17" t="n">
        <x:f>H872-G872</x:f>
        <x:v>-644.0699999999997</x:v>
      </x:c>
      <x:c r="M872" s="19" t="n">
        <x:f>IFERROR(L872/G872,0)</x:f>
        <x:v>-0.03173227570576931</x:v>
      </x:c>
      <x:c r="N872" s="13" t="n">
        <x:f>D872-C872</x:f>
        <x:v>0</x:v>
      </x:c>
    </x:row>
    <x:row r="873">
      <x:c r="A873" s="13" t="str">
        <x:v>PAG-000872</x:v>
      </x:c>
      <x:c r="B873" s="23" t="n">
        <x:v>45905</x:v>
      </x:c>
      <x:c r="C873" s="23" t="n">
        <x:v>45935</x:v>
      </x:c>
      <x:c r="D873" s="23" t="n">
        <x:v>45937</x:v>
      </x:c>
      <x:c r="E873" s="13" t="str">
        <x:v>Insight BI</x:v>
      </x:c>
      <x:c r="F873" s="13" t="str">
        <x:v>Dados e Analytics</x:v>
      </x:c>
      <x:c r="G873" s="17" t="n">
        <x:v>31552.16</x:v>
      </x:c>
      <x:c r="H873" s="17" t="n">
        <x:v>32431.06</x:v>
      </x:c>
      <x:c r="I873" s="13" t="str">
        <x:v>Gestor da área</x:v>
      </x:c>
      <x:c r="J873" s="13" t="str">
        <x:v>Pago</x:v>
      </x:c>
      <x:c r="K873" s="13" t="str">
        <x:v>Operação Clareza</x:v>
      </x:c>
      <x:c r="L873" s="17" t="n">
        <x:f>H873-G873</x:f>
        <x:v>878.9000000000015</x:v>
      </x:c>
      <x:c r="M873" s="19" t="n">
        <x:f>IFERROR(L873/G873,0)</x:f>
        <x:v>0.027855462193396633</x:v>
      </x:c>
      <x:c r="N873" s="13" t="n">
        <x:f>D873-C873</x:f>
        <x:v>2</x:v>
      </x:c>
    </x:row>
    <x:row r="874">
      <x:c r="A874" s="13" t="str">
        <x:v>PAG-000873</x:v>
      </x:c>
      <x:c r="B874" s="23" t="n">
        <x:v>45920</x:v>
      </x:c>
      <x:c r="C874" s="23" t="n">
        <x:v>45950</x:v>
      </x:c>
      <x:c r="D874" s="23" t="n">
        <x:v>45947</x:v>
      </x:c>
      <x:c r="E874" s="13" t="str">
        <x:v>DataSafe</x:v>
      </x:c>
      <x:c r="F874" s="13" t="str">
        <x:v>Segurança da informação</x:v>
      </x:c>
      <x:c r="G874" s="17" t="n">
        <x:v>12186.31</x:v>
      </x:c>
      <x:c r="H874" s="17" t="n">
        <x:v>12438.13</x:v>
      </x:c>
      <x:c r="I874" s="13" t="str">
        <x:v>Financeiro</x:v>
      </x:c>
      <x:c r="J874" s="13" t="str">
        <x:v>Pago</x:v>
      </x:c>
      <x:c r="K874" s="13" t="str">
        <x:v>Operação Clareza</x:v>
      </x:c>
      <x:c r="L874" s="17" t="n">
        <x:f>H874-G874</x:f>
        <x:v>251.8199999999997</x:v>
      </x:c>
      <x:c r="M874" s="19" t="n">
        <x:f>IFERROR(L874/G874,0)</x:f>
        <x:v>0.02066417151705477</x:v>
      </x:c>
      <x:c r="N874" s="13" t="n">
        <x:f>D874-C874</x:f>
        <x:v>-3</x:v>
      </x:c>
    </x:row>
    <x:row r="875">
      <x:c r="A875" s="13" t="str">
        <x:v>PAG-000874</x:v>
      </x:c>
      <x:c r="B875" s="23" t="n">
        <x:v>45916</x:v>
      </x:c>
      <x:c r="C875" s="23" t="n">
        <x:v>45923</x:v>
      </x:c>
      <x:c r="D875" s="23" t="n">
        <x:v>45923</x:v>
      </x:c>
      <x:c r="E875" s="13" t="str">
        <x:v>PeopleHub</x:v>
      </x:c>
      <x:c r="F875" s="13" t="str">
        <x:v>Recursos Humanos</x:v>
      </x:c>
      <x:c r="G875" s="17" t="n">
        <x:v>29470.57</x:v>
      </x:c>
      <x:c r="H875" s="17" t="n">
        <x:v>28579.43</x:v>
      </x:c>
      <x:c r="I875" s="13" t="str">
        <x:v>Diretoria</x:v>
      </x:c>
      <x:c r="J875" s="13" t="str">
        <x:v>Pago</x:v>
      </x:c>
      <x:c r="K875" s="13" t="str">
        <x:v>Operação Clareza</x:v>
      </x:c>
      <x:c r="L875" s="17" t="n">
        <x:f>H875-G875</x:f>
        <x:v>-891.1399999999994</x:v>
      </x:c>
      <x:c r="M875" s="19" t="n">
        <x:f>IFERROR(L875/G875,0)</x:f>
        <x:v>-0.030238302143460388</x:v>
      </x:c>
      <x:c r="N875" s="13" t="n">
        <x:f>D875-C875</x:f>
        <x:v>0</x:v>
      </x:c>
    </x:row>
    <x:row r="876">
      <x:c r="A876" s="13" t="str">
        <x:v>PAG-000875</x:v>
      </x:c>
      <x:c r="B876" s="23" t="n">
        <x:v>45908</x:v>
      </x:c>
      <x:c r="C876" s="23" t="n">
        <x:v>45915</x:v>
      </x:c>
      <x:c r="D876" s="23" t="n">
        <x:v>45912</x:v>
      </x:c>
      <x:c r="E876" s="13" t="str">
        <x:v>EducaPro</x:v>
      </x:c>
      <x:c r="F876" s="13" t="str">
        <x:v>Treinamentos</x:v>
      </x:c>
      <x:c r="G876" s="17" t="n">
        <x:v>786.6</x:v>
      </x:c>
      <x:c r="H876" s="17" t="n">
        <x:v>816.75</x:v>
      </x:c>
      <x:c r="I876" s="13" t="str">
        <x:v>Diretoria</x:v>
      </x:c>
      <x:c r="J876" s="13" t="str">
        <x:v>Pago</x:v>
      </x:c>
      <x:c r="K876" s="13" t="str">
        <x:v>Operação Clareza</x:v>
      </x:c>
      <x:c r="L876" s="17" t="n">
        <x:f>H876-G876</x:f>
        <x:v>30.149999999999977</x:v>
      </x:c>
      <x:c r="M876" s="19" t="n">
        <x:f>IFERROR(L876/G876,0)</x:f>
        <x:v>0.03832951945080088</x:v>
      </x:c>
      <x:c r="N876" s="13" t="n">
        <x:f>D876-C876</x:f>
        <x:v>-3</x:v>
      </x:c>
    </x:row>
    <x:row r="877">
      <x:c r="A877" s="13" t="str">
        <x:v>PAG-000876</x:v>
      </x:c>
      <x:c r="B877" s="23" t="n">
        <x:v>45907</x:v>
      </x:c>
      <x:c r="C877" s="23" t="n">
        <x:v>45927</x:v>
      </x:c>
      <x:c r="D877" s="23" t="n">
        <x:v>45928</x:v>
      </x:c>
      <x:c r="E877" s="13" t="str">
        <x:v>MarketLab</x:v>
      </x:c>
      <x:c r="F877" s="13" t="str">
        <x:v>Marketing</x:v>
      </x:c>
      <x:c r="G877" s="17" t="n">
        <x:v>5584.48</x:v>
      </x:c>
      <x:c r="H877" s="17" t="n">
        <x:v>5725.07</x:v>
      </x:c>
      <x:c r="I877" s="13" t="str">
        <x:v>Financeiro</x:v>
      </x:c>
      <x:c r="J877" s="13" t="str">
        <x:v>Pago</x:v>
      </x:c>
      <x:c r="K877" s="13" t="str">
        <x:v>Operação Clareza</x:v>
      </x:c>
      <x:c r="L877" s="17" t="n">
        <x:f>H877-G877</x:f>
        <x:v>140.59000000000015</x:v>
      </x:c>
      <x:c r="M877" s="19" t="n">
        <x:f>IFERROR(L877/G877,0)</x:f>
        <x:v>0.025175128212474602</x:v>
      </x:c>
      <x:c r="N877" s="13" t="n">
        <x:f>D877-C877</x:f>
        <x:v>1</x:v>
      </x:c>
    </x:row>
    <x:row r="878">
      <x:c r="A878" s="13" t="str">
        <x:v>PAG-000877</x:v>
      </x:c>
      <x:c r="B878" s="23" t="n">
        <x:v>45909</x:v>
      </x:c>
      <x:c r="C878" s="23" t="n">
        <x:v>45916</x:v>
      </x:c>
      <x:c r="D878" s="23" t="n">
        <x:v>45913</x:v>
      </x:c>
      <x:c r="E878" s="13" t="str">
        <x:v>MarketLab</x:v>
      </x:c>
      <x:c r="F878" s="13" t="str">
        <x:v>Marketing</x:v>
      </x:c>
      <x:c r="G878" s="17" t="n">
        <x:v>24810.9</x:v>
      </x:c>
      <x:c r="H878" s="17" t="n">
        <x:v>25609.79</x:v>
      </x:c>
      <x:c r="I878" s="13" t="str">
        <x:v>Diretoria</x:v>
      </x:c>
      <x:c r="J878" s="13" t="str">
        <x:v>Pago</x:v>
      </x:c>
      <x:c r="K878" s="13" t="str">
        <x:v>Operação Clareza</x:v>
      </x:c>
      <x:c r="L878" s="17" t="n">
        <x:f>H878-G878</x:f>
        <x:v>798.8899999999994</x:v>
      </x:c>
      <x:c r="M878" s="19" t="n">
        <x:f>IFERROR(L878/G878,0)</x:f>
        <x:v>0.03219915440391116</x:v>
      </x:c>
      <x:c r="N878" s="13" t="n">
        <x:f>D878-C878</x:f>
        <x:v>-3</x:v>
      </x:c>
    </x:row>
    <x:row r="879">
      <x:c r="A879" s="13" t="str">
        <x:v>PAG-000878</x:v>
      </x:c>
      <x:c r="B879" s="23" t="n">
        <x:v>45907</x:v>
      </x:c>
      <x:c r="C879" s="23" t="n">
        <x:v>45927</x:v>
      </x:c>
      <x:c r="D879" s="23" t="n">
        <x:v>45927</x:v>
      </x:c>
      <x:c r="E879" s="13" t="str">
        <x:v>EducaPro</x:v>
      </x:c>
      <x:c r="F879" s="13" t="str">
        <x:v>Treinamentos</x:v>
      </x:c>
      <x:c r="G879" s="17" t="n">
        <x:v>2606.06</x:v>
      </x:c>
      <x:c r="H879" s="17" t="n">
        <x:v>2523.58</x:v>
      </x:c>
      <x:c r="I879" s="13" t="str">
        <x:v>Gestor da área</x:v>
      </x:c>
      <x:c r="J879" s="13" t="str">
        <x:v>Pago</x:v>
      </x:c>
      <x:c r="K879" s="13" t="str">
        <x:v>Operação Clareza</x:v>
      </x:c>
      <x:c r="L879" s="17" t="n">
        <x:f>H879-G879</x:f>
        <x:v>-82.48000000000002</x:v>
      </x:c>
      <x:c r="M879" s="19" t="n">
        <x:f>IFERROR(L879/G879,0)</x:f>
        <x:v>-0.03164930968588598</x:v>
      </x:c>
      <x:c r="N879" s="13" t="n">
        <x:f>D879-C879</x:f>
        <x:v>0</x:v>
      </x:c>
    </x:row>
    <x:row r="880">
      <x:c r="A880" s="13" t="str">
        <x:v>PAG-000879</x:v>
      </x:c>
      <x:c r="B880" s="23" t="n">
        <x:v>45905</x:v>
      </x:c>
      <x:c r="C880" s="23" t="n">
        <x:v>45912</x:v>
      </x:c>
      <x:c r="D880" s="23" t="n">
        <x:v>45914</x:v>
      </x:c>
      <x:c r="E880" s="13" t="str">
        <x:v>WorkSpace</x:v>
      </x:c>
      <x:c r="F880" s="13" t="str">
        <x:v>Locação</x:v>
      </x:c>
      <x:c r="G880" s="17" t="n">
        <x:v>1469.26</x:v>
      </x:c>
      <x:c r="H880" s="17" t="n">
        <x:v>1473.12</x:v>
      </x:c>
      <x:c r="I880" s="13" t="str">
        <x:v>Financeiro</x:v>
      </x:c>
      <x:c r="J880" s="13" t="str">
        <x:v>Pago</x:v>
      </x:c>
      <x:c r="K880" s="13" t="str">
        <x:v>Operação Clareza</x:v>
      </x:c>
      <x:c r="L880" s="17" t="n">
        <x:f>H880-G880</x:f>
        <x:v>3.8599999999999</x:v>
      </x:c>
      <x:c r="M880" s="19" t="n">
        <x:f>IFERROR(L880/G880,0)</x:f>
        <x:v>0.0026271728625293683</x:v>
      </x:c>
      <x:c r="N880" s="13" t="n">
        <x:f>D880-C880</x:f>
        <x:v>2</x:v>
      </x:c>
    </x:row>
    <x:row r="881">
      <x:c r="A881" s="13" t="str">
        <x:v>PAG-000880</x:v>
      </x:c>
      <x:c r="B881" s="23" t="n">
        <x:v>45903</x:v>
      </x:c>
      <x:c r="C881" s="23" t="n">
        <x:v>45910</x:v>
      </x:c>
      <x:c r="D881" s="23" t="n">
        <x:v>45908</x:v>
      </x:c>
      <x:c r="E881" s="13" t="str">
        <x:v>CloudCore</x:v>
      </x:c>
      <x:c r="F881" s="13" t="str">
        <x:v>Tecnologia</x:v>
      </x:c>
      <x:c r="G881" s="17" t="n">
        <x:v>14557.99</x:v>
      </x:c>
      <x:c r="H881" s="17" t="n">
        <x:v>14532.56</x:v>
      </x:c>
      <x:c r="I881" s="13" t="str">
        <x:v>Gestor da área</x:v>
      </x:c>
      <x:c r="J881" s="13" t="str">
        <x:v>Pago</x:v>
      </x:c>
      <x:c r="K881" s="13" t="str">
        <x:v>Operação Clareza</x:v>
      </x:c>
      <x:c r="L881" s="17" t="n">
        <x:f>H881-G881</x:f>
        <x:v>-25.43000000000029</x:v>
      </x:c>
      <x:c r="M881" s="19" t="n">
        <x:f>IFERROR(L881/G881,0)</x:f>
        <x:v>-0.0017468070798235397</x:v>
      </x:c>
      <x:c r="N881" s="13" t="n">
        <x:f>D881-C881</x:f>
        <x:v>-2</x:v>
      </x:c>
    </x:row>
    <x:row r="882">
      <x:c r="A882" s="13" t="str">
        <x:v>PAG-000881</x:v>
      </x:c>
      <x:c r="B882" s="23" t="n">
        <x:v>45918</x:v>
      </x:c>
      <x:c r="C882" s="23" t="n">
        <x:v>45938</x:v>
      </x:c>
      <x:c r="D882" s="23" t="n">
        <x:v>45936</x:v>
      </x:c>
      <x:c r="E882" s="13" t="str">
        <x:v>EducaPro</x:v>
      </x:c>
      <x:c r="F882" s="13" t="str">
        <x:v>Treinamentos</x:v>
      </x:c>
      <x:c r="G882" s="17" t="n">
        <x:v>16651.31</x:v>
      </x:c>
      <x:c r="H882" s="17" t="n">
        <x:v>16719.9</x:v>
      </x:c>
      <x:c r="I882" s="13" t="str">
        <x:v>Financeiro</x:v>
      </x:c>
      <x:c r="J882" s="13" t="str">
        <x:v>Pago</x:v>
      </x:c>
      <x:c r="K882" s="13" t="str">
        <x:v>Operação Clareza</x:v>
      </x:c>
      <x:c r="L882" s="17" t="n">
        <x:f>H882-G882</x:f>
        <x:v>68.59000000000015</x:v>
      </x:c>
      <x:c r="M882" s="19" t="n">
        <x:f>IFERROR(L882/G882,0)</x:f>
        <x:v>0.004119195426666138</x:v>
      </x:c>
      <x:c r="N882" s="13" t="n">
        <x:f>D882-C882</x:f>
        <x:v>-2</x:v>
      </x:c>
    </x:row>
    <x:row r="883">
      <x:c r="A883" s="13" t="str">
        <x:v>PAG-000882</x:v>
      </x:c>
      <x:c r="B883" s="23" t="n">
        <x:v>45916</x:v>
      </x:c>
      <x:c r="C883" s="23" t="n">
        <x:v>45946</x:v>
      </x:c>
      <x:c r="D883" s="23" t="n">
        <x:v>45944</x:v>
      </x:c>
      <x:c r="E883" s="13" t="str">
        <x:v>DataSafe</x:v>
      </x:c>
      <x:c r="F883" s="13" t="str">
        <x:v>Segurança da informação</x:v>
      </x:c>
      <x:c r="G883" s="17" t="n">
        <x:v>30256.68</x:v>
      </x:c>
      <x:c r="H883" s="17" t="n">
        <x:v>29678.78</x:v>
      </x:c>
      <x:c r="I883" s="13" t="str">
        <x:v>Diretoria</x:v>
      </x:c>
      <x:c r="J883" s="13" t="str">
        <x:v>Pago</x:v>
      </x:c>
      <x:c r="K883" s="13" t="str">
        <x:v>Operação Clareza</x:v>
      </x:c>
      <x:c r="L883" s="17" t="n">
        <x:f>H883-G883</x:f>
        <x:v>-577.9000000000015</x:v>
      </x:c>
      <x:c r="M883" s="19" t="n">
        <x:f>IFERROR(L883/G883,0)</x:f>
        <x:v>-0.01909991446516939</x:v>
      </x:c>
      <x:c r="N883" s="13" t="n">
        <x:f>D883-C883</x:f>
        <x:v>-2</x:v>
      </x:c>
    </x:row>
    <x:row r="884">
      <x:c r="A884" s="13" t="str">
        <x:v>PAG-000883</x:v>
      </x:c>
      <x:c r="B884" s="23" t="n">
        <x:v>45941</x:v>
      </x:c>
      <x:c r="C884" s="23" t="n">
        <x:v>45961</x:v>
      </x:c>
      <x:c r="D884" s="23" t="n">
        <x:v>45962</x:v>
      </x:c>
      <x:c r="E884" s="13" t="str">
        <x:v>NetLink</x:v>
      </x:c>
      <x:c r="F884" s="13" t="str">
        <x:v>Telecomunicações</x:v>
      </x:c>
      <x:c r="G884" s="17" t="n">
        <x:v>6124.31</x:v>
      </x:c>
      <x:c r="H884" s="17" t="n">
        <x:v>6307.74</x:v>
      </x:c>
      <x:c r="I884" s="13" t="str">
        <x:v>Financeiro</x:v>
      </x:c>
      <x:c r="J884" s="13" t="str">
        <x:v>Pago</x:v>
      </x:c>
      <x:c r="K884" s="13" t="str">
        <x:v>Operação Clareza</x:v>
      </x:c>
      <x:c r="L884" s="17" t="n">
        <x:f>H884-G884</x:f>
        <x:v>183.42999999999938</x:v>
      </x:c>
      <x:c r="M884" s="19" t="n">
        <x:f>IFERROR(L884/G884,0)</x:f>
        <x:v>0.02995112918843092</x:v>
      </x:c>
      <x:c r="N884" s="13" t="n">
        <x:f>D884-C884</x:f>
        <x:v>1</x:v>
      </x:c>
    </x:row>
    <x:row r="885">
      <x:c r="A885" s="13" t="str">
        <x:v>PAG-000884</x:v>
      </x:c>
      <x:c r="B885" s="23" t="n">
        <x:v>45945</x:v>
      </x:c>
      <x:c r="C885" s="23" t="n">
        <x:v>45975</x:v>
      </x:c>
      <x:c r="D885" s="23" t="n">
        <x:v>45977</x:v>
      </x:c>
      <x:c r="E885" s="13" t="str">
        <x:v>LegalMais</x:v>
      </x:c>
      <x:c r="F885" s="13" t="str">
        <x:v>Jurídico</x:v>
      </x:c>
      <x:c r="G885" s="17" t="n">
        <x:v>13140.5</x:v>
      </x:c>
      <x:c r="H885" s="17" t="n">
        <x:v>12870.25</x:v>
      </x:c>
      <x:c r="I885" s="13" t="str">
        <x:v>Gestor da área</x:v>
      </x:c>
      <x:c r="J885" s="13" t="str">
        <x:v>Pago</x:v>
      </x:c>
      <x:c r="K885" s="13" t="str">
        <x:v>Operação Clareza</x:v>
      </x:c>
      <x:c r="L885" s="17" t="n">
        <x:f>H885-G885</x:f>
        <x:v>-270.25</x:v>
      </x:c>
      <x:c r="M885" s="19" t="n">
        <x:f>IFERROR(L885/G885,0)</x:f>
        <x:v>-0.020566188501198585</x:v>
      </x:c>
      <x:c r="N885" s="13" t="n">
        <x:f>D885-C885</x:f>
        <x:v>2</x:v>
      </x:c>
    </x:row>
    <x:row r="886">
      <x:c r="A886" s="13" t="str">
        <x:v>PAG-000885</x:v>
      </x:c>
      <x:c r="B886" s="23" t="n">
        <x:v>45946</x:v>
      </x:c>
      <x:c r="C886" s="23" t="n">
        <x:v>45953</x:v>
      </x:c>
      <x:c r="D886" s="23" t="n">
        <x:v>45952</x:v>
      </x:c>
      <x:c r="E886" s="13" t="str">
        <x:v>LegalMais</x:v>
      </x:c>
      <x:c r="F886" s="13" t="str">
        <x:v>Jurídico</x:v>
      </x:c>
      <x:c r="G886" s="17" t="n">
        <x:v>8799.12</x:v>
      </x:c>
      <x:c r="H886" s="17" t="n">
        <x:v>8695.32</x:v>
      </x:c>
      <x:c r="I886" s="13" t="str">
        <x:v>Diretoria</x:v>
      </x:c>
      <x:c r="J886" s="13" t="str">
        <x:v>Pago</x:v>
      </x:c>
      <x:c r="K886" s="13" t="str">
        <x:v>Operação Clareza</x:v>
      </x:c>
      <x:c r="L886" s="17" t="n">
        <x:f>H886-G886</x:f>
        <x:v>-103.80000000000109</x:v>
      </x:c>
      <x:c r="M886" s="19" t="n">
        <x:f>IFERROR(L886/G886,0)</x:f>
        <x:v>-0.011796634208875556</x:v>
      </x:c>
      <x:c r="N886" s="13" t="n">
        <x:f>D886-C886</x:f>
        <x:v>-1</x:v>
      </x:c>
    </x:row>
    <x:row r="887">
      <x:c r="A887" s="13" t="str">
        <x:v>PAG-000886</x:v>
      </x:c>
      <x:c r="B887" s="23" t="n">
        <x:v>45942</x:v>
      </x:c>
      <x:c r="C887" s="23" t="n">
        <x:v>45962</x:v>
      </x:c>
      <x:c r="D887" s="23" t="n">
        <x:v>45960</x:v>
      </x:c>
      <x:c r="E887" s="13" t="str">
        <x:v>Office Prime</x:v>
      </x:c>
      <x:c r="F887" s="13" t="str">
        <x:v>Escritório</x:v>
      </x:c>
      <x:c r="G887" s="17" t="n">
        <x:v>16516.04</x:v>
      </x:c>
      <x:c r="H887" s="17" t="n">
        <x:v>17090.17</x:v>
      </x:c>
      <x:c r="I887" s="13" t="str">
        <x:v>Financeiro</x:v>
      </x:c>
      <x:c r="J887" s="13" t="str">
        <x:v>Pago</x:v>
      </x:c>
      <x:c r="K887" s="13" t="str">
        <x:v>Operação Clareza</x:v>
      </x:c>
      <x:c r="L887" s="17" t="n">
        <x:f>H887-G887</x:f>
        <x:v>574.1299999999974</x:v>
      </x:c>
      <x:c r="M887" s="19" t="n">
        <x:f>IFERROR(L887/G887,0)</x:f>
        <x:v>0.034761964732465976</x:v>
      </x:c>
      <x:c r="N887" s="13" t="n">
        <x:f>D887-C887</x:f>
        <x:v>-2</x:v>
      </x:c>
    </x:row>
    <x:row r="888">
      <x:c r="A888" s="13" t="str">
        <x:v>PAG-000887</x:v>
      </x:c>
      <x:c r="B888" s="23" t="n">
        <x:v>45937</x:v>
      </x:c>
      <x:c r="C888" s="23" t="n">
        <x:v>45952</x:v>
      </x:c>
      <x:c r="D888" s="23" t="n">
        <x:v>45952</x:v>
      </x:c>
      <x:c r="E888" s="13" t="str">
        <x:v>PeopleHub</x:v>
      </x:c>
      <x:c r="F888" s="13" t="str">
        <x:v>Recursos Humanos</x:v>
      </x:c>
      <x:c r="G888" s="17" t="n">
        <x:v>17401.33</x:v>
      </x:c>
      <x:c r="H888" s="17" t="n">
        <x:v>17145.56</x:v>
      </x:c>
      <x:c r="I888" s="13" t="str">
        <x:v>Diretoria</x:v>
      </x:c>
      <x:c r="J888" s="13" t="str">
        <x:v>Pago</x:v>
      </x:c>
      <x:c r="K888" s="13" t="str">
        <x:v>Operação Clareza</x:v>
      </x:c>
      <x:c r="L888" s="17" t="n">
        <x:f>H888-G888</x:f>
        <x:v>-255.77000000000044</x:v>
      </x:c>
      <x:c r="M888" s="19" t="n">
        <x:f>IFERROR(L888/G888,0)</x:f>
        <x:v>-0.014698301796471903</x:v>
      </x:c>
      <x:c r="N888" s="13" t="n">
        <x:f>D888-C888</x:f>
        <x:v>0</x:v>
      </x:c>
    </x:row>
    <x:row r="889">
      <x:c r="A889" s="13" t="str">
        <x:v>PAG-000888</x:v>
      </x:c>
      <x:c r="B889" s="23" t="n">
        <x:v>45939</x:v>
      </x:c>
      <x:c r="C889" s="23" t="n">
        <x:v>45946</x:v>
      </x:c>
      <x:c r="D889" s="23" t="n">
        <x:v>45946</x:v>
      </x:c>
      <x:c r="E889" s="13" t="str">
        <x:v>WorkSpace</x:v>
      </x:c>
      <x:c r="F889" s="13" t="str">
        <x:v>Locação</x:v>
      </x:c>
      <x:c r="G889" s="17" t="n">
        <x:v>18427.9</x:v>
      </x:c>
      <x:c r="H889" s="17" t="n">
        <x:v>17862.34</x:v>
      </x:c>
      <x:c r="I889" s="13" t="str">
        <x:v>Financeiro</x:v>
      </x:c>
      <x:c r="J889" s="13" t="str">
        <x:v>Pago</x:v>
      </x:c>
      <x:c r="K889" s="13" t="str">
        <x:v>Operação Clareza</x:v>
      </x:c>
      <x:c r="L889" s="17" t="n">
        <x:f>H889-G889</x:f>
        <x:v>-565.5600000000013</x:v>
      </x:c>
      <x:c r="M889" s="19" t="n">
        <x:f>IFERROR(L889/G889,0)</x:f>
        <x:v>-0.03069042050369284</x:v>
      </x:c>
      <x:c r="N889" s="13" t="n">
        <x:f>D889-C889</x:f>
        <x:v>0</x:v>
      </x:c>
    </x:row>
    <x:row r="890">
      <x:c r="A890" s="13" t="str">
        <x:v>PAG-000889</x:v>
      </x:c>
      <x:c r="B890" s="23" t="n">
        <x:v>45934</x:v>
      </x:c>
      <x:c r="C890" s="23" t="n">
        <x:v>45954</x:v>
      </x:c>
      <x:c r="D890" s="23" t="n">
        <x:v>45952</x:v>
      </x:c>
      <x:c r="E890" s="13" t="str">
        <x:v>WorkSpace</x:v>
      </x:c>
      <x:c r="F890" s="13" t="str">
        <x:v>Locação</x:v>
      </x:c>
      <x:c r="G890" s="17" t="n">
        <x:v>25259.99</x:v>
      </x:c>
      <x:c r="H890" s="17" t="n">
        <x:v>26320.9</x:v>
      </x:c>
      <x:c r="I890" s="13" t="str">
        <x:v>Financeiro</x:v>
      </x:c>
      <x:c r="J890" s="13" t="str">
        <x:v>Pago</x:v>
      </x:c>
      <x:c r="K890" s="13" t="str">
        <x:v>Operação Clareza</x:v>
      </x:c>
      <x:c r="L890" s="17" t="n">
        <x:f>H890-G890</x:f>
        <x:v>1060.9099999999999</x:v>
      </x:c>
      <x:c r="M890" s="19" t="n">
        <x:f>IFERROR(L890/G890,0)</x:f>
        <x:v>0.04199962074410955</x:v>
      </x:c>
      <x:c r="N890" s="13" t="n">
        <x:f>D890-C890</x:f>
        <x:v>-2</x:v>
      </x:c>
    </x:row>
    <x:row r="891">
      <x:c r="A891" s="13" t="str">
        <x:v>PAG-000890</x:v>
      </x:c>
      <x:c r="B891" s="23" t="n">
        <x:v>45950</x:v>
      </x:c>
      <x:c r="C891" s="23" t="n">
        <x:v>45965</x:v>
      </x:c>
      <x:c r="D891" s="23" t="n">
        <x:v>45964</x:v>
      </x:c>
      <x:c r="E891" s="13" t="str">
        <x:v>MarketLab</x:v>
      </x:c>
      <x:c r="F891" s="13" t="str">
        <x:v>Marketing</x:v>
      </x:c>
      <x:c r="G891" s="17" t="n">
        <x:v>31530.58</x:v>
      </x:c>
      <x:c r="H891" s="17" t="n">
        <x:v>31804.06</x:v>
      </x:c>
      <x:c r="I891" s="13" t="str">
        <x:v>Financeiro</x:v>
      </x:c>
      <x:c r="J891" s="13" t="str">
        <x:v>Pago</x:v>
      </x:c>
      <x:c r="K891" s="13" t="str">
        <x:v>Operação Clareza</x:v>
      </x:c>
      <x:c r="L891" s="17" t="n">
        <x:f>H891-G891</x:f>
        <x:v>273.47999999999956</x:v>
      </x:c>
      <x:c r="M891" s="19" t="n">
        <x:f>IFERROR(L891/G891,0)</x:f>
        <x:v>0.00867348459812663</x:v>
      </x:c>
      <x:c r="N891" s="13" t="n">
        <x:f>D891-C891</x:f>
        <x:v>-1</x:v>
      </x:c>
    </x:row>
    <x:row r="892">
      <x:c r="A892" s="13" t="str">
        <x:v>PAG-000891</x:v>
      </x:c>
      <x:c r="B892" s="23" t="n">
        <x:v>45944</x:v>
      </x:c>
      <x:c r="C892" s="23" t="n">
        <x:v>45959</x:v>
      </x:c>
      <x:c r="D892" s="23" t="n">
        <x:v>45960</x:v>
      </x:c>
      <x:c r="E892" s="13" t="str">
        <x:v>MarketLab</x:v>
      </x:c>
      <x:c r="F892" s="13" t="str">
        <x:v>Marketing</x:v>
      </x:c>
      <x:c r="G892" s="17" t="n">
        <x:v>16708.1</x:v>
      </x:c>
      <x:c r="H892" s="17" t="n">
        <x:v>17072.12</x:v>
      </x:c>
      <x:c r="I892" s="13" t="str">
        <x:v>Gestor da área</x:v>
      </x:c>
      <x:c r="J892" s="13" t="str">
        <x:v>Pago</x:v>
      </x:c>
      <x:c r="K892" s="13" t="str">
        <x:v>Operação Clareza</x:v>
      </x:c>
      <x:c r="L892" s="17" t="n">
        <x:f>H892-G892</x:f>
        <x:v>364.02000000000044</x:v>
      </x:c>
      <x:c r="M892" s="19" t="n">
        <x:f>IFERROR(L892/G892,0)</x:f>
        <x:v>0.021787037424961575</x:v>
      </x:c>
      <x:c r="N892" s="13" t="n">
        <x:f>D892-C892</x:f>
        <x:v>1</x:v>
      </x:c>
    </x:row>
    <x:row r="893">
      <x:c r="A893" s="13" t="str">
        <x:v>PAG-000892</x:v>
      </x:c>
      <x:c r="B893" s="23" t="n">
        <x:v>45945</x:v>
      </x:c>
      <x:c r="C893" s="23" t="n">
        <x:v>45960</x:v>
      </x:c>
      <x:c r="D893" s="23" t="n">
        <x:v>45958</x:v>
      </x:c>
      <x:c r="E893" s="13" t="str">
        <x:v>Banco Integra</x:v>
      </x:c>
      <x:c r="F893" s="13" t="str">
        <x:v>Serviços bancários</x:v>
      </x:c>
      <x:c r="G893" s="17" t="n">
        <x:v>6218.36</x:v>
      </x:c>
      <x:c r="H893" s="17" t="n">
        <x:v>6148.96</x:v>
      </x:c>
      <x:c r="I893" s="13" t="str">
        <x:v>Diretoria</x:v>
      </x:c>
      <x:c r="J893" s="13" t="str">
        <x:v>Pago</x:v>
      </x:c>
      <x:c r="K893" s="13" t="str">
        <x:v>Operação Clareza</x:v>
      </x:c>
      <x:c r="L893" s="17" t="n">
        <x:f>H893-G893</x:f>
        <x:v>-69.39999999999964</x:v>
      </x:c>
      <x:c r="M893" s="19" t="n">
        <x:f>IFERROR(L893/G893,0)</x:f>
        <x:v>-0.011160498909680308</x:v>
      </x:c>
      <x:c r="N893" s="13" t="n">
        <x:f>D893-C893</x:f>
        <x:v>-2</x:v>
      </x:c>
    </x:row>
    <x:row r="894">
      <x:c r="A894" s="13" t="str">
        <x:v>PAG-000893</x:v>
      </x:c>
      <x:c r="B894" s="23" t="n">
        <x:v>45941</x:v>
      </x:c>
      <x:c r="C894" s="23" t="n">
        <x:v>45948</x:v>
      </x:c>
      <x:c r="D894" s="23" t="n">
        <x:v>45948</x:v>
      </x:c>
      <x:c r="E894" s="13" t="str">
        <x:v>Insight BI</x:v>
      </x:c>
      <x:c r="F894" s="13" t="str">
        <x:v>Dados e Analytics</x:v>
      </x:c>
      <x:c r="G894" s="17" t="n">
        <x:v>18503.38</x:v>
      </x:c>
      <x:c r="H894" s="17" t="n">
        <x:v>18869.81</x:v>
      </x:c>
      <x:c r="I894" s="13" t="str">
        <x:v>Gestor da área</x:v>
      </x:c>
      <x:c r="J894" s="13" t="str">
        <x:v>Pago</x:v>
      </x:c>
      <x:c r="K894" s="13" t="str">
        <x:v>Operação Clareza</x:v>
      </x:c>
      <x:c r="L894" s="17" t="n">
        <x:f>H894-G894</x:f>
        <x:v>366.4300000000003</x:v>
      </x:c>
      <x:c r="M894" s="19" t="n">
        <x:f>IFERROR(L894/G894,0)</x:f>
        <x:v>0.019803408890699984</x:v>
      </x:c>
      <x:c r="N894" s="13" t="n">
        <x:f>D894-C894</x:f>
        <x:v>0</x:v>
      </x:c>
    </x:row>
    <x:row r="895">
      <x:c r="A895" s="13" t="str">
        <x:v>PAG-000894</x:v>
      </x:c>
      <x:c r="B895" s="23" t="n">
        <x:v>45931</x:v>
      </x:c>
      <x:c r="C895" s="23" t="n">
        <x:v>45938</x:v>
      </x:c>
      <x:c r="D895" s="23" t="n">
        <x:v>45937</x:v>
      </x:c>
      <x:c r="E895" s="13" t="str">
        <x:v>WorkSpace</x:v>
      </x:c>
      <x:c r="F895" s="13" t="str">
        <x:v>Locação</x:v>
      </x:c>
      <x:c r="G895" s="17" t="n">
        <x:v>15615.89</x:v>
      </x:c>
      <x:c r="H895" s="17" t="n">
        <x:v>16031.15</x:v>
      </x:c>
      <x:c r="I895" s="13" t="str">
        <x:v>Diretoria</x:v>
      </x:c>
      <x:c r="J895" s="13" t="str">
        <x:v>Pago</x:v>
      </x:c>
      <x:c r="K895" s="13" t="str">
        <x:v>Operação Clareza</x:v>
      </x:c>
      <x:c r="L895" s="17" t="n">
        <x:f>H895-G895</x:f>
        <x:v>415.2600000000002</x:v>
      </x:c>
      <x:c r="M895" s="19" t="n">
        <x:f>IFERROR(L895/G895,0)</x:f>
        <x:v>0.026592144283803243</x:v>
      </x:c>
      <x:c r="N895" s="13" t="n">
        <x:f>D895-C895</x:f>
        <x:v>-1</x:v>
      </x:c>
    </x:row>
    <x:row r="896">
      <x:c r="A896" s="13" t="str">
        <x:v>PAG-000895</x:v>
      </x:c>
      <x:c r="B896" s="23" t="n">
        <x:v>45932</x:v>
      </x:c>
      <x:c r="C896" s="23" t="n">
        <x:v>45952</x:v>
      </x:c>
      <x:c r="D896" s="23" t="n">
        <x:v>45950</x:v>
      </x:c>
      <x:c r="E896" s="13" t="str">
        <x:v>PeopleHub</x:v>
      </x:c>
      <x:c r="F896" s="13" t="str">
        <x:v>Recursos Humanos</x:v>
      </x:c>
      <x:c r="G896" s="17" t="n">
        <x:v>23944.5</x:v>
      </x:c>
      <x:c r="H896" s="17" t="n">
        <x:v>23615.9</x:v>
      </x:c>
      <x:c r="I896" s="13" t="str">
        <x:v>Financeiro</x:v>
      </x:c>
      <x:c r="J896" s="13" t="str">
        <x:v>Pago</x:v>
      </x:c>
      <x:c r="K896" s="13" t="str">
        <x:v>Operação Clareza</x:v>
      </x:c>
      <x:c r="L896" s="17" t="n">
        <x:f>H896-G896</x:f>
        <x:v>-328.59999999999854</x:v>
      </x:c>
      <x:c r="M896" s="19" t="n">
        <x:f>IFERROR(L896/G896,0)</x:f>
        <x:v>-0.01372340203386993</x:v>
      </x:c>
      <x:c r="N896" s="13" t="n">
        <x:f>D896-C896</x:f>
        <x:v>-2</x:v>
      </x:c>
    </x:row>
    <x:row r="897">
      <x:c r="A897" s="13" t="str">
        <x:v>PAG-000896</x:v>
      </x:c>
      <x:c r="B897" s="23" t="n">
        <x:v>45946</x:v>
      </x:c>
      <x:c r="C897" s="23" t="n">
        <x:v>45976</x:v>
      </x:c>
      <x:c r="D897" s="23" t="n">
        <x:v>45973</x:v>
      </x:c>
      <x:c r="E897" s="13" t="str">
        <x:v>Banco Integra</x:v>
      </x:c>
      <x:c r="F897" s="13" t="str">
        <x:v>Serviços bancários</x:v>
      </x:c>
      <x:c r="G897" s="17" t="n">
        <x:v>15263.72</x:v>
      </x:c>
      <x:c r="H897" s="17" t="n">
        <x:v>15556.3</x:v>
      </x:c>
      <x:c r="I897" s="13" t="str">
        <x:v>Gestor da área</x:v>
      </x:c>
      <x:c r="J897" s="13" t="str">
        <x:v>Pago</x:v>
      </x:c>
      <x:c r="K897" s="13" t="str">
        <x:v>Operação Clareza</x:v>
      </x:c>
      <x:c r="L897" s="17" t="n">
        <x:f>H897-G897</x:f>
        <x:v>292.5799999999999</x:v>
      </x:c>
      <x:c r="M897" s="19" t="n">
        <x:f>IFERROR(L897/G897,0)</x:f>
        <x:v>0.01916832855948615</x:v>
      </x:c>
      <x:c r="N897" s="13" t="n">
        <x:f>D897-C897</x:f>
        <x:v>-3</x:v>
      </x:c>
    </x:row>
    <x:row r="898">
      <x:c r="A898" s="13" t="str">
        <x:v>PAG-000897</x:v>
      </x:c>
      <x:c r="B898" s="23" t="n">
        <x:v>45946</x:v>
      </x:c>
      <x:c r="C898" s="23" t="n">
        <x:v>45976</x:v>
      </x:c>
      <x:c r="D898" s="23" t="n">
        <x:v>45973</x:v>
      </x:c>
      <x:c r="E898" s="13" t="str">
        <x:v>Office Prime</x:v>
      </x:c>
      <x:c r="F898" s="13" t="str">
        <x:v>Escritório</x:v>
      </x:c>
      <x:c r="G898" s="17" t="n">
        <x:v>30083.24</x:v>
      </x:c>
      <x:c r="H898" s="17" t="n">
        <x:v>29917.91</x:v>
      </x:c>
      <x:c r="I898" s="13" t="str">
        <x:v>Diretoria</x:v>
      </x:c>
      <x:c r="J898" s="13" t="str">
        <x:v>Pago</x:v>
      </x:c>
      <x:c r="K898" s="13" t="str">
        <x:v>Operação Clareza</x:v>
      </x:c>
      <x:c r="L898" s="17" t="n">
        <x:f>H898-G898</x:f>
        <x:v>-165.33000000000175</x:v>
      </x:c>
      <x:c r="M898" s="19" t="n">
        <x:f>IFERROR(L898/G898,0)</x:f>
        <x:v>-0.005495751122552017</x:v>
      </x:c>
      <x:c r="N898" s="13" t="n">
        <x:f>D898-C898</x:f>
        <x:v>-3</x:v>
      </x:c>
    </x:row>
    <x:row r="899">
      <x:c r="A899" s="13" t="str">
        <x:v>PAG-000898</x:v>
      </x:c>
      <x:c r="B899" s="23" t="n">
        <x:v>45932</x:v>
      </x:c>
      <x:c r="C899" s="23" t="n">
        <x:v>45939</x:v>
      </x:c>
      <x:c r="D899" s="23" t="n">
        <x:v>45939</x:v>
      </x:c>
      <x:c r="E899" s="13" t="str">
        <x:v>MarketLab</x:v>
      </x:c>
      <x:c r="F899" s="13" t="str">
        <x:v>Marketing</x:v>
      </x:c>
      <x:c r="G899" s="17" t="n">
        <x:v>1166.43</x:v>
      </x:c>
      <x:c r="H899" s="17" t="n">
        <x:v>1176.57</x:v>
      </x:c>
      <x:c r="I899" s="13" t="str">
        <x:v>Diretoria</x:v>
      </x:c>
      <x:c r="J899" s="13" t="str">
        <x:v>Pago</x:v>
      </x:c>
      <x:c r="K899" s="13" t="str">
        <x:v>Operação Clareza</x:v>
      </x:c>
      <x:c r="L899" s="17" t="n">
        <x:f>H899-G899</x:f>
        <x:v>10.139999999999873</x:v>
      </x:c>
      <x:c r="M899" s="19" t="n">
        <x:f>IFERROR(L899/G899,0)</x:f>
        <x:v>0.008693192047529531</x:v>
      </x:c>
      <x:c r="N899" s="13" t="n">
        <x:f>D899-C899</x:f>
        <x:v>0</x:v>
      </x:c>
    </x:row>
    <x:row r="900">
      <x:c r="A900" s="13" t="str">
        <x:v>PAG-000899</x:v>
      </x:c>
      <x:c r="B900" s="23" t="n">
        <x:v>45946</x:v>
      </x:c>
      <x:c r="C900" s="23" t="n">
        <x:v>45953</x:v>
      </x:c>
      <x:c r="D900" s="23" t="n">
        <x:v>45950</x:v>
      </x:c>
      <x:c r="E900" s="13" t="str">
        <x:v>PeopleHub</x:v>
      </x:c>
      <x:c r="F900" s="13" t="str">
        <x:v>Recursos Humanos</x:v>
      </x:c>
      <x:c r="G900" s="17" t="n">
        <x:v>3171.93</x:v>
      </x:c>
      <x:c r="H900" s="17" t="n">
        <x:v>3095.41</x:v>
      </x:c>
      <x:c r="I900" s="13" t="str">
        <x:v>Financeiro</x:v>
      </x:c>
      <x:c r="J900" s="13" t="str">
        <x:v>Pago</x:v>
      </x:c>
      <x:c r="K900" s="13" t="str">
        <x:v>Operação Clareza</x:v>
      </x:c>
      <x:c r="L900" s="17" t="n">
        <x:f>H900-G900</x:f>
        <x:v>-76.51999999999998</x:v>
      </x:c>
      <x:c r="M900" s="19" t="n">
        <x:f>IFERROR(L900/G900,0)</x:f>
        <x:v>-0.02412411370994946</x:v>
      </x:c>
      <x:c r="N900" s="13" t="n">
        <x:f>D900-C900</x:f>
        <x:v>-3</x:v>
      </x:c>
    </x:row>
    <x:row r="901">
      <x:c r="A901" s="13" t="str">
        <x:v>PAG-000900</x:v>
      </x:c>
      <x:c r="B901" s="23" t="n">
        <x:v>45940</x:v>
      </x:c>
      <x:c r="C901" s="23" t="n">
        <x:v>45947</x:v>
      </x:c>
      <x:c r="D901" s="23" t="n">
        <x:v>45948</x:v>
      </x:c>
      <x:c r="E901" s="13" t="str">
        <x:v>WorkSpace</x:v>
      </x:c>
      <x:c r="F901" s="13" t="str">
        <x:v>Locação</x:v>
      </x:c>
      <x:c r="G901" s="17" t="n">
        <x:v>29214.42</x:v>
      </x:c>
      <x:c r="H901" s="17" t="n">
        <x:v>30431.85</x:v>
      </x:c>
      <x:c r="I901" s="13" t="str">
        <x:v>Gestor da área</x:v>
      </x:c>
      <x:c r="J901" s="13" t="str">
        <x:v>Pago</x:v>
      </x:c>
      <x:c r="K901" s="13" t="str">
        <x:v>Operação Clareza</x:v>
      </x:c>
      <x:c r="L901" s="17" t="n">
        <x:f>H901-G901</x:f>
        <x:v>1217.4300000000003</x:v>
      </x:c>
      <x:c r="M901" s="19" t="n">
        <x:f>IFERROR(L901/G901,0)</x:f>
        <x:v>0.041672228988287305</x:v>
      </x:c>
      <x:c r="N901" s="13" t="n">
        <x:f>D901-C901</x:f>
        <x:v>1</x:v>
      </x:c>
    </x:row>
    <x:row r="902">
      <x:c r="A902" s="13" t="str">
        <x:v>PAG-000901</x:v>
      </x:c>
      <x:c r="B902" s="23" t="n">
        <x:v>45945</x:v>
      </x:c>
      <x:c r="C902" s="23" t="n">
        <x:v>45952</x:v>
      </x:c>
      <x:c r="D902" s="23" t="n">
        <x:v>45954</x:v>
      </x:c>
      <x:c r="E902" s="13" t="str">
        <x:v>PeopleHub</x:v>
      </x:c>
      <x:c r="F902" s="13" t="str">
        <x:v>Recursos Humanos</x:v>
      </x:c>
      <x:c r="G902" s="17" t="n">
        <x:v>20372.84</x:v>
      </x:c>
      <x:c r="H902" s="17" t="n">
        <x:v>20341.2</x:v>
      </x:c>
      <x:c r="I902" s="13" t="str">
        <x:v>Financeiro</x:v>
      </x:c>
      <x:c r="J902" s="13" t="str">
        <x:v>Pago</x:v>
      </x:c>
      <x:c r="K902" s="13" t="str">
        <x:v>Operação Clareza</x:v>
      </x:c>
      <x:c r="L902" s="17" t="n">
        <x:f>H902-G902</x:f>
        <x:v>-31.639999999999418</x:v>
      </x:c>
      <x:c r="M902" s="19" t="n">
        <x:f>IFERROR(L902/G902,0)</x:f>
        <x:v>-0.0015530480777348381</x:v>
      </x:c>
      <x:c r="N902" s="13" t="n">
        <x:f>D902-C902</x:f>
        <x:v>2</x:v>
      </x:c>
    </x:row>
    <x:row r="903">
      <x:c r="A903" s="13" t="str">
        <x:v>PAG-000902</x:v>
      </x:c>
      <x:c r="B903" s="23" t="n">
        <x:v>45943</x:v>
      </x:c>
      <x:c r="C903" s="23" t="n">
        <x:v>45950</x:v>
      </x:c>
      <x:c r="D903" s="23" t="n">
        <x:v>45949</x:v>
      </x:c>
      <x:c r="E903" s="13" t="str">
        <x:v>WorkSpace</x:v>
      </x:c>
      <x:c r="F903" s="13" t="str">
        <x:v>Locação</x:v>
      </x:c>
      <x:c r="G903" s="17" t="n">
        <x:v>27424.94</x:v>
      </x:c>
      <x:c r="H903" s="17" t="n">
        <x:v>27474.05</x:v>
      </x:c>
      <x:c r="I903" s="13" t="str">
        <x:v>Financeiro</x:v>
      </x:c>
      <x:c r="J903" s="13" t="str">
        <x:v>Pago</x:v>
      </x:c>
      <x:c r="K903" s="13" t="str">
        <x:v>Operação Clareza</x:v>
      </x:c>
      <x:c r="L903" s="17" t="n">
        <x:f>H903-G903</x:f>
        <x:v>49.11000000000058</x:v>
      </x:c>
      <x:c r="M903" s="19" t="n">
        <x:f>IFERROR(L903/G903,0)</x:f>
        <x:v>0.0017907058319909027</x:v>
      </x:c>
      <x:c r="N903" s="13" t="n">
        <x:f>D903-C903</x:f>
        <x:v>-1</x:v>
      </x:c>
    </x:row>
    <x:row r="904">
      <x:c r="A904" s="13" t="str">
        <x:v>PAG-000903</x:v>
      </x:c>
      <x:c r="B904" s="23" t="n">
        <x:v>45947</x:v>
      </x:c>
      <x:c r="C904" s="23" t="n">
        <x:v>45967</x:v>
      </x:c>
      <x:c r="D904" s="23" t="n">
        <x:v>45965</x:v>
      </x:c>
      <x:c r="E904" s="13" t="str">
        <x:v>Banco Integra</x:v>
      </x:c>
      <x:c r="F904" s="13" t="str">
        <x:v>Serviços bancários</x:v>
      </x:c>
      <x:c r="G904" s="17" t="n">
        <x:v>11550.64</x:v>
      </x:c>
      <x:c r="H904" s="17" t="n">
        <x:v>11617.59</x:v>
      </x:c>
      <x:c r="I904" s="13" t="str">
        <x:v>Financeiro</x:v>
      </x:c>
      <x:c r="J904" s="13" t="str">
        <x:v>Pago</x:v>
      </x:c>
      <x:c r="K904" s="13" t="str">
        <x:v>Operação Clareza</x:v>
      </x:c>
      <x:c r="L904" s="17" t="n">
        <x:f>H904-G904</x:f>
        <x:v>66.95000000000073</x:v>
      </x:c>
      <x:c r="M904" s="19" t="n">
        <x:f>IFERROR(L904/G904,0)</x:f>
        <x:v>0.005796215620952668</x:v>
      </x:c>
      <x:c r="N904" s="13" t="n">
        <x:f>D904-C904</x:f>
        <x:v>-2</x:v>
      </x:c>
    </x:row>
    <x:row r="905">
      <x:c r="A905" s="13" t="str">
        <x:v>PAG-000904</x:v>
      </x:c>
      <x:c r="B905" s="23" t="n">
        <x:v>45941</x:v>
      </x:c>
      <x:c r="C905" s="23" t="n">
        <x:v>45961</x:v>
      </x:c>
      <x:c r="D905" s="23" t="n">
        <x:v>45958</x:v>
      </x:c>
      <x:c r="E905" s="13" t="str">
        <x:v>PeopleHub</x:v>
      </x:c>
      <x:c r="F905" s="13" t="str">
        <x:v>Recursos Humanos</x:v>
      </x:c>
      <x:c r="G905" s="17" t="n">
        <x:v>11523.9</x:v>
      </x:c>
      <x:c r="H905" s="17" t="n">
        <x:v>11659.66</x:v>
      </x:c>
      <x:c r="I905" s="13" t="str">
        <x:v>Financeiro</x:v>
      </x:c>
      <x:c r="J905" s="13" t="str">
        <x:v>Pago</x:v>
      </x:c>
      <x:c r="K905" s="13" t="str">
        <x:v>Operação Clareza</x:v>
      </x:c>
      <x:c r="L905" s="17" t="n">
        <x:f>H905-G905</x:f>
        <x:v>135.76000000000022</x:v>
      </x:c>
      <x:c r="M905" s="19" t="n">
        <x:f>IFERROR(L905/G905,0)</x:f>
        <x:v>0.011780733952915266</x:v>
      </x:c>
      <x:c r="N905" s="13" t="n">
        <x:f>D905-C905</x:f>
        <x:v>-3</x:v>
      </x:c>
    </x:row>
    <x:row r="906">
      <x:c r="A906" s="13" t="str">
        <x:v>PAG-000905</x:v>
      </x:c>
      <x:c r="B906" s="23" t="n">
        <x:v>45936</x:v>
      </x:c>
      <x:c r="C906" s="23" t="n">
        <x:v>45943</x:v>
      </x:c>
      <x:c r="D906" s="23" t="n">
        <x:v>45943</x:v>
      </x:c>
      <x:c r="E906" s="13" t="str">
        <x:v>Banco Integra</x:v>
      </x:c>
      <x:c r="F906" s="13" t="str">
        <x:v>Serviços bancários</x:v>
      </x:c>
      <x:c r="G906" s="17" t="n">
        <x:v>19448.66</x:v>
      </x:c>
      <x:c r="H906" s="17" t="n">
        <x:v>20229.61</x:v>
      </x:c>
      <x:c r="I906" s="13" t="str">
        <x:v>Financeiro</x:v>
      </x:c>
      <x:c r="J906" s="13" t="str">
        <x:v>Pago</x:v>
      </x:c>
      <x:c r="K906" s="13" t="str">
        <x:v>Operação Clareza</x:v>
      </x:c>
      <x:c r="L906" s="17" t="n">
        <x:f>H906-G906</x:f>
        <x:v>780.9500000000007</x:v>
      </x:c>
      <x:c r="M906" s="19" t="n">
        <x:f>IFERROR(L906/G906,0)</x:f>
        <x:v>0.04015443737511997</x:v>
      </x:c>
      <x:c r="N906" s="13" t="n">
        <x:f>D906-C906</x:f>
        <x:v>0</x:v>
      </x:c>
    </x:row>
    <x:row r="907">
      <x:c r="A907" s="13" t="str">
        <x:v>PAG-000906</x:v>
      </x:c>
      <x:c r="B907" s="23" t="n">
        <x:v>45946</x:v>
      </x:c>
      <x:c r="C907" s="23" t="n">
        <x:v>45976</x:v>
      </x:c>
      <x:c r="D907" s="23" t="n">
        <x:v>45978</x:v>
      </x:c>
      <x:c r="E907" s="13" t="str">
        <x:v>Insight BI</x:v>
      </x:c>
      <x:c r="F907" s="13" t="str">
        <x:v>Dados e Analytics</x:v>
      </x:c>
      <x:c r="G907" s="17" t="n">
        <x:v>6553.09</x:v>
      </x:c>
      <x:c r="H907" s="17" t="n">
        <x:v>6474.8</x:v>
      </x:c>
      <x:c r="I907" s="13" t="str">
        <x:v>Gestor da área</x:v>
      </x:c>
      <x:c r="J907" s="13" t="str">
        <x:v>Pago</x:v>
      </x:c>
      <x:c r="K907" s="13" t="str">
        <x:v>Operação Clareza</x:v>
      </x:c>
      <x:c r="L907" s="17" t="n">
        <x:f>H907-G907</x:f>
        <x:v>-78.28999999999996</x:v>
      </x:c>
      <x:c r="M907" s="19" t="n">
        <x:f>IFERROR(L907/G907,0)</x:f>
        <x:v>-0.011947035673247272</x:v>
      </x:c>
      <x:c r="N907" s="13" t="n">
        <x:f>D907-C907</x:f>
        <x:v>2</x:v>
      </x:c>
    </x:row>
    <x:row r="908">
      <x:c r="A908" s="13" t="str">
        <x:v>PAG-000907</x:v>
      </x:c>
      <x:c r="B908" s="23" t="n">
        <x:v>45941</x:v>
      </x:c>
      <x:c r="C908" s="23" t="n">
        <x:v>45961</x:v>
      </x:c>
      <x:c r="D908" s="23" t="n">
        <x:v>45961</x:v>
      </x:c>
      <x:c r="E908" s="13" t="str">
        <x:v>EducaPro</x:v>
      </x:c>
      <x:c r="F908" s="13" t="str">
        <x:v>Treinamentos</x:v>
      </x:c>
      <x:c r="G908" s="17" t="n">
        <x:v>15996.76</x:v>
      </x:c>
      <x:c r="H908" s="17" t="n">
        <x:v>15725.01</x:v>
      </x:c>
      <x:c r="I908" s="13" t="str">
        <x:v>Gestor da área</x:v>
      </x:c>
      <x:c r="J908" s="13" t="str">
        <x:v>Pago</x:v>
      </x:c>
      <x:c r="K908" s="13" t="str">
        <x:v>Operação Clareza</x:v>
      </x:c>
      <x:c r="L908" s="17" t="n">
        <x:f>H908-G908</x:f>
        <x:v>-271.75</x:v>
      </x:c>
      <x:c r="M908" s="19" t="n">
        <x:f>IFERROR(L908/G908,0)</x:f>
        <x:v>-0.01698781503254409</x:v>
      </x:c>
      <x:c r="N908" s="13" t="n">
        <x:f>D908-C908</x:f>
        <x:v>0</x:v>
      </x:c>
    </x:row>
    <x:row r="909">
      <x:c r="A909" s="13" t="str">
        <x:v>PAG-000908</x:v>
      </x:c>
      <x:c r="B909" s="23" t="n">
        <x:v>45941</x:v>
      </x:c>
      <x:c r="C909" s="23" t="n">
        <x:v>45961</x:v>
      </x:c>
      <x:c r="D909" s="23" t="n">
        <x:v>45961</x:v>
      </x:c>
      <x:c r="E909" s="13" t="str">
        <x:v>NetLink</x:v>
      </x:c>
      <x:c r="F909" s="13" t="str">
        <x:v>Telecomunicações</x:v>
      </x:c>
      <x:c r="G909" s="17" t="n">
        <x:v>7871.61</x:v>
      </x:c>
      <x:c r="H909" s="17" t="n">
        <x:v>7621.46</x:v>
      </x:c>
      <x:c r="I909" s="13" t="str">
        <x:v>Diretoria</x:v>
      </x:c>
      <x:c r="J909" s="13" t="str">
        <x:v>Pago</x:v>
      </x:c>
      <x:c r="K909" s="13" t="str">
        <x:v>Operação Clareza</x:v>
      </x:c>
      <x:c r="L909" s="17" t="n">
        <x:f>H909-G909</x:f>
        <x:v>-250.14999999999964</x:v>
      </x:c>
      <x:c r="M909" s="19" t="n">
        <x:f>IFERROR(L909/G909,0)</x:f>
        <x:v>-0.03177875936434854</x:v>
      </x:c>
      <x:c r="N909" s="13" t="n">
        <x:f>D909-C909</x:f>
        <x:v>0</x:v>
      </x:c>
    </x:row>
    <x:row r="910">
      <x:c r="A910" s="13" t="str">
        <x:v>PAG-000909</x:v>
      </x:c>
      <x:c r="B910" s="23" t="n">
        <x:v>45941</x:v>
      </x:c>
      <x:c r="C910" s="23" t="n">
        <x:v>45956</x:v>
      </x:c>
      <x:c r="D910" s="23" t="n">
        <x:v>45958</x:v>
      </x:c>
      <x:c r="E910" s="13" t="str">
        <x:v>LegalMais</x:v>
      </x:c>
      <x:c r="F910" s="13" t="str">
        <x:v>Jurídico</x:v>
      </x:c>
      <x:c r="G910" s="17" t="n">
        <x:v>16235.65</x:v>
      </x:c>
      <x:c r="H910" s="17" t="n">
        <x:v>16382.36</x:v>
      </x:c>
      <x:c r="I910" s="13" t="str">
        <x:v>Gestor da área</x:v>
      </x:c>
      <x:c r="J910" s="13" t="str">
        <x:v>Pago</x:v>
      </x:c>
      <x:c r="K910" s="13" t="str">
        <x:v>Operação Clareza</x:v>
      </x:c>
      <x:c r="L910" s="17" t="n">
        <x:f>H910-G910</x:f>
        <x:v>146.71000000000095</x:v>
      </x:c>
      <x:c r="M910" s="19" t="n">
        <x:f>IFERROR(L910/G910,0)</x:f>
        <x:v>0.009036287429206773</x:v>
      </x:c>
      <x:c r="N910" s="13" t="n">
        <x:f>D910-C910</x:f>
        <x:v>2</x:v>
      </x:c>
    </x:row>
    <x:row r="911">
      <x:c r="A911" s="13" t="str">
        <x:v>PAG-000910</x:v>
      </x:c>
      <x:c r="B911" s="23" t="n">
        <x:v>45949</x:v>
      </x:c>
      <x:c r="C911" s="23" t="n">
        <x:v>45969</x:v>
      </x:c>
      <x:c r="D911" s="23" t="n">
        <x:v>45970</x:v>
      </x:c>
      <x:c r="E911" s="13" t="str">
        <x:v>PeopleHub</x:v>
      </x:c>
      <x:c r="F911" s="13" t="str">
        <x:v>Recursos Humanos</x:v>
      </x:c>
      <x:c r="G911" s="17" t="n">
        <x:v>15992.71</x:v>
      </x:c>
      <x:c r="H911" s="17" t="n">
        <x:v>15905.52</x:v>
      </x:c>
      <x:c r="I911" s="13" t="str">
        <x:v>Gestor da área</x:v>
      </x:c>
      <x:c r="J911" s="13" t="str">
        <x:v>Pago</x:v>
      </x:c>
      <x:c r="K911" s="13" t="str">
        <x:v>Operação Clareza</x:v>
      </x:c>
      <x:c r="L911" s="17" t="n">
        <x:f>H911-G911</x:f>
        <x:v>-87.18999999999869</x:v>
      </x:c>
      <x:c r="M911" s="19" t="n">
        <x:f>IFERROR(L911/G911,0)</x:f>
        <x:v>-0.005451859003258278</x:v>
      </x:c>
      <x:c r="N911" s="13" t="n">
        <x:f>D911-C911</x:f>
        <x:v>1</x:v>
      </x:c>
    </x:row>
    <x:row r="912">
      <x:c r="A912" s="13" t="str">
        <x:v>PAG-000911</x:v>
      </x:c>
      <x:c r="B912" s="23" t="n">
        <x:v>45948</x:v>
      </x:c>
      <x:c r="C912" s="23" t="n">
        <x:v>45968</x:v>
      </x:c>
      <x:c r="D912" s="23" t="n">
        <x:v>45967</x:v>
      </x:c>
      <x:c r="E912" s="13" t="str">
        <x:v>PeopleHub</x:v>
      </x:c>
      <x:c r="F912" s="13" t="str">
        <x:v>Recursos Humanos</x:v>
      </x:c>
      <x:c r="G912" s="17" t="n">
        <x:v>25280.64</x:v>
      </x:c>
      <x:c r="H912" s="17" t="n">
        <x:v>25018.61</x:v>
      </x:c>
      <x:c r="I912" s="13" t="str">
        <x:v>Financeiro</x:v>
      </x:c>
      <x:c r="J912" s="13" t="str">
        <x:v>Pago</x:v>
      </x:c>
      <x:c r="K912" s="13" t="str">
        <x:v>Operação Clareza</x:v>
      </x:c>
      <x:c r="L912" s="17" t="n">
        <x:f>H912-G912</x:f>
        <x:v>-262.02999999999884</x:v>
      </x:c>
      <x:c r="M912" s="19" t="n">
        <x:f>IFERROR(L912/G912,0)</x:f>
        <x:v>-0.010364848358269365</x:v>
      </x:c>
      <x:c r="N912" s="13" t="n">
        <x:f>D912-C912</x:f>
        <x:v>-1</x:v>
      </x:c>
    </x:row>
    <x:row r="913">
      <x:c r="A913" s="13" t="str">
        <x:v>PAG-000912</x:v>
      </x:c>
      <x:c r="B913" s="23" t="n">
        <x:v>45933</x:v>
      </x:c>
      <x:c r="C913" s="23" t="n">
        <x:v>45963</x:v>
      </x:c>
      <x:c r="D913" s="23" t="n">
        <x:v>45963</x:v>
      </x:c>
      <x:c r="E913" s="13" t="str">
        <x:v>EducaPro</x:v>
      </x:c>
      <x:c r="F913" s="13" t="str">
        <x:v>Treinamentos</x:v>
      </x:c>
      <x:c r="G913" s="17" t="n">
        <x:v>22822.67</x:v>
      </x:c>
      <x:c r="H913" s="17" t="n">
        <x:v>23302.57</x:v>
      </x:c>
      <x:c r="I913" s="13" t="str">
        <x:v>Gestor da área</x:v>
      </x:c>
      <x:c r="J913" s="13" t="str">
        <x:v>Pago</x:v>
      </x:c>
      <x:c r="K913" s="13" t="str">
        <x:v>Operação Clareza</x:v>
      </x:c>
      <x:c r="L913" s="17" t="n">
        <x:f>H913-G913</x:f>
        <x:v>479.90000000000146</x:v>
      </x:c>
      <x:c r="M913" s="19" t="n">
        <x:f>IFERROR(L913/G913,0)</x:f>
        <x:v>0.0210273381685842</x:v>
      </x:c>
      <x:c r="N913" s="13" t="n">
        <x:f>D913-C913</x:f>
        <x:v>0</x:v>
      </x:c>
    </x:row>
    <x:row r="914">
      <x:c r="A914" s="13" t="str">
        <x:v>PAG-000913</x:v>
      </x:c>
      <x:c r="B914" s="23" t="n">
        <x:v>45933</x:v>
      </x:c>
      <x:c r="C914" s="23" t="n">
        <x:v>45953</x:v>
      </x:c>
      <x:c r="D914" s="23" t="n">
        <x:v>45950</x:v>
      </x:c>
      <x:c r="E914" s="13" t="str">
        <x:v>WorkSpace</x:v>
      </x:c>
      <x:c r="F914" s="13" t="str">
        <x:v>Locação</x:v>
      </x:c>
      <x:c r="G914" s="17" t="n">
        <x:v>10201.35</x:v>
      </x:c>
      <x:c r="H914" s="17" t="n">
        <x:v>9973.09</x:v>
      </x:c>
      <x:c r="I914" s="13" t="str">
        <x:v>Financeiro</x:v>
      </x:c>
      <x:c r="J914" s="13" t="str">
        <x:v>Pago</x:v>
      </x:c>
      <x:c r="K914" s="13" t="str">
        <x:v>Operação Clareza</x:v>
      </x:c>
      <x:c r="L914" s="17" t="n">
        <x:f>H914-G914</x:f>
        <x:v>-228.26000000000022</x:v>
      </x:c>
      <x:c r="M914" s="19" t="n">
        <x:f>IFERROR(L914/G914,0)</x:f>
        <x:v>-0.02237546991329581</x:v>
      </x:c>
      <x:c r="N914" s="13" t="n">
        <x:f>D914-C914</x:f>
        <x:v>-3</x:v>
      </x:c>
    </x:row>
    <x:row r="915">
      <x:c r="A915" s="13" t="str">
        <x:v>PAG-000914</x:v>
      </x:c>
      <x:c r="B915" s="23" t="n">
        <x:v>45950</x:v>
      </x:c>
      <x:c r="C915" s="23" t="n">
        <x:v>45965</x:v>
      </x:c>
      <x:c r="D915" s="23" t="n">
        <x:v>45964</x:v>
      </x:c>
      <x:c r="E915" s="13" t="str">
        <x:v>EducaPro</x:v>
      </x:c>
      <x:c r="F915" s="13" t="str">
        <x:v>Treinamentos</x:v>
      </x:c>
      <x:c r="G915" s="17" t="n">
        <x:v>15200.37</x:v>
      </x:c>
      <x:c r="H915" s="17" t="n">
        <x:v>15757.8</x:v>
      </x:c>
      <x:c r="I915" s="13" t="str">
        <x:v>Financeiro</x:v>
      </x:c>
      <x:c r="J915" s="13" t="str">
        <x:v>Pago</x:v>
      </x:c>
      <x:c r="K915" s="13" t="str">
        <x:v>Operação Clareza</x:v>
      </x:c>
      <x:c r="L915" s="17" t="n">
        <x:f>H915-G915</x:f>
        <x:v>557.4299999999985</x:v>
      </x:c>
      <x:c r="M915" s="19" t="n">
        <x:f>IFERROR(L915/G915,0)</x:f>
        <x:v>0.03667213363885211</x:v>
      </x:c>
      <x:c r="N915" s="13" t="n">
        <x:f>D915-C915</x:f>
        <x:v>-1</x:v>
      </x:c>
    </x:row>
    <x:row r="916">
      <x:c r="A916" s="13" t="str">
        <x:v>PAG-000915</x:v>
      </x:c>
      <x:c r="B916" s="23" t="n">
        <x:v>45945</x:v>
      </x:c>
      <x:c r="C916" s="23" t="n">
        <x:v>45965</x:v>
      </x:c>
      <x:c r="D916" s="23" t="n">
        <x:v>45962</x:v>
      </x:c>
      <x:c r="E916" s="13" t="str">
        <x:v>MarketLab</x:v>
      </x:c>
      <x:c r="F916" s="13" t="str">
        <x:v>Marketing</x:v>
      </x:c>
      <x:c r="G916" s="17" t="n">
        <x:v>18337.58</x:v>
      </x:c>
      <x:c r="H916" s="17" t="n">
        <x:v>19066.2</x:v>
      </x:c>
      <x:c r="I916" s="13" t="str">
        <x:v>Diretoria</x:v>
      </x:c>
      <x:c r="J916" s="13" t="str">
        <x:v>Pago</x:v>
      </x:c>
      <x:c r="K916" s="13" t="str">
        <x:v>Operação Clareza</x:v>
      </x:c>
      <x:c r="L916" s="17" t="n">
        <x:f>H916-G916</x:f>
        <x:v>728.619999999999</x:v>
      </x:c>
      <x:c r="M916" s="19" t="n">
        <x:f>IFERROR(L916/G916,0)</x:f>
        <x:v>0.03973370531989493</x:v>
      </x:c>
      <x:c r="N916" s="13" t="n">
        <x:f>D916-C916</x:f>
        <x:v>-3</x:v>
      </x:c>
    </x:row>
    <x:row r="917">
      <x:c r="A917" s="13" t="str">
        <x:v>PAG-000916</x:v>
      </x:c>
      <x:c r="B917" s="23" t="n">
        <x:v>45943</x:v>
      </x:c>
      <x:c r="C917" s="23" t="n">
        <x:v>45958</x:v>
      </x:c>
      <x:c r="D917" s="23" t="n">
        <x:v>45959</x:v>
      </x:c>
      <x:c r="E917" s="13" t="str">
        <x:v>NetLink</x:v>
      </x:c>
      <x:c r="F917" s="13" t="str">
        <x:v>Telecomunicações</x:v>
      </x:c>
      <x:c r="G917" s="17" t="n">
        <x:v>6613.22</x:v>
      </x:c>
      <x:c r="H917" s="17" t="n">
        <x:v>6488.86</x:v>
      </x:c>
      <x:c r="I917" s="13" t="str">
        <x:v>Financeiro</x:v>
      </x:c>
      <x:c r="J917" s="13" t="str">
        <x:v>Pago</x:v>
      </x:c>
      <x:c r="K917" s="13" t="str">
        <x:v>Operação Clareza</x:v>
      </x:c>
      <x:c r="L917" s="17" t="n">
        <x:f>H917-G917</x:f>
        <x:v>-124.36000000000058</x:v>
      </x:c>
      <x:c r="M917" s="19" t="n">
        <x:f>IFERROR(L917/G917,0)</x:f>
        <x:v>-0.01880475774282431</x:v>
      </x:c>
      <x:c r="N917" s="13" t="n">
        <x:f>D917-C917</x:f>
        <x:v>1</x:v>
      </x:c>
    </x:row>
    <x:row r="918">
      <x:c r="A918" s="13" t="str">
        <x:v>PAG-000917</x:v>
      </x:c>
      <x:c r="B918" s="23" t="n">
        <x:v>45950</x:v>
      </x:c>
      <x:c r="C918" s="23" t="n">
        <x:v>45980</x:v>
      </x:c>
      <x:c r="D918" s="23" t="n">
        <x:v>45982</x:v>
      </x:c>
      <x:c r="E918" s="13" t="str">
        <x:v>NetLink</x:v>
      </x:c>
      <x:c r="F918" s="13" t="str">
        <x:v>Telecomunicações</x:v>
      </x:c>
      <x:c r="G918" s="17" t="n">
        <x:v>24928.75</x:v>
      </x:c>
      <x:c r="H918" s="17" t="n">
        <x:v>25720.82</x:v>
      </x:c>
      <x:c r="I918" s="13" t="str">
        <x:v>Diretoria</x:v>
      </x:c>
      <x:c r="J918" s="13" t="str">
        <x:v>Pago</x:v>
      </x:c>
      <x:c r="K918" s="13" t="str">
        <x:v>Operação Clareza</x:v>
      </x:c>
      <x:c r="L918" s="17" t="n">
        <x:f>H918-G918</x:f>
        <x:v>792.0699999999997</x:v>
      </x:c>
      <x:c r="M918" s="19" t="n">
        <x:f>IFERROR(L918/G918,0)</x:f>
        <x:v>0.03177335405906833</x:v>
      </x:c>
      <x:c r="N918" s="13" t="n">
        <x:f>D918-C918</x:f>
        <x:v>2</x:v>
      </x:c>
    </x:row>
    <x:row r="919">
      <x:c r="A919" s="13" t="str">
        <x:v>PAG-000918</x:v>
      </x:c>
      <x:c r="B919" s="23" t="n">
        <x:v>45936</x:v>
      </x:c>
      <x:c r="C919" s="23" t="n">
        <x:v>45966</x:v>
      </x:c>
      <x:c r="D919" s="23" t="n">
        <x:v>45966</x:v>
      </x:c>
      <x:c r="E919" s="13" t="str">
        <x:v>WorkSpace</x:v>
      </x:c>
      <x:c r="F919" s="13" t="str">
        <x:v>Locação</x:v>
      </x:c>
      <x:c r="G919" s="17" t="n">
        <x:v>21954.02</x:v>
      </x:c>
      <x:c r="H919" s="17" t="n">
        <x:v>22197.22</x:v>
      </x:c>
      <x:c r="I919" s="13" t="str">
        <x:v>Gestor da área</x:v>
      </x:c>
      <x:c r="J919" s="13" t="str">
        <x:v>Pago</x:v>
      </x:c>
      <x:c r="K919" s="13" t="str">
        <x:v>Operação Clareza</x:v>
      </x:c>
      <x:c r="L919" s="17" t="n">
        <x:f>H919-G919</x:f>
        <x:v>243.20000000000073</x:v>
      </x:c>
      <x:c r="M919" s="19" t="n">
        <x:f>IFERROR(L919/G919,0)</x:f>
        <x:v>0.011077697843037436</x:v>
      </x:c>
      <x:c r="N919" s="13" t="n">
        <x:f>D919-C919</x:f>
        <x:v>0</x:v>
      </x:c>
    </x:row>
    <x:row r="920">
      <x:c r="A920" s="13" t="str">
        <x:v>PAG-000919</x:v>
      </x:c>
      <x:c r="B920" s="23" t="n">
        <x:v>45941</x:v>
      </x:c>
      <x:c r="C920" s="23" t="n">
        <x:v>45956</x:v>
      </x:c>
      <x:c r="D920" s="23" t="n">
        <x:v>45953</x:v>
      </x:c>
      <x:c r="E920" s="13" t="str">
        <x:v>Office Prime</x:v>
      </x:c>
      <x:c r="F920" s="13" t="str">
        <x:v>Escritório</x:v>
      </x:c>
      <x:c r="G920" s="17" t="n">
        <x:v>11018.95</x:v>
      </x:c>
      <x:c r="H920" s="17" t="n">
        <x:v>11175.59</x:v>
      </x:c>
      <x:c r="I920" s="13" t="str">
        <x:v>Diretoria</x:v>
      </x:c>
      <x:c r="J920" s="13" t="str">
        <x:v>Pago</x:v>
      </x:c>
      <x:c r="K920" s="13" t="str">
        <x:v>Operação Clareza</x:v>
      </x:c>
      <x:c r="L920" s="17" t="n">
        <x:f>H920-G920</x:f>
        <x:v>156.63999999999942</x:v>
      </x:c>
      <x:c r="M920" s="19" t="n">
        <x:f>IFERROR(L920/G920,0)</x:f>
        <x:v>0.014215510552275799</x:v>
      </x:c>
      <x:c r="N920" s="13" t="n">
        <x:f>D920-C920</x:f>
        <x:v>-3</x:v>
      </x:c>
    </x:row>
    <x:row r="921">
      <x:c r="A921" s="13" t="str">
        <x:v>PAG-000920</x:v>
      </x:c>
      <x:c r="B921" s="23" t="n">
        <x:v>45940</x:v>
      </x:c>
      <x:c r="C921" s="23" t="n">
        <x:v>45960</x:v>
      </x:c>
      <x:c r="D921" s="23" t="n">
        <x:v>45962</x:v>
      </x:c>
      <x:c r="E921" s="13" t="str">
        <x:v>MarketLab</x:v>
      </x:c>
      <x:c r="F921" s="13" t="str">
        <x:v>Marketing</x:v>
      </x:c>
      <x:c r="G921" s="17" t="n">
        <x:v>16364.35</x:v>
      </x:c>
      <x:c r="H921" s="17" t="n">
        <x:v>15802.34</x:v>
      </x:c>
      <x:c r="I921" s="13" t="str">
        <x:v>Financeiro</x:v>
      </x:c>
      <x:c r="J921" s="13" t="str">
        <x:v>Pago</x:v>
      </x:c>
      <x:c r="K921" s="13" t="str">
        <x:v>Operação Clareza</x:v>
      </x:c>
      <x:c r="L921" s="17" t="n">
        <x:f>H921-G921</x:f>
        <x:v>-562.0100000000002</x:v>
      </x:c>
      <x:c r="M921" s="19" t="n">
        <x:f>IFERROR(L921/G921,0)</x:f>
        <x:v>-0.03434355779484063</x:v>
      </x:c>
      <x:c r="N921" s="13" t="n">
        <x:f>D921-C921</x:f>
        <x:v>2</x:v>
      </x:c>
    </x:row>
    <x:row r="922">
      <x:c r="A922" s="13" t="str">
        <x:v>PAG-000921</x:v>
      </x:c>
      <x:c r="B922" s="23" t="n">
        <x:v>45945</x:v>
      </x:c>
      <x:c r="C922" s="23" t="n">
        <x:v>45965</x:v>
      </x:c>
      <x:c r="D922" s="23" t="n">
        <x:v>45962</x:v>
      </x:c>
      <x:c r="E922" s="13" t="str">
        <x:v>CloudCore</x:v>
      </x:c>
      <x:c r="F922" s="13" t="str">
        <x:v>Tecnologia</x:v>
      </x:c>
      <x:c r="G922" s="17" t="n">
        <x:v>2217.39</x:v>
      </x:c>
      <x:c r="H922" s="17" t="n">
        <x:v>2176.34</x:v>
      </x:c>
      <x:c r="I922" s="13" t="str">
        <x:v>Diretoria</x:v>
      </x:c>
      <x:c r="J922" s="13" t="str">
        <x:v>Pago</x:v>
      </x:c>
      <x:c r="K922" s="13" t="str">
        <x:v>Operação Clareza</x:v>
      </x:c>
      <x:c r="L922" s="17" t="n">
        <x:f>H922-G922</x:f>
        <x:v>-41.04999999999973</x:v>
      </x:c>
      <x:c r="M922" s="19" t="n">
        <x:f>IFERROR(L922/G922,0)</x:f>
        <x:v>-0.018512755987895556</x:v>
      </x:c>
      <x:c r="N922" s="13" t="n">
        <x:f>D922-C922</x:f>
        <x:v>-3</x:v>
      </x:c>
    </x:row>
    <x:row r="923">
      <x:c r="A923" s="13" t="str">
        <x:v>PAG-000922</x:v>
      </x:c>
      <x:c r="B923" s="23" t="n">
        <x:v>45944</x:v>
      </x:c>
      <x:c r="C923" s="23" t="n">
        <x:v>45964</x:v>
      </x:c>
      <x:c r="D923" s="23" t="n">
        <x:v>45961</x:v>
      </x:c>
      <x:c r="E923" s="13" t="str">
        <x:v>NetLink</x:v>
      </x:c>
      <x:c r="F923" s="13" t="str">
        <x:v>Telecomunicações</x:v>
      </x:c>
      <x:c r="G923" s="17" t="n">
        <x:v>20914.33</x:v>
      </x:c>
      <x:c r="H923" s="17" t="n">
        <x:v>21442.02</x:v>
      </x:c>
      <x:c r="I923" s="13" t="str">
        <x:v>Gestor da área</x:v>
      </x:c>
      <x:c r="J923" s="13" t="str">
        <x:v>Pago</x:v>
      </x:c>
      <x:c r="K923" s="13" t="str">
        <x:v>Operação Clareza</x:v>
      </x:c>
      <x:c r="L923" s="17" t="n">
        <x:f>H923-G923</x:f>
        <x:v>527.6899999999987</x:v>
      </x:c>
      <x:c r="M923" s="19" t="n">
        <x:f>IFERROR(L923/G923,0)</x:f>
        <x:v>0.02523102580862015</x:v>
      </x:c>
      <x:c r="N923" s="13" t="n">
        <x:f>D923-C923</x:f>
        <x:v>-3</x:v>
      </x:c>
    </x:row>
    <x:row r="924">
      <x:c r="A924" s="13" t="str">
        <x:v>PAG-000923</x:v>
      </x:c>
      <x:c r="B924" s="23" t="n">
        <x:v>45939</x:v>
      </x:c>
      <x:c r="C924" s="23" t="n">
        <x:v>45954</x:v>
      </x:c>
      <x:c r="D924" s="23" t="n">
        <x:v>45954</x:v>
      </x:c>
      <x:c r="E924" s="13" t="str">
        <x:v>PeopleHub</x:v>
      </x:c>
      <x:c r="F924" s="13" t="str">
        <x:v>Recursos Humanos</x:v>
      </x:c>
      <x:c r="G924" s="17" t="n">
        <x:v>23627.12</x:v>
      </x:c>
      <x:c r="H924" s="17" t="n">
        <x:v>24082.65</x:v>
      </x:c>
      <x:c r="I924" s="13" t="str">
        <x:v>Gestor da área</x:v>
      </x:c>
      <x:c r="J924" s="13" t="str">
        <x:v>Pago</x:v>
      </x:c>
      <x:c r="K924" s="13" t="str">
        <x:v>Operação Clareza</x:v>
      </x:c>
      <x:c r="L924" s="17" t="n">
        <x:f>H924-G924</x:f>
        <x:v>455.5300000000025</x:v>
      </x:c>
      <x:c r="M924" s="19" t="n">
        <x:f>IFERROR(L924/G924,0)</x:f>
        <x:v>0.019279963025540248</x:v>
      </x:c>
      <x:c r="N924" s="13" t="n">
        <x:f>D924-C924</x:f>
        <x:v>0</x:v>
      </x:c>
    </x:row>
    <x:row r="925">
      <x:c r="A925" s="13" t="str">
        <x:v>PAG-000924</x:v>
      </x:c>
      <x:c r="B925" s="23" t="n">
        <x:v>45934</x:v>
      </x:c>
      <x:c r="C925" s="23" t="n">
        <x:v>45941</x:v>
      </x:c>
      <x:c r="D925" s="23" t="n">
        <x:v>45942</x:v>
      </x:c>
      <x:c r="E925" s="13" t="str">
        <x:v>Office Prime</x:v>
      </x:c>
      <x:c r="F925" s="13" t="str">
        <x:v>Escritório</x:v>
      </x:c>
      <x:c r="G925" s="17" t="n">
        <x:v>23009.59</x:v>
      </x:c>
      <x:c r="H925" s="17" t="n">
        <x:v>24015.56</x:v>
      </x:c>
      <x:c r="I925" s="13" t="str">
        <x:v>Diretoria</x:v>
      </x:c>
      <x:c r="J925" s="13" t="str">
        <x:v>Pago</x:v>
      </x:c>
      <x:c r="K925" s="13" t="str">
        <x:v>Operação Clareza</x:v>
      </x:c>
      <x:c r="L925" s="17" t="n">
        <x:f>H925-G925</x:f>
        <x:v>1005.9700000000012</x:v>
      </x:c>
      <x:c r="M925" s="19" t="n">
        <x:f>IFERROR(L925/G925,0)</x:f>
        <x:v>0.043719596915894686</x:v>
      </x:c>
      <x:c r="N925" s="13" t="n">
        <x:f>D925-C925</x:f>
        <x:v>1</x:v>
      </x:c>
    </x:row>
    <x:row r="926">
      <x:c r="A926" s="13" t="str">
        <x:v>PAG-000925</x:v>
      </x:c>
      <x:c r="B926" s="23" t="n">
        <x:v>45971</x:v>
      </x:c>
      <x:c r="C926" s="23" t="n">
        <x:v>45986</x:v>
      </x:c>
      <x:c r="D926" s="23" t="n">
        <x:v>45983</x:v>
      </x:c>
      <x:c r="E926" s="13" t="str">
        <x:v>DataSafe</x:v>
      </x:c>
      <x:c r="F926" s="13" t="str">
        <x:v>Segurança da informação</x:v>
      </x:c>
      <x:c r="G926" s="17" t="n">
        <x:v>29317.79</x:v>
      </x:c>
      <x:c r="H926" s="17" t="n">
        <x:v>30425.15</x:v>
      </x:c>
      <x:c r="I926" s="13" t="str">
        <x:v>Diretoria</x:v>
      </x:c>
      <x:c r="J926" s="13" t="str">
        <x:v>Pago</x:v>
      </x:c>
      <x:c r="K926" s="13" t="str">
        <x:v>Operação Clareza</x:v>
      </x:c>
      <x:c r="L926" s="17" t="n">
        <x:f>H926-G926</x:f>
        <x:v>1107.3600000000006</x:v>
      </x:c>
      <x:c r="M926" s="19" t="n">
        <x:f>IFERROR(L926/G926,0)</x:f>
        <x:v>0.037770923388154444</x:v>
      </x:c>
      <x:c r="N926" s="13" t="n">
        <x:f>D926-C926</x:f>
        <x:v>-3</x:v>
      </x:c>
    </x:row>
    <x:row r="927">
      <x:c r="A927" s="13" t="str">
        <x:v>PAG-000926</x:v>
      </x:c>
      <x:c r="B927" s="23" t="n">
        <x:v>45971</x:v>
      </x:c>
      <x:c r="C927" s="23" t="n">
        <x:v>45986</x:v>
      </x:c>
      <x:c r="D927" s="23" t="n">
        <x:v>45985</x:v>
      </x:c>
      <x:c r="E927" s="13" t="str">
        <x:v>LegalMais</x:v>
      </x:c>
      <x:c r="F927" s="13" t="str">
        <x:v>Jurídico</x:v>
      </x:c>
      <x:c r="G927" s="17" t="n">
        <x:v>31988.15</x:v>
      </x:c>
      <x:c r="H927" s="17" t="n">
        <x:v>31705.72</x:v>
      </x:c>
      <x:c r="I927" s="13" t="str">
        <x:v>Gestor da área</x:v>
      </x:c>
      <x:c r="J927" s="13" t="str">
        <x:v>Pago</x:v>
      </x:c>
      <x:c r="K927" s="13" t="str">
        <x:v>Operação Clareza</x:v>
      </x:c>
      <x:c r="L927" s="17" t="n">
        <x:f>H927-G927</x:f>
        <x:v>-282.4300000000003</x:v>
      </x:c>
      <x:c r="M927" s="19" t="n">
        <x:f>IFERROR(L927/G927,0)</x:f>
        <x:v>-0.008829207065741541</x:v>
      </x:c>
      <x:c r="N927" s="13" t="n">
        <x:f>D927-C927</x:f>
        <x:v>-1</x:v>
      </x:c>
    </x:row>
    <x:row r="928">
      <x:c r="A928" s="13" t="str">
        <x:v>PAG-000927</x:v>
      </x:c>
      <x:c r="B928" s="23" t="n">
        <x:v>45980</x:v>
      </x:c>
      <x:c r="C928" s="23" t="n">
        <x:v>46000</x:v>
      </x:c>
      <x:c r="D928" s="23" t="n">
        <x:v>46000</x:v>
      </x:c>
      <x:c r="E928" s="13" t="str">
        <x:v>CloudCore</x:v>
      </x:c>
      <x:c r="F928" s="13" t="str">
        <x:v>Tecnologia</x:v>
      </x:c>
      <x:c r="G928" s="17" t="n">
        <x:v>26542.88</x:v>
      </x:c>
      <x:c r="H928" s="17" t="n">
        <x:v>26131.51</x:v>
      </x:c>
      <x:c r="I928" s="13" t="str">
        <x:v>Gestor da área</x:v>
      </x:c>
      <x:c r="J928" s="13" t="str">
        <x:v>Pago</x:v>
      </x:c>
      <x:c r="K928" s="13" t="str">
        <x:v>Operação Clareza</x:v>
      </x:c>
      <x:c r="L928" s="17" t="n">
        <x:f>H928-G928</x:f>
        <x:v>-411.3700000000026</x:v>
      </x:c>
      <x:c r="M928" s="19" t="n">
        <x:f>IFERROR(L928/G928,0)</x:f>
        <x:v>-0.015498318193052247</x:v>
      </x:c>
      <x:c r="N928" s="13" t="n">
        <x:f>D928-C928</x:f>
        <x:v>0</x:v>
      </x:c>
    </x:row>
    <x:row r="929">
      <x:c r="A929" s="13" t="str">
        <x:v>PAG-000928</x:v>
      </x:c>
      <x:c r="B929" s="23" t="n">
        <x:v>45976</x:v>
      </x:c>
      <x:c r="C929" s="23" t="n">
        <x:v>45983</x:v>
      </x:c>
      <x:c r="D929" s="23" t="n">
        <x:v>45983</x:v>
      </x:c>
      <x:c r="E929" s="13" t="str">
        <x:v>Insight BI</x:v>
      </x:c>
      <x:c r="F929" s="13" t="str">
        <x:v>Dados e Analytics</x:v>
      </x:c>
      <x:c r="G929" s="17" t="n">
        <x:v>29731.92</x:v>
      </x:c>
      <x:c r="H929" s="17" t="n">
        <x:v>29635.72</x:v>
      </x:c>
      <x:c r="I929" s="13" t="str">
        <x:v>Diretoria</x:v>
      </x:c>
      <x:c r="J929" s="13" t="str">
        <x:v>Pago</x:v>
      </x:c>
      <x:c r="K929" s="13" t="str">
        <x:v>Operação Clareza</x:v>
      </x:c>
      <x:c r="L929" s="17" t="n">
        <x:f>H929-G929</x:f>
        <x:v>-96.19999999999709</x:v>
      </x:c>
      <x:c r="M929" s="19" t="n">
        <x:f>IFERROR(L929/G929,0)</x:f>
        <x:v>-0.0032355798078293327</x:v>
      </x:c>
      <x:c r="N929" s="13" t="n">
        <x:f>D929-C929</x:f>
        <x:v>0</x:v>
      </x:c>
    </x:row>
    <x:row r="930">
      <x:c r="A930" s="13" t="str">
        <x:v>PAG-000929</x:v>
      </x:c>
      <x:c r="B930" s="23" t="n">
        <x:v>45969</x:v>
      </x:c>
      <x:c r="C930" s="23" t="n">
        <x:v>45976</x:v>
      </x:c>
      <x:c r="D930" s="23" t="n">
        <x:v>45976</x:v>
      </x:c>
      <x:c r="E930" s="13" t="str">
        <x:v>Office Prime</x:v>
      </x:c>
      <x:c r="F930" s="13" t="str">
        <x:v>Escritório</x:v>
      </x:c>
      <x:c r="G930" s="17" t="n">
        <x:v>29451.2</x:v>
      </x:c>
      <x:c r="H930" s="17" t="n">
        <x:v>29230.85</x:v>
      </x:c>
      <x:c r="I930" s="13" t="str">
        <x:v>Gestor da área</x:v>
      </x:c>
      <x:c r="J930" s="13" t="str">
        <x:v>Pago</x:v>
      </x:c>
      <x:c r="K930" s="13" t="str">
        <x:v>Operação Clareza</x:v>
      </x:c>
      <x:c r="L930" s="17" t="n">
        <x:f>H930-G930</x:f>
        <x:v>-220.35000000000218</x:v>
      </x:c>
      <x:c r="M930" s="19" t="n">
        <x:f>IFERROR(L930/G930,0)</x:f>
        <x:v>-0.007481868310968727</x:v>
      </x:c>
      <x:c r="N930" s="13" t="n">
        <x:f>D930-C930</x:f>
        <x:v>0</x:v>
      </x:c>
    </x:row>
    <x:row r="931">
      <x:c r="A931" s="13" t="str">
        <x:v>PAG-000930</x:v>
      </x:c>
      <x:c r="B931" s="23" t="n">
        <x:v>45975</x:v>
      </x:c>
      <x:c r="C931" s="23" t="n">
        <x:v>45995</x:v>
      </x:c>
      <x:c r="D931" s="23" t="n">
        <x:v>45995</x:v>
      </x:c>
      <x:c r="E931" s="13" t="str">
        <x:v>CloudCore</x:v>
      </x:c>
      <x:c r="F931" s="13" t="str">
        <x:v>Tecnologia</x:v>
      </x:c>
      <x:c r="G931" s="17" t="n">
        <x:v>20788.9</x:v>
      </x:c>
      <x:c r="H931" s="17" t="n">
        <x:v>20577.91</x:v>
      </x:c>
      <x:c r="I931" s="13" t="str">
        <x:v>Gestor da área</x:v>
      </x:c>
      <x:c r="J931" s="13" t="str">
        <x:v>Pago</x:v>
      </x:c>
      <x:c r="K931" s="13" t="str">
        <x:v>Operação Clareza</x:v>
      </x:c>
      <x:c r="L931" s="17" t="n">
        <x:f>H931-G931</x:f>
        <x:v>-210.9900000000016</x:v>
      </x:c>
      <x:c r="M931" s="19" t="n">
        <x:f>IFERROR(L931/G931,0)</x:f>
        <x:v>-0.010149166141546767</x:v>
      </x:c>
      <x:c r="N931" s="13" t="n">
        <x:f>D931-C931</x:f>
        <x:v>0</x:v>
      </x:c>
    </x:row>
    <x:row r="932">
      <x:c r="A932" s="13" t="str">
        <x:v>PAG-000931</x:v>
      </x:c>
      <x:c r="B932" s="23" t="n">
        <x:v>45972</x:v>
      </x:c>
      <x:c r="C932" s="23" t="n">
        <x:v>45992</x:v>
      </x:c>
      <x:c r="D932" s="23" t="n">
        <x:v>45990</x:v>
      </x:c>
      <x:c r="E932" s="13" t="str">
        <x:v>LegalMais</x:v>
      </x:c>
      <x:c r="F932" s="13" t="str">
        <x:v>Jurídico</x:v>
      </x:c>
      <x:c r="G932" s="17" t="n">
        <x:v>12596.58</x:v>
      </x:c>
      <x:c r="H932" s="17" t="n">
        <x:v>12157.57</x:v>
      </x:c>
      <x:c r="I932" s="13" t="str">
        <x:v>Financeiro</x:v>
      </x:c>
      <x:c r="J932" s="13" t="str">
        <x:v>Pago</x:v>
      </x:c>
      <x:c r="K932" s="13" t="str">
        <x:v>Operação Clareza</x:v>
      </x:c>
      <x:c r="L932" s="17" t="n">
        <x:f>H932-G932</x:f>
        <x:v>-439.0100000000002</x:v>
      </x:c>
      <x:c r="M932" s="19" t="n">
        <x:f>IFERROR(L932/G932,0)</x:f>
        <x:v>-0.034851523191215414</x:v>
      </x:c>
      <x:c r="N932" s="13" t="n">
        <x:f>D932-C932</x:f>
        <x:v>-2</x:v>
      </x:c>
    </x:row>
    <x:row r="933">
      <x:c r="A933" s="13" t="str">
        <x:v>PAG-000932</x:v>
      </x:c>
      <x:c r="B933" s="23" t="n">
        <x:v>45971</x:v>
      </x:c>
      <x:c r="C933" s="23" t="n">
        <x:v>46001</x:v>
      </x:c>
      <x:c r="D933" s="23" t="n">
        <x:v>45998</x:v>
      </x:c>
      <x:c r="E933" s="13" t="str">
        <x:v>CloudCore</x:v>
      </x:c>
      <x:c r="F933" s="13" t="str">
        <x:v>Tecnologia</x:v>
      </x:c>
      <x:c r="G933" s="17" t="n">
        <x:v>8794.01</x:v>
      </x:c>
      <x:c r="H933" s="17" t="n">
        <x:v>8944.62</x:v>
      </x:c>
      <x:c r="I933" s="13" t="str">
        <x:v>Gestor da área</x:v>
      </x:c>
      <x:c r="J933" s="13" t="str">
        <x:v>Pago</x:v>
      </x:c>
      <x:c r="K933" s="13" t="str">
        <x:v>Operação Clareza</x:v>
      </x:c>
      <x:c r="L933" s="17" t="n">
        <x:f>H933-G933</x:f>
        <x:v>150.61000000000058</x:v>
      </x:c>
      <x:c r="M933" s="19" t="n">
        <x:f>IFERROR(L933/G933,0)</x:f>
        <x:v>0.017126430377040803</x:v>
      </x:c>
      <x:c r="N933" s="13" t="n">
        <x:f>D933-C933</x:f>
        <x:v>-3</x:v>
      </x:c>
    </x:row>
    <x:row r="934">
      <x:c r="A934" s="13" t="str">
        <x:v>PAG-000933</x:v>
      </x:c>
      <x:c r="B934" s="23" t="n">
        <x:v>45972</x:v>
      </x:c>
      <x:c r="C934" s="23" t="n">
        <x:v>46002</x:v>
      </x:c>
      <x:c r="D934" s="23" t="n">
        <x:v>46004</x:v>
      </x:c>
      <x:c r="E934" s="13" t="str">
        <x:v>CloudCore</x:v>
      </x:c>
      <x:c r="F934" s="13" t="str">
        <x:v>Tecnologia</x:v>
      </x:c>
      <x:c r="G934" s="17" t="n">
        <x:v>12900.93</x:v>
      </x:c>
      <x:c r="H934" s="17" t="n">
        <x:v>13271.52</x:v>
      </x:c>
      <x:c r="I934" s="13" t="str">
        <x:v>Financeiro</x:v>
      </x:c>
      <x:c r="J934" s="13" t="str">
        <x:v>Pago</x:v>
      </x:c>
      <x:c r="K934" s="13" t="str">
        <x:v>Operação Clareza</x:v>
      </x:c>
      <x:c r="L934" s="17" t="n">
        <x:f>H934-G934</x:f>
        <x:v>370.59000000000015</x:v>
      </x:c>
      <x:c r="M934" s="19" t="n">
        <x:f>IFERROR(L934/G934,0)</x:f>
        <x:v>0.028725836044378207</x:v>
      </x:c>
      <x:c r="N934" s="13" t="n">
        <x:f>D934-C934</x:f>
        <x:v>2</x:v>
      </x:c>
    </x:row>
    <x:row r="935">
      <x:c r="A935" s="13" t="str">
        <x:v>PAG-000934</x:v>
      </x:c>
      <x:c r="B935" s="23" t="n">
        <x:v>45975</x:v>
      </x:c>
      <x:c r="C935" s="23" t="n">
        <x:v>46005</x:v>
      </x:c>
      <x:c r="D935" s="23" t="n">
        <x:v>46003</x:v>
      </x:c>
      <x:c r="E935" s="13" t="str">
        <x:v>NetLink</x:v>
      </x:c>
      <x:c r="F935" s="13" t="str">
        <x:v>Telecomunicações</x:v>
      </x:c>
      <x:c r="G935" s="17" t="n">
        <x:v>6628.09</x:v>
      </x:c>
      <x:c r="H935" s="17" t="n">
        <x:v>6764.27</x:v>
      </x:c>
      <x:c r="I935" s="13" t="str">
        <x:v>Financeiro</x:v>
      </x:c>
      <x:c r="J935" s="13" t="str">
        <x:v>Pago</x:v>
      </x:c>
      <x:c r="K935" s="13" t="str">
        <x:v>Operação Clareza</x:v>
      </x:c>
      <x:c r="L935" s="17" t="n">
        <x:f>H935-G935</x:f>
        <x:v>136.1800000000003</x:v>
      </x:c>
      <x:c r="M935" s="19" t="n">
        <x:f>IFERROR(L935/G935,0)</x:f>
        <x:v>0.02054588878545709</x:v>
      </x:c>
      <x:c r="N935" s="13" t="n">
        <x:f>D935-C935</x:f>
        <x:v>-2</x:v>
      </x:c>
    </x:row>
    <x:row r="936">
      <x:c r="A936" s="13" t="str">
        <x:v>PAG-000935</x:v>
      </x:c>
      <x:c r="B936" s="23" t="n">
        <x:v>45980</x:v>
      </x:c>
      <x:c r="C936" s="23" t="n">
        <x:v>45987</x:v>
      </x:c>
      <x:c r="D936" s="23" t="n">
        <x:v>45986</x:v>
      </x:c>
      <x:c r="E936" s="13" t="str">
        <x:v>Office Prime</x:v>
      </x:c>
      <x:c r="F936" s="13" t="str">
        <x:v>Escritório</x:v>
      </x:c>
      <x:c r="G936" s="17" t="n">
        <x:v>1263.81</x:v>
      </x:c>
      <x:c r="H936" s="17" t="n">
        <x:v>1305.67</x:v>
      </x:c>
      <x:c r="I936" s="13" t="str">
        <x:v>Diretoria</x:v>
      </x:c>
      <x:c r="J936" s="13" t="str">
        <x:v>Pago</x:v>
      </x:c>
      <x:c r="K936" s="13" t="str">
        <x:v>Operação Clareza</x:v>
      </x:c>
      <x:c r="L936" s="17" t="n">
        <x:f>H936-G936</x:f>
        <x:v>41.86000000000013</x:v>
      </x:c>
      <x:c r="M936" s="19" t="n">
        <x:f>IFERROR(L936/G936,0)</x:f>
        <x:v>0.033122067399371846</x:v>
      </x:c>
      <x:c r="N936" s="13" t="n">
        <x:f>D936-C936</x:f>
        <x:v>-1</x:v>
      </x:c>
    </x:row>
    <x:row r="937">
      <x:c r="A937" s="13" t="str">
        <x:v>PAG-000936</x:v>
      </x:c>
      <x:c r="B937" s="23" t="n">
        <x:v>45975</x:v>
      </x:c>
      <x:c r="C937" s="23" t="n">
        <x:v>45995</x:v>
      </x:c>
      <x:c r="D937" s="23" t="n">
        <x:v>45997</x:v>
      </x:c>
      <x:c r="E937" s="13" t="str">
        <x:v>Conta Certa</x:v>
      </x:c>
      <x:c r="F937" s="13" t="str">
        <x:v>Contabilidade</x:v>
      </x:c>
      <x:c r="G937" s="17" t="n">
        <x:v>23237.73</x:v>
      </x:c>
      <x:c r="H937" s="17" t="n">
        <x:v>23802.68</x:v>
      </x:c>
      <x:c r="I937" s="13" t="str">
        <x:v>Gestor da área</x:v>
      </x:c>
      <x:c r="J937" s="13" t="str">
        <x:v>Pago</x:v>
      </x:c>
      <x:c r="K937" s="13" t="str">
        <x:v>Operação Clareza</x:v>
      </x:c>
      <x:c r="L937" s="17" t="n">
        <x:f>H937-G937</x:f>
        <x:v>564.9500000000007</x:v>
      </x:c>
      <x:c r="M937" s="19" t="n">
        <x:f>IFERROR(L937/G937,0)</x:f>
        <x:v>0.024311755063855238</x:v>
      </x:c>
      <x:c r="N937" s="13" t="n">
        <x:f>D937-C937</x:f>
        <x:v>2</x:v>
      </x:c>
    </x:row>
    <x:row r="938">
      <x:c r="A938" s="13" t="str">
        <x:v>PAG-000937</x:v>
      </x:c>
      <x:c r="B938" s="23" t="n">
        <x:v>45970</x:v>
      </x:c>
      <x:c r="C938" s="23" t="n">
        <x:v>45990</x:v>
      </x:c>
      <x:c r="D938" s="23" t="n">
        <x:v>45991</x:v>
      </x:c>
      <x:c r="E938" s="13" t="str">
        <x:v>MarketLab</x:v>
      </x:c>
      <x:c r="F938" s="13" t="str">
        <x:v>Marketing</x:v>
      </x:c>
      <x:c r="G938" s="17" t="n">
        <x:v>5643.82</x:v>
      </x:c>
      <x:c r="H938" s="17" t="n">
        <x:v>5768.55</x:v>
      </x:c>
      <x:c r="I938" s="13" t="str">
        <x:v>Financeiro</x:v>
      </x:c>
      <x:c r="J938" s="13" t="str">
        <x:v>Pago</x:v>
      </x:c>
      <x:c r="K938" s="13" t="str">
        <x:v>Operação Clareza</x:v>
      </x:c>
      <x:c r="L938" s="17" t="n">
        <x:f>H938-G938</x:f>
        <x:v>124.73000000000047</x:v>
      </x:c>
      <x:c r="M938" s="19" t="n">
        <x:f>IFERROR(L938/G938,0)</x:f>
        <x:v>0.02210027959786111</x:v>
      </x:c>
      <x:c r="N938" s="13" t="n">
        <x:f>D938-C938</x:f>
        <x:v>1</x:v>
      </x:c>
    </x:row>
    <x:row r="939">
      <x:c r="A939" s="13" t="str">
        <x:v>PAG-000938</x:v>
      </x:c>
      <x:c r="B939" s="23" t="n">
        <x:v>45979</x:v>
      </x:c>
      <x:c r="C939" s="23" t="n">
        <x:v>45986</x:v>
      </x:c>
      <x:c r="D939" s="23" t="n">
        <x:v>45984</x:v>
      </x:c>
      <x:c r="E939" s="13" t="str">
        <x:v>Office Prime</x:v>
      </x:c>
      <x:c r="F939" s="13" t="str">
        <x:v>Escritório</x:v>
      </x:c>
      <x:c r="G939" s="17" t="n">
        <x:v>1117.72</x:v>
      </x:c>
      <x:c r="H939" s="17" t="n">
        <x:v>1153.95</x:v>
      </x:c>
      <x:c r="I939" s="13" t="str">
        <x:v>Financeiro</x:v>
      </x:c>
      <x:c r="J939" s="13" t="str">
        <x:v>Pago</x:v>
      </x:c>
      <x:c r="K939" s="13" t="str">
        <x:v>Operação Clareza</x:v>
      </x:c>
      <x:c r="L939" s="17" t="n">
        <x:f>H939-G939</x:f>
        <x:v>36.23000000000002</x:v>
      </x:c>
      <x:c r="M939" s="19" t="n">
        <x:f>IFERROR(L939/G939,0)</x:f>
        <x:v>0.032414200336399114</x:v>
      </x:c>
      <x:c r="N939" s="13" t="n">
        <x:f>D939-C939</x:f>
        <x:v>-2</x:v>
      </x:c>
    </x:row>
    <x:row r="940">
      <x:c r="A940" s="13" t="str">
        <x:v>PAG-000939</x:v>
      </x:c>
      <x:c r="B940" s="23" t="n">
        <x:v>45978</x:v>
      </x:c>
      <x:c r="C940" s="23" t="n">
        <x:v>45993</x:v>
      </x:c>
      <x:c r="D940" s="23" t="n">
        <x:v>45990</x:v>
      </x:c>
      <x:c r="E940" s="13" t="str">
        <x:v>Insight BI</x:v>
      </x:c>
      <x:c r="F940" s="13" t="str">
        <x:v>Dados e Analytics</x:v>
      </x:c>
      <x:c r="G940" s="17" t="n">
        <x:v>19573.88</x:v>
      </x:c>
      <x:c r="H940" s="17" t="n">
        <x:v>19613.42</x:v>
      </x:c>
      <x:c r="I940" s="13" t="str">
        <x:v>Diretoria</x:v>
      </x:c>
      <x:c r="J940" s="13" t="str">
        <x:v>Pago</x:v>
      </x:c>
      <x:c r="K940" s="13" t="str">
        <x:v>Operação Clareza</x:v>
      </x:c>
      <x:c r="L940" s="17" t="n">
        <x:f>H940-G940</x:f>
        <x:v>39.539999999997235</x:v>
      </x:c>
      <x:c r="M940" s="19" t="n">
        <x:f>IFERROR(L940/G940,0)</x:f>
        <x:v>0.0020200389498657005</x:v>
      </x:c>
      <x:c r="N940" s="13" t="n">
        <x:f>D940-C940</x:f>
        <x:v>-3</x:v>
      </x:c>
    </x:row>
    <x:row r="941">
      <x:c r="A941" s="13" t="str">
        <x:v>PAG-000940</x:v>
      </x:c>
      <x:c r="B941" s="23" t="n">
        <x:v>45965</x:v>
      </x:c>
      <x:c r="C941" s="23" t="n">
        <x:v>45985</x:v>
      </x:c>
      <x:c r="D941" s="23" t="n">
        <x:v>45982</x:v>
      </x:c>
      <x:c r="E941" s="13" t="str">
        <x:v>NetLink</x:v>
      </x:c>
      <x:c r="F941" s="13" t="str">
        <x:v>Telecomunicações</x:v>
      </x:c>
      <x:c r="G941" s="17" t="n">
        <x:v>18537.85</x:v>
      </x:c>
      <x:c r="H941" s="17" t="n">
        <x:v>18341.11</x:v>
      </x:c>
      <x:c r="I941" s="13" t="str">
        <x:v>Diretoria</x:v>
      </x:c>
      <x:c r="J941" s="13" t="str">
        <x:v>Pago</x:v>
      </x:c>
      <x:c r="K941" s="13" t="str">
        <x:v>Operação Clareza</x:v>
      </x:c>
      <x:c r="L941" s="17" t="n">
        <x:f>H941-G941</x:f>
        <x:v>-196.73999999999796</x:v>
      </x:c>
      <x:c r="M941" s="19" t="n">
        <x:f>IFERROR(L941/G941,0)</x:f>
        <x:v>-0.010612881213301326</x:v>
      </x:c>
      <x:c r="N941" s="13" t="n">
        <x:f>D941-C941</x:f>
        <x:v>-3</x:v>
      </x:c>
    </x:row>
    <x:row r="942">
      <x:c r="A942" s="13" t="str">
        <x:v>PAG-000941</x:v>
      </x:c>
      <x:c r="B942" s="23" t="n">
        <x:v>45965</x:v>
      </x:c>
      <x:c r="C942" s="23" t="n">
        <x:v>45985</x:v>
      </x:c>
      <x:c r="D942" s="23" t="n">
        <x:v>45983</x:v>
      </x:c>
      <x:c r="E942" s="13" t="str">
        <x:v>Office Prime</x:v>
      </x:c>
      <x:c r="F942" s="13" t="str">
        <x:v>Escritório</x:v>
      </x:c>
      <x:c r="G942" s="17" t="n">
        <x:v>30813.32</x:v>
      </x:c>
      <x:c r="H942" s="17" t="n">
        <x:v>30467.89</x:v>
      </x:c>
      <x:c r="I942" s="13" t="str">
        <x:v>Gestor da área</x:v>
      </x:c>
      <x:c r="J942" s="13" t="str">
        <x:v>Pago</x:v>
      </x:c>
      <x:c r="K942" s="13" t="str">
        <x:v>Operação Clareza</x:v>
      </x:c>
      <x:c r="L942" s="17" t="n">
        <x:f>H942-G942</x:f>
        <x:v>-345.4300000000003</x:v>
      </x:c>
      <x:c r="M942" s="19" t="n">
        <x:f>IFERROR(L942/G942,0)</x:f>
        <x:v>-0.011210411601216627</x:v>
      </x:c>
      <x:c r="N942" s="13" t="n">
        <x:f>D942-C942</x:f>
        <x:v>-2</x:v>
      </x:c>
    </x:row>
    <x:row r="943">
      <x:c r="A943" s="13" t="str">
        <x:v>PAG-000942</x:v>
      </x:c>
      <x:c r="B943" s="23" t="n">
        <x:v>45978</x:v>
      </x:c>
      <x:c r="C943" s="23" t="n">
        <x:v>45985</x:v>
      </x:c>
      <x:c r="D943" s="23" t="n">
        <x:v>45985</x:v>
      </x:c>
      <x:c r="E943" s="13" t="str">
        <x:v>Insight BI</x:v>
      </x:c>
      <x:c r="F943" s="13" t="str">
        <x:v>Dados e Analytics</x:v>
      </x:c>
      <x:c r="G943" s="17" t="n">
        <x:v>27347.18</x:v>
      </x:c>
      <x:c r="H943" s="17" t="n">
        <x:v>28373.94</x:v>
      </x:c>
      <x:c r="I943" s="13" t="str">
        <x:v>Diretoria</x:v>
      </x:c>
      <x:c r="J943" s="13" t="str">
        <x:v>Pago</x:v>
      </x:c>
      <x:c r="K943" s="13" t="str">
        <x:v>Operação Clareza</x:v>
      </x:c>
      <x:c r="L943" s="17" t="n">
        <x:f>H943-G943</x:f>
        <x:v>1026.7599999999984</x:v>
      </x:c>
      <x:c r="M943" s="19" t="n">
        <x:f>IFERROR(L943/G943,0)</x:f>
        <x:v>0.03754537030874841</x:v>
      </x:c>
      <x:c r="N943" s="13" t="n">
        <x:f>D943-C943</x:f>
        <x:v>0</x:v>
      </x:c>
    </x:row>
    <x:row r="944">
      <x:c r="A944" s="13" t="str">
        <x:v>PAG-000943</x:v>
      </x:c>
      <x:c r="B944" s="23" t="n">
        <x:v>45966</x:v>
      </x:c>
      <x:c r="C944" s="23" t="n">
        <x:v>45996</x:v>
      </x:c>
      <x:c r="D944" s="23" t="n">
        <x:v>45993</x:v>
      </x:c>
      <x:c r="E944" s="13" t="str">
        <x:v>Conta Certa</x:v>
      </x:c>
      <x:c r="F944" s="13" t="str">
        <x:v>Contabilidade</x:v>
      </x:c>
      <x:c r="G944" s="17" t="n">
        <x:v>18543.4</x:v>
      </x:c>
      <x:c r="H944" s="17" t="n">
        <x:v>18564.69</x:v>
      </x:c>
      <x:c r="I944" s="13" t="str">
        <x:v>Diretoria</x:v>
      </x:c>
      <x:c r="J944" s="13" t="str">
        <x:v>Pago</x:v>
      </x:c>
      <x:c r="K944" s="13" t="str">
        <x:v>Operação Clareza</x:v>
      </x:c>
      <x:c r="L944" s="17" t="n">
        <x:f>H944-G944</x:f>
        <x:v>21.289999999997235</x:v>
      </x:c>
      <x:c r="M944" s="19" t="n">
        <x:f>IFERROR(L944/G944,0)</x:f>
        <x:v>0.0011481173894753514</x:v>
      </x:c>
      <x:c r="N944" s="13" t="n">
        <x:f>D944-C944</x:f>
        <x:v>-3</x:v>
      </x:c>
    </x:row>
    <x:row r="945">
      <x:c r="A945" s="13" t="str">
        <x:v>PAG-000944</x:v>
      </x:c>
      <x:c r="B945" s="23" t="n">
        <x:v>45973</x:v>
      </x:c>
      <x:c r="C945" s="23" t="n">
        <x:v>45988</x:v>
      </x:c>
      <x:c r="D945" s="23" t="n">
        <x:v>45987</x:v>
      </x:c>
      <x:c r="E945" s="13" t="str">
        <x:v>DataSafe</x:v>
      </x:c>
      <x:c r="F945" s="13" t="str">
        <x:v>Segurança da informação</x:v>
      </x:c>
      <x:c r="G945" s="17" t="n">
        <x:v>2270.89</x:v>
      </x:c>
      <x:c r="H945" s="17" t="n">
        <x:v>2223.56</x:v>
      </x:c>
      <x:c r="I945" s="13" t="str">
        <x:v>Diretoria</x:v>
      </x:c>
      <x:c r="J945" s="13" t="str">
        <x:v>Pago</x:v>
      </x:c>
      <x:c r="K945" s="13" t="str">
        <x:v>Operação Clareza</x:v>
      </x:c>
      <x:c r="L945" s="17" t="n">
        <x:f>H945-G945</x:f>
        <x:v>-47.32999999999993</x:v>
      </x:c>
      <x:c r="M945" s="19" t="n">
        <x:f>IFERROR(L945/G945,0)</x:f>
        <x:v>-0.020842048712178894</x:v>
      </x:c>
      <x:c r="N945" s="13" t="n">
        <x:f>D945-C945</x:f>
        <x:v>-1</x:v>
      </x:c>
    </x:row>
    <x:row r="946">
      <x:c r="A946" s="13" t="str">
        <x:v>PAG-000945</x:v>
      </x:c>
      <x:c r="B946" s="23" t="n">
        <x:v>45969</x:v>
      </x:c>
      <x:c r="C946" s="23" t="n">
        <x:v>45984</x:v>
      </x:c>
      <x:c r="D946" s="23" t="n">
        <x:v>45984</x:v>
      </x:c>
      <x:c r="E946" s="13" t="str">
        <x:v>WorkSpace</x:v>
      </x:c>
      <x:c r="F946" s="13" t="str">
        <x:v>Locação</x:v>
      </x:c>
      <x:c r="G946" s="17" t="n">
        <x:v>3828.66</x:v>
      </x:c>
      <x:c r="H946" s="17" t="n">
        <x:v>3910.76</x:v>
      </x:c>
      <x:c r="I946" s="13" t="str">
        <x:v>Diretoria</x:v>
      </x:c>
      <x:c r="J946" s="13" t="str">
        <x:v>Pago</x:v>
      </x:c>
      <x:c r="K946" s="13" t="str">
        <x:v>Operação Clareza</x:v>
      </x:c>
      <x:c r="L946" s="17" t="n">
        <x:f>H946-G946</x:f>
        <x:v>82.10000000000036</x:v>
      </x:c>
      <x:c r="M946" s="19" t="n">
        <x:f>IFERROR(L946/G946,0)</x:f>
        <x:v>0.021443533768994993</x:v>
      </x:c>
      <x:c r="N946" s="13" t="n">
        <x:f>D946-C946</x:f>
        <x:v>0</x:v>
      </x:c>
    </x:row>
    <x:row r="947">
      <x:c r="A947" s="13" t="str">
        <x:v>PAG-000946</x:v>
      </x:c>
      <x:c r="B947" s="23" t="n">
        <x:v>45976</x:v>
      </x:c>
      <x:c r="C947" s="23" t="n">
        <x:v>45983</x:v>
      </x:c>
      <x:c r="D947" s="23" t="n">
        <x:v>45983</x:v>
      </x:c>
      <x:c r="E947" s="13" t="str">
        <x:v>LegalMais</x:v>
      </x:c>
      <x:c r="F947" s="13" t="str">
        <x:v>Jurídico</x:v>
      </x:c>
      <x:c r="G947" s="17" t="n">
        <x:v>15251.68</x:v>
      </x:c>
      <x:c r="H947" s="17" t="n">
        <x:v>15155.15</x:v>
      </x:c>
      <x:c r="I947" s="13" t="str">
        <x:v>Gestor da área</x:v>
      </x:c>
      <x:c r="J947" s="13" t="str">
        <x:v>Pago</x:v>
      </x:c>
      <x:c r="K947" s="13" t="str">
        <x:v>Operação Clareza</x:v>
      </x:c>
      <x:c r="L947" s="17" t="n">
        <x:f>H947-G947</x:f>
        <x:v>-96.53000000000065</x:v>
      </x:c>
      <x:c r="M947" s="19" t="n">
        <x:f>IFERROR(L947/G947,0)</x:f>
        <x:v>-0.006329138822739571</x:v>
      </x:c>
      <x:c r="N947" s="13" t="n">
        <x:f>D947-C947</x:f>
        <x:v>0</x:v>
      </x:c>
    </x:row>
    <x:row r="948">
      <x:c r="A948" s="13" t="str">
        <x:v>PAG-000947</x:v>
      </x:c>
      <x:c r="B948" s="23" t="n">
        <x:v>45975</x:v>
      </x:c>
      <x:c r="C948" s="23" t="n">
        <x:v>45982</x:v>
      </x:c>
      <x:c r="D948" s="23" t="n">
        <x:v>45983</x:v>
      </x:c>
      <x:c r="E948" s="13" t="str">
        <x:v>EducaPro</x:v>
      </x:c>
      <x:c r="F948" s="13" t="str">
        <x:v>Treinamentos</x:v>
      </x:c>
      <x:c r="G948" s="17" t="n">
        <x:v>2135.24</x:v>
      </x:c>
      <x:c r="H948" s="17" t="n">
        <x:v>2224.37</x:v>
      </x:c>
      <x:c r="I948" s="13" t="str">
        <x:v>Financeiro</x:v>
      </x:c>
      <x:c r="J948" s="13" t="str">
        <x:v>Pago</x:v>
      </x:c>
      <x:c r="K948" s="13" t="str">
        <x:v>Operação Clareza</x:v>
      </x:c>
      <x:c r="L948" s="17" t="n">
        <x:f>H948-G948</x:f>
        <x:v>89.13000000000011</x:v>
      </x:c>
      <x:c r="M948" s="19" t="n">
        <x:f>IFERROR(L948/G948,0)</x:f>
        <x:v>0.04174238024765371</x:v>
      </x:c>
      <x:c r="N948" s="13" t="n">
        <x:f>D948-C948</x:f>
        <x:v>1</x:v>
      </x:c>
    </x:row>
    <x:row r="949">
      <x:c r="A949" s="13" t="str">
        <x:v>PAG-000948</x:v>
      </x:c>
      <x:c r="B949" s="23" t="n">
        <x:v>45967</x:v>
      </x:c>
      <x:c r="C949" s="23" t="n">
        <x:v>45987</x:v>
      </x:c>
      <x:c r="D949" s="23" t="n">
        <x:v>45987</x:v>
      </x:c>
      <x:c r="E949" s="13" t="str">
        <x:v>Insight BI</x:v>
      </x:c>
      <x:c r="F949" s="13" t="str">
        <x:v>Dados e Analytics</x:v>
      </x:c>
      <x:c r="G949" s="17" t="n">
        <x:v>28848.23</x:v>
      </x:c>
      <x:c r="H949" s="17" t="n">
        <x:v>28595.74</x:v>
      </x:c>
      <x:c r="I949" s="13" t="str">
        <x:v>Diretoria</x:v>
      </x:c>
      <x:c r="J949" s="13" t="str">
        <x:v>Pago</x:v>
      </x:c>
      <x:c r="K949" s="13" t="str">
        <x:v>Operação Clareza</x:v>
      </x:c>
      <x:c r="L949" s="17" t="n">
        <x:f>H949-G949</x:f>
        <x:v>-252.48999999999796</x:v>
      </x:c>
      <x:c r="M949" s="19" t="n">
        <x:f>IFERROR(L949/G949,0)</x:f>
        <x:v>-0.008752356730378188</x:v>
      </x:c>
      <x:c r="N949" s="13" t="n">
        <x:f>D949-C949</x:f>
        <x:v>0</x:v>
      </x:c>
    </x:row>
    <x:row r="950">
      <x:c r="A950" s="13" t="str">
        <x:v>PAG-000949</x:v>
      </x:c>
      <x:c r="B950" s="23" t="n">
        <x:v>45981</x:v>
      </x:c>
      <x:c r="C950" s="23" t="n">
        <x:v>45996</x:v>
      </x:c>
      <x:c r="D950" s="23" t="n">
        <x:v>45994</x:v>
      </x:c>
      <x:c r="E950" s="13" t="str">
        <x:v>WorkSpace</x:v>
      </x:c>
      <x:c r="F950" s="13" t="str">
        <x:v>Locação</x:v>
      </x:c>
      <x:c r="G950" s="17" t="n">
        <x:v>24735.52</x:v>
      </x:c>
      <x:c r="H950" s="17" t="n">
        <x:v>24767.85</x:v>
      </x:c>
      <x:c r="I950" s="13" t="str">
        <x:v>Gestor da área</x:v>
      </x:c>
      <x:c r="J950" s="13" t="str">
        <x:v>Pago</x:v>
      </x:c>
      <x:c r="K950" s="13" t="str">
        <x:v>Operação Clareza</x:v>
      </x:c>
      <x:c r="L950" s="17" t="n">
        <x:f>H950-G950</x:f>
        <x:v>32.32999999999811</x:v>
      </x:c>
      <x:c r="M950" s="19" t="n">
        <x:f>IFERROR(L950/G950,0)</x:f>
        <x:v>0.001307027303246429</x:v>
      </x:c>
      <x:c r="N950" s="13" t="n">
        <x:f>D950-C950</x:f>
        <x:v>-2</x:v>
      </x:c>
    </x:row>
    <x:row r="951">
      <x:c r="A951" s="13" t="str">
        <x:v>PAG-000950</x:v>
      </x:c>
      <x:c r="B951" s="23" t="n">
        <x:v>45971</x:v>
      </x:c>
      <x:c r="C951" s="23" t="n">
        <x:v>46001</x:v>
      </x:c>
      <x:c r="D951" s="23" t="n">
        <x:v>46001</x:v>
      </x:c>
      <x:c r="E951" s="13" t="str">
        <x:v>MarketLab</x:v>
      </x:c>
      <x:c r="F951" s="13" t="str">
        <x:v>Marketing</x:v>
      </x:c>
      <x:c r="G951" s="17" t="n">
        <x:v>29192.21</x:v>
      </x:c>
      <x:c r="H951" s="17" t="n">
        <x:v>30121.24</x:v>
      </x:c>
      <x:c r="I951" s="13" t="str">
        <x:v>Gestor da área</x:v>
      </x:c>
      <x:c r="J951" s="13" t="str">
        <x:v>Pago</x:v>
      </x:c>
      <x:c r="K951" s="13" t="str">
        <x:v>Operação Clareza</x:v>
      </x:c>
      <x:c r="L951" s="17" t="n">
        <x:f>H951-G951</x:f>
        <x:v>929.0300000000025</x:v>
      </x:c>
      <x:c r="M951" s="19" t="n">
        <x:f>IFERROR(L951/G951,0)</x:f>
        <x:v>0.031824586079642565</x:v>
      </x:c>
      <x:c r="N951" s="13" t="n">
        <x:f>D951-C951</x:f>
        <x:v>0</x:v>
      </x:c>
    </x:row>
    <x:row r="952">
      <x:c r="A952" s="13" t="str">
        <x:v>PAG-000951</x:v>
      </x:c>
      <x:c r="B952" s="23" t="n">
        <x:v>45968</x:v>
      </x:c>
      <x:c r="C952" s="23" t="n">
        <x:v>45988</x:v>
      </x:c>
      <x:c r="D952" s="23" t="n">
        <x:v>45990</x:v>
      </x:c>
      <x:c r="E952" s="13" t="str">
        <x:v>WorkSpace</x:v>
      </x:c>
      <x:c r="F952" s="13" t="str">
        <x:v>Locação</x:v>
      </x:c>
      <x:c r="G952" s="17" t="n">
        <x:v>19287.84</x:v>
      </x:c>
      <x:c r="H952" s="17" t="n">
        <x:v>18814.21</x:v>
      </x:c>
      <x:c r="I952" s="13" t="str">
        <x:v>Gestor da área</x:v>
      </x:c>
      <x:c r="J952" s="13" t="str">
        <x:v>Pago</x:v>
      </x:c>
      <x:c r="K952" s="13" t="str">
        <x:v>Operação Clareza</x:v>
      </x:c>
      <x:c r="L952" s="17" t="n">
        <x:f>H952-G952</x:f>
        <x:v>-473.630000000001</x:v>
      </x:c>
      <x:c r="M952" s="19" t="n">
        <x:f>IFERROR(L952/G952,0)</x:f>
        <x:v>-0.02455588598827038</x:v>
      </x:c>
      <x:c r="N952" s="13" t="n">
        <x:f>D952-C952</x:f>
        <x:v>2</x:v>
      </x:c>
    </x:row>
    <x:row r="953">
      <x:c r="A953" s="13" t="str">
        <x:v>PAG-000952</x:v>
      </x:c>
      <x:c r="B953" s="23" t="n">
        <x:v>45973</x:v>
      </x:c>
      <x:c r="C953" s="23" t="n">
        <x:v>45993</x:v>
      </x:c>
      <x:c r="D953" s="23" t="n">
        <x:v>45993</x:v>
      </x:c>
      <x:c r="E953" s="13" t="str">
        <x:v>Insight BI</x:v>
      </x:c>
      <x:c r="F953" s="13" t="str">
        <x:v>Dados e Analytics</x:v>
      </x:c>
      <x:c r="G953" s="17" t="n">
        <x:v>1624.72</x:v>
      </x:c>
      <x:c r="H953" s="17" t="n">
        <x:v>1591.32</x:v>
      </x:c>
      <x:c r="I953" s="13" t="str">
        <x:v>Diretoria</x:v>
      </x:c>
      <x:c r="J953" s="13" t="str">
        <x:v>Pago</x:v>
      </x:c>
      <x:c r="K953" s="13" t="str">
        <x:v>Operação Clareza</x:v>
      </x:c>
      <x:c r="L953" s="17" t="n">
        <x:f>H953-G953</x:f>
        <x:v>-33.40000000000009</x:v>
      </x:c>
      <x:c r="M953" s="19" t="n">
        <x:f>IFERROR(L953/G953,0)</x:f>
        <x:v>-0.02055738834999267</x:v>
      </x:c>
      <x:c r="N953" s="13" t="n">
        <x:f>D953-C953</x:f>
        <x:v>0</x:v>
      </x:c>
    </x:row>
    <x:row r="954">
      <x:c r="A954" s="13" t="str">
        <x:v>PAG-000953</x:v>
      </x:c>
      <x:c r="B954" s="23" t="n">
        <x:v>45981</x:v>
      </x:c>
      <x:c r="C954" s="23" t="n">
        <x:v>45988</x:v>
      </x:c>
      <x:c r="D954" s="23" t="n">
        <x:v>45988</x:v>
      </x:c>
      <x:c r="E954" s="13" t="str">
        <x:v>CloudCore</x:v>
      </x:c>
      <x:c r="F954" s="13" t="str">
        <x:v>Tecnologia</x:v>
      </x:c>
      <x:c r="G954" s="17" t="n">
        <x:v>31181.64</x:v>
      </x:c>
      <x:c r="H954" s="17" t="n">
        <x:v>30160.81</x:v>
      </x:c>
      <x:c r="I954" s="13" t="str">
        <x:v>Diretoria</x:v>
      </x:c>
      <x:c r="J954" s="13" t="str">
        <x:v>Pago</x:v>
      </x:c>
      <x:c r="K954" s="13" t="str">
        <x:v>Operação Clareza</x:v>
      </x:c>
      <x:c r="L954" s="17" t="n">
        <x:f>H954-G954</x:f>
        <x:v>-1020.8299999999981</x:v>
      </x:c>
      <x:c r="M954" s="19" t="n">
        <x:f>IFERROR(L954/G954,0)</x:f>
        <x:v>-0.03273817541348044</x:v>
      </x:c>
      <x:c r="N954" s="13" t="n">
        <x:f>D954-C954</x:f>
        <x:v>0</x:v>
      </x:c>
    </x:row>
    <x:row r="955">
      <x:c r="A955" s="13" t="str">
        <x:v>PAG-000954</x:v>
      </x:c>
      <x:c r="B955" s="23" t="n">
        <x:v>45980</x:v>
      </x:c>
      <x:c r="C955" s="23" t="n">
        <x:v>45995</x:v>
      </x:c>
      <x:c r="D955" s="23" t="n">
        <x:v>45996</x:v>
      </x:c>
      <x:c r="E955" s="13" t="str">
        <x:v>Conta Certa</x:v>
      </x:c>
      <x:c r="F955" s="13" t="str">
        <x:v>Contabilidade</x:v>
      </x:c>
      <x:c r="G955" s="17" t="n">
        <x:v>26434.34</x:v>
      </x:c>
      <x:c r="H955" s="17" t="n">
        <x:v>26727.83</x:v>
      </x:c>
      <x:c r="I955" s="13" t="str">
        <x:v>Diretoria</x:v>
      </x:c>
      <x:c r="J955" s="13" t="str">
        <x:v>Pago</x:v>
      </x:c>
      <x:c r="K955" s="13" t="str">
        <x:v>Operação Clareza</x:v>
      </x:c>
      <x:c r="L955" s="17" t="n">
        <x:f>H955-G955</x:f>
        <x:v>293.4900000000016</x:v>
      </x:c>
      <x:c r="M955" s="19" t="n">
        <x:f>IFERROR(L955/G955,0)</x:f>
        <x:v>0.011102603658725793</x:v>
      </x:c>
      <x:c r="N955" s="13" t="n">
        <x:f>D955-C955</x:f>
        <x:v>1</x:v>
      </x:c>
    </x:row>
    <x:row r="956">
      <x:c r="A956" s="13" t="str">
        <x:v>PAG-000955</x:v>
      </x:c>
      <x:c r="B956" s="23" t="n">
        <x:v>45965</x:v>
      </x:c>
      <x:c r="C956" s="23" t="n">
        <x:v>45980</x:v>
      </x:c>
      <x:c r="D956" s="23" t="n">
        <x:v>45980</x:v>
      </x:c>
      <x:c r="E956" s="13" t="str">
        <x:v>LegalMais</x:v>
      </x:c>
      <x:c r="F956" s="13" t="str">
        <x:v>Jurídico</x:v>
      </x:c>
      <x:c r="G956" s="17" t="n">
        <x:v>14916.75</x:v>
      </x:c>
      <x:c r="H956" s="17" t="n">
        <x:v>14677.35</x:v>
      </x:c>
      <x:c r="I956" s="13" t="str">
        <x:v>Financeiro</x:v>
      </x:c>
      <x:c r="J956" s="13" t="str">
        <x:v>Pago</x:v>
      </x:c>
      <x:c r="K956" s="13" t="str">
        <x:v>Operação Clareza</x:v>
      </x:c>
      <x:c r="L956" s="17" t="n">
        <x:f>H956-G956</x:f>
        <x:v>-239.39999999999964</x:v>
      </x:c>
      <x:c r="M956" s="19" t="n">
        <x:f>IFERROR(L956/G956,0)</x:f>
        <x:v>-0.016049072351551084</x:v>
      </x:c>
      <x:c r="N956" s="13" t="n">
        <x:f>D956-C956</x:f>
        <x:v>0</x:v>
      </x:c>
    </x:row>
    <x:row r="957">
      <x:c r="A957" s="13" t="str">
        <x:v>PAG-000956</x:v>
      </x:c>
      <x:c r="B957" s="23" t="n">
        <x:v>45974</x:v>
      </x:c>
      <x:c r="C957" s="23" t="n">
        <x:v>45989</x:v>
      </x:c>
      <x:c r="D957" s="23" t="n">
        <x:v>45989</x:v>
      </x:c>
      <x:c r="E957" s="13" t="str">
        <x:v>MarketLab</x:v>
      </x:c>
      <x:c r="F957" s="13" t="str">
        <x:v>Marketing</x:v>
      </x:c>
      <x:c r="G957" s="17" t="n">
        <x:v>1204.95</x:v>
      </x:c>
      <x:c r="H957" s="17" t="n">
        <x:v>1252.67</x:v>
      </x:c>
      <x:c r="I957" s="13" t="str">
        <x:v>Diretoria</x:v>
      </x:c>
      <x:c r="J957" s="13" t="str">
        <x:v>Pago</x:v>
      </x:c>
      <x:c r="K957" s="13" t="str">
        <x:v>Operação Clareza</x:v>
      </x:c>
      <x:c r="L957" s="17" t="n">
        <x:f>H957-G957</x:f>
        <x:v>47.72000000000003</x:v>
      </x:c>
      <x:c r="M957" s="19" t="n">
        <x:f>IFERROR(L957/G957,0)</x:f>
        <x:v>0.039603303041620005</x:v>
      </x:c>
      <x:c r="N957" s="13" t="n">
        <x:f>D957-C957</x:f>
        <x:v>0</x:v>
      </x:c>
    </x:row>
    <x:row r="958">
      <x:c r="A958" s="13" t="str">
        <x:v>PAG-000957</x:v>
      </x:c>
      <x:c r="B958" s="23" t="n">
        <x:v>45969</x:v>
      </x:c>
      <x:c r="C958" s="23" t="n">
        <x:v>45989</x:v>
      </x:c>
      <x:c r="D958" s="23" t="n">
        <x:v>45990</x:v>
      </x:c>
      <x:c r="E958" s="13" t="str">
        <x:v>LegalMais</x:v>
      </x:c>
      <x:c r="F958" s="13" t="str">
        <x:v>Jurídico</x:v>
      </x:c>
      <x:c r="G958" s="17" t="n">
        <x:v>27371.56</x:v>
      </x:c>
      <x:c r="H958" s="17" t="n">
        <x:v>26726.08</x:v>
      </x:c>
      <x:c r="I958" s="13" t="str">
        <x:v>Gestor da área</x:v>
      </x:c>
      <x:c r="J958" s="13" t="str">
        <x:v>Pago</x:v>
      </x:c>
      <x:c r="K958" s="13" t="str">
        <x:v>Operação Clareza</x:v>
      </x:c>
      <x:c r="L958" s="17" t="n">
        <x:f>H958-G958</x:f>
        <x:v>-645.4799999999996</x:v>
      </x:c>
      <x:c r="M958" s="19" t="n">
        <x:f>IFERROR(L958/G958,0)</x:f>
        <x:v>-0.023582141463621347</x:v>
      </x:c>
      <x:c r="N958" s="13" t="n">
        <x:f>D958-C958</x:f>
        <x:v>1</x:v>
      </x:c>
    </x:row>
    <x:row r="959">
      <x:c r="A959" s="13" t="str">
        <x:v>PAG-000958</x:v>
      </x:c>
      <x:c r="B959" s="23" t="n">
        <x:v>45979</x:v>
      </x:c>
      <x:c r="C959" s="23" t="n">
        <x:v>45994</x:v>
      </x:c>
      <x:c r="D959" s="23" t="n">
        <x:v>45993</x:v>
      </x:c>
      <x:c r="E959" s="13" t="str">
        <x:v>WorkSpace</x:v>
      </x:c>
      <x:c r="F959" s="13" t="str">
        <x:v>Locação</x:v>
      </x:c>
      <x:c r="G959" s="17" t="n">
        <x:v>27293.17</x:v>
      </x:c>
      <x:c r="H959" s="17" t="n">
        <x:v>27515.1</x:v>
      </x:c>
      <x:c r="I959" s="13" t="str">
        <x:v>Gestor da área</x:v>
      </x:c>
      <x:c r="J959" s="13" t="str">
        <x:v>Pago</x:v>
      </x:c>
      <x:c r="K959" s="13" t="str">
        <x:v>Operação Clareza</x:v>
      </x:c>
      <x:c r="L959" s="17" t="n">
        <x:f>H959-G959</x:f>
        <x:v>221.9300000000003</x:v>
      </x:c>
      <x:c r="M959" s="19" t="n">
        <x:f>IFERROR(L959/G959,0)</x:f>
        <x:v>0.008131338353148436</x:v>
      </x:c>
      <x:c r="N959" s="13" t="n">
        <x:f>D959-C959</x:f>
        <x:v>-1</x:v>
      </x:c>
    </x:row>
    <x:row r="960">
      <x:c r="A960" s="13" t="str">
        <x:v>PAG-000959</x:v>
      </x:c>
      <x:c r="B960" s="23" t="n">
        <x:v>45966</x:v>
      </x:c>
      <x:c r="C960" s="23" t="n">
        <x:v>45996</x:v>
      </x:c>
      <x:c r="D960" s="23" t="n">
        <x:v>45994</x:v>
      </x:c>
      <x:c r="E960" s="13" t="str">
        <x:v>EducaPro</x:v>
      </x:c>
      <x:c r="F960" s="13" t="str">
        <x:v>Treinamentos</x:v>
      </x:c>
      <x:c r="G960" s="17" t="n">
        <x:v>16205.74</x:v>
      </x:c>
      <x:c r="H960" s="17" t="n">
        <x:v>16237.17</x:v>
      </x:c>
      <x:c r="I960" s="13" t="str">
        <x:v>Gestor da área</x:v>
      </x:c>
      <x:c r="J960" s="13" t="str">
        <x:v>Pago</x:v>
      </x:c>
      <x:c r="K960" s="13" t="str">
        <x:v>Operação Clareza</x:v>
      </x:c>
      <x:c r="L960" s="17" t="n">
        <x:f>H960-G960</x:f>
        <x:v>31.43000000000029</x:v>
      </x:c>
      <x:c r="M960" s="19" t="n">
        <x:f>IFERROR(L960/G960,0)</x:f>
        <x:v>0.001939436273814111</x:v>
      </x:c>
      <x:c r="N960" s="13" t="n">
        <x:f>D960-C960</x:f>
        <x:v>-2</x:v>
      </x:c>
    </x:row>
    <x:row r="961">
      <x:c r="A961" s="13" t="str">
        <x:v>PAG-000960</x:v>
      </x:c>
      <x:c r="B961" s="23" t="n">
        <x:v>45962</x:v>
      </x:c>
      <x:c r="C961" s="23" t="n">
        <x:v>45977</x:v>
      </x:c>
      <x:c r="D961" s="23" t="n">
        <x:v>45976</x:v>
      </x:c>
      <x:c r="E961" s="13" t="str">
        <x:v>DataSafe</x:v>
      </x:c>
      <x:c r="F961" s="13" t="str">
        <x:v>Segurança da informação</x:v>
      </x:c>
      <x:c r="G961" s="17" t="n">
        <x:v>12274.49</x:v>
      </x:c>
      <x:c r="H961" s="17" t="n">
        <x:v>12510.91</x:v>
      </x:c>
      <x:c r="I961" s="13" t="str">
        <x:v>Diretoria</x:v>
      </x:c>
      <x:c r="J961" s="13" t="str">
        <x:v>Pago</x:v>
      </x:c>
      <x:c r="K961" s="13" t="str">
        <x:v>Operação Clareza</x:v>
      </x:c>
      <x:c r="L961" s="17" t="n">
        <x:f>H961-G961</x:f>
        <x:v>236.42000000000007</x:v>
      </x:c>
      <x:c r="M961" s="19" t="n">
        <x:f>IFERROR(L961/G961,0)</x:f>
        <x:v>0.01926108538929113</x:v>
      </x:c>
      <x:c r="N961" s="13" t="n">
        <x:f>D961-C961</x:f>
        <x:v>-1</x:v>
      </x:c>
    </x:row>
    <x:row r="962">
      <x:c r="A962" s="13" t="str">
        <x:v>PAG-000961</x:v>
      </x:c>
      <x:c r="B962" s="23" t="n">
        <x:v>45972</x:v>
      </x:c>
      <x:c r="C962" s="23" t="n">
        <x:v>45979</x:v>
      </x:c>
      <x:c r="D962" s="23" t="n">
        <x:v>45978</x:v>
      </x:c>
      <x:c r="E962" s="13" t="str">
        <x:v>PeopleHub</x:v>
      </x:c>
      <x:c r="F962" s="13" t="str">
        <x:v>Recursos Humanos</x:v>
      </x:c>
      <x:c r="G962" s="17" t="n">
        <x:v>10650.77</x:v>
      </x:c>
      <x:c r="H962" s="17" t="n">
        <x:v>10835.33</x:v>
      </x:c>
      <x:c r="I962" s="13" t="str">
        <x:v>Gestor da área</x:v>
      </x:c>
      <x:c r="J962" s="13" t="str">
        <x:v>Pago</x:v>
      </x:c>
      <x:c r="K962" s="13" t="str">
        <x:v>Operação Clareza</x:v>
      </x:c>
      <x:c r="L962" s="17" t="n">
        <x:f>H962-G962</x:f>
        <x:v>184.5599999999995</x:v>
      </x:c>
      <x:c r="M962" s="19" t="n">
        <x:f>IFERROR(L962/G962,0)</x:f>
        <x:v>0.01732832461878338</x:v>
      </x:c>
      <x:c r="N962" s="13" t="n">
        <x:f>D962-C962</x:f>
        <x:v>-1</x:v>
      </x:c>
    </x:row>
    <x:row r="963">
      <x:c r="A963" s="13" t="str">
        <x:v>PAG-000962</x:v>
      </x:c>
      <x:c r="B963" s="23" t="n">
        <x:v>45973</x:v>
      </x:c>
      <x:c r="C963" s="23" t="n">
        <x:v>46003</x:v>
      </x:c>
      <x:c r="D963" s="23" t="n">
        <x:v>46002</x:v>
      </x:c>
      <x:c r="E963" s="13" t="str">
        <x:v>DataSafe</x:v>
      </x:c>
      <x:c r="F963" s="13" t="str">
        <x:v>Segurança da informação</x:v>
      </x:c>
      <x:c r="G963" s="17" t="n">
        <x:v>16323.89</x:v>
      </x:c>
      <x:c r="H963" s="17" t="n">
        <x:v>16764.62</x:v>
      </x:c>
      <x:c r="I963" s="13" t="str">
        <x:v>Financeiro</x:v>
      </x:c>
      <x:c r="J963" s="13" t="str">
        <x:v>Pago</x:v>
      </x:c>
      <x:c r="K963" s="13" t="str">
        <x:v>Operação Clareza</x:v>
      </x:c>
      <x:c r="L963" s="17" t="n">
        <x:f>H963-G963</x:f>
        <x:v>440.72999999999956</x:v>
      </x:c>
      <x:c r="M963" s="19" t="n">
        <x:f>IFERROR(L963/G963,0)</x:f>
        <x:v>0.026999079263582366</x:v>
      </x:c>
      <x:c r="N963" s="13" t="n">
        <x:f>D963-C963</x:f>
        <x:v>-1</x:v>
      </x:c>
    </x:row>
    <x:row r="964">
      <x:c r="A964" s="13" t="str">
        <x:v>PAG-000963</x:v>
      </x:c>
      <x:c r="B964" s="23" t="n">
        <x:v>45969</x:v>
      </x:c>
      <x:c r="C964" s="23" t="n">
        <x:v>45984</x:v>
      </x:c>
      <x:c r="D964" s="23" t="n">
        <x:v>45985</x:v>
      </x:c>
      <x:c r="E964" s="13" t="str">
        <x:v>CloudCore</x:v>
      </x:c>
      <x:c r="F964" s="13" t="str">
        <x:v>Tecnologia</x:v>
      </x:c>
      <x:c r="G964" s="17" t="n">
        <x:v>27566.27</x:v>
      </x:c>
      <x:c r="H964" s="17" t="n">
        <x:v>27970.46</x:v>
      </x:c>
      <x:c r="I964" s="13" t="str">
        <x:v>Financeiro</x:v>
      </x:c>
      <x:c r="J964" s="13" t="str">
        <x:v>Pago</x:v>
      </x:c>
      <x:c r="K964" s="13" t="str">
        <x:v>Operação Clareza</x:v>
      </x:c>
      <x:c r="L964" s="17" t="n">
        <x:f>H964-G964</x:f>
        <x:v>404.1899999999987</x:v>
      </x:c>
      <x:c r="M964" s="19" t="n">
        <x:f>IFERROR(L964/G964,0)</x:f>
        <x:v>0.014662484260656182</x:v>
      </x:c>
      <x:c r="N964" s="13" t="n">
        <x:f>D964-C964</x:f>
        <x:v>1</x:v>
      </x:c>
    </x:row>
    <x:row r="965">
      <x:c r="A965" s="13" t="str">
        <x:v>PAG-000964</x:v>
      </x:c>
      <x:c r="B965" s="23" t="n">
        <x:v>45979</x:v>
      </x:c>
      <x:c r="C965" s="23" t="n">
        <x:v>46009</x:v>
      </x:c>
      <x:c r="D965" s="23" t="n">
        <x:v>46007</x:v>
      </x:c>
      <x:c r="E965" s="13" t="str">
        <x:v>NetLink</x:v>
      </x:c>
      <x:c r="F965" s="13" t="str">
        <x:v>Telecomunicações</x:v>
      </x:c>
      <x:c r="G965" s="17" t="n">
        <x:v>30885.53</x:v>
      </x:c>
      <x:c r="H965" s="17" t="n">
        <x:v>30757.23</x:v>
      </x:c>
      <x:c r="I965" s="13" t="str">
        <x:v>Gestor da área</x:v>
      </x:c>
      <x:c r="J965" s="13" t="str">
        <x:v>Pago</x:v>
      </x:c>
      <x:c r="K965" s="13" t="str">
        <x:v>Operação Clareza</x:v>
      </x:c>
      <x:c r="L965" s="17" t="n">
        <x:f>H965-G965</x:f>
        <x:v>-128.29999999999927</x:v>
      </x:c>
      <x:c r="M965" s="19" t="n">
        <x:f>IFERROR(L965/G965,0)</x:f>
        <x:v>-0.0041540488377566865</x:v>
      </x:c>
      <x:c r="N965" s="13" t="n">
        <x:f>D965-C965</x:f>
        <x:v>-2</x:v>
      </x:c>
    </x:row>
    <x:row r="966">
      <x:c r="A966" s="13" t="str">
        <x:v>PAG-000965</x:v>
      </x:c>
      <x:c r="B966" s="23" t="n">
        <x:v>45969</x:v>
      </x:c>
      <x:c r="C966" s="23" t="n">
        <x:v>45989</x:v>
      </x:c>
      <x:c r="D966" s="23" t="n">
        <x:v>45988</x:v>
      </x:c>
      <x:c r="E966" s="13" t="str">
        <x:v>CloudCore</x:v>
      </x:c>
      <x:c r="F966" s="13" t="str">
        <x:v>Tecnologia</x:v>
      </x:c>
      <x:c r="G966" s="17" t="n">
        <x:v>10848.52</x:v>
      </x:c>
      <x:c r="H966" s="17" t="n">
        <x:v>10698.24</x:v>
      </x:c>
      <x:c r="I966" s="13" t="str">
        <x:v>Gestor da área</x:v>
      </x:c>
      <x:c r="J966" s="13" t="str">
        <x:v>Pago</x:v>
      </x:c>
      <x:c r="K966" s="13" t="str">
        <x:v>Operação Clareza</x:v>
      </x:c>
      <x:c r="L966" s="17" t="n">
        <x:f>H966-G966</x:f>
        <x:v>-150.28000000000065</x:v>
      </x:c>
      <x:c r="M966" s="19" t="n">
        <x:f>IFERROR(L966/G966,0)</x:f>
        <x:v>-0.013852580812866699</x:v>
      </x:c>
      <x:c r="N966" s="13" t="n">
        <x:f>D966-C966</x:f>
        <x:v>-1</x:v>
      </x:c>
    </x:row>
    <x:row r="967">
      <x:c r="A967" s="13" t="str">
        <x:v>PAG-000966</x:v>
      </x:c>
      <x:c r="B967" s="23" t="n">
        <x:v>45977</x:v>
      </x:c>
      <x:c r="C967" s="23" t="n">
        <x:v>45984</x:v>
      </x:c>
      <x:c r="D967" s="23" t="n">
        <x:v>45984</x:v>
      </x:c>
      <x:c r="E967" s="13" t="str">
        <x:v>Office Prime</x:v>
      </x:c>
      <x:c r="F967" s="13" t="str">
        <x:v>Escritório</x:v>
      </x:c>
      <x:c r="G967" s="17" t="n">
        <x:v>27513.31</x:v>
      </x:c>
      <x:c r="H967" s="17" t="n">
        <x:v>28614.85</x:v>
      </x:c>
      <x:c r="I967" s="13" t="str">
        <x:v>Financeiro</x:v>
      </x:c>
      <x:c r="J967" s="13" t="str">
        <x:v>Pago</x:v>
      </x:c>
      <x:c r="K967" s="13" t="str">
        <x:v>Operação Clareza</x:v>
      </x:c>
      <x:c r="L967" s="17" t="n">
        <x:f>H967-G967</x:f>
        <x:v>1101.5399999999972</x:v>
      </x:c>
      <x:c r="M967" s="19" t="n">
        <x:f>IFERROR(L967/G967,0)</x:f>
        <x:v>0.040036622274818884</x:v>
      </x:c>
      <x:c r="N967" s="13" t="n">
        <x:f>D967-C967</x:f>
        <x:v>0</x:v>
      </x:c>
    </x:row>
    <x:row r="968">
      <x:c r="A968" s="13" t="str">
        <x:v>PAG-000967</x:v>
      </x:c>
      <x:c r="B968" s="23" t="n">
        <x:v>46007</x:v>
      </x:c>
      <x:c r="C968" s="23" t="n">
        <x:v>46027</x:v>
      </x:c>
      <x:c r="D968" s="23" t="n">
        <x:v>46028</x:v>
      </x:c>
      <x:c r="E968" s="13" t="str">
        <x:v>NetLink</x:v>
      </x:c>
      <x:c r="F968" s="13" t="str">
        <x:v>Telecomunicações</x:v>
      </x:c>
      <x:c r="G968" s="17" t="n">
        <x:v>11575.28</x:v>
      </x:c>
      <x:c r="H968" s="17" t="n">
        <x:v>11645.68</x:v>
      </x:c>
      <x:c r="I968" s="13" t="str">
        <x:v>Diretoria</x:v>
      </x:c>
      <x:c r="J968" s="13" t="str">
        <x:v>Pago</x:v>
      </x:c>
      <x:c r="K968" s="13" t="str">
        <x:v>Operação Clareza</x:v>
      </x:c>
      <x:c r="L968" s="17" t="n">
        <x:f>H968-G968</x:f>
        <x:v>70.39999999999964</x:v>
      </x:c>
      <x:c r="M968" s="19" t="n">
        <x:f>IFERROR(L968/G968,0)</x:f>
        <x:v>0.006081926311933676</x:v>
      </x:c>
      <x:c r="N968" s="13" t="n">
        <x:f>D968-C968</x:f>
        <x:v>1</x:v>
      </x:c>
    </x:row>
    <x:row r="969">
      <x:c r="A969" s="13" t="str">
        <x:v>PAG-000968</x:v>
      </x:c>
      <x:c r="B969" s="23" t="n">
        <x:v>46010</x:v>
      </x:c>
      <x:c r="C969" s="23" t="n">
        <x:v>46017</x:v>
      </x:c>
      <x:c r="D969" s="23" t="n">
        <x:v>46017</x:v>
      </x:c>
      <x:c r="E969" s="13" t="str">
        <x:v>NetLink</x:v>
      </x:c>
      <x:c r="F969" s="13" t="str">
        <x:v>Telecomunicações</x:v>
      </x:c>
      <x:c r="G969" s="17" t="n">
        <x:v>25580.23</x:v>
      </x:c>
      <x:c r="H969" s="17" t="n">
        <x:v>26309.48</x:v>
      </x:c>
      <x:c r="I969" s="13" t="str">
        <x:v>Gestor da área</x:v>
      </x:c>
      <x:c r="J969" s="13" t="str">
        <x:v>Pago</x:v>
      </x:c>
      <x:c r="K969" s="13" t="str">
        <x:v>Operação Clareza</x:v>
      </x:c>
      <x:c r="L969" s="17" t="n">
        <x:f>H969-G969</x:f>
        <x:v>729.25</x:v>
      </x:c>
      <x:c r="M969" s="19" t="n">
        <x:f>IFERROR(L969/G969,0)</x:f>
        <x:v>0.02850834413920438</x:v>
      </x:c>
      <x:c r="N969" s="13" t="n">
        <x:f>D969-C969</x:f>
        <x:v>0</x:v>
      </x:c>
    </x:row>
    <x:row r="970">
      <x:c r="A970" s="13" t="str">
        <x:v>PAG-000969</x:v>
      </x:c>
      <x:c r="B970" s="23" t="n">
        <x:v>46007</x:v>
      </x:c>
      <x:c r="C970" s="23" t="n">
        <x:v>46022</x:v>
      </x:c>
      <x:c r="D970" s="23" t="n">
        <x:v>46024</x:v>
      </x:c>
      <x:c r="E970" s="13" t="str">
        <x:v>LegalMais</x:v>
      </x:c>
      <x:c r="F970" s="13" t="str">
        <x:v>Jurídico</x:v>
      </x:c>
      <x:c r="G970" s="17" t="n">
        <x:v>11372.44</x:v>
      </x:c>
      <x:c r="H970" s="17" t="n">
        <x:v>11296.94</x:v>
      </x:c>
      <x:c r="I970" s="13" t="str">
        <x:v>Gestor da área</x:v>
      </x:c>
      <x:c r="J970" s="13" t="str">
        <x:v>Pago</x:v>
      </x:c>
      <x:c r="K970" s="13" t="str">
        <x:v>Operação Clareza</x:v>
      </x:c>
      <x:c r="L970" s="17" t="n">
        <x:f>H970-G970</x:f>
        <x:v>-75.5</x:v>
      </x:c>
      <x:c r="M970" s="19" t="n">
        <x:f>IFERROR(L970/G970,0)</x:f>
        <x:v>-0.006638856744902589</x:v>
      </x:c>
      <x:c r="N970" s="13" t="n">
        <x:f>D970-C970</x:f>
        <x:v>2</x:v>
      </x:c>
    </x:row>
    <x:row r="971">
      <x:c r="A971" s="13" t="str">
        <x:v>PAG-000970</x:v>
      </x:c>
      <x:c r="B971" s="23" t="n">
        <x:v>46002</x:v>
      </x:c>
      <x:c r="C971" s="23" t="n">
        <x:v>46017</x:v>
      </x:c>
      <x:c r="D971" s="23" t="n">
        <x:v>46014</x:v>
      </x:c>
      <x:c r="E971" s="13" t="str">
        <x:v>LegalMais</x:v>
      </x:c>
      <x:c r="F971" s="13" t="str">
        <x:v>Jurídico</x:v>
      </x:c>
      <x:c r="G971" s="17" t="n">
        <x:v>19994.37</x:v>
      </x:c>
      <x:c r="H971" s="17" t="n">
        <x:v>20435.69</x:v>
      </x:c>
      <x:c r="I971" s="13" t="str">
        <x:v>Diretoria</x:v>
      </x:c>
      <x:c r="J971" s="13" t="str">
        <x:v>Pago</x:v>
      </x:c>
      <x:c r="K971" s="13" t="str">
        <x:v>Operação Clareza</x:v>
      </x:c>
      <x:c r="L971" s="17" t="n">
        <x:f>H971-G971</x:f>
        <x:v>441.3199999999997</x:v>
      </x:c>
      <x:c r="M971" s="19" t="n">
        <x:f>IFERROR(L971/G971,0)</x:f>
        <x:v>0.022072213328051832</x:v>
      </x:c>
      <x:c r="N971" s="13" t="n">
        <x:f>D971-C971</x:f>
        <x:v>-3</x:v>
      </x:c>
    </x:row>
    <x:row r="972">
      <x:c r="A972" s="13" t="str">
        <x:v>PAG-000971</x:v>
      </x:c>
      <x:c r="B972" s="23" t="n">
        <x:v>46005</x:v>
      </x:c>
      <x:c r="C972" s="23" t="n">
        <x:v>46012</x:v>
      </x:c>
      <x:c r="D972" s="23" t="n">
        <x:v>46013</x:v>
      </x:c>
      <x:c r="E972" s="13" t="str">
        <x:v>MarketLab</x:v>
      </x:c>
      <x:c r="F972" s="13" t="str">
        <x:v>Marketing</x:v>
      </x:c>
      <x:c r="G972" s="17" t="n">
        <x:v>31612.93</x:v>
      </x:c>
      <x:c r="H972" s="17" t="n">
        <x:v>31015.47</x:v>
      </x:c>
      <x:c r="I972" s="13" t="str">
        <x:v>Gestor da área</x:v>
      </x:c>
      <x:c r="J972" s="13" t="str">
        <x:v>Pago</x:v>
      </x:c>
      <x:c r="K972" s="13" t="str">
        <x:v>Operação Clareza</x:v>
      </x:c>
      <x:c r="L972" s="17" t="n">
        <x:f>H972-G972</x:f>
        <x:v>-597.4599999999991</x:v>
      </x:c>
      <x:c r="M972" s="19" t="n">
        <x:f>IFERROR(L972/G972,0)</x:f>
        <x:v>-0.01889922889146938</x:v>
      </x:c>
      <x:c r="N972" s="13" t="n">
        <x:f>D972-C972</x:f>
        <x:v>1</x:v>
      </x:c>
    </x:row>
    <x:row r="973">
      <x:c r="A973" s="13" t="str">
        <x:v>PAG-000972</x:v>
      </x:c>
      <x:c r="B973" s="23" t="n">
        <x:v>46007</x:v>
      </x:c>
      <x:c r="C973" s="23" t="n">
        <x:v>46037</x:v>
      </x:c>
      <x:c r="D973" s="23" t="n">
        <x:v>46036</x:v>
      </x:c>
      <x:c r="E973" s="13" t="str">
        <x:v>DataSafe</x:v>
      </x:c>
      <x:c r="F973" s="13" t="str">
        <x:v>Segurança da informação</x:v>
      </x:c>
      <x:c r="G973" s="17" t="n">
        <x:v>29507.03</x:v>
      </x:c>
      <x:c r="H973" s="17" t="n">
        <x:v>29026.52</x:v>
      </x:c>
      <x:c r="I973" s="13" t="str">
        <x:v>Diretoria</x:v>
      </x:c>
      <x:c r="J973" s="13" t="str">
        <x:v>Pago</x:v>
      </x:c>
      <x:c r="K973" s="13" t="str">
        <x:v>Operação Clareza</x:v>
      </x:c>
      <x:c r="L973" s="17" t="n">
        <x:f>H973-G973</x:f>
        <x:v>-480.5099999999984</x:v>
      </x:c>
      <x:c r="M973" s="19" t="n">
        <x:f>IFERROR(L973/G973,0)</x:f>
        <x:v>-0.01628459387474776</x:v>
      </x:c>
      <x:c r="N973" s="13" t="n">
        <x:f>D973-C973</x:f>
        <x:v>-1</x:v>
      </x:c>
    </x:row>
    <x:row r="974">
      <x:c r="A974" s="13" t="str">
        <x:v>PAG-000973</x:v>
      </x:c>
      <x:c r="B974" s="23" t="n">
        <x:v>46011</x:v>
      </x:c>
      <x:c r="C974" s="23" t="n">
        <x:v>46041</x:v>
      </x:c>
      <x:c r="D974" s="23" t="n">
        <x:v>46041</x:v>
      </x:c>
      <x:c r="E974" s="13" t="str">
        <x:v>LegalMais</x:v>
      </x:c>
      <x:c r="F974" s="13" t="str">
        <x:v>Jurídico</x:v>
      </x:c>
      <x:c r="G974" s="17" t="n">
        <x:v>2862.9</x:v>
      </x:c>
      <x:c r="H974" s="17" t="n">
        <x:v>2979.16</x:v>
      </x:c>
      <x:c r="I974" s="13" t="str">
        <x:v>Gestor da área</x:v>
      </x:c>
      <x:c r="J974" s="13" t="str">
        <x:v>Pago</x:v>
      </x:c>
      <x:c r="K974" s="13" t="str">
        <x:v>Operação Clareza</x:v>
      </x:c>
      <x:c r="L974" s="17" t="n">
        <x:f>H974-G974</x:f>
        <x:v>116.25999999999976</x:v>
      </x:c>
      <x:c r="M974" s="19" t="n">
        <x:f>IFERROR(L974/G974,0)</x:f>
        <x:v>0.040609172517377404</x:v>
      </x:c>
      <x:c r="N974" s="13" t="n">
        <x:f>D974-C974</x:f>
        <x:v>0</x:v>
      </x:c>
    </x:row>
    <x:row r="975">
      <x:c r="A975" s="13" t="str">
        <x:v>PAG-000974</x:v>
      </x:c>
      <x:c r="B975" s="23" t="n">
        <x:v>45998</x:v>
      </x:c>
      <x:c r="C975" s="23" t="n">
        <x:v>46028</x:v>
      </x:c>
      <x:c r="D975" s="23" t="n">
        <x:v>46027</x:v>
      </x:c>
      <x:c r="E975" s="13" t="str">
        <x:v>MarketLab</x:v>
      </x:c>
      <x:c r="F975" s="13" t="str">
        <x:v>Marketing</x:v>
      </x:c>
      <x:c r="G975" s="17" t="n">
        <x:v>30724.7</x:v>
      </x:c>
      <x:c r="H975" s="17" t="n">
        <x:v>30064.25</x:v>
      </x:c>
      <x:c r="I975" s="13" t="str">
        <x:v>Gestor da área</x:v>
      </x:c>
      <x:c r="J975" s="13" t="str">
        <x:v>Pago</x:v>
      </x:c>
      <x:c r="K975" s="13" t="str">
        <x:v>Operação Clareza</x:v>
      </x:c>
      <x:c r="L975" s="17" t="n">
        <x:f>H975-G975</x:f>
        <x:v>-660.4500000000007</x:v>
      </x:c>
      <x:c r="M975" s="19" t="n">
        <x:f>IFERROR(L975/G975,0)</x:f>
        <x:v>-0.02149573470204756</x:v>
      </x:c>
      <x:c r="N975" s="13" t="n">
        <x:f>D975-C975</x:f>
        <x:v>-1</x:v>
      </x:c>
    </x:row>
    <x:row r="976">
      <x:c r="A976" s="13" t="str">
        <x:v>PAG-000975</x:v>
      </x:c>
      <x:c r="B976" s="23" t="n">
        <x:v>46009</x:v>
      </x:c>
      <x:c r="C976" s="23" t="n">
        <x:v>46029</x:v>
      </x:c>
      <x:c r="D976" s="23" t="n">
        <x:v>46029</x:v>
      </x:c>
      <x:c r="E976" s="13" t="str">
        <x:v>PeopleHub</x:v>
      </x:c>
      <x:c r="F976" s="13" t="str">
        <x:v>Recursos Humanos</x:v>
      </x:c>
      <x:c r="G976" s="17" t="n">
        <x:v>25675.31</x:v>
      </x:c>
      <x:c r="H976" s="17" t="n">
        <x:v>25519.49</x:v>
      </x:c>
      <x:c r="I976" s="13" t="str">
        <x:v>Gestor da área</x:v>
      </x:c>
      <x:c r="J976" s="13" t="str">
        <x:v>Pago</x:v>
      </x:c>
      <x:c r="K976" s="13" t="str">
        <x:v>Operação Clareza</x:v>
      </x:c>
      <x:c r="L976" s="17" t="n">
        <x:f>H976-G976</x:f>
        <x:v>-155.8199999999997</x:v>
      </x:c>
      <x:c r="M976" s="19" t="n">
        <x:f>IFERROR(L976/G976,0)</x:f>
        <x:v>-0.00606886538078799</x:v>
      </x:c>
      <x:c r="N976" s="13" t="n">
        <x:f>D976-C976</x:f>
        <x:v>0</x:v>
      </x:c>
    </x:row>
    <x:row r="977">
      <x:c r="A977" s="13" t="str">
        <x:v>PAG-000976</x:v>
      </x:c>
      <x:c r="B977" s="23" t="n">
        <x:v>45993</x:v>
      </x:c>
      <x:c r="C977" s="23" t="n">
        <x:v>46008</x:v>
      </x:c>
      <x:c r="D977" s="23" t="n">
        <x:v>46010</x:v>
      </x:c>
      <x:c r="E977" s="13" t="str">
        <x:v>CloudCore</x:v>
      </x:c>
      <x:c r="F977" s="13" t="str">
        <x:v>Tecnologia</x:v>
      </x:c>
      <x:c r="G977" s="17" t="n">
        <x:v>17423.72</x:v>
      </x:c>
      <x:c r="H977" s="17" t="n">
        <x:v>17440.97</x:v>
      </x:c>
      <x:c r="I977" s="13" t="str">
        <x:v>Gestor da área</x:v>
      </x:c>
      <x:c r="J977" s="13" t="str">
        <x:v>Pago</x:v>
      </x:c>
      <x:c r="K977" s="13" t="str">
        <x:v>Operação Clareza</x:v>
      </x:c>
      <x:c r="L977" s="17" t="n">
        <x:f>H977-G977</x:f>
        <x:v>17.25</x:v>
      </x:c>
      <x:c r="M977" s="19" t="n">
        <x:f>IFERROR(L977/G977,0)</x:f>
        <x:v>0.0009900296836726026</x:v>
      </x:c>
      <x:c r="N977" s="13" t="n">
        <x:f>D977-C977</x:f>
        <x:v>2</x:v>
      </x:c>
    </x:row>
    <x:row r="978">
      <x:c r="A978" s="13" t="str">
        <x:v>PAG-000977</x:v>
      </x:c>
      <x:c r="B978" s="23" t="n">
        <x:v>45997</x:v>
      </x:c>
      <x:c r="C978" s="23" t="n">
        <x:v>46012</x:v>
      </x:c>
      <x:c r="D978" s="23" t="n">
        <x:v>46012</x:v>
      </x:c>
      <x:c r="E978" s="13" t="str">
        <x:v>LegalMais</x:v>
      </x:c>
      <x:c r="F978" s="13" t="str">
        <x:v>Jurídico</x:v>
      </x:c>
      <x:c r="G978" s="17" t="n">
        <x:v>11896.4</x:v>
      </x:c>
      <x:c r="H978" s="17" t="n">
        <x:v>11732.78</x:v>
      </x:c>
      <x:c r="I978" s="13" t="str">
        <x:v>Financeiro</x:v>
      </x:c>
      <x:c r="J978" s="13" t="str">
        <x:v>Pago</x:v>
      </x:c>
      <x:c r="K978" s="13" t="str">
        <x:v>Operação Clareza</x:v>
      </x:c>
      <x:c r="L978" s="17" t="n">
        <x:f>H978-G978</x:f>
        <x:v>-163.61999999999898</x:v>
      </x:c>
      <x:c r="M978" s="19" t="n">
        <x:f>IFERROR(L978/G978,0)</x:f>
        <x:v>-0.013753740627416612</x:v>
      </x:c>
      <x:c r="N978" s="13" t="n">
        <x:f>D978-C978</x:f>
        <x:v>0</x:v>
      </x:c>
    </x:row>
    <x:row r="979">
      <x:c r="A979" s="13" t="str">
        <x:v>PAG-000978</x:v>
      </x:c>
      <x:c r="B979" s="23" t="n">
        <x:v>45996</x:v>
      </x:c>
      <x:c r="C979" s="23" t="n">
        <x:v>46026</x:v>
      </x:c>
      <x:c r="D979" s="23" t="n">
        <x:v>46024</x:v>
      </x:c>
      <x:c r="E979" s="13" t="str">
        <x:v>Conta Certa</x:v>
      </x:c>
      <x:c r="F979" s="13" t="str">
        <x:v>Contabilidade</x:v>
      </x:c>
      <x:c r="G979" s="17" t="n">
        <x:v>27837.2</x:v>
      </x:c>
      <x:c r="H979" s="17" t="n">
        <x:v>27986.96</x:v>
      </x:c>
      <x:c r="I979" s="13" t="str">
        <x:v>Diretoria</x:v>
      </x:c>
      <x:c r="J979" s="13" t="str">
        <x:v>Pago</x:v>
      </x:c>
      <x:c r="K979" s="13" t="str">
        <x:v>Operação Clareza</x:v>
      </x:c>
      <x:c r="L979" s="17" t="n">
        <x:f>H979-G979</x:f>
        <x:v>149.7599999999984</x:v>
      </x:c>
      <x:c r="M979" s="19" t="n">
        <x:f>IFERROR(L979/G979,0)</x:f>
        <x:v>0.005379851421838345</x:v>
      </x:c>
      <x:c r="N979" s="13" t="n">
        <x:f>D979-C979</x:f>
        <x:v>-2</x:v>
      </x:c>
    </x:row>
    <x:row r="980">
      <x:c r="A980" s="13" t="str">
        <x:v>PAG-000979</x:v>
      </x:c>
      <x:c r="B980" s="23" t="n">
        <x:v>46006</x:v>
      </x:c>
      <x:c r="C980" s="23" t="n">
        <x:v>46021</x:v>
      </x:c>
      <x:c r="D980" s="23" t="n">
        <x:v>46018</x:v>
      </x:c>
      <x:c r="E980" s="13" t="str">
        <x:v>Banco Integra</x:v>
      </x:c>
      <x:c r="F980" s="13" t="str">
        <x:v>Serviços bancários</x:v>
      </x:c>
      <x:c r="G980" s="17" t="n">
        <x:v>3971.6</x:v>
      </x:c>
      <x:c r="H980" s="17" t="n">
        <x:v>4098.54</x:v>
      </x:c>
      <x:c r="I980" s="13" t="str">
        <x:v>Gestor da área</x:v>
      </x:c>
      <x:c r="J980" s="13" t="str">
        <x:v>Pago</x:v>
      </x:c>
      <x:c r="K980" s="13" t="str">
        <x:v>Operação Clareza</x:v>
      </x:c>
      <x:c r="L980" s="17" t="n">
        <x:f>H980-G980</x:f>
        <x:v>126.94000000000005</x:v>
      </x:c>
      <x:c r="M980" s="19" t="n">
        <x:f>IFERROR(L980/G980,0)</x:f>
        <x:v>0.03196192970087624</x:v>
      </x:c>
      <x:c r="N980" s="13" t="n">
        <x:f>D980-C980</x:f>
        <x:v>-3</x:v>
      </x:c>
    </x:row>
    <x:row r="981">
      <x:c r="A981" s="13" t="str">
        <x:v>PAG-000980</x:v>
      </x:c>
      <x:c r="B981" s="23" t="n">
        <x:v>46006</x:v>
      </x:c>
      <x:c r="C981" s="23" t="n">
        <x:v>46036</x:v>
      </x:c>
      <x:c r="D981" s="23" t="n">
        <x:v>46038</x:v>
      </x:c>
      <x:c r="E981" s="13" t="str">
        <x:v>Insight BI</x:v>
      </x:c>
      <x:c r="F981" s="13" t="str">
        <x:v>Dados e Analytics</x:v>
      </x:c>
      <x:c r="G981" s="17" t="n">
        <x:v>15224.52</x:v>
      </x:c>
      <x:c r="H981" s="17" t="n">
        <x:v>15297.22</x:v>
      </x:c>
      <x:c r="I981" s="13" t="str">
        <x:v>Financeiro</x:v>
      </x:c>
      <x:c r="J981" s="13" t="str">
        <x:v>Pago</x:v>
      </x:c>
      <x:c r="K981" s="13" t="str">
        <x:v>Operação Clareza</x:v>
      </x:c>
      <x:c r="L981" s="17" t="n">
        <x:f>H981-G981</x:f>
        <x:v>72.69999999999891</x:v>
      </x:c>
      <x:c r="M981" s="19" t="n">
        <x:f>IFERROR(L981/G981,0)</x:f>
        <x:v>0.004775191598815523</x:v>
      </x:c>
      <x:c r="N981" s="13" t="n">
        <x:f>D981-C981</x:f>
        <x:v>2</x:v>
      </x:c>
    </x:row>
    <x:row r="982">
      <x:c r="A982" s="13" t="str">
        <x:v>PAG-000981</x:v>
      </x:c>
      <x:c r="B982" s="23" t="n">
        <x:v>46004</x:v>
      </x:c>
      <x:c r="C982" s="23" t="n">
        <x:v>46011</x:v>
      </x:c>
      <x:c r="D982" s="23" t="n">
        <x:v>46009</x:v>
      </x:c>
      <x:c r="E982" s="13" t="str">
        <x:v>LegalMais</x:v>
      </x:c>
      <x:c r="F982" s="13" t="str">
        <x:v>Jurídico</x:v>
      </x:c>
      <x:c r="G982" s="17" t="n">
        <x:v>10504.38</x:v>
      </x:c>
      <x:c r="H982" s="17" t="n">
        <x:v>10717</x:v>
      </x:c>
      <x:c r="I982" s="13" t="str">
        <x:v>Diretoria</x:v>
      </x:c>
      <x:c r="J982" s="13" t="str">
        <x:v>Pago</x:v>
      </x:c>
      <x:c r="K982" s="13" t="str">
        <x:v>Operação Clareza</x:v>
      </x:c>
      <x:c r="L982" s="17" t="n">
        <x:f>H982-G982</x:f>
        <x:v>212.6200000000008</x:v>
      </x:c>
      <x:c r="M982" s="19" t="n">
        <x:f>IFERROR(L982/G982,0)</x:f>
        <x:v>0.02024108038741942</x:v>
      </x:c>
      <x:c r="N982" s="13" t="n">
        <x:f>D982-C982</x:f>
        <x:v>-2</x:v>
      </x:c>
    </x:row>
    <x:row r="983">
      <x:c r="A983" s="13" t="str">
        <x:v>PAG-000982</x:v>
      </x:c>
      <x:c r="B983" s="23" t="n">
        <x:v>46004</x:v>
      </x:c>
      <x:c r="C983" s="23" t="n">
        <x:v>46019</x:v>
      </x:c>
      <x:c r="D983" s="23" t="n">
        <x:v>46019</x:v>
      </x:c>
      <x:c r="E983" s="13" t="str">
        <x:v>Insight BI</x:v>
      </x:c>
      <x:c r="F983" s="13" t="str">
        <x:v>Dados e Analytics</x:v>
      </x:c>
      <x:c r="G983" s="17" t="n">
        <x:v>9706.43</x:v>
      </x:c>
      <x:c r="H983" s="17" t="n">
        <x:v>9628.56</x:v>
      </x:c>
      <x:c r="I983" s="13" t="str">
        <x:v>Gestor da área</x:v>
      </x:c>
      <x:c r="J983" s="13" t="str">
        <x:v>Pago</x:v>
      </x:c>
      <x:c r="K983" s="13" t="str">
        <x:v>Operação Clareza</x:v>
      </x:c>
      <x:c r="L983" s="17" t="n">
        <x:f>H983-G983</x:f>
        <x:v>-77.8700000000008</x:v>
      </x:c>
      <x:c r="M983" s="19" t="n">
        <x:f>IFERROR(L983/G983,0)</x:f>
        <x:v>-0.008022517032523883</x:v>
      </x:c>
      <x:c r="N983" s="13" t="n">
        <x:f>D983-C983</x:f>
        <x:v>0</x:v>
      </x:c>
    </x:row>
    <x:row r="984">
      <x:c r="A984" s="13" t="str">
        <x:v>PAG-000983</x:v>
      </x:c>
      <x:c r="B984" s="23" t="n">
        <x:v>46003</x:v>
      </x:c>
      <x:c r="C984" s="23" t="n">
        <x:v>46010</x:v>
      </x:c>
      <x:c r="D984" s="23" t="n">
        <x:v>46007</x:v>
      </x:c>
      <x:c r="E984" s="13" t="str">
        <x:v>Conta Certa</x:v>
      </x:c>
      <x:c r="F984" s="13" t="str">
        <x:v>Contabilidade</x:v>
      </x:c>
      <x:c r="G984" s="17" t="n">
        <x:v>3034.04</x:v>
      </x:c>
      <x:c r="H984" s="17" t="n">
        <x:v>3130.31</x:v>
      </x:c>
      <x:c r="I984" s="13" t="str">
        <x:v>Diretoria</x:v>
      </x:c>
      <x:c r="J984" s="13" t="str">
        <x:v>Pago</x:v>
      </x:c>
      <x:c r="K984" s="13" t="str">
        <x:v>Operação Clareza</x:v>
      </x:c>
      <x:c r="L984" s="17" t="n">
        <x:f>H984-G984</x:f>
        <x:v>96.26999999999998</x:v>
      </x:c>
      <x:c r="M984" s="19" t="n">
        <x:f>IFERROR(L984/G984,0)</x:f>
        <x:v>0.03172997060025576</x:v>
      </x:c>
      <x:c r="N984" s="13" t="n">
        <x:f>D984-C984</x:f>
        <x:v>-3</x:v>
      </x:c>
    </x:row>
    <x:row r="985">
      <x:c r="A985" s="13" t="str">
        <x:v>PAG-000984</x:v>
      </x:c>
      <x:c r="B985" s="23" t="n">
        <x:v>46001</x:v>
      </x:c>
      <x:c r="C985" s="23" t="n">
        <x:v>46031</x:v>
      </x:c>
      <x:c r="D985" s="23" t="n">
        <x:v>46031</x:v>
      </x:c>
      <x:c r="E985" s="13" t="str">
        <x:v>Insight BI</x:v>
      </x:c>
      <x:c r="F985" s="13" t="str">
        <x:v>Dados e Analytics</x:v>
      </x:c>
      <x:c r="G985" s="17" t="n">
        <x:v>1157.55</x:v>
      </x:c>
      <x:c r="H985" s="17" t="n">
        <x:v>1123.62</x:v>
      </x:c>
      <x:c r="I985" s="13" t="str">
        <x:v>Financeiro</x:v>
      </x:c>
      <x:c r="J985" s="13" t="str">
        <x:v>Pago</x:v>
      </x:c>
      <x:c r="K985" s="13" t="str">
        <x:v>Operação Clareza</x:v>
      </x:c>
      <x:c r="L985" s="17" t="n">
        <x:f>H985-G985</x:f>
        <x:v>-33.930000000000064</x:v>
      </x:c>
      <x:c r="M985" s="19" t="n">
        <x:f>IFERROR(L985/G985,0)</x:f>
        <x:v>-0.02931190877283924</x:v>
      </x:c>
      <x:c r="N985" s="13" t="n">
        <x:f>D985-C985</x:f>
        <x:v>0</x:v>
      </x:c>
    </x:row>
    <x:row r="986">
      <x:c r="A986" s="13" t="str">
        <x:v>PAG-000985</x:v>
      </x:c>
      <x:c r="B986" s="23" t="n">
        <x:v>45994</x:v>
      </x:c>
      <x:c r="C986" s="23" t="n">
        <x:v>46009</x:v>
      </x:c>
      <x:c r="D986" s="23" t="n">
        <x:v>46009</x:v>
      </x:c>
      <x:c r="E986" s="13" t="str">
        <x:v>WorkSpace</x:v>
      </x:c>
      <x:c r="F986" s="13" t="str">
        <x:v>Locação</x:v>
      </x:c>
      <x:c r="G986" s="17" t="n">
        <x:v>12747.84</x:v>
      </x:c>
      <x:c r="H986" s="17" t="n">
        <x:v>12623.56</x:v>
      </x:c>
      <x:c r="I986" s="13" t="str">
        <x:v>Financeiro</x:v>
      </x:c>
      <x:c r="J986" s="13" t="str">
        <x:v>Pago</x:v>
      </x:c>
      <x:c r="K986" s="13" t="str">
        <x:v>Operação Clareza</x:v>
      </x:c>
      <x:c r="L986" s="17" t="n">
        <x:f>H986-G986</x:f>
        <x:v>-124.28000000000065</x:v>
      </x:c>
      <x:c r="M986" s="19" t="n">
        <x:f>IFERROR(L986/G986,0)</x:f>
        <x:v>-0.009749102593066798</x:v>
      </x:c>
      <x:c r="N986" s="13" t="n">
        <x:f>D986-C986</x:f>
        <x:v>0</x:v>
      </x:c>
    </x:row>
    <x:row r="987">
      <x:c r="A987" s="13" t="str">
        <x:v>PAG-000986</x:v>
      </x:c>
      <x:c r="B987" s="23" t="n">
        <x:v>46011</x:v>
      </x:c>
      <x:c r="C987" s="23" t="n">
        <x:v>46026</x:v>
      </x:c>
      <x:c r="D987" s="23" t="n">
        <x:v>46027</x:v>
      </x:c>
      <x:c r="E987" s="13" t="str">
        <x:v>MarketLab</x:v>
      </x:c>
      <x:c r="F987" s="13" t="str">
        <x:v>Marketing</x:v>
      </x:c>
      <x:c r="G987" s="17" t="n">
        <x:v>12089.03</x:v>
      </x:c>
      <x:c r="H987" s="17" t="n">
        <x:v>11881.96</x:v>
      </x:c>
      <x:c r="I987" s="13" t="str">
        <x:v>Financeiro</x:v>
      </x:c>
      <x:c r="J987" s="13" t="str">
        <x:v>Pago</x:v>
      </x:c>
      <x:c r="K987" s="13" t="str">
        <x:v>Operação Clareza</x:v>
      </x:c>
      <x:c r="L987" s="17" t="n">
        <x:f>H987-G987</x:f>
        <x:v>-207.07000000000153</x:v>
      </x:c>
      <x:c r="M987" s="19" t="n">
        <x:f>IFERROR(L987/G987,0)</x:f>
        <x:v>-0.017128752265483792</x:v>
      </x:c>
      <x:c r="N987" s="13" t="n">
        <x:f>D987-C987</x:f>
        <x:v>1</x:v>
      </x:c>
    </x:row>
    <x:row r="988">
      <x:c r="A988" s="13" t="str">
        <x:v>PAG-000987</x:v>
      </x:c>
      <x:c r="B988" s="23" t="n">
        <x:v>46005</x:v>
      </x:c>
      <x:c r="C988" s="23" t="n">
        <x:v>46020</x:v>
      </x:c>
      <x:c r="D988" s="23" t="n">
        <x:v>46020</x:v>
      </x:c>
      <x:c r="E988" s="13" t="str">
        <x:v>Banco Integra</x:v>
      </x:c>
      <x:c r="F988" s="13" t="str">
        <x:v>Serviços bancários</x:v>
      </x:c>
      <x:c r="G988" s="17" t="n">
        <x:v>20722.13</x:v>
      </x:c>
      <x:c r="H988" s="17" t="n">
        <x:v>21043.1</x:v>
      </x:c>
      <x:c r="I988" s="13" t="str">
        <x:v>Diretoria</x:v>
      </x:c>
      <x:c r="J988" s="13" t="str">
        <x:v>Pago</x:v>
      </x:c>
      <x:c r="K988" s="13" t="str">
        <x:v>Operação Clareza</x:v>
      </x:c>
      <x:c r="L988" s="17" t="n">
        <x:f>H988-G988</x:f>
        <x:v>320.9699999999975</x:v>
      </x:c>
      <x:c r="M988" s="19" t="n">
        <x:f>IFERROR(L988/G988,0)</x:f>
        <x:v>0.015489237834141448</x:v>
      </x:c>
      <x:c r="N988" s="13" t="n">
        <x:f>D988-C988</x:f>
        <x:v>0</x:v>
      </x:c>
    </x:row>
    <x:row r="989">
      <x:c r="A989" s="13" t="str">
        <x:v>PAG-000988</x:v>
      </x:c>
      <x:c r="B989" s="23" t="n">
        <x:v>45994</x:v>
      </x:c>
      <x:c r="C989" s="23" t="n">
        <x:v>46009</x:v>
      </x:c>
      <x:c r="D989" s="23" t="n">
        <x:v>46011</x:v>
      </x:c>
      <x:c r="E989" s="13" t="str">
        <x:v>MarketLab</x:v>
      </x:c>
      <x:c r="F989" s="13" t="str">
        <x:v>Marketing</x:v>
      </x:c>
      <x:c r="G989" s="17" t="n">
        <x:v>19614.88</x:v>
      </x:c>
      <x:c r="H989" s="17" t="n">
        <x:v>19544.82</x:v>
      </x:c>
      <x:c r="I989" s="13" t="str">
        <x:v>Gestor da área</x:v>
      </x:c>
      <x:c r="J989" s="13" t="str">
        <x:v>Pago</x:v>
      </x:c>
      <x:c r="K989" s="13" t="str">
        <x:v>Operação Clareza</x:v>
      </x:c>
      <x:c r="L989" s="17" t="n">
        <x:f>H989-G989</x:f>
        <x:v>-70.06000000000131</x:v>
      </x:c>
      <x:c r="M989" s="19" t="n">
        <x:f>IFERROR(L989/G989,0)</x:f>
        <x:v>-0.0035717781602539146</x:v>
      </x:c>
      <x:c r="N989" s="13" t="n">
        <x:f>D989-C989</x:f>
        <x:v>2</x:v>
      </x:c>
    </x:row>
    <x:row r="990">
      <x:c r="A990" s="13" t="str">
        <x:v>PAG-000989</x:v>
      </x:c>
      <x:c r="B990" s="23" t="n">
        <x:v>46004</x:v>
      </x:c>
      <x:c r="C990" s="23" t="n">
        <x:v>46019</x:v>
      </x:c>
      <x:c r="D990" s="23" t="n">
        <x:v>46017</x:v>
      </x:c>
      <x:c r="E990" s="13" t="str">
        <x:v>PeopleHub</x:v>
      </x:c>
      <x:c r="F990" s="13" t="str">
        <x:v>Recursos Humanos</x:v>
      </x:c>
      <x:c r="G990" s="17" t="n">
        <x:v>19921.89</x:v>
      </x:c>
      <x:c r="H990" s="17" t="n">
        <x:v>19673.61</x:v>
      </x:c>
      <x:c r="I990" s="13" t="str">
        <x:v>Gestor da área</x:v>
      </x:c>
      <x:c r="J990" s="13" t="str">
        <x:v>Pago</x:v>
      </x:c>
      <x:c r="K990" s="13" t="str">
        <x:v>Operação Clareza</x:v>
      </x:c>
      <x:c r="L990" s="17" t="n">
        <x:f>H990-G990</x:f>
        <x:v>-248.27999999999884</x:v>
      </x:c>
      <x:c r="M990" s="19" t="n">
        <x:f>IFERROR(L990/G990,0)</x:f>
        <x:v>-0.01246267296928147</x:v>
      </x:c>
      <x:c r="N990" s="13" t="n">
        <x:f>D990-C990</x:f>
        <x:v>-2</x:v>
      </x:c>
    </x:row>
    <x:row r="991">
      <x:c r="A991" s="13" t="str">
        <x:v>PAG-000990</x:v>
      </x:c>
      <x:c r="B991" s="23" t="n">
        <x:v>46001</x:v>
      </x:c>
      <x:c r="C991" s="23" t="n">
        <x:v>46031</x:v>
      </x:c>
      <x:c r="D991" s="23" t="n">
        <x:v>46031</x:v>
      </x:c>
      <x:c r="E991" s="13" t="str">
        <x:v>CloudCore</x:v>
      </x:c>
      <x:c r="F991" s="13" t="str">
        <x:v>Tecnologia</x:v>
      </x:c>
      <x:c r="G991" s="17" t="n">
        <x:v>10471.42</x:v>
      </x:c>
      <x:c r="H991" s="17" t="n">
        <x:v>10421.36</x:v>
      </x:c>
      <x:c r="I991" s="13" t="str">
        <x:v>Gestor da área</x:v>
      </x:c>
      <x:c r="J991" s="13" t="str">
        <x:v>Pago</x:v>
      </x:c>
      <x:c r="K991" s="13" t="str">
        <x:v>Operação Clareza</x:v>
      </x:c>
      <x:c r="L991" s="17" t="n">
        <x:f>H991-G991</x:f>
        <x:v>-50.05999999999949</x:v>
      </x:c>
      <x:c r="M991" s="19" t="n">
        <x:f>IFERROR(L991/G991,0)</x:f>
        <x:v>-0.00478063147118533</x:v>
      </x:c>
      <x:c r="N991" s="13" t="n">
        <x:f>D991-C991</x:f>
        <x:v>0</x:v>
      </x:c>
    </x:row>
    <x:row r="992">
      <x:c r="A992" s="13" t="str">
        <x:v>PAG-000991</x:v>
      </x:c>
      <x:c r="B992" s="23" t="n">
        <x:v>45998</x:v>
      </x:c>
      <x:c r="C992" s="23" t="n">
        <x:v>46005</x:v>
      </x:c>
      <x:c r="D992" s="23" t="n">
        <x:v>46007</x:v>
      </x:c>
      <x:c r="E992" s="13" t="str">
        <x:v>WorkSpace</x:v>
      </x:c>
      <x:c r="F992" s="13" t="str">
        <x:v>Locação</x:v>
      </x:c>
      <x:c r="G992" s="17" t="n">
        <x:v>18944.63</x:v>
      </x:c>
      <x:c r="H992" s="17" t="n">
        <x:v>19198.08</x:v>
      </x:c>
      <x:c r="I992" s="13" t="str">
        <x:v>Diretoria</x:v>
      </x:c>
      <x:c r="J992" s="13" t="str">
        <x:v>Pago</x:v>
      </x:c>
      <x:c r="K992" s="13" t="str">
        <x:v>Operação Clareza</x:v>
      </x:c>
      <x:c r="L992" s="17" t="n">
        <x:f>H992-G992</x:f>
        <x:v>253.45000000000073</x:v>
      </x:c>
      <x:c r="M992" s="19" t="n">
        <x:f>IFERROR(L992/G992,0)</x:f>
        <x:v>0.013378461337064947</x:v>
      </x:c>
      <x:c r="N992" s="13" t="n">
        <x:f>D992-C992</x:f>
        <x:v>2</x:v>
      </x:c>
    </x:row>
    <x:row r="993">
      <x:c r="A993" s="13" t="str">
        <x:v>PAG-000992</x:v>
      </x:c>
      <x:c r="B993" s="23" t="n">
        <x:v>46003</x:v>
      </x:c>
      <x:c r="C993" s="23" t="n">
        <x:v>46023</x:v>
      </x:c>
      <x:c r="D993" s="23" t="n">
        <x:v>46023</x:v>
      </x:c>
      <x:c r="E993" s="13" t="str">
        <x:v>CloudCore</x:v>
      </x:c>
      <x:c r="F993" s="13" t="str">
        <x:v>Tecnologia</x:v>
      </x:c>
      <x:c r="G993" s="17" t="n">
        <x:v>1760.55</x:v>
      </x:c>
      <x:c r="H993" s="17" t="n">
        <x:v>1787.68</x:v>
      </x:c>
      <x:c r="I993" s="13" t="str">
        <x:v>Gestor da área</x:v>
      </x:c>
      <x:c r="J993" s="13" t="str">
        <x:v>Pago</x:v>
      </x:c>
      <x:c r="K993" s="13" t="str">
        <x:v>Operação Clareza</x:v>
      </x:c>
      <x:c r="L993" s="17" t="n">
        <x:f>H993-G993</x:f>
        <x:v>27.13000000000011</x:v>
      </x:c>
      <x:c r="M993" s="19" t="n">
        <x:f>IFERROR(L993/G993,0)</x:f>
        <x:v>0.015409957115674142</x:v>
      </x:c>
      <x:c r="N993" s="13" t="n">
        <x:f>D993-C993</x:f>
        <x:v>0</x:v>
      </x:c>
    </x:row>
    <x:row r="994">
      <x:c r="A994" s="13" t="str">
        <x:v>PAG-000993</x:v>
      </x:c>
      <x:c r="B994" s="23" t="n">
        <x:v>45992</x:v>
      </x:c>
      <x:c r="C994" s="23" t="n">
        <x:v>46022</x:v>
      </x:c>
      <x:c r="D994" s="23" t="n">
        <x:v>46024</x:v>
      </x:c>
      <x:c r="E994" s="13" t="str">
        <x:v>PeopleHub</x:v>
      </x:c>
      <x:c r="F994" s="13" t="str">
        <x:v>Recursos Humanos</x:v>
      </x:c>
      <x:c r="G994" s="17" t="n">
        <x:v>20402.76</x:v>
      </x:c>
      <x:c r="H994" s="17" t="n">
        <x:v>20201.61</x:v>
      </x:c>
      <x:c r="I994" s="13" t="str">
        <x:v>Financeiro</x:v>
      </x:c>
      <x:c r="J994" s="13" t="str">
        <x:v>Pago</x:v>
      </x:c>
      <x:c r="K994" s="13" t="str">
        <x:v>Operação Clareza</x:v>
      </x:c>
      <x:c r="L994" s="17" t="n">
        <x:f>H994-G994</x:f>
        <x:v>-201.14999999999782</x:v>
      </x:c>
      <x:c r="M994" s="19" t="n">
        <x:f>IFERROR(L994/G994,0)</x:f>
        <x:v>-0.009858960258317886</x:v>
      </x:c>
      <x:c r="N994" s="13" t="n">
        <x:f>D994-C994</x:f>
        <x:v>2</x:v>
      </x:c>
    </x:row>
    <x:row r="995">
      <x:c r="A995" s="13" t="str">
        <x:v>PAG-000994</x:v>
      </x:c>
      <x:c r="B995" s="23" t="n">
        <x:v>46011</x:v>
      </x:c>
      <x:c r="C995" s="23" t="n">
        <x:v>46041</x:v>
      </x:c>
      <x:c r="D995" s="23" t="n">
        <x:v>46038</x:v>
      </x:c>
      <x:c r="E995" s="13" t="str">
        <x:v>CloudCore</x:v>
      </x:c>
      <x:c r="F995" s="13" t="str">
        <x:v>Tecnologia</x:v>
      </x:c>
      <x:c r="G995" s="17" t="n">
        <x:v>28034.64</x:v>
      </x:c>
      <x:c r="H995" s="17" t="n">
        <x:v>28428.42</x:v>
      </x:c>
      <x:c r="I995" s="13" t="str">
        <x:v>Diretoria</x:v>
      </x:c>
      <x:c r="J995" s="13" t="str">
        <x:v>Pago</x:v>
      </x:c>
      <x:c r="K995" s="13" t="str">
        <x:v>Operação Clareza</x:v>
      </x:c>
      <x:c r="L995" s="17" t="n">
        <x:f>H995-G995</x:f>
        <x:v>393.77999999999884</x:v>
      </x:c>
      <x:c r="M995" s="19" t="n">
        <x:f>IFERROR(L995/G995,0)</x:f>
        <x:v>0.01404619427964828</x:v>
      </x:c>
      <x:c r="N995" s="13" t="n">
        <x:f>D995-C995</x:f>
        <x:v>-3</x:v>
      </x:c>
    </x:row>
    <x:row r="996">
      <x:c r="A996" s="13" t="str">
        <x:v>PAG-000995</x:v>
      </x:c>
      <x:c r="B996" s="23" t="n">
        <x:v>46004</x:v>
      </x:c>
      <x:c r="C996" s="23" t="n">
        <x:v>46019</x:v>
      </x:c>
      <x:c r="D996" s="23" t="n">
        <x:v>46020</x:v>
      </x:c>
      <x:c r="E996" s="13" t="str">
        <x:v>PeopleHub</x:v>
      </x:c>
      <x:c r="F996" s="13" t="str">
        <x:v>Recursos Humanos</x:v>
      </x:c>
      <x:c r="G996" s="17" t="n">
        <x:v>757.32</x:v>
      </x:c>
      <x:c r="H996" s="17" t="n">
        <x:v>741.77</x:v>
      </x:c>
      <x:c r="I996" s="13" t="str">
        <x:v>Diretoria</x:v>
      </x:c>
      <x:c r="J996" s="13" t="str">
        <x:v>Pago</x:v>
      </x:c>
      <x:c r="K996" s="13" t="str">
        <x:v>Operação Clareza</x:v>
      </x:c>
      <x:c r="L996" s="17" t="n">
        <x:f>H996-G996</x:f>
        <x:v>-15.550000000000068</x:v>
      </x:c>
      <x:c r="M996" s="19" t="n">
        <x:f>IFERROR(L996/G996,0)</x:f>
        <x:v>-0.020532931917815543</x:v>
      </x:c>
      <x:c r="N996" s="13" t="n">
        <x:f>D996-C996</x:f>
        <x:v>1</x:v>
      </x:c>
    </x:row>
    <x:row r="997">
      <x:c r="A997" s="13" t="str">
        <x:v>PAG-000996</x:v>
      </x:c>
      <x:c r="B997" s="23" t="n">
        <x:v>46009</x:v>
      </x:c>
      <x:c r="C997" s="23" t="n">
        <x:v>46016</x:v>
      </x:c>
      <x:c r="D997" s="23" t="n">
        <x:v>46016</x:v>
      </x:c>
      <x:c r="E997" s="13" t="str">
        <x:v>Conta Certa</x:v>
      </x:c>
      <x:c r="F997" s="13" t="str">
        <x:v>Contabilidade</x:v>
      </x:c>
      <x:c r="G997" s="17" t="n">
        <x:v>26721.28</x:v>
      </x:c>
      <x:c r="H997" s="17" t="n">
        <x:v>26844.19</x:v>
      </x:c>
      <x:c r="I997" s="13" t="str">
        <x:v>Financeiro</x:v>
      </x:c>
      <x:c r="J997" s="13" t="str">
        <x:v>Pago</x:v>
      </x:c>
      <x:c r="K997" s="13" t="str">
        <x:v>Operação Clareza</x:v>
      </x:c>
      <x:c r="L997" s="17" t="n">
        <x:f>H997-G997</x:f>
        <x:v>122.90999999999985</x:v>
      </x:c>
      <x:c r="M997" s="19" t="n">
        <x:f>IFERROR(L997/G997,0)</x:f>
        <x:v>0.004599704804560256</x:v>
      </x:c>
      <x:c r="N997" s="13" t="n">
        <x:f>D997-C997</x:f>
        <x:v>0</x:v>
      </x:c>
    </x:row>
    <x:row r="998">
      <x:c r="A998" s="13" t="str">
        <x:v>PAG-000997</x:v>
      </x:c>
      <x:c r="B998" s="23" t="n">
        <x:v>45998</x:v>
      </x:c>
      <x:c r="C998" s="23" t="n">
        <x:v>46013</x:v>
      </x:c>
      <x:c r="D998" s="23" t="n">
        <x:v>46015</x:v>
      </x:c>
      <x:c r="E998" s="13" t="str">
        <x:v>DataSafe</x:v>
      </x:c>
      <x:c r="F998" s="13" t="str">
        <x:v>Segurança da informação</x:v>
      </x:c>
      <x:c r="G998" s="17" t="n">
        <x:v>7269.62</x:v>
      </x:c>
      <x:c r="H998" s="17" t="n">
        <x:v>7499.23</x:v>
      </x:c>
      <x:c r="I998" s="13" t="str">
        <x:v>Gestor da área</x:v>
      </x:c>
      <x:c r="J998" s="13" t="str">
        <x:v>Pago</x:v>
      </x:c>
      <x:c r="K998" s="13" t="str">
        <x:v>Operação Clareza</x:v>
      </x:c>
      <x:c r="L998" s="17" t="n">
        <x:f>H998-G998</x:f>
        <x:v>229.60999999999967</x:v>
      </x:c>
      <x:c r="M998" s="19" t="n">
        <x:f>IFERROR(L998/G998,0)</x:f>
        <x:v>0.031584869635551745</x:v>
      </x:c>
      <x:c r="N998" s="13" t="n">
        <x:f>D998-C998</x:f>
        <x:v>2</x:v>
      </x:c>
    </x:row>
    <x:row r="999">
      <x:c r="A999" s="13" t="str">
        <x:v>PAG-000998</x:v>
      </x:c>
      <x:c r="B999" s="23" t="n">
        <x:v>46007</x:v>
      </x:c>
      <x:c r="C999" s="23" t="n">
        <x:v>46014</x:v>
      </x:c>
      <x:c r="D999" s="23" t="n">
        <x:v>46016</x:v>
      </x:c>
      <x:c r="E999" s="13" t="str">
        <x:v>MarketLab</x:v>
      </x:c>
      <x:c r="F999" s="13" t="str">
        <x:v>Marketing</x:v>
      </x:c>
      <x:c r="G999" s="17" t="n">
        <x:v>23342.87</x:v>
      </x:c>
      <x:c r="H999" s="17" t="n">
        <x:v>24008.87</x:v>
      </x:c>
      <x:c r="I999" s="13" t="str">
        <x:v>Diretoria</x:v>
      </x:c>
      <x:c r="J999" s="13" t="str">
        <x:v>Pago</x:v>
      </x:c>
      <x:c r="K999" s="13" t="str">
        <x:v>Operação Clareza</x:v>
      </x:c>
      <x:c r="L999" s="17" t="n">
        <x:f>H999-G999</x:f>
        <x:v>666</x:v>
      </x:c>
      <x:c r="M999" s="19" t="n">
        <x:f>IFERROR(L999/G999,0)</x:f>
        <x:v>0.02853119603544894</x:v>
      </x:c>
      <x:c r="N999" s="13" t="n">
        <x:f>D999-C999</x:f>
        <x:v>2</x:v>
      </x:c>
    </x:row>
    <x:row r="1000">
      <x:c r="A1000" s="13" t="str">
        <x:v>PAG-000999</x:v>
      </x:c>
      <x:c r="B1000" s="23" t="n">
        <x:v>45992</x:v>
      </x:c>
      <x:c r="C1000" s="23" t="n">
        <x:v>46007</x:v>
      </x:c>
      <x:c r="D1000" s="23" t="n">
        <x:v>46007</x:v>
      </x:c>
      <x:c r="E1000" s="13" t="str">
        <x:v>LegalMais</x:v>
      </x:c>
      <x:c r="F1000" s="13" t="str">
        <x:v>Jurídico</x:v>
      </x:c>
      <x:c r="G1000" s="17" t="n">
        <x:v>15977.42</x:v>
      </x:c>
      <x:c r="H1000" s="17" t="n">
        <x:v>16572.06</x:v>
      </x:c>
      <x:c r="I1000" s="13" t="str">
        <x:v>Diretoria</x:v>
      </x:c>
      <x:c r="J1000" s="13" t="str">
        <x:v>Pago</x:v>
      </x:c>
      <x:c r="K1000" s="13" t="str">
        <x:v>Operação Clareza</x:v>
      </x:c>
      <x:c r="L1000" s="17" t="n">
        <x:f>H1000-G1000</x:f>
        <x:v>594.6400000000012</x:v>
      </x:c>
      <x:c r="M1000" s="19" t="n">
        <x:f>IFERROR(L1000/G1000,0)</x:f>
        <x:v>0.037217523229657934</x:v>
      </x:c>
      <x:c r="N1000" s="13" t="n">
        <x:f>D1000-C1000</x:f>
        <x:v>0</x:v>
      </x:c>
    </x:row>
    <x:row r="1001">
      <x:c r="A1001" s="13" t="str">
        <x:v>PAG-001000</x:v>
      </x:c>
      <x:c r="B1001" s="23" t="n">
        <x:v>46007</x:v>
      </x:c>
      <x:c r="C1001" s="23" t="n">
        <x:v>46027</x:v>
      </x:c>
      <x:c r="D1001" s="23" t="n">
        <x:v>46025</x:v>
      </x:c>
      <x:c r="E1001" s="13" t="str">
        <x:v>EducaPro</x:v>
      </x:c>
      <x:c r="F1001" s="13" t="str">
        <x:v>Treinamentos</x:v>
      </x:c>
      <x:c r="G1001" s="17" t="n">
        <x:v>8165.01</x:v>
      </x:c>
      <x:c r="H1001" s="17" t="n">
        <x:v>8421.93</x:v>
      </x:c>
      <x:c r="I1001" s="13" t="str">
        <x:v>Financeiro</x:v>
      </x:c>
      <x:c r="J1001" s="13" t="str">
        <x:v>Pago</x:v>
      </x:c>
      <x:c r="K1001" s="13" t="str">
        <x:v>Operação Clareza</x:v>
      </x:c>
      <x:c r="L1001" s="17" t="n">
        <x:f>H1001-G1001</x:f>
        <x:v>256.9200000000001</x:v>
      </x:c>
      <x:c r="M1001" s="19" t="n">
        <x:f>IFERROR(L1001/G1001,0)</x:f>
        <x:v>0.03146597493450713</x:v>
      </x:c>
      <x:c r="N1001" s="13" t="n">
        <x:f>D1001-C1001</x:f>
        <x:v>-2</x:v>
      </x:c>
    </x:row>
    <x:row r="1002">
      <x:c r="A1002" s="13" t="str">
        <x:v>PAG-001001</x:v>
      </x:c>
      <x:c r="B1002" s="23" t="n">
        <x:v>46011</x:v>
      </x:c>
      <x:c r="C1002" s="23" t="n">
        <x:v>46041</x:v>
      </x:c>
      <x:c r="D1002" s="23" t="n">
        <x:v>46042</x:v>
      </x:c>
      <x:c r="E1002" s="13" t="str">
        <x:v>Conta Certa</x:v>
      </x:c>
      <x:c r="F1002" s="13" t="str">
        <x:v>Contabilidade</x:v>
      </x:c>
      <x:c r="G1002" s="17" t="n">
        <x:v>14558.21</x:v>
      </x:c>
      <x:c r="H1002" s="17" t="n">
        <x:v>14702.51</x:v>
      </x:c>
      <x:c r="I1002" s="13" t="str">
        <x:v>Diretoria</x:v>
      </x:c>
      <x:c r="J1002" s="13" t="str">
        <x:v>Pago</x:v>
      </x:c>
      <x:c r="K1002" s="13" t="str">
        <x:v>Operação Clareza</x:v>
      </x:c>
      <x:c r="L1002" s="17" t="n">
        <x:f>H1002-G1002</x:f>
        <x:v>144.3000000000011</x:v>
      </x:c>
      <x:c r="M1002" s="19" t="n">
        <x:f>IFERROR(L1002/G1002,0)</x:f>
        <x:v>0.009911932854382586</x:v>
      </x:c>
      <x:c r="N1002" s="13" t="n">
        <x:f>D1002-C1002</x:f>
        <x:v>1</x:v>
      </x:c>
    </x:row>
    <x:row r="1003">
      <x:c r="A1003" s="13" t="str">
        <x:v>PAG-001002</x:v>
      </x:c>
      <x:c r="B1003" s="23" t="n">
        <x:v>45995</x:v>
      </x:c>
      <x:c r="C1003" s="23" t="n">
        <x:v>46010</x:v>
      </x:c>
      <x:c r="D1003" s="23" t="n">
        <x:v>46010</x:v>
      </x:c>
      <x:c r="E1003" s="13" t="str">
        <x:v>PeopleHub</x:v>
      </x:c>
      <x:c r="F1003" s="13" t="str">
        <x:v>Recursos Humanos</x:v>
      </x:c>
      <x:c r="G1003" s="17" t="n">
        <x:v>29425.67</x:v>
      </x:c>
      <x:c r="H1003" s="17" t="n">
        <x:v>29162.09</x:v>
      </x:c>
      <x:c r="I1003" s="13" t="str">
        <x:v>Gestor da área</x:v>
      </x:c>
      <x:c r="J1003" s="13" t="str">
        <x:v>Pago</x:v>
      </x:c>
      <x:c r="K1003" s="13" t="str">
        <x:v>Operação Clareza</x:v>
      </x:c>
      <x:c r="L1003" s="17" t="n">
        <x:f>H1003-G1003</x:f>
        <x:v>-263.5799999999981</x:v>
      </x:c>
      <x:c r="M1003" s="19" t="n">
        <x:f>IFERROR(L1003/G1003,0)</x:f>
        <x:v>-0.008957485080203718</x:v>
      </x:c>
      <x:c r="N1003" s="13" t="n">
        <x:f>D1003-C1003</x:f>
        <x:v>0</x:v>
      </x:c>
    </x:row>
    <x:row r="1004">
      <x:c r="A1004" s="13" t="str">
        <x:v>PAG-001003</x:v>
      </x:c>
      <x:c r="B1004" s="23" t="n">
        <x:v>45996</x:v>
      </x:c>
      <x:c r="C1004" s="23" t="n">
        <x:v>46003</x:v>
      </x:c>
      <x:c r="D1004" s="23" t="n">
        <x:v>46003</x:v>
      </x:c>
      <x:c r="E1004" s="13" t="str">
        <x:v>DataSafe</x:v>
      </x:c>
      <x:c r="F1004" s="13" t="str">
        <x:v>Segurança da informação</x:v>
      </x:c>
      <x:c r="G1004" s="17" t="n">
        <x:v>24843.25</x:v>
      </x:c>
      <x:c r="H1004" s="17" t="n">
        <x:v>24739.11</x:v>
      </x:c>
      <x:c r="I1004" s="13" t="str">
        <x:v>Financeiro</x:v>
      </x:c>
      <x:c r="J1004" s="13" t="str">
        <x:v>Pago</x:v>
      </x:c>
      <x:c r="K1004" s="13" t="str">
        <x:v>Operação Clareza</x:v>
      </x:c>
      <x:c r="L1004" s="17" t="n">
        <x:f>H1004-G1004</x:f>
        <x:v>-104.13999999999942</x:v>
      </x:c>
      <x:c r="M1004" s="19" t="n">
        <x:f>IFERROR(L1004/G1004,0)</x:f>
        <x:v>-0.004191883107081377</x:v>
      </x:c>
      <x:c r="N1004" s="13" t="n">
        <x:f>D1004-C1004</x:f>
        <x:v>0</x:v>
      </x:c>
    </x:row>
    <x:row r="1005">
      <x:c r="A1005" s="13" t="str">
        <x:v>PAG-001004</x:v>
      </x:c>
      <x:c r="B1005" s="23" t="n">
        <x:v>45999</x:v>
      </x:c>
      <x:c r="C1005" s="23" t="n">
        <x:v>46006</x:v>
      </x:c>
      <x:c r="D1005" s="23" t="n">
        <x:v>46003</x:v>
      </x:c>
      <x:c r="E1005" s="13" t="str">
        <x:v>NetLink</x:v>
      </x:c>
      <x:c r="F1005" s="13" t="str">
        <x:v>Telecomunicações</x:v>
      </x:c>
      <x:c r="G1005" s="17" t="n">
        <x:v>31661</x:v>
      </x:c>
      <x:c r="H1005" s="17" t="n">
        <x:v>31197.99</x:v>
      </x:c>
      <x:c r="I1005" s="13" t="str">
        <x:v>Diretoria</x:v>
      </x:c>
      <x:c r="J1005" s="13" t="str">
        <x:v>Pago</x:v>
      </x:c>
      <x:c r="K1005" s="13" t="str">
        <x:v>Operação Clareza</x:v>
      </x:c>
      <x:c r="L1005" s="17" t="n">
        <x:f>H1005-G1005</x:f>
        <x:v>-463.0099999999984</x:v>
      </x:c>
      <x:c r="M1005" s="19" t="n">
        <x:f>IFERROR(L1005/G1005,0)</x:f>
        <x:v>-0.01462398534474585</x:v>
      </x:c>
      <x:c r="N1005" s="13" t="n">
        <x:f>D1005-C1005</x:f>
        <x:v>-3</x:v>
      </x:c>
    </x:row>
    <x:row r="1006">
      <x:c r="A1006" s="13" t="str">
        <x:v>PAG-001005</x:v>
      </x:c>
      <x:c r="B1006" s="23" t="n">
        <x:v>46002</x:v>
      </x:c>
      <x:c r="C1006" s="23" t="n">
        <x:v>46022</x:v>
      </x:c>
      <x:c r="D1006" s="23" t="n">
        <x:v>46023</x:v>
      </x:c>
      <x:c r="E1006" s="13" t="str">
        <x:v>WorkSpace</x:v>
      </x:c>
      <x:c r="F1006" s="13" t="str">
        <x:v>Locação</x:v>
      </x:c>
      <x:c r="G1006" s="17" t="n">
        <x:v>27451.23</x:v>
      </x:c>
      <x:c r="H1006" s="17" t="n">
        <x:v>26738.46</x:v>
      </x:c>
      <x:c r="I1006" s="13" t="str">
        <x:v>Diretoria</x:v>
      </x:c>
      <x:c r="J1006" s="13" t="str">
        <x:v>Pago</x:v>
      </x:c>
      <x:c r="K1006" s="13" t="str">
        <x:v>Operação Clareza</x:v>
      </x:c>
      <x:c r="L1006" s="17" t="n">
        <x:f>H1006-G1006</x:f>
        <x:v>-712.7700000000004</x:v>
      </x:c>
      <x:c r="M1006" s="19" t="n">
        <x:f>IFERROR(L1006/G1006,0)</x:f>
        <x:v>-0.025964956761500322</x:v>
      </x:c>
      <x:c r="N1006" s="13" t="n">
        <x:f>D1006-C1006</x:f>
        <x:v>1</x:v>
      </x:c>
    </x:row>
    <x:row r="1007">
      <x:c r="A1007" s="13" t="str">
        <x:v>PAG-001006</x:v>
      </x:c>
      <x:c r="B1007" s="23" t="n">
        <x:v>46011</x:v>
      </x:c>
      <x:c r="C1007" s="23" t="n">
        <x:v>46026</x:v>
      </x:c>
      <x:c r="D1007" s="23" t="n">
        <x:v>46025</x:v>
      </x:c>
      <x:c r="E1007" s="13" t="str">
        <x:v>Insight BI</x:v>
      </x:c>
      <x:c r="F1007" s="13" t="str">
        <x:v>Dados e Analytics</x:v>
      </x:c>
      <x:c r="G1007" s="17" t="n">
        <x:v>5505.29</x:v>
      </x:c>
      <x:c r="H1007" s="17" t="n">
        <x:v>5662.61</x:v>
      </x:c>
      <x:c r="I1007" s="13" t="str">
        <x:v>Diretoria</x:v>
      </x:c>
      <x:c r="J1007" s="13" t="str">
        <x:v>Pago</x:v>
      </x:c>
      <x:c r="K1007" s="13" t="str">
        <x:v>Operação Clareza</x:v>
      </x:c>
      <x:c r="L1007" s="17" t="n">
        <x:f>H1007-G1007</x:f>
        <x:v>157.3199999999997</x:v>
      </x:c>
      <x:c r="M1007" s="19" t="n">
        <x:f>IFERROR(L1007/G1007,0)</x:f>
        <x:v>0.028576151301747902</x:v>
      </x:c>
      <x:c r="N1007" s="13" t="n">
        <x:f>D1007-C1007</x:f>
        <x:v>-1</x:v>
      </x:c>
    </x:row>
    <x:row r="1008">
      <x:c r="A1008" s="13" t="str">
        <x:v>PAG-001007</x:v>
      </x:c>
      <x:c r="B1008" s="23" t="n">
        <x:v>45998</x:v>
      </x:c>
      <x:c r="C1008" s="23" t="n">
        <x:v>46018</x:v>
      </x:c>
      <x:c r="D1008" s="23" t="n">
        <x:v>46020</x:v>
      </x:c>
      <x:c r="E1008" s="13" t="str">
        <x:v>CloudCore</x:v>
      </x:c>
      <x:c r="F1008" s="13" t="str">
        <x:v>Tecnologia</x:v>
      </x:c>
      <x:c r="G1008" s="17" t="n">
        <x:v>4972.75</x:v>
      </x:c>
      <x:c r="H1008" s="17" t="n">
        <x:v>5177.04</x:v>
      </x:c>
      <x:c r="I1008" s="13" t="str">
        <x:v>Gestor da área</x:v>
      </x:c>
      <x:c r="J1008" s="13" t="str">
        <x:v>Pago</x:v>
      </x:c>
      <x:c r="K1008" s="13" t="str">
        <x:v>Operação Clareza</x:v>
      </x:c>
      <x:c r="L1008" s="17" t="n">
        <x:f>H1008-G1008</x:f>
        <x:v>204.28999999999996</x:v>
      </x:c>
      <x:c r="M1008" s="19" t="n">
        <x:f>IFERROR(L1008/G1008,0)</x:f>
        <x:v>0.04108189633502588</x:v>
      </x:c>
      <x:c r="N1008" s="13" t="n">
        <x:f>D1008-C1008</x:f>
        <x:v>2</x:v>
      </x:c>
    </x:row>
    <x:row r="1009">
      <x:c r="A1009" s="13" t="str">
        <x:v>PAG-001008</x:v>
      </x:c>
      <x:c r="B1009" s="23" t="n">
        <x:v>46009</x:v>
      </x:c>
      <x:c r="C1009" s="23" t="n">
        <x:v>46016</x:v>
      </x:c>
      <x:c r="D1009" s="23" t="n">
        <x:v>46018</x:v>
      </x:c>
      <x:c r="E1009" s="13" t="str">
        <x:v>Conta Certa</x:v>
      </x:c>
      <x:c r="F1009" s="13" t="str">
        <x:v>Contabilidade</x:v>
      </x:c>
      <x:c r="G1009" s="17" t="n">
        <x:v>1832.55</x:v>
      </x:c>
      <x:c r="H1009" s="17" t="n">
        <x:v>1820.49</x:v>
      </x:c>
      <x:c r="I1009" s="13" t="str">
        <x:v>Financeiro</x:v>
      </x:c>
      <x:c r="J1009" s="13" t="str">
        <x:v>Pago</x:v>
      </x:c>
      <x:c r="K1009" s="13" t="str">
        <x:v>Operação Clareza</x:v>
      </x:c>
      <x:c r="L1009" s="17" t="n">
        <x:f>H1009-G1009</x:f>
        <x:v>-12.059999999999945</x:v>
      </x:c>
      <x:c r="M1009" s="19" t="n">
        <x:f>IFERROR(L1009/G1009,0)</x:f>
        <x:v>-0.0065809936973070015</x:v>
      </x:c>
      <x:c r="N1009" s="13" t="n">
        <x:f>D1009-C1009</x:f>
        <x:v>2</x:v>
      </x:c>
    </x:row>
    <x:row r="1010">
      <x:c r="A1010" s="13" t="str">
        <x:v>PAG-001009</x:v>
      </x:c>
      <x:c r="B1010" s="23" t="n">
        <x:v>46037</x:v>
      </x:c>
      <x:c r="C1010" s="23" t="n">
        <x:v>46057</x:v>
      </x:c>
      <x:c r="D1010" s="23" t="n">
        <x:v>46059</x:v>
      </x:c>
      <x:c r="E1010" s="13" t="str">
        <x:v>PeopleHub</x:v>
      </x:c>
      <x:c r="F1010" s="13" t="str">
        <x:v>Recursos Humanos</x:v>
      </x:c>
      <x:c r="G1010" s="17" t="n">
        <x:v>1499.63</x:v>
      </x:c>
      <x:c r="H1010" s="17" t="n">
        <x:v>1495.06</x:v>
      </x:c>
      <x:c r="I1010" s="13" t="str">
        <x:v>Gestor da área</x:v>
      </x:c>
      <x:c r="J1010" s="13" t="str">
        <x:v>Pago</x:v>
      </x:c>
      <x:c r="K1010" s="13" t="str">
        <x:v>Escala inteligente</x:v>
      </x:c>
      <x:c r="L1010" s="17" t="n">
        <x:f>H1010-G1010</x:f>
        <x:v>-4.570000000000164</x:v>
      </x:c>
      <x:c r="M1010" s="19" t="n">
        <x:f>IFERROR(L1010/G1010,0)</x:f>
        <x:v>-0.003047418363196364</x:v>
      </x:c>
      <x:c r="N1010" s="13" t="n">
        <x:f>D1010-C1010</x:f>
        <x:v>2</x:v>
      </x:c>
    </x:row>
    <x:row r="1011">
      <x:c r="A1011" s="13" t="str">
        <x:v>PAG-001010</x:v>
      </x:c>
      <x:c r="B1011" s="23" t="n">
        <x:v>46027</x:v>
      </x:c>
      <x:c r="C1011" s="23" t="n">
        <x:v>46047</x:v>
      </x:c>
      <x:c r="D1011" s="23" t="n">
        <x:v>46047</x:v>
      </x:c>
      <x:c r="E1011" s="13" t="str">
        <x:v>MarketLab</x:v>
      </x:c>
      <x:c r="F1011" s="13" t="str">
        <x:v>Marketing</x:v>
      </x:c>
      <x:c r="G1011" s="17" t="n">
        <x:v>24089.55</x:v>
      </x:c>
      <x:c r="H1011" s="17" t="n">
        <x:v>24206.11</x:v>
      </x:c>
      <x:c r="I1011" s="13" t="str">
        <x:v>Gestor da área</x:v>
      </x:c>
      <x:c r="J1011" s="13" t="str">
        <x:v>Pago</x:v>
      </x:c>
      <x:c r="K1011" s="13" t="str">
        <x:v>Escala inteligente</x:v>
      </x:c>
      <x:c r="L1011" s="17" t="n">
        <x:f>H1011-G1011</x:f>
        <x:v>116.56000000000131</x:v>
      </x:c>
      <x:c r="M1011" s="19" t="n">
        <x:f>IFERROR(L1011/G1011,0)</x:f>
        <x:v>0.0048386125934274955</x:v>
      </x:c>
      <x:c r="N1011" s="13" t="n">
        <x:f>D1011-C1011</x:f>
        <x:v>0</x:v>
      </x:c>
    </x:row>
    <x:row r="1012">
      <x:c r="A1012" s="13" t="str">
        <x:v>PAG-001011</x:v>
      </x:c>
      <x:c r="B1012" s="23" t="n">
        <x:v>46040</x:v>
      </x:c>
      <x:c r="C1012" s="23" t="n">
        <x:v>46060</x:v>
      </x:c>
      <x:c r="D1012" s="23" t="n">
        <x:v>46061</x:v>
      </x:c>
      <x:c r="E1012" s="13" t="str">
        <x:v>NetLink</x:v>
      </x:c>
      <x:c r="F1012" s="13" t="str">
        <x:v>Telecomunicações</x:v>
      </x:c>
      <x:c r="G1012" s="17" t="n">
        <x:v>21947.01</x:v>
      </x:c>
      <x:c r="H1012" s="17" t="n">
        <x:v>21777.16</x:v>
      </x:c>
      <x:c r="I1012" s="13" t="str">
        <x:v>Gestor da área</x:v>
      </x:c>
      <x:c r="J1012" s="13" t="str">
        <x:v>Pago</x:v>
      </x:c>
      <x:c r="K1012" s="13" t="str">
        <x:v>Escala inteligente</x:v>
      </x:c>
      <x:c r="L1012" s="17" t="n">
        <x:f>H1012-G1012</x:f>
        <x:v>-169.84999999999854</x:v>
      </x:c>
      <x:c r="M1012" s="19" t="n">
        <x:f>IFERROR(L1012/G1012,0)</x:f>
        <x:v>-0.0077390952116027905</x:v>
      </x:c>
      <x:c r="N1012" s="13" t="n">
        <x:f>D1012-C1012</x:f>
        <x:v>1</x:v>
      </x:c>
    </x:row>
    <x:row r="1013">
      <x:c r="A1013" s="13" t="str">
        <x:v>PAG-001012</x:v>
      </x:c>
      <x:c r="B1013" s="23" t="n">
        <x:v>46039</x:v>
      </x:c>
      <x:c r="C1013" s="23" t="n">
        <x:v>46046</x:v>
      </x:c>
      <x:c r="D1013" s="23" t="n">
        <x:v>46046</x:v>
      </x:c>
      <x:c r="E1013" s="13" t="str">
        <x:v>PeopleHub</x:v>
      </x:c>
      <x:c r="F1013" s="13" t="str">
        <x:v>Recursos Humanos</x:v>
      </x:c>
      <x:c r="G1013" s="17" t="n">
        <x:v>1764.43</x:v>
      </x:c>
      <x:c r="H1013" s="17" t="n">
        <x:v>1732.28</x:v>
      </x:c>
      <x:c r="I1013" s="13" t="str">
        <x:v>Gestor da área</x:v>
      </x:c>
      <x:c r="J1013" s="13" t="str">
        <x:v>Pago</x:v>
      </x:c>
      <x:c r="K1013" s="13" t="str">
        <x:v>Escala inteligente</x:v>
      </x:c>
      <x:c r="L1013" s="17" t="n">
        <x:f>H1013-G1013</x:f>
        <x:v>-32.15000000000009</x:v>
      </x:c>
      <x:c r="M1013" s="19" t="n">
        <x:f>IFERROR(L1013/G1013,0)</x:f>
        <x:v>-0.018221181911438872</x:v>
      </x:c>
      <x:c r="N1013" s="13" t="n">
        <x:f>D1013-C1013</x:f>
        <x:v>0</x:v>
      </x:c>
    </x:row>
    <x:row r="1014">
      <x:c r="A1014" s="13" t="str">
        <x:v>PAG-001013</x:v>
      </x:c>
      <x:c r="B1014" s="23" t="n">
        <x:v>46028</x:v>
      </x:c>
      <x:c r="C1014" s="23" t="n">
        <x:v>46043</x:v>
      </x:c>
      <x:c r="D1014" s="23" t="n">
        <x:v>46045</x:v>
      </x:c>
      <x:c r="E1014" s="13" t="str">
        <x:v>DataSafe</x:v>
      </x:c>
      <x:c r="F1014" s="13" t="str">
        <x:v>Segurança da informação</x:v>
      </x:c>
      <x:c r="G1014" s="17" t="n">
        <x:v>25330.56</x:v>
      </x:c>
      <x:c r="H1014" s="17" t="n">
        <x:v>26380.91</x:v>
      </x:c>
      <x:c r="I1014" s="13" t="str">
        <x:v>Financeiro</x:v>
      </x:c>
      <x:c r="J1014" s="13" t="str">
        <x:v>Pago</x:v>
      </x:c>
      <x:c r="K1014" s="13" t="str">
        <x:v>Escala inteligente</x:v>
      </x:c>
      <x:c r="L1014" s="17" t="n">
        <x:f>H1014-G1014</x:f>
        <x:v>1050.3499999999985</x:v>
      </x:c>
      <x:c r="M1014" s="19" t="n">
        <x:f>IFERROR(L1014/G1014,0)</x:f>
        <x:v>0.041465723616058964</x:v>
      </x:c>
      <x:c r="N1014" s="13" t="n">
        <x:f>D1014-C1014</x:f>
        <x:v>2</x:v>
      </x:c>
    </x:row>
    <x:row r="1015">
      <x:c r="A1015" s="13" t="str">
        <x:v>PAG-001014</x:v>
      </x:c>
      <x:c r="B1015" s="23" t="n">
        <x:v>46033</x:v>
      </x:c>
      <x:c r="C1015" s="23" t="n">
        <x:v>46040</x:v>
      </x:c>
      <x:c r="D1015" s="23" t="n">
        <x:v>46038</x:v>
      </x:c>
      <x:c r="E1015" s="13" t="str">
        <x:v>EducaPro</x:v>
      </x:c>
      <x:c r="F1015" s="13" t="str">
        <x:v>Treinamentos</x:v>
      </x:c>
      <x:c r="G1015" s="17" t="n">
        <x:v>9434.73</x:v>
      </x:c>
      <x:c r="H1015" s="17" t="n">
        <x:v>9821.11</x:v>
      </x:c>
      <x:c r="I1015" s="13" t="str">
        <x:v>Diretoria</x:v>
      </x:c>
      <x:c r="J1015" s="13" t="str">
        <x:v>Pago</x:v>
      </x:c>
      <x:c r="K1015" s="13" t="str">
        <x:v>Escala inteligente</x:v>
      </x:c>
      <x:c r="L1015" s="17" t="n">
        <x:f>H1015-G1015</x:f>
        <x:v>386.380000000001</x:v>
      </x:c>
      <x:c r="M1015" s="19" t="n">
        <x:f>IFERROR(L1015/G1015,0)</x:f>
        <x:v>0.04095294724915297</x:v>
      </x:c>
      <x:c r="N1015" s="13" t="n">
        <x:f>D1015-C1015</x:f>
        <x:v>-2</x:v>
      </x:c>
    </x:row>
    <x:row r="1016">
      <x:c r="A1016" s="13" t="str">
        <x:v>PAG-001015</x:v>
      </x:c>
      <x:c r="B1016" s="23" t="n">
        <x:v>46028</x:v>
      </x:c>
      <x:c r="C1016" s="23" t="n">
        <x:v>46043</x:v>
      </x:c>
      <x:c r="D1016" s="23" t="n">
        <x:v>46041</x:v>
      </x:c>
      <x:c r="E1016" s="13" t="str">
        <x:v>WorkSpace</x:v>
      </x:c>
      <x:c r="F1016" s="13" t="str">
        <x:v>Locação</x:v>
      </x:c>
      <x:c r="G1016" s="17" t="n">
        <x:v>21190.46</x:v>
      </x:c>
      <x:c r="H1016" s="17" t="n">
        <x:v>21901.35</x:v>
      </x:c>
      <x:c r="I1016" s="13" t="str">
        <x:v>Diretoria</x:v>
      </x:c>
      <x:c r="J1016" s="13" t="str">
        <x:v>Pago</x:v>
      </x:c>
      <x:c r="K1016" s="13" t="str">
        <x:v>Escala inteligente</x:v>
      </x:c>
      <x:c r="L1016" s="17" t="n">
        <x:f>H1016-G1016</x:f>
        <x:v>710.8899999999994</x:v>
      </x:c>
      <x:c r="M1016" s="19" t="n">
        <x:f>IFERROR(L1016/G1016,0)</x:f>
        <x:v>0.03354764360943554</x:v>
      </x:c>
      <x:c r="N1016" s="13" t="n">
        <x:f>D1016-C1016</x:f>
        <x:v>-2</x:v>
      </x:c>
    </x:row>
    <x:row r="1017">
      <x:c r="A1017" s="13" t="str">
        <x:v>PAG-001016</x:v>
      </x:c>
      <x:c r="B1017" s="23" t="n">
        <x:v>46028</x:v>
      </x:c>
      <x:c r="C1017" s="23" t="n">
        <x:v>46035</x:v>
      </x:c>
      <x:c r="D1017" s="23" t="n">
        <x:v>46036</x:v>
      </x:c>
      <x:c r="E1017" s="13" t="str">
        <x:v>WorkSpace</x:v>
      </x:c>
      <x:c r="F1017" s="13" t="str">
        <x:v>Locação</x:v>
      </x:c>
      <x:c r="G1017" s="17" t="n">
        <x:v>20349.36</x:v>
      </x:c>
      <x:c r="H1017" s="17" t="n">
        <x:v>20668.68</x:v>
      </x:c>
      <x:c r="I1017" s="13" t="str">
        <x:v>Financeiro</x:v>
      </x:c>
      <x:c r="J1017" s="13" t="str">
        <x:v>Pago</x:v>
      </x:c>
      <x:c r="K1017" s="13" t="str">
        <x:v>Escala inteligente</x:v>
      </x:c>
      <x:c r="L1017" s="17" t="n">
        <x:f>H1017-G1017</x:f>
        <x:v>319.3199999999997</x:v>
      </x:c>
      <x:c r="M1017" s="19" t="n">
        <x:f>IFERROR(L1017/G1017,0)</x:f>
        <x:v>0.01569189399568339</x:v>
      </x:c>
      <x:c r="N1017" s="13" t="n">
        <x:f>D1017-C1017</x:f>
        <x:v>1</x:v>
      </x:c>
    </x:row>
    <x:row r="1018">
      <x:c r="A1018" s="13" t="str">
        <x:v>PAG-001017</x:v>
      </x:c>
      <x:c r="B1018" s="23" t="n">
        <x:v>46025</x:v>
      </x:c>
      <x:c r="C1018" s="23" t="n">
        <x:v>46032</x:v>
      </x:c>
      <x:c r="D1018" s="23" t="n">
        <x:v>46033</x:v>
      </x:c>
      <x:c r="E1018" s="13" t="str">
        <x:v>LegalMais</x:v>
      </x:c>
      <x:c r="F1018" s="13" t="str">
        <x:v>Jurídico</x:v>
      </x:c>
      <x:c r="G1018" s="17" t="n">
        <x:v>13869.32</x:v>
      </x:c>
      <x:c r="H1018" s="17" t="n">
        <x:v>14153.02</x:v>
      </x:c>
      <x:c r="I1018" s="13" t="str">
        <x:v>Diretoria</x:v>
      </x:c>
      <x:c r="J1018" s="13" t="str">
        <x:v>Pago</x:v>
      </x:c>
      <x:c r="K1018" s="13" t="str">
        <x:v>Escala inteligente</x:v>
      </x:c>
      <x:c r="L1018" s="17" t="n">
        <x:f>H1018-G1018</x:f>
        <x:v>283.7000000000007</x:v>
      </x:c>
      <x:c r="M1018" s="19" t="n">
        <x:f>IFERROR(L1018/G1018,0)</x:f>
        <x:v>0.020455220587599156</x:v>
      </x:c>
      <x:c r="N1018" s="13" t="n">
        <x:f>D1018-C1018</x:f>
        <x:v>1</x:v>
      </x:c>
    </x:row>
    <x:row r="1019">
      <x:c r="A1019" s="13" t="str">
        <x:v>PAG-001018</x:v>
      </x:c>
      <x:c r="B1019" s="23" t="n">
        <x:v>46040</x:v>
      </x:c>
      <x:c r="C1019" s="23" t="n">
        <x:v>46055</x:v>
      </x:c>
      <x:c r="D1019" s="23" t="n">
        <x:v>46057</x:v>
      </x:c>
      <x:c r="E1019" s="13" t="str">
        <x:v>LegalMais</x:v>
      </x:c>
      <x:c r="F1019" s="13" t="str">
        <x:v>Jurídico</x:v>
      </x:c>
      <x:c r="G1019" s="17" t="n">
        <x:v>20956.24</x:v>
      </x:c>
      <x:c r="H1019" s="17" t="n">
        <x:v>20816.63</x:v>
      </x:c>
      <x:c r="I1019" s="13" t="str">
        <x:v>Diretoria</x:v>
      </x:c>
      <x:c r="J1019" s="13" t="str">
        <x:v>Pago</x:v>
      </x:c>
      <x:c r="K1019" s="13" t="str">
        <x:v>Escala inteligente</x:v>
      </x:c>
      <x:c r="L1019" s="17" t="n">
        <x:f>H1019-G1019</x:f>
        <x:v>-139.61000000000058</x:v>
      </x:c>
      <x:c r="M1019" s="19" t="n">
        <x:f>IFERROR(L1019/G1019,0)</x:f>
        <x:v>-0.006661977530320352</x:v>
      </x:c>
      <x:c r="N1019" s="13" t="n">
        <x:f>D1019-C1019</x:f>
        <x:v>2</x:v>
      </x:c>
    </x:row>
    <x:row r="1020">
      <x:c r="A1020" s="13" t="str">
        <x:v>PAG-001019</x:v>
      </x:c>
      <x:c r="B1020" s="23" t="n">
        <x:v>46038</x:v>
      </x:c>
      <x:c r="C1020" s="23" t="n">
        <x:v>46058</x:v>
      </x:c>
      <x:c r="D1020" s="23" t="n">
        <x:v>46057</x:v>
      </x:c>
      <x:c r="E1020" s="13" t="str">
        <x:v>WorkSpace</x:v>
      </x:c>
      <x:c r="F1020" s="13" t="str">
        <x:v>Locação</x:v>
      </x:c>
      <x:c r="G1020" s="17" t="n">
        <x:v>26114.85</x:v>
      </x:c>
      <x:c r="H1020" s="17" t="n">
        <x:v>25435.77</x:v>
      </x:c>
      <x:c r="I1020" s="13" t="str">
        <x:v>Gestor da área</x:v>
      </x:c>
      <x:c r="J1020" s="13" t="str">
        <x:v>Pago</x:v>
      </x:c>
      <x:c r="K1020" s="13" t="str">
        <x:v>Escala inteligente</x:v>
      </x:c>
      <x:c r="L1020" s="17" t="n">
        <x:f>H1020-G1020</x:f>
        <x:v>-679.0799999999981</x:v>
      </x:c>
      <x:c r="M1020" s="19" t="n">
        <x:f>IFERROR(L1020/G1020,0)</x:f>
        <x:v>-0.026003595655345452</x:v>
      </x:c>
      <x:c r="N1020" s="13" t="n">
        <x:f>D1020-C1020</x:f>
        <x:v>-1</x:v>
      </x:c>
    </x:row>
    <x:row r="1021">
      <x:c r="A1021" s="13" t="str">
        <x:v>PAG-001020</x:v>
      </x:c>
      <x:c r="B1021" s="23" t="n">
        <x:v>46032</x:v>
      </x:c>
      <x:c r="C1021" s="23" t="n">
        <x:v>46047</x:v>
      </x:c>
      <x:c r="D1021" s="23" t="n">
        <x:v>46048</x:v>
      </x:c>
      <x:c r="E1021" s="13" t="str">
        <x:v>DataSafe</x:v>
      </x:c>
      <x:c r="F1021" s="13" t="str">
        <x:v>Segurança da informação</x:v>
      </x:c>
      <x:c r="G1021" s="17" t="n">
        <x:v>26926.64</x:v>
      </x:c>
      <x:c r="H1021" s="17" t="n">
        <x:v>26689.74</x:v>
      </x:c>
      <x:c r="I1021" s="13" t="str">
        <x:v>Gestor da área</x:v>
      </x:c>
      <x:c r="J1021" s="13" t="str">
        <x:v>Pago</x:v>
      </x:c>
      <x:c r="K1021" s="13" t="str">
        <x:v>Escala inteligente</x:v>
      </x:c>
      <x:c r="L1021" s="17" t="n">
        <x:f>H1021-G1021</x:f>
        <x:v>-236.89999999999782</x:v>
      </x:c>
      <x:c r="M1021" s="19" t="n">
        <x:f>IFERROR(L1021/G1021,0)</x:f>
        <x:v>-0.008797978507530009</x:v>
      </x:c>
      <x:c r="N1021" s="13" t="n">
        <x:f>D1021-C1021</x:f>
        <x:v>1</x:v>
      </x:c>
    </x:row>
    <x:row r="1022">
      <x:c r="A1022" s="13" t="str">
        <x:v>PAG-001021</x:v>
      </x:c>
      <x:c r="B1022" s="23" t="n">
        <x:v>46029</x:v>
      </x:c>
      <x:c r="C1022" s="23" t="n">
        <x:v>46044</x:v>
      </x:c>
      <x:c r="D1022" s="23" t="n">
        <x:v>46042</x:v>
      </x:c>
      <x:c r="E1022" s="13" t="str">
        <x:v>LegalMais</x:v>
      </x:c>
      <x:c r="F1022" s="13" t="str">
        <x:v>Jurídico</x:v>
      </x:c>
      <x:c r="G1022" s="17" t="n">
        <x:v>17369.81</x:v>
      </x:c>
      <x:c r="H1022" s="17" t="n">
        <x:v>17496.32</x:v>
      </x:c>
      <x:c r="I1022" s="13" t="str">
        <x:v>Financeiro</x:v>
      </x:c>
      <x:c r="J1022" s="13" t="str">
        <x:v>Pago</x:v>
      </x:c>
      <x:c r="K1022" s="13" t="str">
        <x:v>Escala inteligente</x:v>
      </x:c>
      <x:c r="L1022" s="17" t="n">
        <x:f>H1022-G1022</x:f>
        <x:v>126.5099999999984</x:v>
      </x:c>
      <x:c r="M1022" s="19" t="n">
        <x:f>IFERROR(L1022/G1022,0)</x:f>
        <x:v>0.007283326645484227</x:v>
      </x:c>
      <x:c r="N1022" s="13" t="n">
        <x:f>D1022-C1022</x:f>
        <x:v>-2</x:v>
      </x:c>
    </x:row>
    <x:row r="1023">
      <x:c r="A1023" s="13" t="str">
        <x:v>PAG-001022</x:v>
      </x:c>
      <x:c r="B1023" s="23" t="n">
        <x:v>46033</x:v>
      </x:c>
      <x:c r="C1023" s="23" t="n">
        <x:v>46040</x:v>
      </x:c>
      <x:c r="D1023" s="23" t="n">
        <x:v>46040</x:v>
      </x:c>
      <x:c r="E1023" s="13" t="str">
        <x:v>Office Prime</x:v>
      </x:c>
      <x:c r="F1023" s="13" t="str">
        <x:v>Escritório</x:v>
      </x:c>
      <x:c r="G1023" s="17" t="n">
        <x:v>7478.19</x:v>
      </x:c>
      <x:c r="H1023" s="17" t="n">
        <x:v>7508.68</x:v>
      </x:c>
      <x:c r="I1023" s="13" t="str">
        <x:v>Financeiro</x:v>
      </x:c>
      <x:c r="J1023" s="13" t="str">
        <x:v>Pago</x:v>
      </x:c>
      <x:c r="K1023" s="13" t="str">
        <x:v>Escala inteligente</x:v>
      </x:c>
      <x:c r="L1023" s="17" t="n">
        <x:f>H1023-G1023</x:f>
        <x:v>30.49000000000069</x:v>
      </x:c>
      <x:c r="M1023" s="19" t="n">
        <x:f>IFERROR(L1023/G1023,0)</x:f>
        <x:v>0.004077189801275535</x:v>
      </x:c>
      <x:c r="N1023" s="13" t="n">
        <x:f>D1023-C1023</x:f>
        <x:v>0</x:v>
      </x:c>
    </x:row>
    <x:row r="1024">
      <x:c r="A1024" s="13" t="str">
        <x:v>PAG-001023</x:v>
      </x:c>
      <x:c r="B1024" s="23" t="n">
        <x:v>46029</x:v>
      </x:c>
      <x:c r="C1024" s="23" t="n">
        <x:v>46036</x:v>
      </x:c>
      <x:c r="D1024" s="23" t="n">
        <x:v>46038</x:v>
      </x:c>
      <x:c r="E1024" s="13" t="str">
        <x:v>DataSafe</x:v>
      </x:c>
      <x:c r="F1024" s="13" t="str">
        <x:v>Segurança da informação</x:v>
      </x:c>
      <x:c r="G1024" s="17" t="n">
        <x:v>3333.32</x:v>
      </x:c>
      <x:c r="H1024" s="17" t="n">
        <x:v>3428.13</x:v>
      </x:c>
      <x:c r="I1024" s="13" t="str">
        <x:v>Diretoria</x:v>
      </x:c>
      <x:c r="J1024" s="13" t="str">
        <x:v>Pago</x:v>
      </x:c>
      <x:c r="K1024" s="13" t="str">
        <x:v>Escala inteligente</x:v>
      </x:c>
      <x:c r="L1024" s="17" t="n">
        <x:f>H1024-G1024</x:f>
        <x:v>94.80999999999995</x:v>
      </x:c>
      <x:c r="M1024" s="19" t="n">
        <x:f>IFERROR(L1024/G1024,0)</x:f>
        <x:v>0.02844311377245507</x:v>
      </x:c>
      <x:c r="N1024" s="13" t="n">
        <x:f>D1024-C1024</x:f>
        <x:v>2</x:v>
      </x:c>
    </x:row>
    <x:row r="1025">
      <x:c r="A1025" s="13" t="str">
        <x:v>PAG-001024</x:v>
      </x:c>
      <x:c r="B1025" s="23" t="n">
        <x:v>46027</x:v>
      </x:c>
      <x:c r="C1025" s="23" t="n">
        <x:v>46057</x:v>
      </x:c>
      <x:c r="D1025" s="23" t="n">
        <x:v>46057</x:v>
      </x:c>
      <x:c r="E1025" s="13" t="str">
        <x:v>Conta Certa</x:v>
      </x:c>
      <x:c r="F1025" s="13" t="str">
        <x:v>Contabilidade</x:v>
      </x:c>
      <x:c r="G1025" s="17" t="n">
        <x:v>8065.01</x:v>
      </x:c>
      <x:c r="H1025" s="17" t="n">
        <x:v>7891.18</x:v>
      </x:c>
      <x:c r="I1025" s="13" t="str">
        <x:v>Diretoria</x:v>
      </x:c>
      <x:c r="J1025" s="13" t="str">
        <x:v>Pago</x:v>
      </x:c>
      <x:c r="K1025" s="13" t="str">
        <x:v>Escala inteligente</x:v>
      </x:c>
      <x:c r="L1025" s="17" t="n">
        <x:f>H1025-G1025</x:f>
        <x:v>-173.82999999999993</x:v>
      </x:c>
      <x:c r="M1025" s="19" t="n">
        <x:f>IFERROR(L1025/G1025,0)</x:f>
        <x:v>-0.021553600057532468</x:v>
      </x:c>
      <x:c r="N1025" s="13" t="n">
        <x:f>D1025-C1025</x:f>
        <x:v>0</x:v>
      </x:c>
    </x:row>
    <x:row r="1026">
      <x:c r="A1026" s="13" t="str">
        <x:v>PAG-001025</x:v>
      </x:c>
      <x:c r="B1026" s="23" t="n">
        <x:v>46039</x:v>
      </x:c>
      <x:c r="C1026" s="23" t="n">
        <x:v>46046</x:v>
      </x:c>
      <x:c r="D1026" s="23" t="n">
        <x:v>46046</x:v>
      </x:c>
      <x:c r="E1026" s="13" t="str">
        <x:v>Office Prime</x:v>
      </x:c>
      <x:c r="F1026" s="13" t="str">
        <x:v>Escritório</x:v>
      </x:c>
      <x:c r="G1026" s="17" t="n">
        <x:v>28387.99</x:v>
      </x:c>
      <x:c r="H1026" s="17" t="n">
        <x:v>28818.14</x:v>
      </x:c>
      <x:c r="I1026" s="13" t="str">
        <x:v>Financeiro</x:v>
      </x:c>
      <x:c r="J1026" s="13" t="str">
        <x:v>Pago</x:v>
      </x:c>
      <x:c r="K1026" s="13" t="str">
        <x:v>Escala inteligente</x:v>
      </x:c>
      <x:c r="L1026" s="17" t="n">
        <x:f>H1026-G1026</x:f>
        <x:v>430.1499999999978</x:v>
      </x:c>
      <x:c r="M1026" s="19" t="n">
        <x:f>IFERROR(L1026/G1026,0)</x:f>
        <x:v>0.015152534575360841</x:v>
      </x:c>
      <x:c r="N1026" s="13" t="n">
        <x:f>D1026-C1026</x:f>
        <x:v>0</x:v>
      </x:c>
    </x:row>
    <x:row r="1027">
      <x:c r="A1027" s="13" t="str">
        <x:v>PAG-001026</x:v>
      </x:c>
      <x:c r="B1027" s="23" t="n">
        <x:v>46029</x:v>
      </x:c>
      <x:c r="C1027" s="23" t="n">
        <x:v>46044</x:v>
      </x:c>
      <x:c r="D1027" s="23" t="n">
        <x:v>46045</x:v>
      </x:c>
      <x:c r="E1027" s="13" t="str">
        <x:v>Banco Integra</x:v>
      </x:c>
      <x:c r="F1027" s="13" t="str">
        <x:v>Serviços bancários</x:v>
      </x:c>
      <x:c r="G1027" s="17" t="n">
        <x:v>25371.03</x:v>
      </x:c>
      <x:c r="H1027" s="17" t="n">
        <x:v>26381.36</x:v>
      </x:c>
      <x:c r="I1027" s="13" t="str">
        <x:v>Gestor da área</x:v>
      </x:c>
      <x:c r="J1027" s="13" t="str">
        <x:v>Pago</x:v>
      </x:c>
      <x:c r="K1027" s="13" t="str">
        <x:v>Escala inteligente</x:v>
      </x:c>
      <x:c r="L1027" s="17" t="n">
        <x:f>H1027-G1027</x:f>
        <x:v>1010.3300000000017</x:v>
      </x:c>
      <x:c r="M1027" s="19" t="n">
        <x:f>IFERROR(L1027/G1027,0)</x:f>
        <x:v>0.03982219090040892</x:v>
      </x:c>
      <x:c r="N1027" s="13" t="n">
        <x:f>D1027-C1027</x:f>
        <x:v>1</x:v>
      </x:c>
    </x:row>
    <x:row r="1028">
      <x:c r="A1028" s="13" t="str">
        <x:v>PAG-001027</x:v>
      </x:c>
      <x:c r="B1028" s="23" t="n">
        <x:v>46024</x:v>
      </x:c>
      <x:c r="C1028" s="23" t="n">
        <x:v>46054</x:v>
      </x:c>
      <x:c r="D1028" s="23" t="n">
        <x:v>46054</x:v>
      </x:c>
      <x:c r="E1028" s="13" t="str">
        <x:v>MarketLab</x:v>
      </x:c>
      <x:c r="F1028" s="13" t="str">
        <x:v>Marketing</x:v>
      </x:c>
      <x:c r="G1028" s="17" t="n">
        <x:v>21037.33</x:v>
      </x:c>
      <x:c r="H1028" s="17" t="n">
        <x:v>20923.65</x:v>
      </x:c>
      <x:c r="I1028" s="13" t="str">
        <x:v>Financeiro</x:v>
      </x:c>
      <x:c r="J1028" s="13" t="str">
        <x:v>Pago</x:v>
      </x:c>
      <x:c r="K1028" s="13" t="str">
        <x:v>Escala inteligente</x:v>
      </x:c>
      <x:c r="L1028" s="17" t="n">
        <x:f>H1028-G1028</x:f>
        <x:v>-113.68000000000029</x:v>
      </x:c>
      <x:c r="M1028" s="19" t="n">
        <x:f>IFERROR(L1028/G1028,0)</x:f>
        <x:v>-0.005403727564286926</x:v>
      </x:c>
      <x:c r="N1028" s="13" t="n">
        <x:f>D1028-C1028</x:f>
        <x:v>0</x:v>
      </x:c>
    </x:row>
    <x:row r="1029">
      <x:c r="A1029" s="13" t="str">
        <x:v>PAG-001028</x:v>
      </x:c>
      <x:c r="B1029" s="23" t="n">
        <x:v>46025</x:v>
      </x:c>
      <x:c r="C1029" s="23" t="n">
        <x:v>46032</x:v>
      </x:c>
      <x:c r="D1029" s="23" t="n">
        <x:v>46029</x:v>
      </x:c>
      <x:c r="E1029" s="13" t="str">
        <x:v>NetLink</x:v>
      </x:c>
      <x:c r="F1029" s="13" t="str">
        <x:v>Telecomunicações</x:v>
      </x:c>
      <x:c r="G1029" s="17" t="n">
        <x:v>18238.12</x:v>
      </x:c>
      <x:c r="H1029" s="17" t="n">
        <x:v>18430.28</x:v>
      </x:c>
      <x:c r="I1029" s="13" t="str">
        <x:v>Diretoria</x:v>
      </x:c>
      <x:c r="J1029" s="13" t="str">
        <x:v>Pago</x:v>
      </x:c>
      <x:c r="K1029" s="13" t="str">
        <x:v>Escala inteligente</x:v>
      </x:c>
      <x:c r="L1029" s="17" t="n">
        <x:f>H1029-G1029</x:f>
        <x:v>192.15999999999985</x:v>
      </x:c>
      <x:c r="M1029" s="19" t="n">
        <x:f>IFERROR(L1029/G1029,0)</x:f>
        <x:v>0.010536173684568358</x:v>
      </x:c>
      <x:c r="N1029" s="13" t="n">
        <x:f>D1029-C1029</x:f>
        <x:v>-3</x:v>
      </x:c>
    </x:row>
    <x:row r="1030">
      <x:c r="A1030" s="13" t="str">
        <x:v>PAG-001029</x:v>
      </x:c>
      <x:c r="B1030" s="23" t="n">
        <x:v>46029</x:v>
      </x:c>
      <x:c r="C1030" s="23" t="n">
        <x:v>46044</x:v>
      </x:c>
      <x:c r="D1030" s="23" t="n">
        <x:v>46045</x:v>
      </x:c>
      <x:c r="E1030" s="13" t="str">
        <x:v>Conta Certa</x:v>
      </x:c>
      <x:c r="F1030" s="13" t="str">
        <x:v>Contabilidade</x:v>
      </x:c>
      <x:c r="G1030" s="17" t="n">
        <x:v>22038.33</x:v>
      </x:c>
      <x:c r="H1030" s="17" t="n">
        <x:v>22806.77</x:v>
      </x:c>
      <x:c r="I1030" s="13" t="str">
        <x:v>Gestor da área</x:v>
      </x:c>
      <x:c r="J1030" s="13" t="str">
        <x:v>Pago</x:v>
      </x:c>
      <x:c r="K1030" s="13" t="str">
        <x:v>Escala inteligente</x:v>
      </x:c>
      <x:c r="L1030" s="17" t="n">
        <x:f>H1030-G1030</x:f>
        <x:v>768.4399999999987</x:v>
      </x:c>
      <x:c r="M1030" s="19" t="n">
        <x:f>IFERROR(L1030/G1030,0)</x:f>
        <x:v>0.03486834074995694</x:v>
      </x:c>
      <x:c r="N1030" s="13" t="n">
        <x:f>D1030-C1030</x:f>
        <x:v>1</x:v>
      </x:c>
    </x:row>
    <x:row r="1031">
      <x:c r="A1031" s="13" t="str">
        <x:v>PAG-001030</x:v>
      </x:c>
      <x:c r="B1031" s="23" t="n">
        <x:v>46023</x:v>
      </x:c>
      <x:c r="C1031" s="23" t="n">
        <x:v>46030</x:v>
      </x:c>
      <x:c r="D1031" s="23" t="n">
        <x:v>46030</x:v>
      </x:c>
      <x:c r="E1031" s="13" t="str">
        <x:v>DataSafe</x:v>
      </x:c>
      <x:c r="F1031" s="13" t="str">
        <x:v>Segurança da informação</x:v>
      </x:c>
      <x:c r="G1031" s="17" t="n">
        <x:v>7512.34</x:v>
      </x:c>
      <x:c r="H1031" s="17" t="n">
        <x:v>7460.63</x:v>
      </x:c>
      <x:c r="I1031" s="13" t="str">
        <x:v>Gestor da área</x:v>
      </x:c>
      <x:c r="J1031" s="13" t="str">
        <x:v>Pago</x:v>
      </x:c>
      <x:c r="K1031" s="13" t="str">
        <x:v>Escala inteligente</x:v>
      </x:c>
      <x:c r="L1031" s="17" t="n">
        <x:f>H1031-G1031</x:f>
        <x:v>-51.710000000000036</x:v>
      </x:c>
      <x:c r="M1031" s="19" t="n">
        <x:f>IFERROR(L1031/G1031,0)</x:f>
        <x:v>-0.006883341275820854</x:v>
      </x:c>
      <x:c r="N1031" s="13" t="n">
        <x:f>D1031-C1031</x:f>
        <x:v>0</x:v>
      </x:c>
    </x:row>
    <x:row r="1032">
      <x:c r="A1032" s="13" t="str">
        <x:v>PAG-001031</x:v>
      </x:c>
      <x:c r="B1032" s="23" t="n">
        <x:v>46039</x:v>
      </x:c>
      <x:c r="C1032" s="23" t="n">
        <x:v>46046</x:v>
      </x:c>
      <x:c r="D1032" s="23" t="n">
        <x:v>46046</x:v>
      </x:c>
      <x:c r="E1032" s="13" t="str">
        <x:v>Conta Certa</x:v>
      </x:c>
      <x:c r="F1032" s="13" t="str">
        <x:v>Contabilidade</x:v>
      </x:c>
      <x:c r="G1032" s="17" t="n">
        <x:v>24260.22</x:v>
      </x:c>
      <x:c r="H1032" s="17" t="n">
        <x:v>23470.79</x:v>
      </x:c>
      <x:c r="I1032" s="13" t="str">
        <x:v>Diretoria</x:v>
      </x:c>
      <x:c r="J1032" s="13" t="str">
        <x:v>Pago</x:v>
      </x:c>
      <x:c r="K1032" s="13" t="str">
        <x:v>Escala inteligente</x:v>
      </x:c>
      <x:c r="L1032" s="17" t="n">
        <x:f>H1032-G1032</x:f>
        <x:v>-789.4300000000003</x:v>
      </x:c>
      <x:c r="M1032" s="19" t="n">
        <x:f>IFERROR(L1032/G1032,0)</x:f>
        <x:v>-0.03254010062563325</x:v>
      </x:c>
      <x:c r="N1032" s="13" t="n">
        <x:f>D1032-C1032</x:f>
        <x:v>0</x:v>
      </x:c>
    </x:row>
    <x:row r="1033">
      <x:c r="A1033" s="13" t="str">
        <x:v>PAG-001032</x:v>
      </x:c>
      <x:c r="B1033" s="23" t="n">
        <x:v>46040</x:v>
      </x:c>
      <x:c r="C1033" s="23" t="n">
        <x:v>46047</x:v>
      </x:c>
      <x:c r="D1033" s="23" t="n">
        <x:v>46049</x:v>
      </x:c>
      <x:c r="E1033" s="13" t="str">
        <x:v>MarketLab</x:v>
      </x:c>
      <x:c r="F1033" s="13" t="str">
        <x:v>Marketing</x:v>
      </x:c>
      <x:c r="G1033" s="17" t="n">
        <x:v>17744.69</x:v>
      </x:c>
      <x:c r="H1033" s="17" t="n">
        <x:v>17217.03</x:v>
      </x:c>
      <x:c r="I1033" s="13" t="str">
        <x:v>Diretoria</x:v>
      </x:c>
      <x:c r="J1033" s="13" t="str">
        <x:v>Pago</x:v>
      </x:c>
      <x:c r="K1033" s="13" t="str">
        <x:v>Escala inteligente</x:v>
      </x:c>
      <x:c r="L1033" s="17" t="n">
        <x:f>H1033-G1033</x:f>
        <x:v>-527.6599999999999</x:v>
      </x:c>
      <x:c r="M1033" s="19" t="n">
        <x:f>IFERROR(L1033/G1033,0)</x:f>
        <x:v>-0.029736219680366344</x:v>
      </x:c>
      <x:c r="N1033" s="13" t="n">
        <x:f>D1033-C1033</x:f>
        <x:v>2</x:v>
      </x:c>
    </x:row>
    <x:row r="1034">
      <x:c r="A1034" s="13" t="str">
        <x:v>PAG-001033</x:v>
      </x:c>
      <x:c r="B1034" s="23" t="n">
        <x:v>46042</x:v>
      </x:c>
      <x:c r="C1034" s="23" t="n">
        <x:v>46049</x:v>
      </x:c>
      <x:c r="D1034" s="23" t="n">
        <x:v>46049</x:v>
      </x:c>
      <x:c r="E1034" s="13" t="str">
        <x:v>LegalMais</x:v>
      </x:c>
      <x:c r="F1034" s="13" t="str">
        <x:v>Jurídico</x:v>
      </x:c>
      <x:c r="G1034" s="17" t="n">
        <x:v>5681.98</x:v>
      </x:c>
      <x:c r="H1034" s="17" t="n">
        <x:v>5930.49</x:v>
      </x:c>
      <x:c r="I1034" s="13" t="str">
        <x:v>Gestor da área</x:v>
      </x:c>
      <x:c r="J1034" s="13" t="str">
        <x:v>Pago</x:v>
      </x:c>
      <x:c r="K1034" s="13" t="str">
        <x:v>Escala inteligente</x:v>
      </x:c>
      <x:c r="L1034" s="17" t="n">
        <x:f>H1034-G1034</x:f>
        <x:v>248.51000000000022</x:v>
      </x:c>
      <x:c r="M1034" s="19" t="n">
        <x:f>IFERROR(L1034/G1034,0)</x:f>
        <x:v>0.043736514384070384</x:v>
      </x:c>
      <x:c r="N1034" s="13" t="n">
        <x:f>D1034-C1034</x:f>
        <x:v>0</x:v>
      </x:c>
    </x:row>
    <x:row r="1035">
      <x:c r="A1035" s="13" t="str">
        <x:v>PAG-001034</x:v>
      </x:c>
      <x:c r="B1035" s="23" t="n">
        <x:v>46033</x:v>
      </x:c>
      <x:c r="C1035" s="23" t="n">
        <x:v>46063</x:v>
      </x:c>
      <x:c r="D1035" s="23" t="n">
        <x:v>46064</x:v>
      </x:c>
      <x:c r="E1035" s="13" t="str">
        <x:v>NetLink</x:v>
      </x:c>
      <x:c r="F1035" s="13" t="str">
        <x:v>Telecomunicações</x:v>
      </x:c>
      <x:c r="G1035" s="17" t="n">
        <x:v>28874.34</x:v>
      </x:c>
      <x:c r="H1035" s="17" t="n">
        <x:v>29551.88</x:v>
      </x:c>
      <x:c r="I1035" s="13" t="str">
        <x:v>Financeiro</x:v>
      </x:c>
      <x:c r="J1035" s="13" t="str">
        <x:v>Pago</x:v>
      </x:c>
      <x:c r="K1035" s="13" t="str">
        <x:v>Escala inteligente</x:v>
      </x:c>
      <x:c r="L1035" s="17" t="n">
        <x:f>H1035-G1035</x:f>
        <x:v>677.5400000000009</x:v>
      </x:c>
      <x:c r="M1035" s="19" t="n">
        <x:f>IFERROR(L1035/G1035,0)</x:f>
        <x:v>0.023465125090305124</x:v>
      </x:c>
      <x:c r="N1035" s="13" t="n">
        <x:f>D1035-C1035</x:f>
        <x:v>1</x:v>
      </x:c>
    </x:row>
    <x:row r="1036">
      <x:c r="A1036" s="13" t="str">
        <x:v>PAG-001035</x:v>
      </x:c>
      <x:c r="B1036" s="23" t="n">
        <x:v>46034</x:v>
      </x:c>
      <x:c r="C1036" s="23" t="n">
        <x:v>46064</x:v>
      </x:c>
      <x:c r="D1036" s="23" t="n">
        <x:v>46061</x:v>
      </x:c>
      <x:c r="E1036" s="13" t="str">
        <x:v>LegalMais</x:v>
      </x:c>
      <x:c r="F1036" s="13" t="str">
        <x:v>Jurídico</x:v>
      </x:c>
      <x:c r="G1036" s="17" t="n">
        <x:v>28021.67</x:v>
      </x:c>
      <x:c r="H1036" s="17" t="n">
        <x:v>27459.14</x:v>
      </x:c>
      <x:c r="I1036" s="13" t="str">
        <x:v>Financeiro</x:v>
      </x:c>
      <x:c r="J1036" s="13" t="str">
        <x:v>Pago</x:v>
      </x:c>
      <x:c r="K1036" s="13" t="str">
        <x:v>Escala inteligente</x:v>
      </x:c>
      <x:c r="L1036" s="17" t="n">
        <x:f>H1036-G1036</x:f>
        <x:v>-562.5299999999988</x:v>
      </x:c>
      <x:c r="M1036" s="19" t="n">
        <x:f>IFERROR(L1036/G1036,0)</x:f>
        <x:v>-0.020074820665577708</x:v>
      </x:c>
      <x:c r="N1036" s="13" t="n">
        <x:f>D1036-C1036</x:f>
        <x:v>-3</x:v>
      </x:c>
    </x:row>
    <x:row r="1037">
      <x:c r="A1037" s="13" t="str">
        <x:v>PAG-001036</x:v>
      </x:c>
      <x:c r="B1037" s="23" t="n">
        <x:v>46035</x:v>
      </x:c>
      <x:c r="C1037" s="23" t="n">
        <x:v>46055</x:v>
      </x:c>
      <x:c r="D1037" s="23" t="n">
        <x:v>46053</x:v>
      </x:c>
      <x:c r="E1037" s="13" t="str">
        <x:v>WorkSpace</x:v>
      </x:c>
      <x:c r="F1037" s="13" t="str">
        <x:v>Locação</x:v>
      </x:c>
      <x:c r="G1037" s="17" t="n">
        <x:v>25227.37</x:v>
      </x:c>
      <x:c r="H1037" s="17" t="n">
        <x:v>25994.07</x:v>
      </x:c>
      <x:c r="I1037" s="13" t="str">
        <x:v>Gestor da área</x:v>
      </x:c>
      <x:c r="J1037" s="13" t="str">
        <x:v>Pago</x:v>
      </x:c>
      <x:c r="K1037" s="13" t="str">
        <x:v>Escala inteligente</x:v>
      </x:c>
      <x:c r="L1037" s="17" t="n">
        <x:f>H1037-G1037</x:f>
        <x:v>766.7000000000007</x:v>
      </x:c>
      <x:c r="M1037" s="19" t="n">
        <x:f>IFERROR(L1037/G1037,0)</x:f>
        <x:v>0.03039159452610402</x:v>
      </x:c>
      <x:c r="N1037" s="13" t="n">
        <x:f>D1037-C1037</x:f>
        <x:v>-2</x:v>
      </x:c>
    </x:row>
    <x:row r="1038">
      <x:c r="A1038" s="13" t="str">
        <x:v>PAG-001037</x:v>
      </x:c>
      <x:c r="B1038" s="23" t="n">
        <x:v>46031</x:v>
      </x:c>
      <x:c r="C1038" s="23" t="n">
        <x:v>46051</x:v>
      </x:c>
      <x:c r="D1038" s="23" t="n">
        <x:v>46052</x:v>
      </x:c>
      <x:c r="E1038" s="13" t="str">
        <x:v>NetLink</x:v>
      </x:c>
      <x:c r="F1038" s="13" t="str">
        <x:v>Telecomunicações</x:v>
      </x:c>
      <x:c r="G1038" s="17" t="n">
        <x:v>25947.18</x:v>
      </x:c>
      <x:c r="H1038" s="17" t="n">
        <x:v>27097.33</x:v>
      </x:c>
      <x:c r="I1038" s="13" t="str">
        <x:v>Financeiro</x:v>
      </x:c>
      <x:c r="J1038" s="13" t="str">
        <x:v>Pago</x:v>
      </x:c>
      <x:c r="K1038" s="13" t="str">
        <x:v>Escala inteligente</x:v>
      </x:c>
      <x:c r="L1038" s="17" t="n">
        <x:f>H1038-G1038</x:f>
        <x:v>1150.1500000000015</x:v>
      </x:c>
      <x:c r="M1038" s="19" t="n">
        <x:f>IFERROR(L1038/G1038,0)</x:f>
        <x:v>0.04432658963324729</x:v>
      </x:c>
      <x:c r="N1038" s="13" t="n">
        <x:f>D1038-C1038</x:f>
        <x:v>1</x:v>
      </x:c>
    </x:row>
    <x:row r="1039">
      <x:c r="A1039" s="13" t="str">
        <x:v>PAG-001038</x:v>
      </x:c>
      <x:c r="B1039" s="23" t="n">
        <x:v>46027</x:v>
      </x:c>
      <x:c r="C1039" s="23" t="n">
        <x:v>46042</x:v>
      </x:c>
      <x:c r="D1039" s="23" t="n">
        <x:v>46040</x:v>
      </x:c>
      <x:c r="E1039" s="13" t="str">
        <x:v>CloudCore</x:v>
      </x:c>
      <x:c r="F1039" s="13" t="str">
        <x:v>Tecnologia</x:v>
      </x:c>
      <x:c r="G1039" s="17" t="n">
        <x:v>15190.56</x:v>
      </x:c>
      <x:c r="H1039" s="17" t="n">
        <x:v>15487.82</x:v>
      </x:c>
      <x:c r="I1039" s="13" t="str">
        <x:v>Diretoria</x:v>
      </x:c>
      <x:c r="J1039" s="13" t="str">
        <x:v>Pago</x:v>
      </x:c>
      <x:c r="K1039" s="13" t="str">
        <x:v>Escala inteligente</x:v>
      </x:c>
      <x:c r="L1039" s="17" t="n">
        <x:f>H1039-G1039</x:f>
        <x:v>297.2600000000002</x:v>
      </x:c>
      <x:c r="M1039" s="19" t="n">
        <x:f>IFERROR(L1039/G1039,0)</x:f>
        <x:v>0.01956873215997305</x:v>
      </x:c>
      <x:c r="N1039" s="13" t="n">
        <x:f>D1039-C1039</x:f>
        <x:v>-2</x:v>
      </x:c>
    </x:row>
    <x:row r="1040">
      <x:c r="A1040" s="13" t="str">
        <x:v>PAG-001039</x:v>
      </x:c>
      <x:c r="B1040" s="23" t="n">
        <x:v>46036</x:v>
      </x:c>
      <x:c r="C1040" s="23" t="n">
        <x:v>46066</x:v>
      </x:c>
      <x:c r="D1040" s="23" t="n">
        <x:v>46063</x:v>
      </x:c>
      <x:c r="E1040" s="13" t="str">
        <x:v>DataSafe</x:v>
      </x:c>
      <x:c r="F1040" s="13" t="str">
        <x:v>Segurança da informação</x:v>
      </x:c>
      <x:c r="G1040" s="17" t="n">
        <x:v>13986.57</x:v>
      </x:c>
      <x:c r="H1040" s="17" t="n">
        <x:v>13976.16</x:v>
      </x:c>
      <x:c r="I1040" s="13" t="str">
        <x:v>Financeiro</x:v>
      </x:c>
      <x:c r="J1040" s="13" t="str">
        <x:v>Pago</x:v>
      </x:c>
      <x:c r="K1040" s="13" t="str">
        <x:v>Escala inteligente</x:v>
      </x:c>
      <x:c r="L1040" s="17" t="n">
        <x:f>H1040-G1040</x:f>
        <x:v>-10.409999999999854</x:v>
      </x:c>
      <x:c r="M1040" s="19" t="n">
        <x:f>IFERROR(L1040/G1040,0)</x:f>
        <x:v>-0.0007442854109334779</x:v>
      </x:c>
      <x:c r="N1040" s="13" t="n">
        <x:f>D1040-C1040</x:f>
        <x:v>-3</x:v>
      </x:c>
    </x:row>
    <x:row r="1041">
      <x:c r="A1041" s="13" t="str">
        <x:v>PAG-001040</x:v>
      </x:c>
      <x:c r="B1041" s="23" t="n">
        <x:v>46030</x:v>
      </x:c>
      <x:c r="C1041" s="23" t="n">
        <x:v>46060</x:v>
      </x:c>
      <x:c r="D1041" s="23" t="n">
        <x:v>46059</x:v>
      </x:c>
      <x:c r="E1041" s="13" t="str">
        <x:v>PeopleHub</x:v>
      </x:c>
      <x:c r="F1041" s="13" t="str">
        <x:v>Recursos Humanos</x:v>
      </x:c>
      <x:c r="G1041" s="17" t="n">
        <x:v>29819.7</x:v>
      </x:c>
      <x:c r="H1041" s="17" t="n">
        <x:v>28835.13</x:v>
      </x:c>
      <x:c r="I1041" s="13" t="str">
        <x:v>Financeiro</x:v>
      </x:c>
      <x:c r="J1041" s="13" t="str">
        <x:v>Pago</x:v>
      </x:c>
      <x:c r="K1041" s="13" t="str">
        <x:v>Escala inteligente</x:v>
      </x:c>
      <x:c r="L1041" s="17" t="n">
        <x:f>H1041-G1041</x:f>
        <x:v>-984.5699999999997</x:v>
      </x:c>
      <x:c r="M1041" s="19" t="n">
        <x:f>IFERROR(L1041/G1041,0)</x:f>
        <x:v>-0.0330174347830461</x:v>
      </x:c>
      <x:c r="N1041" s="13" t="n">
        <x:f>D1041-C1041</x:f>
        <x:v>-1</x:v>
      </x:c>
    </x:row>
    <x:row r="1042">
      <x:c r="A1042" s="13" t="str">
        <x:v>PAG-001041</x:v>
      </x:c>
      <x:c r="B1042" s="23" t="n">
        <x:v>46039</x:v>
      </x:c>
      <x:c r="C1042" s="23" t="n">
        <x:v>46046</x:v>
      </x:c>
      <x:c r="D1042" s="23" t="n">
        <x:v>46047</x:v>
      </x:c>
      <x:c r="E1042" s="13" t="str">
        <x:v>PeopleHub</x:v>
      </x:c>
      <x:c r="F1042" s="13" t="str">
        <x:v>Recursos Humanos</x:v>
      </x:c>
      <x:c r="G1042" s="17" t="n">
        <x:v>27161.06</x:v>
      </x:c>
      <x:c r="H1042" s="17" t="n">
        <x:v>26852.97</x:v>
      </x:c>
      <x:c r="I1042" s="13" t="str">
        <x:v>Diretoria</x:v>
      </x:c>
      <x:c r="J1042" s="13" t="str">
        <x:v>Pago</x:v>
      </x:c>
      <x:c r="K1042" s="13" t="str">
        <x:v>Escala inteligente</x:v>
      </x:c>
      <x:c r="L1042" s="17" t="n">
        <x:f>H1042-G1042</x:f>
        <x:v>-308.09000000000015</x:v>
      </x:c>
      <x:c r="M1042" s="19" t="n">
        <x:f>IFERROR(L1042/G1042,0)</x:f>
        <x:v>-0.01134307718476378</x:v>
      </x:c>
      <x:c r="N1042" s="13" t="n">
        <x:f>D1042-C1042</x:f>
        <x:v>1</x:v>
      </x:c>
    </x:row>
    <x:row r="1043">
      <x:c r="A1043" s="13" t="str">
        <x:v>PAG-001042</x:v>
      </x:c>
      <x:c r="B1043" s="23" t="n">
        <x:v>46029</x:v>
      </x:c>
      <x:c r="C1043" s="23" t="n">
        <x:v>46044</x:v>
      </x:c>
      <x:c r="D1043" s="23" t="n">
        <x:v>46041</x:v>
      </x:c>
      <x:c r="E1043" s="13" t="str">
        <x:v>Insight BI</x:v>
      </x:c>
      <x:c r="F1043" s="13" t="str">
        <x:v>Dados e Analytics</x:v>
      </x:c>
      <x:c r="G1043" s="17" t="n">
        <x:v>21545.04</x:v>
      </x:c>
      <x:c r="H1043" s="17" t="n">
        <x:v>21980.46</x:v>
      </x:c>
      <x:c r="I1043" s="13" t="str">
        <x:v>Financeiro</x:v>
      </x:c>
      <x:c r="J1043" s="13" t="str">
        <x:v>Pago</x:v>
      </x:c>
      <x:c r="K1043" s="13" t="str">
        <x:v>Escala inteligente</x:v>
      </x:c>
      <x:c r="L1043" s="17" t="n">
        <x:f>H1043-G1043</x:f>
        <x:v>435.41999999999825</x:v>
      </x:c>
      <x:c r="M1043" s="19" t="n">
        <x:f>IFERROR(L1043/G1043,0)</x:f>
        <x:v>0.020209755934544483</x:v>
      </x:c>
      <x:c r="N1043" s="13" t="n">
        <x:f>D1043-C1043</x:f>
        <x:v>-3</x:v>
      </x:c>
    </x:row>
    <x:row r="1044">
      <x:c r="A1044" s="13" t="str">
        <x:v>PAG-001043</x:v>
      </x:c>
      <x:c r="B1044" s="23" t="n">
        <x:v>46040</x:v>
      </x:c>
      <x:c r="C1044" s="23" t="n">
        <x:v>46060</x:v>
      </x:c>
      <x:c r="D1044" s="23" t="n">
        <x:v>46058</x:v>
      </x:c>
      <x:c r="E1044" s="13" t="str">
        <x:v>Banco Integra</x:v>
      </x:c>
      <x:c r="F1044" s="13" t="str">
        <x:v>Serviços bancários</x:v>
      </x:c>
      <x:c r="G1044" s="17" t="n">
        <x:v>16719.8</x:v>
      </x:c>
      <x:c r="H1044" s="17" t="n">
        <x:v>16546.54</x:v>
      </x:c>
      <x:c r="I1044" s="13" t="str">
        <x:v>Gestor da área</x:v>
      </x:c>
      <x:c r="J1044" s="13" t="str">
        <x:v>Pago</x:v>
      </x:c>
      <x:c r="K1044" s="13" t="str">
        <x:v>Escala inteligente</x:v>
      </x:c>
      <x:c r="L1044" s="17" t="n">
        <x:f>H1044-G1044</x:f>
        <x:v>-173.2599999999984</x:v>
      </x:c>
      <x:c r="M1044" s="19" t="n">
        <x:f>IFERROR(L1044/G1044,0)</x:f>
        <x:v>-0.010362564145504037</x:v>
      </x:c>
      <x:c r="N1044" s="13" t="n">
        <x:f>D1044-C1044</x:f>
        <x:v>-2</x:v>
      </x:c>
    </x:row>
    <x:row r="1045">
      <x:c r="A1045" s="13" t="str">
        <x:v>PAG-001044</x:v>
      </x:c>
      <x:c r="B1045" s="23" t="n">
        <x:v>46040</x:v>
      </x:c>
      <x:c r="C1045" s="23" t="n">
        <x:v>46070</x:v>
      </x:c>
      <x:c r="D1045" s="23" t="n">
        <x:v>46071</x:v>
      </x:c>
      <x:c r="E1045" s="13" t="str">
        <x:v>NetLink</x:v>
      </x:c>
      <x:c r="F1045" s="13" t="str">
        <x:v>Telecomunicações</x:v>
      </x:c>
      <x:c r="G1045" s="17" t="n">
        <x:v>26999.1</x:v>
      </x:c>
      <x:c r="H1045" s="17" t="n">
        <x:v>26072.82</x:v>
      </x:c>
      <x:c r="I1045" s="13" t="str">
        <x:v>Financeiro</x:v>
      </x:c>
      <x:c r="J1045" s="13" t="str">
        <x:v>Pago</x:v>
      </x:c>
      <x:c r="K1045" s="13" t="str">
        <x:v>Escala inteligente</x:v>
      </x:c>
      <x:c r="L1045" s="17" t="n">
        <x:f>H1045-G1045</x:f>
        <x:v>-926.2799999999988</x:v>
      </x:c>
      <x:c r="M1045" s="19" t="n">
        <x:f>IFERROR(L1045/G1045,0)</x:f>
        <x:v>-0.03430781026034197</x:v>
      </x:c>
      <x:c r="N1045" s="13" t="n">
        <x:f>D1045-C1045</x:f>
        <x:v>1</x:v>
      </x:c>
    </x:row>
    <x:row r="1046">
      <x:c r="A1046" s="13" t="str">
        <x:v>PAG-001045</x:v>
      </x:c>
      <x:c r="B1046" s="23" t="n">
        <x:v>46034</x:v>
      </x:c>
      <x:c r="C1046" s="23" t="n">
        <x:v>46054</x:v>
      </x:c>
      <x:c r="D1046" s="23" t="n">
        <x:v>46056</x:v>
      </x:c>
      <x:c r="E1046" s="13" t="str">
        <x:v>NetLink</x:v>
      </x:c>
      <x:c r="F1046" s="13" t="str">
        <x:v>Telecomunicações</x:v>
      </x:c>
      <x:c r="G1046" s="17" t="n">
        <x:v>2128.61</x:v>
      </x:c>
      <x:c r="H1046" s="17" t="n">
        <x:v>2079.14</x:v>
      </x:c>
      <x:c r="I1046" s="13" t="str">
        <x:v>Diretoria</x:v>
      </x:c>
      <x:c r="J1046" s="13" t="str">
        <x:v>Pago</x:v>
      </x:c>
      <x:c r="K1046" s="13" t="str">
        <x:v>Escala inteligente</x:v>
      </x:c>
      <x:c r="L1046" s="17" t="n">
        <x:f>H1046-G1046</x:f>
        <x:v>-49.470000000000255</x:v>
      </x:c>
      <x:c r="M1046" s="19" t="n">
        <x:f>IFERROR(L1046/G1046,0)</x:f>
        <x:v>-0.023240518460403856</x:v>
      </x:c>
      <x:c r="N1046" s="13" t="n">
        <x:f>D1046-C1046</x:f>
        <x:v>2</x:v>
      </x:c>
    </x:row>
    <x:row r="1047">
      <x:c r="A1047" s="13" t="str">
        <x:v>PAG-001046</x:v>
      </x:c>
      <x:c r="B1047" s="23" t="n">
        <x:v>46041</x:v>
      </x:c>
      <x:c r="C1047" s="23" t="n">
        <x:v>46048</x:v>
      </x:c>
      <x:c r="D1047" s="23" t="n">
        <x:v>46046</x:v>
      </x:c>
      <x:c r="E1047" s="13" t="str">
        <x:v>CloudCore</x:v>
      </x:c>
      <x:c r="F1047" s="13" t="str">
        <x:v>Tecnologia</x:v>
      </x:c>
      <x:c r="G1047" s="17" t="n">
        <x:v>30705.73</x:v>
      </x:c>
      <x:c r="H1047" s="17" t="n">
        <x:v>31638.77</x:v>
      </x:c>
      <x:c r="I1047" s="13" t="str">
        <x:v>Gestor da área</x:v>
      </x:c>
      <x:c r="J1047" s="13" t="str">
        <x:v>Pago</x:v>
      </x:c>
      <x:c r="K1047" s="13" t="str">
        <x:v>Escala inteligente</x:v>
      </x:c>
      <x:c r="L1047" s="17" t="n">
        <x:f>H1047-G1047</x:f>
        <x:v>933.0400000000009</x:v>
      </x:c>
      <x:c r="M1047" s="19" t="n">
        <x:f>IFERROR(L1047/G1047,0)</x:f>
        <x:v>0.030386510921577205</x:v>
      </x:c>
      <x:c r="N1047" s="13" t="n">
        <x:f>D1047-C1047</x:f>
        <x:v>-2</x:v>
      </x:c>
    </x:row>
    <x:row r="1048">
      <x:c r="A1048" s="13" t="str">
        <x:v>PAG-001047</x:v>
      </x:c>
      <x:c r="B1048" s="23" t="n">
        <x:v>46034</x:v>
      </x:c>
      <x:c r="C1048" s="23" t="n">
        <x:v>46054</x:v>
      </x:c>
      <x:c r="D1048" s="23" t="n">
        <x:v>46053</x:v>
      </x:c>
      <x:c r="E1048" s="13" t="str">
        <x:v>LegalMais</x:v>
      </x:c>
      <x:c r="F1048" s="13" t="str">
        <x:v>Jurídico</x:v>
      </x:c>
      <x:c r="G1048" s="17" t="n">
        <x:v>1559.61</x:v>
      </x:c>
      <x:c r="H1048" s="17" t="n">
        <x:v>1519.02</x:v>
      </x:c>
      <x:c r="I1048" s="13" t="str">
        <x:v>Financeiro</x:v>
      </x:c>
      <x:c r="J1048" s="13" t="str">
        <x:v>Pago</x:v>
      </x:c>
      <x:c r="K1048" s="13" t="str">
        <x:v>Escala inteligente</x:v>
      </x:c>
      <x:c r="L1048" s="17" t="n">
        <x:f>H1048-G1048</x:f>
        <x:v>-40.58999999999992</x:v>
      </x:c>
      <x:c r="M1048" s="19" t="n">
        <x:f>IFERROR(L1048/G1048,0)</x:f>
        <x:v>-0.0260257372035316</x:v>
      </x:c>
      <x:c r="N1048" s="13" t="n">
        <x:f>D1048-C1048</x:f>
        <x:v>-1</x:v>
      </x:c>
    </x:row>
    <x:row r="1049">
      <x:c r="A1049" s="13" t="str">
        <x:v>PAG-001048</x:v>
      </x:c>
      <x:c r="B1049" s="23" t="n">
        <x:v>46033</x:v>
      </x:c>
      <x:c r="C1049" s="23" t="n">
        <x:v>46063</x:v>
      </x:c>
      <x:c r="D1049" s="23" t="n">
        <x:v>46065</x:v>
      </x:c>
      <x:c r="E1049" s="13" t="str">
        <x:v>NetLink</x:v>
      </x:c>
      <x:c r="F1049" s="13" t="str">
        <x:v>Telecomunicações</x:v>
      </x:c>
      <x:c r="G1049" s="17" t="n">
        <x:v>6767.56</x:v>
      </x:c>
      <x:c r="H1049" s="17" t="n">
        <x:v>6746.87</x:v>
      </x:c>
      <x:c r="I1049" s="13" t="str">
        <x:v>Diretoria</x:v>
      </x:c>
      <x:c r="J1049" s="13" t="str">
        <x:v>Pago</x:v>
      </x:c>
      <x:c r="K1049" s="13" t="str">
        <x:v>Escala inteligente</x:v>
      </x:c>
      <x:c r="L1049" s="17" t="n">
        <x:f>H1049-G1049</x:f>
        <x:v>-20.69000000000051</x:v>
      </x:c>
      <x:c r="M1049" s="19" t="n">
        <x:f>IFERROR(L1049/G1049,0)</x:f>
        <x:v>-0.0030572318531347353</x:v>
      </x:c>
      <x:c r="N1049" s="13" t="n">
        <x:f>D1049-C1049</x:f>
        <x:v>2</x:v>
      </x:c>
    </x:row>
    <x:row r="1050">
      <x:c r="A1050" s="13" t="str">
        <x:v>PAG-001049</x:v>
      </x:c>
      <x:c r="B1050" s="23" t="n">
        <x:v>46027</x:v>
      </x:c>
      <x:c r="C1050" s="23" t="n">
        <x:v>46042</x:v>
      </x:c>
      <x:c r="D1050" s="23" t="n">
        <x:v>46041</x:v>
      </x:c>
      <x:c r="E1050" s="13" t="str">
        <x:v>Office Prime</x:v>
      </x:c>
      <x:c r="F1050" s="13" t="str">
        <x:v>Escritório</x:v>
      </x:c>
      <x:c r="G1050" s="17" t="n">
        <x:v>10692.72</x:v>
      </x:c>
      <x:c r="H1050" s="17" t="n">
        <x:v>10563.73</x:v>
      </x:c>
      <x:c r="I1050" s="13" t="str">
        <x:v>Financeiro</x:v>
      </x:c>
      <x:c r="J1050" s="13" t="str">
        <x:v>Pago</x:v>
      </x:c>
      <x:c r="K1050" s="13" t="str">
        <x:v>Escala inteligente</x:v>
      </x:c>
      <x:c r="L1050" s="17" t="n">
        <x:f>H1050-G1050</x:f>
        <x:v>-128.98999999999978</x:v>
      </x:c>
      <x:c r="M1050" s="19" t="n">
        <x:f>IFERROR(L1050/G1050,0)</x:f>
        <x:v>-0.012063347773064271</x:v>
      </x:c>
      <x:c r="N1050" s="13" t="n">
        <x:f>D1050-C1050</x:f>
        <x:v>-1</x:v>
      </x:c>
    </x:row>
    <x:row r="1051">
      <x:c r="A1051" s="13" t="str">
        <x:v>PAG-001050</x:v>
      </x:c>
      <x:c r="B1051" s="23" t="n">
        <x:v>46041</x:v>
      </x:c>
      <x:c r="C1051" s="23" t="n">
        <x:v>46048</x:v>
      </x:c>
      <x:c r="D1051" s="23" t="n">
        <x:v>46045</x:v>
      </x:c>
      <x:c r="E1051" s="13" t="str">
        <x:v>CloudCore</x:v>
      </x:c>
      <x:c r="F1051" s="13" t="str">
        <x:v>Tecnologia</x:v>
      </x:c>
      <x:c r="G1051" s="17" t="n">
        <x:v>31811.44</x:v>
      </x:c>
      <x:c r="H1051" s="17" t="n">
        <x:v>30899.09</x:v>
      </x:c>
      <x:c r="I1051" s="13" t="str">
        <x:v>Financeiro</x:v>
      </x:c>
      <x:c r="J1051" s="13" t="str">
        <x:v>Pago</x:v>
      </x:c>
      <x:c r="K1051" s="13" t="str">
        <x:v>Escala inteligente</x:v>
      </x:c>
      <x:c r="L1051" s="17" t="n">
        <x:f>H1051-G1051</x:f>
        <x:v>-912.3499999999985</x:v>
      </x:c>
      <x:c r="M1051" s="19" t="n">
        <x:f>IFERROR(L1051/G1051,0)</x:f>
        <x:v>-0.02867993401116072</x:v>
      </x:c>
      <x:c r="N1051" s="13" t="n">
        <x:f>D1051-C1051</x:f>
        <x:v>-3</x:v>
      </x:c>
    </x:row>
    <x:row r="1052">
      <x:c r="A1052" s="13" t="str">
        <x:v>PAG-001051</x:v>
      </x:c>
      <x:c r="B1052" s="23" t="n">
        <x:v>46058</x:v>
      </x:c>
      <x:c r="C1052" s="23" t="n">
        <x:v>46065</x:v>
      </x:c>
      <x:c r="D1052" s="23" t="n">
        <x:v>46063</x:v>
      </x:c>
      <x:c r="E1052" s="13" t="str">
        <x:v>Banco Integra</x:v>
      </x:c>
      <x:c r="F1052" s="13" t="str">
        <x:v>Serviços bancários</x:v>
      </x:c>
      <x:c r="G1052" s="17" t="n">
        <x:v>12708.66</x:v>
      </x:c>
      <x:c r="H1052" s="17" t="n">
        <x:v>12884.7</x:v>
      </x:c>
      <x:c r="I1052" s="13" t="str">
        <x:v>Diretoria</x:v>
      </x:c>
      <x:c r="J1052" s="13" t="str">
        <x:v>Pago</x:v>
      </x:c>
      <x:c r="K1052" s="13" t="str">
        <x:v>Escala inteligente</x:v>
      </x:c>
      <x:c r="L1052" s="17" t="n">
        <x:f>H1052-G1052</x:f>
        <x:v>176.04000000000087</x:v>
      </x:c>
      <x:c r="M1052" s="19" t="n">
        <x:f>IFERROR(L1052/G1052,0)</x:f>
        <x:v>0.013851971805052687</x:v>
      </x:c>
      <x:c r="N1052" s="13" t="n">
        <x:f>D1052-C1052</x:f>
        <x:v>-2</x:v>
      </x:c>
    </x:row>
    <x:row r="1053">
      <x:c r="A1053" s="13" t="str">
        <x:v>PAG-001052</x:v>
      </x:c>
      <x:c r="B1053" s="23" t="n">
        <x:v>46055</x:v>
      </x:c>
      <x:c r="C1053" s="23" t="n">
        <x:v>46070</x:v>
      </x:c>
      <x:c r="D1053" s="23" t="n">
        <x:v>46072</x:v>
      </x:c>
      <x:c r="E1053" s="13" t="str">
        <x:v>Conta Certa</x:v>
      </x:c>
      <x:c r="F1053" s="13" t="str">
        <x:v>Contabilidade</x:v>
      </x:c>
      <x:c r="G1053" s="17" t="n">
        <x:v>29793.64</x:v>
      </x:c>
      <x:c r="H1053" s="17" t="n">
        <x:v>28774.65</x:v>
      </x:c>
      <x:c r="I1053" s="13" t="str">
        <x:v>Gestor da área</x:v>
      </x:c>
      <x:c r="J1053" s="13" t="str">
        <x:v>Pago</x:v>
      </x:c>
      <x:c r="K1053" s="13" t="str">
        <x:v>Escala inteligente</x:v>
      </x:c>
      <x:c r="L1053" s="17" t="n">
        <x:f>H1053-G1053</x:f>
        <x:v>-1018.989999999998</x:v>
      </x:c>
      <x:c r="M1053" s="19" t="n">
        <x:f>IFERROR(L1053/G1053,0)</x:f>
        <x:v>-0.034201594702761996</x:v>
      </x:c>
      <x:c r="N1053" s="13" t="n">
        <x:f>D1053-C1053</x:f>
        <x:v>2</x:v>
      </x:c>
    </x:row>
    <x:row r="1054">
      <x:c r="A1054" s="13" t="str">
        <x:v>PAG-001053</x:v>
      </x:c>
      <x:c r="B1054" s="23" t="n">
        <x:v>46063</x:v>
      </x:c>
      <x:c r="C1054" s="23" t="n">
        <x:v>46078</x:v>
      </x:c>
      <x:c r="D1054" s="23" t="n">
        <x:v>46075</x:v>
      </x:c>
      <x:c r="E1054" s="13" t="str">
        <x:v>NetLink</x:v>
      </x:c>
      <x:c r="F1054" s="13" t="str">
        <x:v>Telecomunicações</x:v>
      </x:c>
      <x:c r="G1054" s="17" t="n">
        <x:v>28077.22</x:v>
      </x:c>
      <x:c r="H1054" s="17" t="n">
        <x:v>29011.37</x:v>
      </x:c>
      <x:c r="I1054" s="13" t="str">
        <x:v>Diretoria</x:v>
      </x:c>
      <x:c r="J1054" s="13" t="str">
        <x:v>Pago</x:v>
      </x:c>
      <x:c r="K1054" s="13" t="str">
        <x:v>Escala inteligente</x:v>
      </x:c>
      <x:c r="L1054" s="17" t="n">
        <x:f>H1054-G1054</x:f>
        <x:v>934.1499999999978</x:v>
      </x:c>
      <x:c r="M1054" s="19" t="n">
        <x:f>IFERROR(L1054/G1054,0)</x:f>
        <x:v>0.03327074404089856</x:v>
      </x:c>
      <x:c r="N1054" s="13" t="n">
        <x:f>D1054-C1054</x:f>
        <x:v>-3</x:v>
      </x:c>
    </x:row>
    <x:row r="1055">
      <x:c r="A1055" s="13" t="str">
        <x:v>PAG-001054</x:v>
      </x:c>
      <x:c r="B1055" s="23" t="n">
        <x:v>46070</x:v>
      </x:c>
      <x:c r="C1055" s="23" t="n">
        <x:v>46090</x:v>
      </x:c>
      <x:c r="D1055" s="23" t="n">
        <x:v>46088</x:v>
      </x:c>
      <x:c r="E1055" s="13" t="str">
        <x:v>Conta Certa</x:v>
      </x:c>
      <x:c r="F1055" s="13" t="str">
        <x:v>Contabilidade</x:v>
      </x:c>
      <x:c r="G1055" s="17" t="n">
        <x:v>6101.06</x:v>
      </x:c>
      <x:c r="H1055" s="17" t="n">
        <x:v>5894.56</x:v>
      </x:c>
      <x:c r="I1055" s="13" t="str">
        <x:v>Financeiro</x:v>
      </x:c>
      <x:c r="J1055" s="13" t="str">
        <x:v>Pago</x:v>
      </x:c>
      <x:c r="K1055" s="13" t="str">
        <x:v>Escala inteligente</x:v>
      </x:c>
      <x:c r="L1055" s="17" t="n">
        <x:f>H1055-G1055</x:f>
        <x:v>-206.5</x:v>
      </x:c>
      <x:c r="M1055" s="19" t="n">
        <x:f>IFERROR(L1055/G1055,0)</x:f>
        <x:v>-0.033846577479978886</x:v>
      </x:c>
      <x:c r="N1055" s="13" t="n">
        <x:f>D1055-C1055</x:f>
        <x:v>-2</x:v>
      </x:c>
    </x:row>
    <x:row r="1056">
      <x:c r="A1056" s="13" t="str">
        <x:v>PAG-001055</x:v>
      </x:c>
      <x:c r="B1056" s="23" t="n">
        <x:v>46063</x:v>
      </x:c>
      <x:c r="C1056" s="23" t="n">
        <x:v>46070</x:v>
      </x:c>
      <x:c r="D1056" s="23" t="n">
        <x:v>46070</x:v>
      </x:c>
      <x:c r="E1056" s="13" t="str">
        <x:v>MarketLab</x:v>
      </x:c>
      <x:c r="F1056" s="13" t="str">
        <x:v>Marketing</x:v>
      </x:c>
      <x:c r="G1056" s="17" t="n">
        <x:v>23853.84</x:v>
      </x:c>
      <x:c r="H1056" s="17" t="n">
        <x:v>23466.37</x:v>
      </x:c>
      <x:c r="I1056" s="13" t="str">
        <x:v>Financeiro</x:v>
      </x:c>
      <x:c r="J1056" s="13" t="str">
        <x:v>Pago</x:v>
      </x:c>
      <x:c r="K1056" s="13" t="str">
        <x:v>Escala inteligente</x:v>
      </x:c>
      <x:c r="L1056" s="17" t="n">
        <x:f>H1056-G1056</x:f>
        <x:v>-387.47000000000116</x:v>
      </x:c>
      <x:c r="M1056" s="19" t="n">
        <x:f>IFERROR(L1056/G1056,0)</x:f>
        <x:v>-0.01624350628661889</x:v>
      </x:c>
      <x:c r="N1056" s="13" t="n">
        <x:f>D1056-C1056</x:f>
        <x:v>0</x:v>
      </x:c>
    </x:row>
    <x:row r="1057">
      <x:c r="A1057" s="13" t="str">
        <x:v>PAG-001056</x:v>
      </x:c>
      <x:c r="B1057" s="23" t="n">
        <x:v>46067</x:v>
      </x:c>
      <x:c r="C1057" s="23" t="n">
        <x:v>46074</x:v>
      </x:c>
      <x:c r="D1057" s="23" t="n">
        <x:v>46076</x:v>
      </x:c>
      <x:c r="E1057" s="13" t="str">
        <x:v>LegalMais</x:v>
      </x:c>
      <x:c r="F1057" s="13" t="str">
        <x:v>Jurídico</x:v>
      </x:c>
      <x:c r="G1057" s="17" t="n">
        <x:v>28153.12</x:v>
      </x:c>
      <x:c r="H1057" s="17" t="n">
        <x:v>29002.21</x:v>
      </x:c>
      <x:c r="I1057" s="13" t="str">
        <x:v>Diretoria</x:v>
      </x:c>
      <x:c r="J1057" s="13" t="str">
        <x:v>Pago</x:v>
      </x:c>
      <x:c r="K1057" s="13" t="str">
        <x:v>Escala inteligente</x:v>
      </x:c>
      <x:c r="L1057" s="17" t="n">
        <x:f>H1057-G1057</x:f>
        <x:v>849.0900000000001</x:v>
      </x:c>
      <x:c r="M1057" s="19" t="n">
        <x:f>IFERROR(L1057/G1057,0)</x:f>
        <x:v>0.03015971231607723</x:v>
      </x:c>
      <x:c r="N1057" s="13" t="n">
        <x:f>D1057-C1057</x:f>
        <x:v>2</x:v>
      </x:c>
    </x:row>
    <x:row r="1058">
      <x:c r="A1058" s="13" t="str">
        <x:v>PAG-001057</x:v>
      </x:c>
      <x:c r="B1058" s="23" t="n">
        <x:v>46068</x:v>
      </x:c>
      <x:c r="C1058" s="23" t="n">
        <x:v>46098</x:v>
      </x:c>
      <x:c r="D1058" s="23" t="n">
        <x:v>46098</x:v>
      </x:c>
      <x:c r="E1058" s="13" t="str">
        <x:v>DataSafe</x:v>
      </x:c>
      <x:c r="F1058" s="13" t="str">
        <x:v>Segurança da informação</x:v>
      </x:c>
      <x:c r="G1058" s="17" t="n">
        <x:v>11315.56</x:v>
      </x:c>
      <x:c r="H1058" s="17" t="n">
        <x:v>11555.69</x:v>
      </x:c>
      <x:c r="I1058" s="13" t="str">
        <x:v>Financeiro</x:v>
      </x:c>
      <x:c r="J1058" s="13" t="str">
        <x:v>Pago</x:v>
      </x:c>
      <x:c r="K1058" s="13" t="str">
        <x:v>Escala inteligente</x:v>
      </x:c>
      <x:c r="L1058" s="17" t="n">
        <x:f>H1058-G1058</x:f>
        <x:v>240.13000000000102</x:v>
      </x:c>
      <x:c r="M1058" s="19" t="n">
        <x:f>IFERROR(L1058/G1058,0)</x:f>
        <x:v>0.021221221044296617</x:v>
      </x:c>
      <x:c r="N1058" s="13" t="n">
        <x:f>D1058-C1058</x:f>
        <x:v>0</x:v>
      </x:c>
    </x:row>
    <x:row r="1059">
      <x:c r="A1059" s="13" t="str">
        <x:v>PAG-001058</x:v>
      </x:c>
      <x:c r="B1059" s="23" t="n">
        <x:v>46073</x:v>
      </x:c>
      <x:c r="C1059" s="23" t="n">
        <x:v>46080</x:v>
      </x:c>
      <x:c r="D1059" s="23" t="n">
        <x:v>46079</x:v>
      </x:c>
      <x:c r="E1059" s="13" t="str">
        <x:v>CloudCore</x:v>
      </x:c>
      <x:c r="F1059" s="13" t="str">
        <x:v>Tecnologia</x:v>
      </x:c>
      <x:c r="G1059" s="17" t="n">
        <x:v>20815.51</x:v>
      </x:c>
      <x:c r="H1059" s="17" t="n">
        <x:v>21073.79</x:v>
      </x:c>
      <x:c r="I1059" s="13" t="str">
        <x:v>Diretoria</x:v>
      </x:c>
      <x:c r="J1059" s="13" t="str">
        <x:v>Pago</x:v>
      </x:c>
      <x:c r="K1059" s="13" t="str">
        <x:v>Escala inteligente</x:v>
      </x:c>
      <x:c r="L1059" s="17" t="n">
        <x:f>H1059-G1059</x:f>
        <x:v>258.2800000000025</x:v>
      </x:c>
      <x:c r="M1059" s="19" t="n">
        <x:f>IFERROR(L1059/G1059,0)</x:f>
        <x:v>0.012408055339504172</x:v>
      </x:c>
      <x:c r="N1059" s="13" t="n">
        <x:f>D1059-C1059</x:f>
        <x:v>-1</x:v>
      </x:c>
    </x:row>
    <x:row r="1060">
      <x:c r="A1060" s="13" t="str">
        <x:v>PAG-001059</x:v>
      </x:c>
      <x:c r="B1060" s="23" t="n">
        <x:v>46058</x:v>
      </x:c>
      <x:c r="C1060" s="23" t="n">
        <x:v>46078</x:v>
      </x:c>
      <x:c r="D1060" s="23" t="n">
        <x:v>46079</x:v>
      </x:c>
      <x:c r="E1060" s="13" t="str">
        <x:v>Office Prime</x:v>
      </x:c>
      <x:c r="F1060" s="13" t="str">
        <x:v>Escritório</x:v>
      </x:c>
      <x:c r="G1060" s="17" t="n">
        <x:v>28683.79</x:v>
      </x:c>
      <x:c r="H1060" s="17" t="n">
        <x:v>29865.29</x:v>
      </x:c>
      <x:c r="I1060" s="13" t="str">
        <x:v>Financeiro</x:v>
      </x:c>
      <x:c r="J1060" s="13" t="str">
        <x:v>Pago</x:v>
      </x:c>
      <x:c r="K1060" s="13" t="str">
        <x:v>Escala inteligente</x:v>
      </x:c>
      <x:c r="L1060" s="17" t="n">
        <x:f>H1060-G1060</x:f>
        <x:v>1181.5</x:v>
      </x:c>
      <x:c r="M1060" s="19" t="n">
        <x:f>IFERROR(L1060/G1060,0)</x:f>
        <x:v>0.04119051213246227</x:v>
      </x:c>
      <x:c r="N1060" s="13" t="n">
        <x:f>D1060-C1060</x:f>
        <x:v>1</x:v>
      </x:c>
    </x:row>
    <x:row r="1061">
      <x:c r="A1061" s="13" t="str">
        <x:v>PAG-001060</x:v>
      </x:c>
      <x:c r="B1061" s="23" t="n">
        <x:v>46072</x:v>
      </x:c>
      <x:c r="C1061" s="23" t="n">
        <x:v>46079</x:v>
      </x:c>
      <x:c r="D1061" s="23" t="n">
        <x:v>46076</x:v>
      </x:c>
      <x:c r="E1061" s="13" t="str">
        <x:v>DataSafe</x:v>
      </x:c>
      <x:c r="F1061" s="13" t="str">
        <x:v>Segurança da informação</x:v>
      </x:c>
      <x:c r="G1061" s="17" t="n">
        <x:v>3407.56</x:v>
      </x:c>
      <x:c r="H1061" s="17" t="n">
        <x:v>3553.1</x:v>
      </x:c>
      <x:c r="I1061" s="13" t="str">
        <x:v>Financeiro</x:v>
      </x:c>
      <x:c r="J1061" s="13" t="str">
        <x:v>Pago</x:v>
      </x:c>
      <x:c r="K1061" s="13" t="str">
        <x:v>Escala inteligente</x:v>
      </x:c>
      <x:c r="L1061" s="17" t="n">
        <x:f>H1061-G1061</x:f>
        <x:v>145.53999999999996</x:v>
      </x:c>
      <x:c r="M1061" s="19" t="n">
        <x:f>IFERROR(L1061/G1061,0)</x:f>
        <x:v>0.04271091338083555</x:v>
      </x:c>
      <x:c r="N1061" s="13" t="n">
        <x:f>D1061-C1061</x:f>
        <x:v>-3</x:v>
      </x:c>
    </x:row>
    <x:row r="1062">
      <x:c r="A1062" s="13" t="str">
        <x:v>PAG-001061</x:v>
      </x:c>
      <x:c r="B1062" s="23" t="n">
        <x:v>46060</x:v>
      </x:c>
      <x:c r="C1062" s="23" t="n">
        <x:v>46090</x:v>
      </x:c>
      <x:c r="D1062" s="23" t="n">
        <x:v>46092</x:v>
      </x:c>
      <x:c r="E1062" s="13" t="str">
        <x:v>Office Prime</x:v>
      </x:c>
      <x:c r="F1062" s="13" t="str">
        <x:v>Escritório</x:v>
      </x:c>
      <x:c r="G1062" s="17" t="n">
        <x:v>12229.21</x:v>
      </x:c>
      <x:c r="H1062" s="17" t="n">
        <x:v>12346.88</x:v>
      </x:c>
      <x:c r="I1062" s="13" t="str">
        <x:v>Gestor da área</x:v>
      </x:c>
      <x:c r="J1062" s="13" t="str">
        <x:v>Pago</x:v>
      </x:c>
      <x:c r="K1062" s="13" t="str">
        <x:v>Escala inteligente</x:v>
      </x:c>
      <x:c r="L1062" s="17" t="n">
        <x:f>H1062-G1062</x:f>
        <x:v>117.67000000000007</x:v>
      </x:c>
      <x:c r="M1062" s="19" t="n">
        <x:f>IFERROR(L1062/G1062,0)</x:f>
        <x:v>0.009622044269417247</x:v>
      </x:c>
      <x:c r="N1062" s="13" t="n">
        <x:f>D1062-C1062</x:f>
        <x:v>2</x:v>
      </x:c>
    </x:row>
    <x:row r="1063">
      <x:c r="A1063" s="13" t="str">
        <x:v>PAG-001062</x:v>
      </x:c>
      <x:c r="B1063" s="23" t="n">
        <x:v>46065</x:v>
      </x:c>
      <x:c r="C1063" s="23" t="n">
        <x:v>46072</x:v>
      </x:c>
      <x:c r="D1063" s="23" t="n">
        <x:v>46070</x:v>
      </x:c>
      <x:c r="E1063" s="13" t="str">
        <x:v>WorkSpace</x:v>
      </x:c>
      <x:c r="F1063" s="13" t="str">
        <x:v>Locação</x:v>
      </x:c>
      <x:c r="G1063" s="17" t="n">
        <x:v>29928.14</x:v>
      </x:c>
      <x:c r="H1063" s="17" t="n">
        <x:v>30957.81</x:v>
      </x:c>
      <x:c r="I1063" s="13" t="str">
        <x:v>Financeiro</x:v>
      </x:c>
      <x:c r="J1063" s="13" t="str">
        <x:v>Pago</x:v>
      </x:c>
      <x:c r="K1063" s="13" t="str">
        <x:v>Escala inteligente</x:v>
      </x:c>
      <x:c r="L1063" s="17" t="n">
        <x:f>H1063-G1063</x:f>
        <x:v>1029.670000000002</x:v>
      </x:c>
      <x:c r="M1063" s="19" t="n">
        <x:f>IFERROR(L1063/G1063,0)</x:f>
        <x:v>0.03440474416385388</x:v>
      </x:c>
      <x:c r="N1063" s="13" t="n">
        <x:f>D1063-C1063</x:f>
        <x:v>-2</x:v>
      </x:c>
    </x:row>
    <x:row r="1064">
      <x:c r="A1064" s="13" t="str">
        <x:v>PAG-001063</x:v>
      </x:c>
      <x:c r="B1064" s="23" t="n">
        <x:v>46058</x:v>
      </x:c>
      <x:c r="C1064" s="23" t="n">
        <x:v>46088</x:v>
      </x:c>
      <x:c r="D1064" s="23" t="n">
        <x:v>46088</x:v>
      </x:c>
      <x:c r="E1064" s="13" t="str">
        <x:v>Banco Integra</x:v>
      </x:c>
      <x:c r="F1064" s="13" t="str">
        <x:v>Serviços bancários</x:v>
      </x:c>
      <x:c r="G1064" s="17" t="n">
        <x:v>22735.71</x:v>
      </x:c>
      <x:c r="H1064" s="17" t="n">
        <x:v>21955.93</x:v>
      </x:c>
      <x:c r="I1064" s="13" t="str">
        <x:v>Gestor da área</x:v>
      </x:c>
      <x:c r="J1064" s="13" t="str">
        <x:v>Pago</x:v>
      </x:c>
      <x:c r="K1064" s="13" t="str">
        <x:v>Escala inteligente</x:v>
      </x:c>
      <x:c r="L1064" s="17" t="n">
        <x:f>H1064-G1064</x:f>
        <x:v>-779.7799999999988</x:v>
      </x:c>
      <x:c r="M1064" s="19" t="n">
        <x:f>IFERROR(L1064/G1064,0)</x:f>
        <x:v>-0.03429758736366706</x:v>
      </x:c>
      <x:c r="N1064" s="13" t="n">
        <x:f>D1064-C1064</x:f>
        <x:v>0</x:v>
      </x:c>
    </x:row>
    <x:row r="1065">
      <x:c r="A1065" s="13" t="str">
        <x:v>PAG-001064</x:v>
      </x:c>
      <x:c r="B1065" s="23" t="n">
        <x:v>46071</x:v>
      </x:c>
      <x:c r="C1065" s="23" t="n">
        <x:v>46091</x:v>
      </x:c>
      <x:c r="D1065" s="23" t="n">
        <x:v>46090</x:v>
      </x:c>
      <x:c r="E1065" s="13" t="str">
        <x:v>Insight BI</x:v>
      </x:c>
      <x:c r="F1065" s="13" t="str">
        <x:v>Dados e Analytics</x:v>
      </x:c>
      <x:c r="G1065" s="17" t="n">
        <x:v>24590.17</x:v>
      </x:c>
      <x:c r="H1065" s="17" t="n">
        <x:v>25162.49</x:v>
      </x:c>
      <x:c r="I1065" s="13" t="str">
        <x:v>Financeiro</x:v>
      </x:c>
      <x:c r="J1065" s="13" t="str">
        <x:v>Pago</x:v>
      </x:c>
      <x:c r="K1065" s="13" t="str">
        <x:v>Escala inteligente</x:v>
      </x:c>
      <x:c r="L1065" s="17" t="n">
        <x:f>H1065-G1065</x:f>
        <x:v>572.3200000000033</x:v>
      </x:c>
      <x:c r="M1065" s="19" t="n">
        <x:f>IFERROR(L1065/G1065,0)</x:f>
        <x:v>0.02327434092566271</x:v>
      </x:c>
      <x:c r="N1065" s="13" t="n">
        <x:f>D1065-C1065</x:f>
        <x:v>-1</x:v>
      </x:c>
    </x:row>
    <x:row r="1066">
      <x:c r="A1066" s="13" t="str">
        <x:v>PAG-001065</x:v>
      </x:c>
      <x:c r="B1066" s="23" t="n">
        <x:v>46054</x:v>
      </x:c>
      <x:c r="C1066" s="23" t="n">
        <x:v>46074</x:v>
      </x:c>
      <x:c r="D1066" s="23" t="n">
        <x:v>46074</x:v>
      </x:c>
      <x:c r="E1066" s="13" t="str">
        <x:v>EducaPro</x:v>
      </x:c>
      <x:c r="F1066" s="13" t="str">
        <x:v>Treinamentos</x:v>
      </x:c>
      <x:c r="G1066" s="17" t="n">
        <x:v>853.61</x:v>
      </x:c>
      <x:c r="H1066" s="17" t="n">
        <x:v>866.46</x:v>
      </x:c>
      <x:c r="I1066" s="13" t="str">
        <x:v>Diretoria</x:v>
      </x:c>
      <x:c r="J1066" s="13" t="str">
        <x:v>Pago</x:v>
      </x:c>
      <x:c r="K1066" s="13" t="str">
        <x:v>Escala inteligente</x:v>
      </x:c>
      <x:c r="L1066" s="17" t="n">
        <x:f>H1066-G1066</x:f>
        <x:v>12.850000000000023</x:v>
      </x:c>
      <x:c r="M1066" s="19" t="n">
        <x:f>IFERROR(L1066/G1066,0)</x:f>
        <x:v>0.015053713053970809</x:v>
      </x:c>
      <x:c r="N1066" s="13" t="n">
        <x:f>D1066-C1066</x:f>
        <x:v>0</x:v>
      </x:c>
    </x:row>
    <x:row r="1067">
      <x:c r="A1067" s="13" t="str">
        <x:v>PAG-001066</x:v>
      </x:c>
      <x:c r="B1067" s="23" t="n">
        <x:v>46064</x:v>
      </x:c>
      <x:c r="C1067" s="23" t="n">
        <x:v>46084</x:v>
      </x:c>
      <x:c r="D1067" s="23" t="n">
        <x:v>46083</x:v>
      </x:c>
      <x:c r="E1067" s="13" t="str">
        <x:v>EducaPro</x:v>
      </x:c>
      <x:c r="F1067" s="13" t="str">
        <x:v>Treinamentos</x:v>
      </x:c>
      <x:c r="G1067" s="17" t="n">
        <x:v>8793.66</x:v>
      </x:c>
      <x:c r="H1067" s="17" t="n">
        <x:v>9077.6</x:v>
      </x:c>
      <x:c r="I1067" s="13" t="str">
        <x:v>Gestor da área</x:v>
      </x:c>
      <x:c r="J1067" s="13" t="str">
        <x:v>Pago</x:v>
      </x:c>
      <x:c r="K1067" s="13" t="str">
        <x:v>Escala inteligente</x:v>
      </x:c>
      <x:c r="L1067" s="17" t="n">
        <x:f>H1067-G1067</x:f>
        <x:v>283.9400000000005</x:v>
      </x:c>
      <x:c r="M1067" s="19" t="n">
        <x:f>IFERROR(L1067/G1067,0)</x:f>
        <x:v>0.03228917197162507</x:v>
      </x:c>
      <x:c r="N1067" s="13" t="n">
        <x:f>D1067-C1067</x:f>
        <x:v>-1</x:v>
      </x:c>
    </x:row>
    <x:row r="1068">
      <x:c r="A1068" s="13" t="str">
        <x:v>PAG-001067</x:v>
      </x:c>
      <x:c r="B1068" s="23" t="n">
        <x:v>46069</x:v>
      </x:c>
      <x:c r="C1068" s="23" t="n">
        <x:v>46084</x:v>
      </x:c>
      <x:c r="D1068" s="23" t="n">
        <x:v>46085</x:v>
      </x:c>
      <x:c r="E1068" s="13" t="str">
        <x:v>MarketLab</x:v>
      </x:c>
      <x:c r="F1068" s="13" t="str">
        <x:v>Marketing</x:v>
      </x:c>
      <x:c r="G1068" s="17" t="n">
        <x:v>15383.84</x:v>
      </x:c>
      <x:c r="H1068" s="17" t="n">
        <x:v>15634.59</x:v>
      </x:c>
      <x:c r="I1068" s="13" t="str">
        <x:v>Gestor da área</x:v>
      </x:c>
      <x:c r="J1068" s="13" t="str">
        <x:v>Pago</x:v>
      </x:c>
      <x:c r="K1068" s="13" t="str">
        <x:v>Escala inteligente</x:v>
      </x:c>
      <x:c r="L1068" s="17" t="n">
        <x:f>H1068-G1068</x:f>
        <x:v>250.75</x:v>
      </x:c>
      <x:c r="M1068" s="19" t="n">
        <x:f>IFERROR(L1068/G1068,0)</x:f>
        <x:v>0.01629957149840352</x:v>
      </x:c>
      <x:c r="N1068" s="13" t="n">
        <x:f>D1068-C1068</x:f>
        <x:v>1</x:v>
      </x:c>
    </x:row>
    <x:row r="1069">
      <x:c r="A1069" s="13" t="str">
        <x:v>PAG-001068</x:v>
      </x:c>
      <x:c r="B1069" s="23" t="n">
        <x:v>46067</x:v>
      </x:c>
      <x:c r="C1069" s="23" t="n">
        <x:v>46082</x:v>
      </x:c>
      <x:c r="D1069" s="23" t="n">
        <x:v>46083</x:v>
      </x:c>
      <x:c r="E1069" s="13" t="str">
        <x:v>DataSafe</x:v>
      </x:c>
      <x:c r="F1069" s="13" t="str">
        <x:v>Segurança da informação</x:v>
      </x:c>
      <x:c r="G1069" s="17" t="n">
        <x:v>16770.04</x:v>
      </x:c>
      <x:c r="H1069" s="17" t="n">
        <x:v>17343.01</x:v>
      </x:c>
      <x:c r="I1069" s="13" t="str">
        <x:v>Diretoria</x:v>
      </x:c>
      <x:c r="J1069" s="13" t="str">
        <x:v>Pago</x:v>
      </x:c>
      <x:c r="K1069" s="13" t="str">
        <x:v>Escala inteligente</x:v>
      </x:c>
      <x:c r="L1069" s="17" t="n">
        <x:f>H1069-G1069</x:f>
        <x:v>572.9699999999975</x:v>
      </x:c>
      <x:c r="M1069" s="19" t="n">
        <x:f>IFERROR(L1069/G1069,0)</x:f>
        <x:v>0.03416628702137845</x:v>
      </x:c>
      <x:c r="N1069" s="13" t="n">
        <x:f>D1069-C1069</x:f>
        <x:v>1</x:v>
      </x:c>
    </x:row>
    <x:row r="1070">
      <x:c r="A1070" s="13" t="str">
        <x:v>PAG-001069</x:v>
      </x:c>
      <x:c r="B1070" s="23" t="n">
        <x:v>46058</x:v>
      </x:c>
      <x:c r="C1070" s="23" t="n">
        <x:v>46073</x:v>
      </x:c>
      <x:c r="D1070" s="23" t="n">
        <x:v>46073</x:v>
      </x:c>
      <x:c r="E1070" s="13" t="str">
        <x:v>MarketLab</x:v>
      </x:c>
      <x:c r="F1070" s="13" t="str">
        <x:v>Marketing</x:v>
      </x:c>
      <x:c r="G1070" s="17" t="n">
        <x:v>26834.95</x:v>
      </x:c>
      <x:c r="H1070" s="17" t="n">
        <x:v>26030.47</x:v>
      </x:c>
      <x:c r="I1070" s="13" t="str">
        <x:v>Diretoria</x:v>
      </x:c>
      <x:c r="J1070" s="13" t="str">
        <x:v>Pago</x:v>
      </x:c>
      <x:c r="K1070" s="13" t="str">
        <x:v>Escala inteligente</x:v>
      </x:c>
      <x:c r="L1070" s="17" t="n">
        <x:f>H1070-G1070</x:f>
        <x:v>-804.4799999999996</x:v>
      </x:c>
      <x:c r="M1070" s="19" t="n">
        <x:f>IFERROR(L1070/G1070,0)</x:f>
        <x:v>-0.029978814940963168</x:v>
      </x:c>
      <x:c r="N1070" s="13" t="n">
        <x:f>D1070-C1070</x:f>
        <x:v>0</x:v>
      </x:c>
    </x:row>
    <x:row r="1071">
      <x:c r="A1071" s="13" t="str">
        <x:v>PAG-001070</x:v>
      </x:c>
      <x:c r="B1071" s="23" t="n">
        <x:v>46065</x:v>
      </x:c>
      <x:c r="C1071" s="23" t="n">
        <x:v>46080</x:v>
      </x:c>
      <x:c r="D1071" s="23" t="n">
        <x:v>46080</x:v>
      </x:c>
      <x:c r="E1071" s="13" t="str">
        <x:v>MarketLab</x:v>
      </x:c>
      <x:c r="F1071" s="13" t="str">
        <x:v>Marketing</x:v>
      </x:c>
      <x:c r="G1071" s="17" t="n">
        <x:v>24119.96</x:v>
      </x:c>
      <x:c r="H1071" s="17" t="n">
        <x:v>25017</x:v>
      </x:c>
      <x:c r="I1071" s="13" t="str">
        <x:v>Financeiro</x:v>
      </x:c>
      <x:c r="J1071" s="13" t="str">
        <x:v>Pago</x:v>
      </x:c>
      <x:c r="K1071" s="13" t="str">
        <x:v>Escala inteligente</x:v>
      </x:c>
      <x:c r="L1071" s="17" t="n">
        <x:f>H1071-G1071</x:f>
        <x:v>897.0400000000009</x:v>
      </x:c>
      <x:c r="M1071" s="19" t="n">
        <x:f>IFERROR(L1071/G1071,0)</x:f>
        <x:v>0.03719077477740431</x:v>
      </x:c>
      <x:c r="N1071" s="13" t="n">
        <x:f>D1071-C1071</x:f>
        <x:v>0</x:v>
      </x:c>
    </x:row>
    <x:row r="1072">
      <x:c r="A1072" s="13" t="str">
        <x:v>PAG-001071</x:v>
      </x:c>
      <x:c r="B1072" s="23" t="n">
        <x:v>46070</x:v>
      </x:c>
      <x:c r="C1072" s="23" t="n">
        <x:v>46085</x:v>
      </x:c>
      <x:c r="D1072" s="23" t="n">
        <x:v>46084</x:v>
      </x:c>
      <x:c r="E1072" s="13" t="str">
        <x:v>EducaPro</x:v>
      </x:c>
      <x:c r="F1072" s="13" t="str">
        <x:v>Treinamentos</x:v>
      </x:c>
      <x:c r="G1072" s="17" t="n">
        <x:v>24078.71</x:v>
      </x:c>
      <x:c r="H1072" s="17" t="n">
        <x:v>24134.31</x:v>
      </x:c>
      <x:c r="I1072" s="13" t="str">
        <x:v>Financeiro</x:v>
      </x:c>
      <x:c r="J1072" s="13" t="str">
        <x:v>Pago</x:v>
      </x:c>
      <x:c r="K1072" s="13" t="str">
        <x:v>Escala inteligente</x:v>
      </x:c>
      <x:c r="L1072" s="17" t="n">
        <x:f>H1072-G1072</x:f>
        <x:v>55.60000000000218</x:v>
      </x:c>
      <x:c r="M1072" s="19" t="n">
        <x:f>IFERROR(L1072/G1072,0)</x:f>
        <x:v>0.0023090938011214963</x:v>
      </x:c>
      <x:c r="N1072" s="13" t="n">
        <x:f>D1072-C1072</x:f>
        <x:v>-1</x:v>
      </x:c>
    </x:row>
    <x:row r="1073">
      <x:c r="A1073" s="13" t="str">
        <x:v>PAG-001072</x:v>
      </x:c>
      <x:c r="B1073" s="23" t="n">
        <x:v>46056</x:v>
      </x:c>
      <x:c r="C1073" s="23" t="n">
        <x:v>46086</x:v>
      </x:c>
      <x:c r="D1073" s="23" t="n">
        <x:v>46086</x:v>
      </x:c>
      <x:c r="E1073" s="13" t="str">
        <x:v>MarketLab</x:v>
      </x:c>
      <x:c r="F1073" s="13" t="str">
        <x:v>Marketing</x:v>
      </x:c>
      <x:c r="G1073" s="17" t="n">
        <x:v>15197.15</x:v>
      </x:c>
      <x:c r="H1073" s="17" t="n">
        <x:v>14783.17</x:v>
      </x:c>
      <x:c r="I1073" s="13" t="str">
        <x:v>Financeiro</x:v>
      </x:c>
      <x:c r="J1073" s="13" t="str">
        <x:v>Pago</x:v>
      </x:c>
      <x:c r="K1073" s="13" t="str">
        <x:v>Escala inteligente</x:v>
      </x:c>
      <x:c r="L1073" s="17" t="n">
        <x:f>H1073-G1073</x:f>
        <x:v>-413.97999999999956</x:v>
      </x:c>
      <x:c r="M1073" s="19" t="n">
        <x:f>IFERROR(L1073/G1073,0)</x:f>
        <x:v>-0.027240633934652193</x:v>
      </x:c>
      <x:c r="N1073" s="13" t="n">
        <x:f>D1073-C1073</x:f>
        <x:v>0</x:v>
      </x:c>
    </x:row>
    <x:row r="1074">
      <x:c r="A1074" s="13" t="str">
        <x:v>PAG-001073</x:v>
      </x:c>
      <x:c r="B1074" s="23" t="n">
        <x:v>46066</x:v>
      </x:c>
      <x:c r="C1074" s="23" t="n">
        <x:v>46081</x:v>
      </x:c>
      <x:c r="D1074" s="23" t="n">
        <x:v>46083</x:v>
      </x:c>
      <x:c r="E1074" s="13" t="str">
        <x:v>CloudCore</x:v>
      </x:c>
      <x:c r="F1074" s="13" t="str">
        <x:v>Tecnologia</x:v>
      </x:c>
      <x:c r="G1074" s="17" t="n">
        <x:v>15713.81</x:v>
      </x:c>
      <x:c r="H1074" s="17" t="n">
        <x:v>15932.36</x:v>
      </x:c>
      <x:c r="I1074" s="13" t="str">
        <x:v>Diretoria</x:v>
      </x:c>
      <x:c r="J1074" s="13" t="str">
        <x:v>Pago</x:v>
      </x:c>
      <x:c r="K1074" s="13" t="str">
        <x:v>Escala inteligente</x:v>
      </x:c>
      <x:c r="L1074" s="17" t="n">
        <x:f>H1074-G1074</x:f>
        <x:v>218.5500000000011</x:v>
      </x:c>
      <x:c r="M1074" s="19" t="n">
        <x:f>IFERROR(L1074/G1074,0)</x:f>
        <x:v>0.013908148310308009</x:v>
      </x:c>
      <x:c r="N1074" s="13" t="n">
        <x:f>D1074-C1074</x:f>
        <x:v>2</x:v>
      </x:c>
    </x:row>
    <x:row r="1075">
      <x:c r="A1075" s="13" t="str">
        <x:v>PAG-001074</x:v>
      </x:c>
      <x:c r="B1075" s="23" t="n">
        <x:v>46056</x:v>
      </x:c>
      <x:c r="C1075" s="23" t="n">
        <x:v>46063</x:v>
      </x:c>
      <x:c r="D1075" s="23" t="n">
        <x:v>46063</x:v>
      </x:c>
      <x:c r="E1075" s="13" t="str">
        <x:v>LegalMais</x:v>
      </x:c>
      <x:c r="F1075" s="13" t="str">
        <x:v>Jurídico</x:v>
      </x:c>
      <x:c r="G1075" s="17" t="n">
        <x:v>22426.43</x:v>
      </x:c>
      <x:c r="H1075" s="17" t="n">
        <x:v>23230.64</x:v>
      </x:c>
      <x:c r="I1075" s="13" t="str">
        <x:v>Diretoria</x:v>
      </x:c>
      <x:c r="J1075" s="13" t="str">
        <x:v>Pago</x:v>
      </x:c>
      <x:c r="K1075" s="13" t="str">
        <x:v>Escala inteligente</x:v>
      </x:c>
      <x:c r="L1075" s="17" t="n">
        <x:f>H1075-G1075</x:f>
        <x:v>804.2099999999991</x:v>
      </x:c>
      <x:c r="M1075" s="19" t="n">
        <x:f>IFERROR(L1075/G1075,0)</x:f>
        <x:v>0.035859920638282555</x:v>
      </x:c>
      <x:c r="N1075" s="13" t="n">
        <x:f>D1075-C1075</x:f>
        <x:v>0</x:v>
      </x:c>
    </x:row>
    <x:row r="1076">
      <x:c r="A1076" s="13" t="str">
        <x:v>PAG-001075</x:v>
      </x:c>
      <x:c r="B1076" s="23" t="n">
        <x:v>46067</x:v>
      </x:c>
      <x:c r="C1076" s="23" t="n">
        <x:v>46097</x:v>
      </x:c>
      <x:c r="D1076" s="23" t="n">
        <x:v>46098</x:v>
      </x:c>
      <x:c r="E1076" s="13" t="str">
        <x:v>Office Prime</x:v>
      </x:c>
      <x:c r="F1076" s="13" t="str">
        <x:v>Escritório</x:v>
      </x:c>
      <x:c r="G1076" s="17" t="n">
        <x:v>31895.52</x:v>
      </x:c>
      <x:c r="H1076" s="17" t="n">
        <x:v>31581.57</x:v>
      </x:c>
      <x:c r="I1076" s="13" t="str">
        <x:v>Gestor da área</x:v>
      </x:c>
      <x:c r="J1076" s="13" t="str">
        <x:v>Pago</x:v>
      </x:c>
      <x:c r="K1076" s="13" t="str">
        <x:v>Escala inteligente</x:v>
      </x:c>
      <x:c r="L1076" s="17" t="n">
        <x:f>H1076-G1076</x:f>
        <x:v>-313.9500000000007</x:v>
      </x:c>
      <x:c r="M1076" s="19" t="n">
        <x:f>IFERROR(L1076/G1076,0)</x:f>
        <x:v>-0.00984307514033321</x:v>
      </x:c>
      <x:c r="N1076" s="13" t="n">
        <x:f>D1076-C1076</x:f>
        <x:v>1</x:v>
      </x:c>
    </x:row>
    <x:row r="1077">
      <x:c r="A1077" s="13" t="str">
        <x:v>PAG-001076</x:v>
      </x:c>
      <x:c r="B1077" s="23" t="n">
        <x:v>46065</x:v>
      </x:c>
      <x:c r="C1077" s="23" t="n">
        <x:v>46095</x:v>
      </x:c>
      <x:c r="D1077" s="23" t="n">
        <x:v>46092</x:v>
      </x:c>
      <x:c r="E1077" s="13" t="str">
        <x:v>Insight BI</x:v>
      </x:c>
      <x:c r="F1077" s="13" t="str">
        <x:v>Dados e Analytics</x:v>
      </x:c>
      <x:c r="G1077" s="17" t="n">
        <x:v>7872.31</x:v>
      </x:c>
      <x:c r="H1077" s="17" t="n">
        <x:v>8035.71</x:v>
      </x:c>
      <x:c r="I1077" s="13" t="str">
        <x:v>Diretoria</x:v>
      </x:c>
      <x:c r="J1077" s="13" t="str">
        <x:v>Pago</x:v>
      </x:c>
      <x:c r="K1077" s="13" t="str">
        <x:v>Escala inteligente</x:v>
      </x:c>
      <x:c r="L1077" s="17" t="n">
        <x:f>H1077-G1077</x:f>
        <x:v>163.39999999999964</x:v>
      </x:c>
      <x:c r="M1077" s="19" t="n">
        <x:f>IFERROR(L1077/G1077,0)</x:f>
        <x:v>0.020756296436496992</x:v>
      </x:c>
      <x:c r="N1077" s="13" t="n">
        <x:f>D1077-C1077</x:f>
        <x:v>-3</x:v>
      </x:c>
    </x:row>
    <x:row r="1078">
      <x:c r="A1078" s="13" t="str">
        <x:v>PAG-001077</x:v>
      </x:c>
      <x:c r="B1078" s="23" t="n">
        <x:v>46069</x:v>
      </x:c>
      <x:c r="C1078" s="23" t="n">
        <x:v>46099</x:v>
      </x:c>
      <x:c r="D1078" s="23" t="n">
        <x:v>46101</x:v>
      </x:c>
      <x:c r="E1078" s="13" t="str">
        <x:v>WorkSpace</x:v>
      </x:c>
      <x:c r="F1078" s="13" t="str">
        <x:v>Locação</x:v>
      </x:c>
      <x:c r="G1078" s="17" t="n">
        <x:v>29548.67</x:v>
      </x:c>
      <x:c r="H1078" s="17" t="n">
        <x:v>28845.71</x:v>
      </x:c>
      <x:c r="I1078" s="13" t="str">
        <x:v>Diretoria</x:v>
      </x:c>
      <x:c r="J1078" s="13" t="str">
        <x:v>Pago</x:v>
      </x:c>
      <x:c r="K1078" s="13" t="str">
        <x:v>Escala inteligente</x:v>
      </x:c>
      <x:c r="L1078" s="17" t="n">
        <x:f>H1078-G1078</x:f>
        <x:v>-702.9599999999991</x:v>
      </x:c>
      <x:c r="M1078" s="19" t="n">
        <x:f>IFERROR(L1078/G1078,0)</x:f>
        <x:v>-0.023789903234223374</x:v>
      </x:c>
      <x:c r="N1078" s="13" t="n">
        <x:f>D1078-C1078</x:f>
        <x:v>2</x:v>
      </x:c>
    </x:row>
    <x:row r="1079">
      <x:c r="A1079" s="13" t="str">
        <x:v>PAG-001078</x:v>
      </x:c>
      <x:c r="B1079" s="23" t="n">
        <x:v>46066</x:v>
      </x:c>
      <x:c r="C1079" s="23" t="n">
        <x:v>46081</x:v>
      </x:c>
      <x:c r="D1079" s="23" t="n">
        <x:v>46078</x:v>
      </x:c>
      <x:c r="E1079" s="13" t="str">
        <x:v>PeopleHub</x:v>
      </x:c>
      <x:c r="F1079" s="13" t="str">
        <x:v>Recursos Humanos</x:v>
      </x:c>
      <x:c r="G1079" s="17" t="n">
        <x:v>28499.5</x:v>
      </x:c>
      <x:c r="H1079" s="17" t="n">
        <x:v>27777.22</x:v>
      </x:c>
      <x:c r="I1079" s="13" t="str">
        <x:v>Diretoria</x:v>
      </x:c>
      <x:c r="J1079" s="13" t="str">
        <x:v>Pago</x:v>
      </x:c>
      <x:c r="K1079" s="13" t="str">
        <x:v>Escala inteligente</x:v>
      </x:c>
      <x:c r="L1079" s="17" t="n">
        <x:f>H1079-G1079</x:f>
        <x:v>-722.2799999999988</x:v>
      </x:c>
      <x:c r="M1079" s="19" t="n">
        <x:f>IFERROR(L1079/G1079,0)</x:f>
        <x:v>-0.025343602519342402</x:v>
      </x:c>
      <x:c r="N1079" s="13" t="n">
        <x:f>D1079-C1079</x:f>
        <x:v>-3</x:v>
      </x:c>
    </x:row>
    <x:row r="1080">
      <x:c r="A1080" s="13" t="str">
        <x:v>PAG-001079</x:v>
      </x:c>
      <x:c r="B1080" s="23" t="n">
        <x:v>46067</x:v>
      </x:c>
      <x:c r="C1080" s="23" t="n">
        <x:v>46074</x:v>
      </x:c>
      <x:c r="D1080" s="23" t="n">
        <x:v>46074</x:v>
      </x:c>
      <x:c r="E1080" s="13" t="str">
        <x:v>EducaPro</x:v>
      </x:c>
      <x:c r="F1080" s="13" t="str">
        <x:v>Treinamentos</x:v>
      </x:c>
      <x:c r="G1080" s="17" t="n">
        <x:v>22979.7</x:v>
      </x:c>
      <x:c r="H1080" s="17" t="n">
        <x:v>22694.95</x:v>
      </x:c>
      <x:c r="I1080" s="13" t="str">
        <x:v>Gestor da área</x:v>
      </x:c>
      <x:c r="J1080" s="13" t="str">
        <x:v>Pago</x:v>
      </x:c>
      <x:c r="K1080" s="13" t="str">
        <x:v>Escala inteligente</x:v>
      </x:c>
      <x:c r="L1080" s="17" t="n">
        <x:f>H1080-G1080</x:f>
        <x:v>-284.75</x:v>
      </x:c>
      <x:c r="M1080" s="19" t="n">
        <x:f>IFERROR(L1080/G1080,0)</x:f>
        <x:v>-0.012391371514858767</x:v>
      </x:c>
      <x:c r="N1080" s="13" t="n">
        <x:f>D1080-C1080</x:f>
        <x:v>0</x:v>
      </x:c>
    </x:row>
    <x:row r="1081">
      <x:c r="A1081" s="13" t="str">
        <x:v>PAG-001080</x:v>
      </x:c>
      <x:c r="B1081" s="23" t="n">
        <x:v>46068</x:v>
      </x:c>
      <x:c r="C1081" s="23" t="n">
        <x:v>46083</x:v>
      </x:c>
      <x:c r="D1081" s="23" t="n">
        <x:v>46083</x:v>
      </x:c>
      <x:c r="E1081" s="13" t="str">
        <x:v>Conta Certa</x:v>
      </x:c>
      <x:c r="F1081" s="13" t="str">
        <x:v>Contabilidade</x:v>
      </x:c>
      <x:c r="G1081" s="17" t="n">
        <x:v>27842.26</x:v>
      </x:c>
      <x:c r="H1081" s="17" t="n">
        <x:v>28246.51</x:v>
      </x:c>
      <x:c r="I1081" s="13" t="str">
        <x:v>Financeiro</x:v>
      </x:c>
      <x:c r="J1081" s="13" t="str">
        <x:v>Pago</x:v>
      </x:c>
      <x:c r="K1081" s="13" t="str">
        <x:v>Escala inteligente</x:v>
      </x:c>
      <x:c r="L1081" s="17" t="n">
        <x:f>H1081-G1081</x:f>
        <x:v>404.25</x:v>
      </x:c>
      <x:c r="M1081" s="19" t="n">
        <x:f>IFERROR(L1081/G1081,0)</x:f>
        <x:v>0.014519295488225455</x:v>
      </x:c>
      <x:c r="N1081" s="13" t="n">
        <x:f>D1081-C1081</x:f>
        <x:v>0</x:v>
      </x:c>
    </x:row>
    <x:row r="1082">
      <x:c r="A1082" s="13" t="str">
        <x:v>PAG-001081</x:v>
      </x:c>
      <x:c r="B1082" s="23" t="n">
        <x:v>46068</x:v>
      </x:c>
      <x:c r="C1082" s="23" t="n">
        <x:v>46083</x:v>
      </x:c>
      <x:c r="D1082" s="23" t="n">
        <x:v>46083</x:v>
      </x:c>
      <x:c r="E1082" s="13" t="str">
        <x:v>NetLink</x:v>
      </x:c>
      <x:c r="F1082" s="13" t="str">
        <x:v>Telecomunicações</x:v>
      </x:c>
      <x:c r="G1082" s="17" t="n">
        <x:v>2301.42</x:v>
      </x:c>
      <x:c r="H1082" s="17" t="n">
        <x:v>2395.66</x:v>
      </x:c>
      <x:c r="I1082" s="13" t="str">
        <x:v>Gestor da área</x:v>
      </x:c>
      <x:c r="J1082" s="13" t="str">
        <x:v>Pago</x:v>
      </x:c>
      <x:c r="K1082" s="13" t="str">
        <x:v>Escala inteligente</x:v>
      </x:c>
      <x:c r="L1082" s="17" t="n">
        <x:f>H1082-G1082</x:f>
        <x:v>94.23999999999978</x:v>
      </x:c>
      <x:c r="M1082" s="19" t="n">
        <x:f>IFERROR(L1082/G1082,0)</x:f>
        <x:v>0.040948631714332794</x:v>
      </x:c>
      <x:c r="N1082" s="13" t="n">
        <x:f>D1082-C1082</x:f>
        <x:v>0</x:v>
      </x:c>
    </x:row>
    <x:row r="1083">
      <x:c r="A1083" s="13" t="str">
        <x:v>PAG-001082</x:v>
      </x:c>
      <x:c r="B1083" s="23" t="n">
        <x:v>46073</x:v>
      </x:c>
      <x:c r="C1083" s="23" t="n">
        <x:v>46088</x:v>
      </x:c>
      <x:c r="D1083" s="23" t="n">
        <x:v>46088</x:v>
      </x:c>
      <x:c r="E1083" s="13" t="str">
        <x:v>DataSafe</x:v>
      </x:c>
      <x:c r="F1083" s="13" t="str">
        <x:v>Segurança da informação</x:v>
      </x:c>
      <x:c r="G1083" s="17" t="n">
        <x:v>3192.35</x:v>
      </x:c>
      <x:c r="H1083" s="17" t="n">
        <x:v>3304.92</x:v>
      </x:c>
      <x:c r="I1083" s="13" t="str">
        <x:v>Financeiro</x:v>
      </x:c>
      <x:c r="J1083" s="13" t="str">
        <x:v>Pago</x:v>
      </x:c>
      <x:c r="K1083" s="13" t="str">
        <x:v>Escala inteligente</x:v>
      </x:c>
      <x:c r="L1083" s="17" t="n">
        <x:f>H1083-G1083</x:f>
        <x:v>112.57000000000016</x:v>
      </x:c>
      <x:c r="M1083" s="19" t="n">
        <x:f>IFERROR(L1083/G1083,0)</x:f>
        <x:v>0.035262424232931903</x:v>
      </x:c>
      <x:c r="N1083" s="13" t="n">
        <x:f>D1083-C1083</x:f>
        <x:v>0</x:v>
      </x:c>
    </x:row>
    <x:row r="1084">
      <x:c r="A1084" s="13" t="str">
        <x:v>PAG-001083</x:v>
      </x:c>
      <x:c r="B1084" s="23" t="n">
        <x:v>46073</x:v>
      </x:c>
      <x:c r="C1084" s="23" t="n">
        <x:v>46093</x:v>
      </x:c>
      <x:c r="D1084" s="23" t="n">
        <x:v>46091</x:v>
      </x:c>
      <x:c r="E1084" s="13" t="str">
        <x:v>Insight BI</x:v>
      </x:c>
      <x:c r="F1084" s="13" t="str">
        <x:v>Dados e Analytics</x:v>
      </x:c>
      <x:c r="G1084" s="17" t="n">
        <x:v>15217.05</x:v>
      </x:c>
      <x:c r="H1084" s="17" t="n">
        <x:v>15831.85</x:v>
      </x:c>
      <x:c r="I1084" s="13" t="str">
        <x:v>Diretoria</x:v>
      </x:c>
      <x:c r="J1084" s="13" t="str">
        <x:v>Pago</x:v>
      </x:c>
      <x:c r="K1084" s="13" t="str">
        <x:v>Escala inteligente</x:v>
      </x:c>
      <x:c r="L1084" s="17" t="n">
        <x:f>H1084-G1084</x:f>
        <x:v>614.8000000000011</x:v>
      </x:c>
      <x:c r="M1084" s="19" t="n">
        <x:f>IFERROR(L1084/G1084,0)</x:f>
        <x:v>0.04040204901738518</x:v>
      </x:c>
      <x:c r="N1084" s="13" t="n">
        <x:f>D1084-C1084</x:f>
        <x:v>-2</x:v>
      </x:c>
    </x:row>
    <x:row r="1085">
      <x:c r="A1085" s="13" t="str">
        <x:v>PAG-001084</x:v>
      </x:c>
      <x:c r="B1085" s="23" t="n">
        <x:v>46069</x:v>
      </x:c>
      <x:c r="C1085" s="23" t="n">
        <x:v>46076</x:v>
      </x:c>
      <x:c r="D1085" s="23" t="n">
        <x:v>46078</x:v>
      </x:c>
      <x:c r="E1085" s="13" t="str">
        <x:v>DataSafe</x:v>
      </x:c>
      <x:c r="F1085" s="13" t="str">
        <x:v>Segurança da informação</x:v>
      </x:c>
      <x:c r="G1085" s="17" t="n">
        <x:v>18927.98</x:v>
      </x:c>
      <x:c r="H1085" s="17" t="n">
        <x:v>19711.01</x:v>
      </x:c>
      <x:c r="I1085" s="13" t="str">
        <x:v>Gestor da área</x:v>
      </x:c>
      <x:c r="J1085" s="13" t="str">
        <x:v>Pago</x:v>
      </x:c>
      <x:c r="K1085" s="13" t="str">
        <x:v>Escala inteligente</x:v>
      </x:c>
      <x:c r="L1085" s="17" t="n">
        <x:f>H1085-G1085</x:f>
        <x:v>783.0299999999988</x:v>
      </x:c>
      <x:c r="M1085" s="19" t="n">
        <x:f>IFERROR(L1085/G1085,0)</x:f>
        <x:v>0.04136891522497376</x:v>
      </x:c>
      <x:c r="N1085" s="13" t="n">
        <x:f>D1085-C1085</x:f>
        <x:v>2</x:v>
      </x:c>
    </x:row>
    <x:row r="1086">
      <x:c r="A1086" s="13" t="str">
        <x:v>PAG-001085</x:v>
      </x:c>
      <x:c r="B1086" s="23" t="n">
        <x:v>46061</x:v>
      </x:c>
      <x:c r="C1086" s="23" t="n">
        <x:v>46091</x:v>
      </x:c>
      <x:c r="D1086" s="23" t="n">
        <x:v>46091</x:v>
      </x:c>
      <x:c r="E1086" s="13" t="str">
        <x:v>WorkSpace</x:v>
      </x:c>
      <x:c r="F1086" s="13" t="str">
        <x:v>Locação</x:v>
      </x:c>
      <x:c r="G1086" s="17" t="n">
        <x:v>1896.12</x:v>
      </x:c>
      <x:c r="H1086" s="17" t="n">
        <x:v>1895.32</x:v>
      </x:c>
      <x:c r="I1086" s="13" t="str">
        <x:v>Financeiro</x:v>
      </x:c>
      <x:c r="J1086" s="13" t="str">
        <x:v>Pago</x:v>
      </x:c>
      <x:c r="K1086" s="13" t="str">
        <x:v>Escala inteligente</x:v>
      </x:c>
      <x:c r="L1086" s="17" t="n">
        <x:f>H1086-G1086</x:f>
        <x:v>-0.7999999999999545</x:v>
      </x:c>
      <x:c r="M1086" s="19" t="n">
        <x:f>IFERROR(L1086/G1086,0)</x:f>
        <x:v>-0.00042191422483806647</x:v>
      </x:c>
      <x:c r="N1086" s="13" t="n">
        <x:f>D1086-C1086</x:f>
        <x:v>0</x:v>
      </x:c>
    </x:row>
    <x:row r="1087">
      <x:c r="A1087" s="13" t="str">
        <x:v>PAG-001086</x:v>
      </x:c>
      <x:c r="B1087" s="23" t="n">
        <x:v>46070</x:v>
      </x:c>
      <x:c r="C1087" s="23" t="n">
        <x:v>46077</x:v>
      </x:c>
      <x:c r="D1087" s="23" t="n">
        <x:v>46077</x:v>
      </x:c>
      <x:c r="E1087" s="13" t="str">
        <x:v>PeopleHub</x:v>
      </x:c>
      <x:c r="F1087" s="13" t="str">
        <x:v>Recursos Humanos</x:v>
      </x:c>
      <x:c r="G1087" s="17" t="n">
        <x:v>7640.58</x:v>
      </x:c>
      <x:c r="H1087" s="17" t="n">
        <x:v>7661.81</x:v>
      </x:c>
      <x:c r="I1087" s="13" t="str">
        <x:v>Diretoria</x:v>
      </x:c>
      <x:c r="J1087" s="13" t="str">
        <x:v>Pago</x:v>
      </x:c>
      <x:c r="K1087" s="13" t="str">
        <x:v>Escala inteligente</x:v>
      </x:c>
      <x:c r="L1087" s="17" t="n">
        <x:f>H1087-G1087</x:f>
        <x:v>21.230000000000473</x:v>
      </x:c>
      <x:c r="M1087" s="19" t="n">
        <x:f>IFERROR(L1087/G1087,0)</x:f>
        <x:v>0.0027785848718291637</x:v>
      </x:c>
      <x:c r="N1087" s="13" t="n">
        <x:f>D1087-C1087</x:f>
        <x:v>0</x:v>
      </x:c>
    </x:row>
    <x:row r="1088">
      <x:c r="A1088" s="13" t="str">
        <x:v>PAG-001087</x:v>
      </x:c>
      <x:c r="B1088" s="23" t="n">
        <x:v>46062</x:v>
      </x:c>
      <x:c r="C1088" s="23" t="n">
        <x:v>46077</x:v>
      </x:c>
      <x:c r="D1088" s="23" t="n">
        <x:v>46077</x:v>
      </x:c>
      <x:c r="E1088" s="13" t="str">
        <x:v>Insight BI</x:v>
      </x:c>
      <x:c r="F1088" s="13" t="str">
        <x:v>Dados e Analytics</x:v>
      </x:c>
      <x:c r="G1088" s="17" t="n">
        <x:v>3068.31</x:v>
      </x:c>
      <x:c r="H1088" s="17" t="n">
        <x:v>3131.82</x:v>
      </x:c>
      <x:c r="I1088" s="13" t="str">
        <x:v>Diretoria</x:v>
      </x:c>
      <x:c r="J1088" s="13" t="str">
        <x:v>Pago</x:v>
      </x:c>
      <x:c r="K1088" s="13" t="str">
        <x:v>Escala inteligente</x:v>
      </x:c>
      <x:c r="L1088" s="17" t="n">
        <x:f>H1088-G1088</x:f>
        <x:v>63.51000000000022</x:v>
      </x:c>
      <x:c r="M1088" s="19" t="n">
        <x:f>IFERROR(L1088/G1088,0)</x:f>
        <x:v>0.020698690810250664</x:v>
      </x:c>
      <x:c r="N1088" s="13" t="n">
        <x:f>D1088-C1088</x:f>
        <x:v>0</x:v>
      </x:c>
    </x:row>
    <x:row r="1089">
      <x:c r="A1089" s="13" t="str">
        <x:v>PAG-001088</x:v>
      </x:c>
      <x:c r="B1089" s="23" t="n">
        <x:v>46071</x:v>
      </x:c>
      <x:c r="C1089" s="23" t="n">
        <x:v>46086</x:v>
      </x:c>
      <x:c r="D1089" s="23" t="n">
        <x:v>46084</x:v>
      </x:c>
      <x:c r="E1089" s="13" t="str">
        <x:v>MarketLab</x:v>
      </x:c>
      <x:c r="F1089" s="13" t="str">
        <x:v>Marketing</x:v>
      </x:c>
      <x:c r="G1089" s="17" t="n">
        <x:v>4760.91</x:v>
      </x:c>
      <x:c r="H1089" s="17" t="n">
        <x:v>4935.44</x:v>
      </x:c>
      <x:c r="I1089" s="13" t="str">
        <x:v>Financeiro</x:v>
      </x:c>
      <x:c r="J1089" s="13" t="str">
        <x:v>Pago</x:v>
      </x:c>
      <x:c r="K1089" s="13" t="str">
        <x:v>Escala inteligente</x:v>
      </x:c>
      <x:c r="L1089" s="17" t="n">
        <x:f>H1089-G1089</x:f>
        <x:v>174.52999999999975</x:v>
      </x:c>
      <x:c r="M1089" s="19" t="n">
        <x:f>IFERROR(L1089/G1089,0)</x:f>
        <x:v>0.03665895805633792</x:v>
      </x:c>
      <x:c r="N1089" s="13" t="n">
        <x:f>D1089-C1089</x:f>
        <x:v>-2</x:v>
      </x:c>
    </x:row>
    <x:row r="1090">
      <x:c r="A1090" s="13" t="str">
        <x:v>PAG-001089</x:v>
      </x:c>
      <x:c r="B1090" s="23" t="n">
        <x:v>46069</x:v>
      </x:c>
      <x:c r="C1090" s="23" t="n">
        <x:v>46099</x:v>
      </x:c>
      <x:c r="D1090" s="23" t="n">
        <x:v>46096</x:v>
      </x:c>
      <x:c r="E1090" s="13" t="str">
        <x:v>Office Prime</x:v>
      </x:c>
      <x:c r="F1090" s="13" t="str">
        <x:v>Escritório</x:v>
      </x:c>
      <x:c r="G1090" s="17" t="n">
        <x:v>18450.86</x:v>
      </x:c>
      <x:c r="H1090" s="17" t="n">
        <x:v>18419.41</x:v>
      </x:c>
      <x:c r="I1090" s="13" t="str">
        <x:v>Financeiro</x:v>
      </x:c>
      <x:c r="J1090" s="13" t="str">
        <x:v>Pago</x:v>
      </x:c>
      <x:c r="K1090" s="13" t="str">
        <x:v>Escala inteligente</x:v>
      </x:c>
      <x:c r="L1090" s="17" t="n">
        <x:f>H1090-G1090</x:f>
        <x:v>-31.450000000000728</x:v>
      </x:c>
      <x:c r="M1090" s="19" t="n">
        <x:f>IFERROR(L1090/G1090,0)</x:f>
        <x:v>-0.001704527593835774</x:v>
      </x:c>
      <x:c r="N1090" s="13" t="n">
        <x:f>D1090-C1090</x:f>
        <x:v>-3</x:v>
      </x:c>
    </x:row>
    <x:row r="1091">
      <x:c r="A1091" s="13" t="str">
        <x:v>PAG-001090</x:v>
      </x:c>
      <x:c r="B1091" s="23" t="n">
        <x:v>46060</x:v>
      </x:c>
      <x:c r="C1091" s="23" t="n">
        <x:v>46067</x:v>
      </x:c>
      <x:c r="D1091" s="23" t="n">
        <x:v>46067</x:v>
      </x:c>
      <x:c r="E1091" s="13" t="str">
        <x:v>Banco Integra</x:v>
      </x:c>
      <x:c r="F1091" s="13" t="str">
        <x:v>Serviços bancários</x:v>
      </x:c>
      <x:c r="G1091" s="17" t="n">
        <x:v>21314.04</x:v>
      </x:c>
      <x:c r="H1091" s="17" t="n">
        <x:v>22048.38</x:v>
      </x:c>
      <x:c r="I1091" s="13" t="str">
        <x:v>Diretoria</x:v>
      </x:c>
      <x:c r="J1091" s="13" t="str">
        <x:v>Pago</x:v>
      </x:c>
      <x:c r="K1091" s="13" t="str">
        <x:v>Escala inteligente</x:v>
      </x:c>
      <x:c r="L1091" s="17" t="n">
        <x:f>H1091-G1091</x:f>
        <x:v>734.3400000000001</x:v>
      </x:c>
      <x:c r="M1091" s="19" t="n">
        <x:f>IFERROR(L1091/G1091,0)</x:f>
        <x:v>0.034453346245010334</x:v>
      </x:c>
      <x:c r="N1091" s="13" t="n">
        <x:f>D1091-C1091</x:f>
        <x:v>0</x:v>
      </x:c>
    </x:row>
    <x:row r="1092">
      <x:c r="A1092" s="13" t="str">
        <x:v>PAG-001091</x:v>
      </x:c>
      <x:c r="B1092" s="23" t="n">
        <x:v>46070</x:v>
      </x:c>
      <x:c r="C1092" s="23" t="n">
        <x:v>46077</x:v>
      </x:c>
      <x:c r="D1092" s="23" t="n">
        <x:v>46074</x:v>
      </x:c>
      <x:c r="E1092" s="13" t="str">
        <x:v>Banco Integra</x:v>
      </x:c>
      <x:c r="F1092" s="13" t="str">
        <x:v>Serviços bancários</x:v>
      </x:c>
      <x:c r="G1092" s="17" t="n">
        <x:v>1932.7</x:v>
      </x:c>
      <x:c r="H1092" s="17" t="n">
        <x:v>1944.99</x:v>
      </x:c>
      <x:c r="I1092" s="13" t="str">
        <x:v>Gestor da área</x:v>
      </x:c>
      <x:c r="J1092" s="13" t="str">
        <x:v>Pago</x:v>
      </x:c>
      <x:c r="K1092" s="13" t="str">
        <x:v>Escala inteligente</x:v>
      </x:c>
      <x:c r="L1092" s="17" t="n">
        <x:f>H1092-G1092</x:f>
        <x:v>12.289999999999964</x:v>
      </x:c>
      <x:c r="M1092" s="19" t="n">
        <x:f>IFERROR(L1092/G1092,0)</x:f>
        <x:v>0.006358979665752555</x:v>
      </x:c>
      <x:c r="N1092" s="13" t="n">
        <x:f>D1092-C1092</x:f>
        <x:v>-3</x:v>
      </x:c>
    </x:row>
    <x:row r="1093">
      <x:c r="A1093" s="13" t="str">
        <x:v>PAG-001092</x:v>
      </x:c>
      <x:c r="B1093" s="23" t="n">
        <x:v>46055</x:v>
      </x:c>
      <x:c r="C1093" s="23" t="n">
        <x:v>46062</x:v>
      </x:c>
      <x:c r="D1093" s="23" t="n">
        <x:v>46064</x:v>
      </x:c>
      <x:c r="E1093" s="13" t="str">
        <x:v>Insight BI</x:v>
      </x:c>
      <x:c r="F1093" s="13" t="str">
        <x:v>Dados e Analytics</x:v>
      </x:c>
      <x:c r="G1093" s="17" t="n">
        <x:v>29989.2</x:v>
      </x:c>
      <x:c r="H1093" s="17" t="n">
        <x:v>30514.6</x:v>
      </x:c>
      <x:c r="I1093" s="13" t="str">
        <x:v>Gestor da área</x:v>
      </x:c>
      <x:c r="J1093" s="13" t="str">
        <x:v>Pago</x:v>
      </x:c>
      <x:c r="K1093" s="13" t="str">
        <x:v>Escala inteligente</x:v>
      </x:c>
      <x:c r="L1093" s="17" t="n">
        <x:f>H1093-G1093</x:f>
        <x:v>525.3999999999978</x:v>
      </x:c>
      <x:c r="M1093" s="19" t="n">
        <x:f>IFERROR(L1093/G1093,0)</x:f>
        <x:v>0.017519640403878656</x:v>
      </x:c>
      <x:c r="N1093" s="13" t="n">
        <x:f>D1093-C1093</x:f>
        <x:v>2</x:v>
      </x:c>
    </x:row>
    <x:row r="1094">
      <x:c r="A1094" s="13" t="str">
        <x:v>PAG-001093</x:v>
      </x:c>
      <x:c r="B1094" s="23" t="n">
        <x:v>46090</x:v>
      </x:c>
      <x:c r="C1094" s="23" t="n">
        <x:v>46097</x:v>
      </x:c>
      <x:c r="D1094" s="23" t="n">
        <x:v>46097</x:v>
      </x:c>
      <x:c r="E1094" s="13" t="str">
        <x:v>DataSafe</x:v>
      </x:c>
      <x:c r="F1094" s="13" t="str">
        <x:v>Segurança da informação</x:v>
      </x:c>
      <x:c r="G1094" s="17" t="n">
        <x:v>19829.83</x:v>
      </x:c>
      <x:c r="H1094" s="17" t="n">
        <x:v>20072.79</x:v>
      </x:c>
      <x:c r="I1094" s="13" t="str">
        <x:v>Gestor da área</x:v>
      </x:c>
      <x:c r="J1094" s="13" t="str">
        <x:v>Pago</x:v>
      </x:c>
      <x:c r="K1094" s="13" t="str">
        <x:v>Escala inteligente</x:v>
      </x:c>
      <x:c r="L1094" s="17" t="n">
        <x:f>H1094-G1094</x:f>
        <x:v>242.95999999999913</x:v>
      </x:c>
      <x:c r="M1094" s="19" t="n">
        <x:f>IFERROR(L1094/G1094,0)</x:f>
        <x:v>0.012252248254271424</x:v>
      </x:c>
      <x:c r="N1094" s="13" t="n">
        <x:f>D1094-C1094</x:f>
        <x:v>0</x:v>
      </x:c>
    </x:row>
    <x:row r="1095">
      <x:c r="A1095" s="13" t="str">
        <x:v>PAG-001094</x:v>
      </x:c>
      <x:c r="B1095" s="23" t="n">
        <x:v>46099</x:v>
      </x:c>
      <x:c r="C1095" s="23" t="n">
        <x:v>46106</x:v>
      </x:c>
      <x:c r="D1095" s="23" t="n">
        <x:v>46106</x:v>
      </x:c>
      <x:c r="E1095" s="13" t="str">
        <x:v>LegalMais</x:v>
      </x:c>
      <x:c r="F1095" s="13" t="str">
        <x:v>Jurídico</x:v>
      </x:c>
      <x:c r="G1095" s="17" t="n">
        <x:v>22997.76</x:v>
      </x:c>
      <x:c r="H1095" s="17" t="n">
        <x:v>22278.47</x:v>
      </x:c>
      <x:c r="I1095" s="13" t="str">
        <x:v>Financeiro</x:v>
      </x:c>
      <x:c r="J1095" s="13" t="str">
        <x:v>Pago</x:v>
      </x:c>
      <x:c r="K1095" s="13" t="str">
        <x:v>Escala inteligente</x:v>
      </x:c>
      <x:c r="L1095" s="17" t="n">
        <x:f>H1095-G1095</x:f>
        <x:v>-719.2899999999972</x:v>
      </x:c>
      <x:c r="M1095" s="19" t="n">
        <x:f>IFERROR(L1095/G1095,0)</x:f>
        <x:v>-0.031276524322368666</x:v>
      </x:c>
      <x:c r="N1095" s="13" t="n">
        <x:f>D1095-C1095</x:f>
        <x:v>0</x:v>
      </x:c>
    </x:row>
    <x:row r="1096">
      <x:c r="A1096" s="13" t="str">
        <x:v>PAG-001095</x:v>
      </x:c>
      <x:c r="B1096" s="23" t="n">
        <x:v>46096</x:v>
      </x:c>
      <x:c r="C1096" s="23" t="n">
        <x:v>46126</x:v>
      </x:c>
      <x:c r="D1096" s="23" t="n">
        <x:v>46126</x:v>
      </x:c>
      <x:c r="E1096" s="13" t="str">
        <x:v>Insight BI</x:v>
      </x:c>
      <x:c r="F1096" s="13" t="str">
        <x:v>Dados e Analytics</x:v>
      </x:c>
      <x:c r="G1096" s="17" t="n">
        <x:v>7802.37</x:v>
      </x:c>
      <x:c r="H1096" s="17" t="n">
        <x:v>8048.58</x:v>
      </x:c>
      <x:c r="I1096" s="13" t="str">
        <x:v>Financeiro</x:v>
      </x:c>
      <x:c r="J1096" s="13" t="str">
        <x:v>Pago</x:v>
      </x:c>
      <x:c r="K1096" s="13" t="str">
        <x:v>Escala inteligente</x:v>
      </x:c>
      <x:c r="L1096" s="17" t="n">
        <x:f>H1096-G1096</x:f>
        <x:v>246.21000000000004</x:v>
      </x:c>
      <x:c r="M1096" s="19" t="n">
        <x:f>IFERROR(L1096/G1096,0)</x:f>
        <x:v>0.03155579650798412</x:v>
      </x:c>
      <x:c r="N1096" s="13" t="n">
        <x:f>D1096-C1096</x:f>
        <x:v>0</x:v>
      </x:c>
    </x:row>
    <x:row r="1097">
      <x:c r="A1097" s="13" t="str">
        <x:v>PAG-001096</x:v>
      </x:c>
      <x:c r="B1097" s="23" t="n">
        <x:v>46095</x:v>
      </x:c>
      <x:c r="C1097" s="23" t="n">
        <x:v>46115</x:v>
      </x:c>
      <x:c r="D1097" s="23" t="n">
        <x:v>46115</x:v>
      </x:c>
      <x:c r="E1097" s="13" t="str">
        <x:v>Insight BI</x:v>
      </x:c>
      <x:c r="F1097" s="13" t="str">
        <x:v>Dados e Analytics</x:v>
      </x:c>
      <x:c r="G1097" s="17" t="n">
        <x:v>26062.88</x:v>
      </x:c>
      <x:c r="H1097" s="17" t="n">
        <x:v>26587.65</x:v>
      </x:c>
      <x:c r="I1097" s="13" t="str">
        <x:v>Financeiro</x:v>
      </x:c>
      <x:c r="J1097" s="13" t="str">
        <x:v>Pago</x:v>
      </x:c>
      <x:c r="K1097" s="13" t="str">
        <x:v>Escala inteligente</x:v>
      </x:c>
      <x:c r="L1097" s="17" t="n">
        <x:f>H1097-G1097</x:f>
        <x:v>524.7700000000004</x:v>
      </x:c>
      <x:c r="M1097" s="19" t="n">
        <x:f>IFERROR(L1097/G1097,0)</x:f>
        <x:v>0.020134766380384684</x:v>
      </x:c>
      <x:c r="N1097" s="13" t="n">
        <x:f>D1097-C1097</x:f>
        <x:v>0</x:v>
      </x:c>
    </x:row>
    <x:row r="1098">
      <x:c r="A1098" s="13" t="str">
        <x:v>PAG-001097</x:v>
      </x:c>
      <x:c r="B1098" s="23" t="n">
        <x:v>46092</x:v>
      </x:c>
      <x:c r="C1098" s="23" t="n">
        <x:v>46122</x:v>
      </x:c>
      <x:c r="D1098" s="23" t="n">
        <x:v>46119</x:v>
      </x:c>
      <x:c r="E1098" s="13" t="str">
        <x:v>Office Prime</x:v>
      </x:c>
      <x:c r="F1098" s="13" t="str">
        <x:v>Escritório</x:v>
      </x:c>
      <x:c r="G1098" s="17" t="n">
        <x:v>19235.49</x:v>
      </x:c>
      <x:c r="H1098" s="17" t="n">
        <x:v>19300.65</x:v>
      </x:c>
      <x:c r="I1098" s="13" t="str">
        <x:v>Diretoria</x:v>
      </x:c>
      <x:c r="J1098" s="13" t="str">
        <x:v>Pago</x:v>
      </x:c>
      <x:c r="K1098" s="13" t="str">
        <x:v>Escala inteligente</x:v>
      </x:c>
      <x:c r="L1098" s="17" t="n">
        <x:f>H1098-G1098</x:f>
        <x:v>65.15999999999985</x:v>
      </x:c>
      <x:c r="M1098" s="19" t="n">
        <x:f>IFERROR(L1098/G1098,0)</x:f>
        <x:v>0.0033874884393379034</x:v>
      </x:c>
      <x:c r="N1098" s="13" t="n">
        <x:f>D1098-C1098</x:f>
        <x:v>-3</x:v>
      </x:c>
    </x:row>
    <x:row r="1099">
      <x:c r="A1099" s="13" t="str">
        <x:v>PAG-001098</x:v>
      </x:c>
      <x:c r="B1099" s="23" t="n">
        <x:v>46086</x:v>
      </x:c>
      <x:c r="C1099" s="23" t="n">
        <x:v>46106</x:v>
      </x:c>
      <x:c r="D1099" s="23" t="n">
        <x:v>46104</x:v>
      </x:c>
      <x:c r="E1099" s="13" t="str">
        <x:v>PeopleHub</x:v>
      </x:c>
      <x:c r="F1099" s="13" t="str">
        <x:v>Recursos Humanos</x:v>
      </x:c>
      <x:c r="G1099" s="17" t="n">
        <x:v>8440.34</x:v>
      </x:c>
      <x:c r="H1099" s="17" t="n">
        <x:v>8238.5</x:v>
      </x:c>
      <x:c r="I1099" s="13" t="str">
        <x:v>Diretoria</x:v>
      </x:c>
      <x:c r="J1099" s="13" t="str">
        <x:v>Pago</x:v>
      </x:c>
      <x:c r="K1099" s="13" t="str">
        <x:v>Escala inteligente</x:v>
      </x:c>
      <x:c r="L1099" s="17" t="n">
        <x:f>H1099-G1099</x:f>
        <x:v>-201.84000000000015</x:v>
      </x:c>
      <x:c r="M1099" s="19" t="n">
        <x:f>IFERROR(L1099/G1099,0)</x:f>
        <x:v>-0.02391372859387183</x:v>
      </x:c>
      <x:c r="N1099" s="13" t="n">
        <x:f>D1099-C1099</x:f>
        <x:v>-2</x:v>
      </x:c>
    </x:row>
    <x:row r="1100">
      <x:c r="A1100" s="13" t="str">
        <x:v>PAG-001099</x:v>
      </x:c>
      <x:c r="B1100" s="23" t="n">
        <x:v>46100</x:v>
      </x:c>
      <x:c r="C1100" s="23" t="n">
        <x:v>46107</x:v>
      </x:c>
      <x:c r="D1100" s="23" t="n">
        <x:v>46106</x:v>
      </x:c>
      <x:c r="E1100" s="13" t="str">
        <x:v>Conta Certa</x:v>
      </x:c>
      <x:c r="F1100" s="13" t="str">
        <x:v>Contabilidade</x:v>
      </x:c>
      <x:c r="G1100" s="17" t="n">
        <x:v>16255.51</x:v>
      </x:c>
      <x:c r="H1100" s="17" t="n">
        <x:v>16346.29</x:v>
      </x:c>
      <x:c r="I1100" s="13" t="str">
        <x:v>Diretoria</x:v>
      </x:c>
      <x:c r="J1100" s="13" t="str">
        <x:v>Pago</x:v>
      </x:c>
      <x:c r="K1100" s="13" t="str">
        <x:v>Escala inteligente</x:v>
      </x:c>
      <x:c r="L1100" s="17" t="n">
        <x:f>H1100-G1100</x:f>
        <x:v>90.78000000000065</x:v>
      </x:c>
      <x:c r="M1100" s="19" t="n">
        <x:f>IFERROR(L1100/G1100,0)</x:f>
        <x:v>0.005584567940347652</x:v>
      </x:c>
      <x:c r="N1100" s="13" t="n">
        <x:f>D1100-C1100</x:f>
        <x:v>-1</x:v>
      </x:c>
    </x:row>
    <x:row r="1101">
      <x:c r="A1101" s="13" t="str">
        <x:v>PAG-001100</x:v>
      </x:c>
      <x:c r="B1101" s="23" t="n">
        <x:v>46096</x:v>
      </x:c>
      <x:c r="C1101" s="23" t="n">
        <x:v>46111</x:v>
      </x:c>
      <x:c r="D1101" s="23" t="n">
        <x:v>46108</x:v>
      </x:c>
      <x:c r="E1101" s="13" t="str">
        <x:v>WorkSpace</x:v>
      </x:c>
      <x:c r="F1101" s="13" t="str">
        <x:v>Locação</x:v>
      </x:c>
      <x:c r="G1101" s="17" t="n">
        <x:v>9476.68</x:v>
      </x:c>
      <x:c r="H1101" s="17" t="n">
        <x:v>9550.6</x:v>
      </x:c>
      <x:c r="I1101" s="13" t="str">
        <x:v>Gestor da área</x:v>
      </x:c>
      <x:c r="J1101" s="13" t="str">
        <x:v>Pago</x:v>
      </x:c>
      <x:c r="K1101" s="13" t="str">
        <x:v>Escala inteligente</x:v>
      </x:c>
      <x:c r="L1101" s="17" t="n">
        <x:f>H1101-G1101</x:f>
        <x:v>73.92000000000007</x:v>
      </x:c>
      <x:c r="M1101" s="19" t="n">
        <x:f>IFERROR(L1101/G1101,0)</x:f>
        <x:v>0.00780020007006674</x:v>
      </x:c>
      <x:c r="N1101" s="13" t="n">
        <x:f>D1101-C1101</x:f>
        <x:v>-3</x:v>
      </x:c>
    </x:row>
    <x:row r="1102">
      <x:c r="A1102" s="13" t="str">
        <x:v>PAG-001101</x:v>
      </x:c>
      <x:c r="B1102" s="23" t="n">
        <x:v>46094</x:v>
      </x:c>
      <x:c r="C1102" s="23" t="n">
        <x:v>46124</x:v>
      </x:c>
      <x:c r="D1102" s="23" t="n">
        <x:v>46124</x:v>
      </x:c>
      <x:c r="E1102" s="13" t="str">
        <x:v>CloudCore</x:v>
      </x:c>
      <x:c r="F1102" s="13" t="str">
        <x:v>Tecnologia</x:v>
      </x:c>
      <x:c r="G1102" s="17" t="n">
        <x:v>12378.47</x:v>
      </x:c>
      <x:c r="H1102" s="17" t="n">
        <x:v>12708.48</x:v>
      </x:c>
      <x:c r="I1102" s="13" t="str">
        <x:v>Financeiro</x:v>
      </x:c>
      <x:c r="J1102" s="13" t="str">
        <x:v>Pago</x:v>
      </x:c>
      <x:c r="K1102" s="13" t="str">
        <x:v>Escala inteligente</x:v>
      </x:c>
      <x:c r="L1102" s="17" t="n">
        <x:f>H1102-G1102</x:f>
        <x:v>330.0100000000002</x:v>
      </x:c>
      <x:c r="M1102" s="19" t="n">
        <x:f>IFERROR(L1102/G1102,0)</x:f>
        <x:v>0.02665999917598865</x:v>
      </x:c>
      <x:c r="N1102" s="13" t="n">
        <x:f>D1102-C1102</x:f>
        <x:v>0</x:v>
      </x:c>
    </x:row>
    <x:row r="1103">
      <x:c r="A1103" s="13" t="str">
        <x:v>PAG-001102</x:v>
      </x:c>
      <x:c r="B1103" s="23" t="n">
        <x:v>46096</x:v>
      </x:c>
      <x:c r="C1103" s="23" t="n">
        <x:v>46103</x:v>
      </x:c>
      <x:c r="D1103" s="23" t="n">
        <x:v>46103</x:v>
      </x:c>
      <x:c r="E1103" s="13" t="str">
        <x:v>Conta Certa</x:v>
      </x:c>
      <x:c r="F1103" s="13" t="str">
        <x:v>Contabilidade</x:v>
      </x:c>
      <x:c r="G1103" s="17" t="n">
        <x:v>15309.36</x:v>
      </x:c>
      <x:c r="H1103" s="17" t="n">
        <x:v>15772.54</x:v>
      </x:c>
      <x:c r="I1103" s="13" t="str">
        <x:v>Diretoria</x:v>
      </x:c>
      <x:c r="J1103" s="13" t="str">
        <x:v>Pago</x:v>
      </x:c>
      <x:c r="K1103" s="13" t="str">
        <x:v>Escala inteligente</x:v>
      </x:c>
      <x:c r="L1103" s="17" t="n">
        <x:f>H1103-G1103</x:f>
        <x:v>463.1800000000003</x:v>
      </x:c>
      <x:c r="M1103" s="19" t="n">
        <x:f>IFERROR(L1103/G1103,0)</x:f>
        <x:v>0.030254693860487982</x:v>
      </x:c>
      <x:c r="N1103" s="13" t="n">
        <x:f>D1103-C1103</x:f>
        <x:v>0</x:v>
      </x:c>
    </x:row>
    <x:row r="1104">
      <x:c r="A1104" s="13" t="str">
        <x:v>PAG-001103</x:v>
      </x:c>
      <x:c r="B1104" s="23" t="n">
        <x:v>46091</x:v>
      </x:c>
      <x:c r="C1104" s="23" t="n">
        <x:v>46106</x:v>
      </x:c>
      <x:c r="D1104" s="23" t="n">
        <x:v>46106</x:v>
      </x:c>
      <x:c r="E1104" s="13" t="str">
        <x:v>Banco Integra</x:v>
      </x:c>
      <x:c r="F1104" s="13" t="str">
        <x:v>Serviços bancários</x:v>
      </x:c>
      <x:c r="G1104" s="17" t="n">
        <x:v>17238.31</x:v>
      </x:c>
      <x:c r="H1104" s="17" t="n">
        <x:v>17152.4</x:v>
      </x:c>
      <x:c r="I1104" s="13" t="str">
        <x:v>Gestor da área</x:v>
      </x:c>
      <x:c r="J1104" s="13" t="str">
        <x:v>Pago</x:v>
      </x:c>
      <x:c r="K1104" s="13" t="str">
        <x:v>Escala inteligente</x:v>
      </x:c>
      <x:c r="L1104" s="17" t="n">
        <x:f>H1104-G1104</x:f>
        <x:v>-85.90999999999985</x:v>
      </x:c>
      <x:c r="M1104" s="19" t="n">
        <x:f>IFERROR(L1104/G1104,0)</x:f>
        <x:v>-0.004983667192433588</x:v>
      </x:c>
      <x:c r="N1104" s="13" t="n">
        <x:f>D1104-C1104</x:f>
        <x:v>0</x:v>
      </x:c>
    </x:row>
    <x:row r="1105">
      <x:c r="A1105" s="13" t="str">
        <x:v>PAG-001104</x:v>
      </x:c>
      <x:c r="B1105" s="23" t="n">
        <x:v>46090</x:v>
      </x:c>
      <x:c r="C1105" s="23" t="n">
        <x:v>46097</x:v>
      </x:c>
      <x:c r="D1105" s="23" t="n">
        <x:v>46098</x:v>
      </x:c>
      <x:c r="E1105" s="13" t="str">
        <x:v>DataSafe</x:v>
      </x:c>
      <x:c r="F1105" s="13" t="str">
        <x:v>Segurança da informação</x:v>
      </x:c>
      <x:c r="G1105" s="17" t="n">
        <x:v>5537.88</x:v>
      </x:c>
      <x:c r="H1105" s="17" t="n">
        <x:v>5383.02</x:v>
      </x:c>
      <x:c r="I1105" s="13" t="str">
        <x:v>Gestor da área</x:v>
      </x:c>
      <x:c r="J1105" s="13" t="str">
        <x:v>Pago</x:v>
      </x:c>
      <x:c r="K1105" s="13" t="str">
        <x:v>Escala inteligente</x:v>
      </x:c>
      <x:c r="L1105" s="17" t="n">
        <x:f>H1105-G1105</x:f>
        <x:v>-154.85999999999967</x:v>
      </x:c>
      <x:c r="M1105" s="19" t="n">
        <x:f>IFERROR(L1105/G1105,0)</x:f>
        <x:v>-0.027963769529133833</x:v>
      </x:c>
      <x:c r="N1105" s="13" t="n">
        <x:f>D1105-C1105</x:f>
        <x:v>1</x:v>
      </x:c>
    </x:row>
    <x:row r="1106">
      <x:c r="A1106" s="13" t="str">
        <x:v>PAG-001105</x:v>
      </x:c>
      <x:c r="B1106" s="23" t="n">
        <x:v>46100</x:v>
      </x:c>
      <x:c r="C1106" s="23" t="n">
        <x:v>46115</x:v>
      </x:c>
      <x:c r="D1106" s="23" t="n">
        <x:v>46112</x:v>
      </x:c>
      <x:c r="E1106" s="13" t="str">
        <x:v>EducaPro</x:v>
      </x:c>
      <x:c r="F1106" s="13" t="str">
        <x:v>Treinamentos</x:v>
      </x:c>
      <x:c r="G1106" s="17" t="n">
        <x:v>15424.88</x:v>
      </x:c>
      <x:c r="H1106" s="17" t="n">
        <x:v>15726.72</x:v>
      </x:c>
      <x:c r="I1106" s="13" t="str">
        <x:v>Gestor da área</x:v>
      </x:c>
      <x:c r="J1106" s="13" t="str">
        <x:v>Pago</x:v>
      </x:c>
      <x:c r="K1106" s="13" t="str">
        <x:v>Escala inteligente</x:v>
      </x:c>
      <x:c r="L1106" s="17" t="n">
        <x:f>H1106-G1106</x:f>
        <x:v>301.84000000000015</x:v>
      </x:c>
      <x:c r="M1106" s="19" t="n">
        <x:f>IFERROR(L1106/G1106,0)</x:f>
        <x:v>0.01956838562115233</x:v>
      </x:c>
      <x:c r="N1106" s="13" t="n">
        <x:f>D1106-C1106</x:f>
        <x:v>-3</x:v>
      </x:c>
    </x:row>
    <x:row r="1107">
      <x:c r="A1107" s="13" t="str">
        <x:v>PAG-001106</x:v>
      </x:c>
      <x:c r="B1107" s="23" t="n">
        <x:v>46089</x:v>
      </x:c>
      <x:c r="C1107" s="23" t="n">
        <x:v>46096</x:v>
      </x:c>
      <x:c r="D1107" s="23" t="n">
        <x:v>46097</x:v>
      </x:c>
      <x:c r="E1107" s="13" t="str">
        <x:v>DataSafe</x:v>
      </x:c>
      <x:c r="F1107" s="13" t="str">
        <x:v>Segurança da informação</x:v>
      </x:c>
      <x:c r="G1107" s="17" t="n">
        <x:v>22552.93</x:v>
      </x:c>
      <x:c r="H1107" s="17" t="n">
        <x:v>22632.96</x:v>
      </x:c>
      <x:c r="I1107" s="13" t="str">
        <x:v>Diretoria</x:v>
      </x:c>
      <x:c r="J1107" s="13" t="str">
        <x:v>Pago</x:v>
      </x:c>
      <x:c r="K1107" s="13" t="str">
        <x:v>Escala inteligente</x:v>
      </x:c>
      <x:c r="L1107" s="17" t="n">
        <x:f>H1107-G1107</x:f>
        <x:v>80.02999999999884</x:v>
      </x:c>
      <x:c r="M1107" s="19" t="n">
        <x:f>IFERROR(L1107/G1107,0)</x:f>
        <x:v>0.003548541142991125</x:v>
      </x:c>
      <x:c r="N1107" s="13" t="n">
        <x:f>D1107-C1107</x:f>
        <x:v>1</x:v>
      </x:c>
    </x:row>
    <x:row r="1108">
      <x:c r="A1108" s="13" t="str">
        <x:v>PAG-001107</x:v>
      </x:c>
      <x:c r="B1108" s="23" t="n">
        <x:v>46091</x:v>
      </x:c>
      <x:c r="C1108" s="23" t="n">
        <x:v>46111</x:v>
      </x:c>
      <x:c r="D1108" s="23" t="n">
        <x:v>46111</x:v>
      </x:c>
      <x:c r="E1108" s="13" t="str">
        <x:v>MarketLab</x:v>
      </x:c>
      <x:c r="F1108" s="13" t="str">
        <x:v>Marketing</x:v>
      </x:c>
      <x:c r="G1108" s="17" t="n">
        <x:v>28033.21</x:v>
      </x:c>
      <x:c r="H1108" s="17" t="n">
        <x:v>29184.94</x:v>
      </x:c>
      <x:c r="I1108" s="13" t="str">
        <x:v>Gestor da área</x:v>
      </x:c>
      <x:c r="J1108" s="13" t="str">
        <x:v>Pago</x:v>
      </x:c>
      <x:c r="K1108" s="13" t="str">
        <x:v>Escala inteligente</x:v>
      </x:c>
      <x:c r="L1108" s="17" t="n">
        <x:f>H1108-G1108</x:f>
        <x:v>1151.7299999999996</x:v>
      </x:c>
      <x:c r="M1108" s="19" t="n">
        <x:f>IFERROR(L1108/G1108,0)</x:f>
        <x:v>0.04108448515171825</x:v>
      </x:c>
      <x:c r="N1108" s="13" t="n">
        <x:f>D1108-C1108</x:f>
        <x:v>0</x:v>
      </x:c>
    </x:row>
    <x:row r="1109">
      <x:c r="A1109" s="13" t="str">
        <x:v>PAG-001108</x:v>
      </x:c>
      <x:c r="B1109" s="23" t="n">
        <x:v>46095</x:v>
      </x:c>
      <x:c r="C1109" s="23" t="n">
        <x:v>46115</x:v>
      </x:c>
      <x:c r="D1109" s="23" t="n">
        <x:v>46115</x:v>
      </x:c>
      <x:c r="E1109" s="13" t="str">
        <x:v>Conta Certa</x:v>
      </x:c>
      <x:c r="F1109" s="13" t="str">
        <x:v>Contabilidade</x:v>
      </x:c>
      <x:c r="G1109" s="17" t="n">
        <x:v>31160.48</x:v>
      </x:c>
      <x:c r="H1109" s="17" t="n">
        <x:v>32119.54</x:v>
      </x:c>
      <x:c r="I1109" s="13" t="str">
        <x:v>Diretoria</x:v>
      </x:c>
      <x:c r="J1109" s="13" t="str">
        <x:v>Pago</x:v>
      </x:c>
      <x:c r="K1109" s="13" t="str">
        <x:v>Escala inteligente</x:v>
      </x:c>
      <x:c r="L1109" s="17" t="n">
        <x:f>H1109-G1109</x:f>
        <x:v>959.0600000000013</x:v>
      </x:c>
      <x:c r="M1109" s="19" t="n">
        <x:f>IFERROR(L1109/G1109,0)</x:f>
        <x:v>0.030778088142416334</x:v>
      </x:c>
      <x:c r="N1109" s="13" t="n">
        <x:f>D1109-C1109</x:f>
        <x:v>0</x:v>
      </x:c>
    </x:row>
    <x:row r="1110">
      <x:c r="A1110" s="13" t="str">
        <x:v>PAG-001109</x:v>
      </x:c>
      <x:c r="B1110" s="23" t="n">
        <x:v>46097</x:v>
      </x:c>
      <x:c r="C1110" s="23" t="n">
        <x:v>46127</x:v>
      </x:c>
      <x:c r="D1110" s="23" t="n">
        <x:v>46128</x:v>
      </x:c>
      <x:c r="E1110" s="13" t="str">
        <x:v>NetLink</x:v>
      </x:c>
      <x:c r="F1110" s="13" t="str">
        <x:v>Telecomunicações</x:v>
      </x:c>
      <x:c r="G1110" s="17" t="n">
        <x:v>30146.67</x:v>
      </x:c>
      <x:c r="H1110" s="17" t="n">
        <x:v>30055.3</x:v>
      </x:c>
      <x:c r="I1110" s="13" t="str">
        <x:v>Gestor da área</x:v>
      </x:c>
      <x:c r="J1110" s="13" t="str">
        <x:v>Pago</x:v>
      </x:c>
      <x:c r="K1110" s="13" t="str">
        <x:v>Escala inteligente</x:v>
      </x:c>
      <x:c r="L1110" s="17" t="n">
        <x:f>H1110-G1110</x:f>
        <x:v>-91.36999999999898</x:v>
      </x:c>
      <x:c r="M1110" s="19" t="n">
        <x:f>IFERROR(L1110/G1110,0)</x:f>
        <x:v>-0.003030848846655335</x:v>
      </x:c>
      <x:c r="N1110" s="13" t="n">
        <x:f>D1110-C1110</x:f>
        <x:v>1</x:v>
      </x:c>
    </x:row>
    <x:row r="1111">
      <x:c r="A1111" s="13" t="str">
        <x:v>PAG-001110</x:v>
      </x:c>
      <x:c r="B1111" s="23" t="n">
        <x:v>46085</x:v>
      </x:c>
      <x:c r="C1111" s="23" t="n">
        <x:v>46100</x:v>
      </x:c>
      <x:c r="D1111" s="23" t="n">
        <x:v>46098</x:v>
      </x:c>
      <x:c r="E1111" s="13" t="str">
        <x:v>MarketLab</x:v>
      </x:c>
      <x:c r="F1111" s="13" t="str">
        <x:v>Marketing</x:v>
      </x:c>
      <x:c r="G1111" s="17" t="n">
        <x:v>25266.75</x:v>
      </x:c>
      <x:c r="H1111" s="17" t="n">
        <x:v>25669.28</x:v>
      </x:c>
      <x:c r="I1111" s="13" t="str">
        <x:v>Diretoria</x:v>
      </x:c>
      <x:c r="J1111" s="13" t="str">
        <x:v>Pago</x:v>
      </x:c>
      <x:c r="K1111" s="13" t="str">
        <x:v>Escala inteligente</x:v>
      </x:c>
      <x:c r="L1111" s="17" t="n">
        <x:f>H1111-G1111</x:f>
        <x:v>402.52999999999884</x:v>
      </x:c>
      <x:c r="M1111" s="19" t="n">
        <x:f>IFERROR(L1111/G1111,0)</x:f>
        <x:v>0.015931213947183505</x:v>
      </x:c>
      <x:c r="N1111" s="13" t="n">
        <x:f>D1111-C1111</x:f>
        <x:v>-2</x:v>
      </x:c>
    </x:row>
    <x:row r="1112">
      <x:c r="A1112" s="13" t="str">
        <x:v>PAG-001111</x:v>
      </x:c>
      <x:c r="B1112" s="23" t="n">
        <x:v>46086</x:v>
      </x:c>
      <x:c r="C1112" s="23" t="n">
        <x:v>46101</x:v>
      </x:c>
      <x:c r="D1112" s="23" t="n">
        <x:v>46103</x:v>
      </x:c>
      <x:c r="E1112" s="13" t="str">
        <x:v>Office Prime</x:v>
      </x:c>
      <x:c r="F1112" s="13" t="str">
        <x:v>Escritório</x:v>
      </x:c>
      <x:c r="G1112" s="17" t="n">
        <x:v>4269.85</x:v>
      </x:c>
      <x:c r="H1112" s="17" t="n">
        <x:v>4348.87</x:v>
      </x:c>
      <x:c r="I1112" s="13" t="str">
        <x:v>Financeiro</x:v>
      </x:c>
      <x:c r="J1112" s="13" t="str">
        <x:v>Pago</x:v>
      </x:c>
      <x:c r="K1112" s="13" t="str">
        <x:v>Escala inteligente</x:v>
      </x:c>
      <x:c r="L1112" s="17" t="n">
        <x:f>H1112-G1112</x:f>
        <x:v>79.01999999999953</x:v>
      </x:c>
      <x:c r="M1112" s="19" t="n">
        <x:f>IFERROR(L1112/G1112,0)</x:f>
        <x:v>0.018506504912350438</x:v>
      </x:c>
      <x:c r="N1112" s="13" t="n">
        <x:f>D1112-C1112</x:f>
        <x:v>2</x:v>
      </x:c>
    </x:row>
    <x:row r="1113">
      <x:c r="A1113" s="13" t="str">
        <x:v>PAG-001112</x:v>
      </x:c>
      <x:c r="B1113" s="23" t="n">
        <x:v>46095</x:v>
      </x:c>
      <x:c r="C1113" s="23" t="n">
        <x:v>46115</x:v>
      </x:c>
      <x:c r="D1113" s="23" t="n">
        <x:v>46115</x:v>
      </x:c>
      <x:c r="E1113" s="13" t="str">
        <x:v>Banco Integra</x:v>
      </x:c>
      <x:c r="F1113" s="13" t="str">
        <x:v>Serviços bancários</x:v>
      </x:c>
      <x:c r="G1113" s="17" t="n">
        <x:v>30094.6</x:v>
      </x:c>
      <x:c r="H1113" s="17" t="n">
        <x:v>30586.31</x:v>
      </x:c>
      <x:c r="I1113" s="13" t="str">
        <x:v>Diretoria</x:v>
      </x:c>
      <x:c r="J1113" s="13" t="str">
        <x:v>Pago</x:v>
      </x:c>
      <x:c r="K1113" s="13" t="str">
        <x:v>Escala inteligente</x:v>
      </x:c>
      <x:c r="L1113" s="17" t="n">
        <x:f>H1113-G1113</x:f>
        <x:v>491.71000000000276</x:v>
      </x:c>
      <x:c r="M1113" s="19" t="n">
        <x:f>IFERROR(L1113/G1113,0)</x:f>
        <x:v>0.016338811614043807</x:v>
      </x:c>
      <x:c r="N1113" s="13" t="n">
        <x:f>D1113-C1113</x:f>
        <x:v>0</x:v>
      </x:c>
    </x:row>
    <x:row r="1114">
      <x:c r="A1114" s="13" t="str">
        <x:v>PAG-001113</x:v>
      </x:c>
      <x:c r="B1114" s="23" t="n">
        <x:v>46095</x:v>
      </x:c>
      <x:c r="C1114" s="23" t="n">
        <x:v>46125</x:v>
      </x:c>
      <x:c r="D1114" s="23" t="n">
        <x:v>46123</x:v>
      </x:c>
      <x:c r="E1114" s="13" t="str">
        <x:v>WorkSpace</x:v>
      </x:c>
      <x:c r="F1114" s="13" t="str">
        <x:v>Locação</x:v>
      </x:c>
      <x:c r="G1114" s="17" t="n">
        <x:v>6625.24</x:v>
      </x:c>
      <x:c r="H1114" s="17" t="n">
        <x:v>6474.06</x:v>
      </x:c>
      <x:c r="I1114" s="13" t="str">
        <x:v>Gestor da área</x:v>
      </x:c>
      <x:c r="J1114" s="13" t="str">
        <x:v>Pago</x:v>
      </x:c>
      <x:c r="K1114" s="13" t="str">
        <x:v>Escala inteligente</x:v>
      </x:c>
      <x:c r="L1114" s="17" t="n">
        <x:f>H1114-G1114</x:f>
        <x:v>-151.17999999999938</x:v>
      </x:c>
      <x:c r="M1114" s="19" t="n">
        <x:f>IFERROR(L1114/G1114,0)</x:f>
        <x:v>-0.022818795998333554</x:v>
      </x:c>
      <x:c r="N1114" s="13" t="n">
        <x:f>D1114-C1114</x:f>
        <x:v>-2</x:v>
      </x:c>
    </x:row>
    <x:row r="1115">
      <x:c r="A1115" s="13" t="str">
        <x:v>PAG-001114</x:v>
      </x:c>
      <x:c r="B1115" s="23" t="n">
        <x:v>46083</x:v>
      </x:c>
      <x:c r="C1115" s="23" t="n">
        <x:v>46113</x:v>
      </x:c>
      <x:c r="D1115" s="23" t="n">
        <x:v>46115</x:v>
      </x:c>
      <x:c r="E1115" s="13" t="str">
        <x:v>CloudCore</x:v>
      </x:c>
      <x:c r="F1115" s="13" t="str">
        <x:v>Tecnologia</x:v>
      </x:c>
      <x:c r="G1115" s="17" t="n">
        <x:v>14769.52</x:v>
      </x:c>
      <x:c r="H1115" s="17" t="n">
        <x:v>14543.72</x:v>
      </x:c>
      <x:c r="I1115" s="13" t="str">
        <x:v>Financeiro</x:v>
      </x:c>
      <x:c r="J1115" s="13" t="str">
        <x:v>Pago</x:v>
      </x:c>
      <x:c r="K1115" s="13" t="str">
        <x:v>Escala inteligente</x:v>
      </x:c>
      <x:c r="L1115" s="17" t="n">
        <x:f>H1115-G1115</x:f>
        <x:v>-225.8000000000011</x:v>
      </x:c>
      <x:c r="M1115" s="19" t="n">
        <x:f>IFERROR(L1115/G1115,0)</x:f>
        <x:v>-0.015288242271922249</x:v>
      </x:c>
      <x:c r="N1115" s="13" t="n">
        <x:f>D1115-C1115</x:f>
        <x:v>2</x:v>
      </x:c>
    </x:row>
    <x:row r="1116">
      <x:c r="A1116" s="13" t="str">
        <x:v>PAG-001115</x:v>
      </x:c>
      <x:c r="B1116" s="23" t="n">
        <x:v>46088</x:v>
      </x:c>
      <x:c r="C1116" s="23" t="n">
        <x:v>46103</x:v>
      </x:c>
      <x:c r="D1116" s="23" t="n">
        <x:v>46103</x:v>
      </x:c>
      <x:c r="E1116" s="13" t="str">
        <x:v>PeopleHub</x:v>
      </x:c>
      <x:c r="F1116" s="13" t="str">
        <x:v>Recursos Humanos</x:v>
      </x:c>
      <x:c r="G1116" s="17" t="n">
        <x:v>17972.67</x:v>
      </x:c>
      <x:c r="H1116" s="17" t="n">
        <x:v>18103.78</x:v>
      </x:c>
      <x:c r="I1116" s="13" t="str">
        <x:v>Diretoria</x:v>
      </x:c>
      <x:c r="J1116" s="13" t="str">
        <x:v>Pago</x:v>
      </x:c>
      <x:c r="K1116" s="13" t="str">
        <x:v>Escala inteligente</x:v>
      </x:c>
      <x:c r="L1116" s="17" t="n">
        <x:f>H1116-G1116</x:f>
        <x:v>131.11000000000058</x:v>
      </x:c>
      <x:c r="M1116" s="19" t="n">
        <x:f>IFERROR(L1116/G1116,0)</x:f>
        <x:v>0.0072949650775316404</x:v>
      </x:c>
      <x:c r="N1116" s="13" t="n">
        <x:f>D1116-C1116</x:f>
        <x:v>0</x:v>
      </x:c>
    </x:row>
    <x:row r="1117">
      <x:c r="A1117" s="13" t="str">
        <x:v>PAG-001116</x:v>
      </x:c>
      <x:c r="B1117" s="23" t="n">
        <x:v>46096</x:v>
      </x:c>
      <x:c r="C1117" s="23" t="n">
        <x:v>46126</x:v>
      </x:c>
      <x:c r="D1117" s="23" t="n">
        <x:v>46123</x:v>
      </x:c>
      <x:c r="E1117" s="13" t="str">
        <x:v>DataSafe</x:v>
      </x:c>
      <x:c r="F1117" s="13" t="str">
        <x:v>Segurança da informação</x:v>
      </x:c>
      <x:c r="G1117" s="17" t="n">
        <x:v>11763.72</x:v>
      </x:c>
      <x:c r="H1117" s="17" t="n">
        <x:v>12261.95</x:v>
      </x:c>
      <x:c r="I1117" s="13" t="str">
        <x:v>Financeiro</x:v>
      </x:c>
      <x:c r="J1117" s="13" t="str">
        <x:v>Pago</x:v>
      </x:c>
      <x:c r="K1117" s="13" t="str">
        <x:v>Escala inteligente</x:v>
      </x:c>
      <x:c r="L1117" s="17" t="n">
        <x:f>H1117-G1117</x:f>
        <x:v>498.2300000000014</x:v>
      </x:c>
      <x:c r="M1117" s="19" t="n">
        <x:f>IFERROR(L1117/G1117,0)</x:f>
        <x:v>0.042353099189712216</x:v>
      </x:c>
      <x:c r="N1117" s="13" t="n">
        <x:f>D1117-C1117</x:f>
        <x:v>-3</x:v>
      </x:c>
    </x:row>
    <x:row r="1118">
      <x:c r="A1118" s="13" t="str">
        <x:v>PAG-001117</x:v>
      </x:c>
      <x:c r="B1118" s="23" t="n">
        <x:v>46094</x:v>
      </x:c>
      <x:c r="C1118" s="23" t="n">
        <x:v>46109</x:v>
      </x:c>
      <x:c r="D1118" s="23" t="n">
        <x:v>46109</x:v>
      </x:c>
      <x:c r="E1118" s="13" t="str">
        <x:v>EducaPro</x:v>
      </x:c>
      <x:c r="F1118" s="13" t="str">
        <x:v>Treinamentos</x:v>
      </x:c>
      <x:c r="G1118" s="17" t="n">
        <x:v>20544.06</x:v>
      </x:c>
      <x:c r="H1118" s="17" t="n">
        <x:v>19874.92</x:v>
      </x:c>
      <x:c r="I1118" s="13" t="str">
        <x:v>Financeiro</x:v>
      </x:c>
      <x:c r="J1118" s="13" t="str">
        <x:v>Pago</x:v>
      </x:c>
      <x:c r="K1118" s="13" t="str">
        <x:v>Escala inteligente</x:v>
      </x:c>
      <x:c r="L1118" s="17" t="n">
        <x:f>H1118-G1118</x:f>
        <x:v>-669.140000000003</x:v>
      </x:c>
      <x:c r="M1118" s="19" t="n">
        <x:f>IFERROR(L1118/G1118,0)</x:f>
        <x:v>-0.03257097185269139</x:v>
      </x:c>
      <x:c r="N1118" s="13" t="n">
        <x:f>D1118-C1118</x:f>
        <x:v>0</x:v>
      </x:c>
    </x:row>
    <x:row r="1119">
      <x:c r="A1119" s="13" t="str">
        <x:v>PAG-001118</x:v>
      </x:c>
      <x:c r="B1119" s="23" t="n">
        <x:v>46085</x:v>
      </x:c>
      <x:c r="C1119" s="23" t="n">
        <x:v>46092</x:v>
      </x:c>
      <x:c r="D1119" s="23" t="n">
        <x:v>46092</x:v>
      </x:c>
      <x:c r="E1119" s="13" t="str">
        <x:v>Office Prime</x:v>
      </x:c>
      <x:c r="F1119" s="13" t="str">
        <x:v>Escritório</x:v>
      </x:c>
      <x:c r="G1119" s="17" t="n">
        <x:v>974.21</x:v>
      </x:c>
      <x:c r="H1119" s="17" t="n">
        <x:v>959</x:v>
      </x:c>
      <x:c r="I1119" s="13" t="str">
        <x:v>Gestor da área</x:v>
      </x:c>
      <x:c r="J1119" s="13" t="str">
        <x:v>Pago</x:v>
      </x:c>
      <x:c r="K1119" s="13" t="str">
        <x:v>Escala inteligente</x:v>
      </x:c>
      <x:c r="L1119" s="17" t="n">
        <x:f>H1119-G1119</x:f>
        <x:v>-15.210000000000036</x:v>
      </x:c>
      <x:c r="M1119" s="19" t="n">
        <x:f>IFERROR(L1119/G1119,0)</x:f>
        <x:v>-0.015612650249946148</x:v>
      </x:c>
      <x:c r="N1119" s="13" t="n">
        <x:f>D1119-C1119</x:f>
        <x:v>0</x:v>
      </x:c>
    </x:row>
    <x:row r="1120">
      <x:c r="A1120" s="13" t="str">
        <x:v>PAG-001119</x:v>
      </x:c>
      <x:c r="B1120" s="23" t="n">
        <x:v>46099</x:v>
      </x:c>
      <x:c r="C1120" s="23" t="n">
        <x:v>46114</x:v>
      </x:c>
      <x:c r="D1120" s="23" t="n">
        <x:v>46114</x:v>
      </x:c>
      <x:c r="E1120" s="13" t="str">
        <x:v>Banco Integra</x:v>
      </x:c>
      <x:c r="F1120" s="13" t="str">
        <x:v>Serviços bancários</x:v>
      </x:c>
      <x:c r="G1120" s="17" t="n">
        <x:v>6037.73</x:v>
      </x:c>
      <x:c r="H1120" s="17" t="n">
        <x:v>6088.03</x:v>
      </x:c>
      <x:c r="I1120" s="13" t="str">
        <x:v>Diretoria</x:v>
      </x:c>
      <x:c r="J1120" s="13" t="str">
        <x:v>Pago</x:v>
      </x:c>
      <x:c r="K1120" s="13" t="str">
        <x:v>Escala inteligente</x:v>
      </x:c>
      <x:c r="L1120" s="17" t="n">
        <x:f>H1120-G1120</x:f>
        <x:v>50.30000000000018</x:v>
      </x:c>
      <x:c r="M1120" s="19" t="n">
        <x:f>IFERROR(L1120/G1120,0)</x:f>
        <x:v>0.008330945570603552</x:v>
      </x:c>
      <x:c r="N1120" s="13" t="n">
        <x:f>D1120-C1120</x:f>
        <x:v>0</x:v>
      </x:c>
    </x:row>
    <x:row r="1121">
      <x:c r="A1121" s="13" t="str">
        <x:v>PAG-001120</x:v>
      </x:c>
      <x:c r="B1121" s="23" t="n">
        <x:v>46095</x:v>
      </x:c>
      <x:c r="C1121" s="23" t="n">
        <x:v>46102</x:v>
      </x:c>
      <x:c r="D1121" s="23" t="n">
        <x:v>46102</x:v>
      </x:c>
      <x:c r="E1121" s="13" t="str">
        <x:v>DataSafe</x:v>
      </x:c>
      <x:c r="F1121" s="13" t="str">
        <x:v>Segurança da informação</x:v>
      </x:c>
      <x:c r="G1121" s="17" t="n">
        <x:v>8023.25</x:v>
      </x:c>
      <x:c r="H1121" s="17" t="n">
        <x:v>7905.03</x:v>
      </x:c>
      <x:c r="I1121" s="13" t="str">
        <x:v>Diretoria</x:v>
      </x:c>
      <x:c r="J1121" s="13" t="str">
        <x:v>Pago</x:v>
      </x:c>
      <x:c r="K1121" s="13" t="str">
        <x:v>Escala inteligente</x:v>
      </x:c>
      <x:c r="L1121" s="17" t="n">
        <x:f>H1121-G1121</x:f>
        <x:v>-118.22000000000025</x:v>
      </x:c>
      <x:c r="M1121" s="19" t="n">
        <x:f>IFERROR(L1121/G1121,0)</x:f>
        <x:v>-0.014734677343969122</x:v>
      </x:c>
      <x:c r="N1121" s="13" t="n">
        <x:f>D1121-C1121</x:f>
        <x:v>0</x:v>
      </x:c>
    </x:row>
    <x:row r="1122">
      <x:c r="A1122" s="13" t="str">
        <x:v>PAG-001121</x:v>
      </x:c>
      <x:c r="B1122" s="23" t="n">
        <x:v>46098</x:v>
      </x:c>
      <x:c r="C1122" s="23" t="n">
        <x:v>46118</x:v>
      </x:c>
      <x:c r="D1122" s="23" t="n">
        <x:v>46118</x:v>
      </x:c>
      <x:c r="E1122" s="13" t="str">
        <x:v>PeopleHub</x:v>
      </x:c>
      <x:c r="F1122" s="13" t="str">
        <x:v>Recursos Humanos</x:v>
      </x:c>
      <x:c r="G1122" s="17" t="n">
        <x:v>14221.72</x:v>
      </x:c>
      <x:c r="H1122" s="17" t="n">
        <x:v>13738.74</x:v>
      </x:c>
      <x:c r="I1122" s="13" t="str">
        <x:v>Gestor da área</x:v>
      </x:c>
      <x:c r="J1122" s="13" t="str">
        <x:v>Pago</x:v>
      </x:c>
      <x:c r="K1122" s="13" t="str">
        <x:v>Escala inteligente</x:v>
      </x:c>
      <x:c r="L1122" s="17" t="n">
        <x:f>H1122-G1122</x:f>
        <x:v>-482.97999999999956</x:v>
      </x:c>
      <x:c r="M1122" s="19" t="n">
        <x:f>IFERROR(L1122/G1122,0)</x:f>
        <x:v>-0.033960730488295336</x:v>
      </x:c>
      <x:c r="N1122" s="13" t="n">
        <x:f>D1122-C1122</x:f>
        <x:v>0</x:v>
      </x:c>
    </x:row>
    <x:row r="1123">
      <x:c r="A1123" s="13" t="str">
        <x:v>PAG-001122</x:v>
      </x:c>
      <x:c r="B1123" s="23" t="n">
        <x:v>46096</x:v>
      </x:c>
      <x:c r="C1123" s="23" t="n">
        <x:v>46111</x:v>
      </x:c>
      <x:c r="D1123" s="23" t="n">
        <x:v>46110</x:v>
      </x:c>
      <x:c r="E1123" s="13" t="str">
        <x:v>Insight BI</x:v>
      </x:c>
      <x:c r="F1123" s="13" t="str">
        <x:v>Dados e Analytics</x:v>
      </x:c>
      <x:c r="G1123" s="17" t="n">
        <x:v>5983.33</x:v>
      </x:c>
      <x:c r="H1123" s="17" t="n">
        <x:v>5847.89</x:v>
      </x:c>
      <x:c r="I1123" s="13" t="str">
        <x:v>Financeiro</x:v>
      </x:c>
      <x:c r="J1123" s="13" t="str">
        <x:v>Pago</x:v>
      </x:c>
      <x:c r="K1123" s="13" t="str">
        <x:v>Escala inteligente</x:v>
      </x:c>
      <x:c r="L1123" s="17" t="n">
        <x:f>H1123-G1123</x:f>
        <x:v>-135.4399999999996</x:v>
      </x:c>
      <x:c r="M1123" s="19" t="n">
        <x:f>IFERROR(L1123/G1123,0)</x:f>
        <x:v>-0.0226362243098742</x:v>
      </x:c>
      <x:c r="N1123" s="13" t="n">
        <x:f>D1123-C1123</x:f>
        <x:v>-1</x:v>
      </x:c>
    </x:row>
    <x:row r="1124">
      <x:c r="A1124" s="13" t="str">
        <x:v>PAG-001123</x:v>
      </x:c>
      <x:c r="B1124" s="23" t="n">
        <x:v>46091</x:v>
      </x:c>
      <x:c r="C1124" s="23" t="n">
        <x:v>46121</x:v>
      </x:c>
      <x:c r="D1124" s="23" t="n">
        <x:v>46122</x:v>
      </x:c>
      <x:c r="E1124" s="13" t="str">
        <x:v>Office Prime</x:v>
      </x:c>
      <x:c r="F1124" s="13" t="str">
        <x:v>Escritório</x:v>
      </x:c>
      <x:c r="G1124" s="17" t="n">
        <x:v>22262.3</x:v>
      </x:c>
      <x:c r="H1124" s="17" t="n">
        <x:v>22517.3</x:v>
      </x:c>
      <x:c r="I1124" s="13" t="str">
        <x:v>Gestor da área</x:v>
      </x:c>
      <x:c r="J1124" s="13" t="str">
        <x:v>Pago</x:v>
      </x:c>
      <x:c r="K1124" s="13" t="str">
        <x:v>Escala inteligente</x:v>
      </x:c>
      <x:c r="L1124" s="17" t="n">
        <x:f>H1124-G1124</x:f>
        <x:v>255</x:v>
      </x:c>
      <x:c r="M1124" s="19" t="n">
        <x:f>IFERROR(L1124/G1124,0)</x:f>
        <x:v>0.01145434209403341</x:v>
      </x:c>
      <x:c r="N1124" s="13" t="n">
        <x:f>D1124-C1124</x:f>
        <x:v>1</x:v>
      </x:c>
    </x:row>
    <x:row r="1125">
      <x:c r="A1125" s="13" t="str">
        <x:v>PAG-001124</x:v>
      </x:c>
      <x:c r="B1125" s="23" t="n">
        <x:v>46091</x:v>
      </x:c>
      <x:c r="C1125" s="23" t="n">
        <x:v>46106</x:v>
      </x:c>
      <x:c r="D1125" s="23" t="n">
        <x:v>46103</x:v>
      </x:c>
      <x:c r="E1125" s="13" t="str">
        <x:v>DataSafe</x:v>
      </x:c>
      <x:c r="F1125" s="13" t="str">
        <x:v>Segurança da informação</x:v>
      </x:c>
      <x:c r="G1125" s="17" t="n">
        <x:v>18590.85</x:v>
      </x:c>
      <x:c r="H1125" s="17" t="n">
        <x:v>19092.89</x:v>
      </x:c>
      <x:c r="I1125" s="13" t="str">
        <x:v>Financeiro</x:v>
      </x:c>
      <x:c r="J1125" s="13" t="str">
        <x:v>Pago</x:v>
      </x:c>
      <x:c r="K1125" s="13" t="str">
        <x:v>Escala inteligente</x:v>
      </x:c>
      <x:c r="L1125" s="17" t="n">
        <x:f>H1125-G1125</x:f>
        <x:v>502.0400000000009</x:v>
      </x:c>
      <x:c r="M1125" s="19" t="n">
        <x:f>IFERROR(L1125/G1125,0)</x:f>
        <x:v>0.027004682410971037</x:v>
      </x:c>
      <x:c r="N1125" s="13" t="n">
        <x:f>D1125-C1125</x:f>
        <x:v>-3</x:v>
      </x:c>
    </x:row>
    <x:row r="1126">
      <x:c r="A1126" s="13" t="str">
        <x:v>PAG-001125</x:v>
      </x:c>
      <x:c r="B1126" s="23" t="n">
        <x:v>46099</x:v>
      </x:c>
      <x:c r="C1126" s="23" t="n">
        <x:v>46129</x:v>
      </x:c>
      <x:c r="D1126" s="23" t="n">
        <x:v>46131</x:v>
      </x:c>
      <x:c r="E1126" s="13" t="str">
        <x:v>EducaPro</x:v>
      </x:c>
      <x:c r="F1126" s="13" t="str">
        <x:v>Treinamentos</x:v>
      </x:c>
      <x:c r="G1126" s="17" t="n">
        <x:v>6312.78</x:v>
      </x:c>
      <x:c r="H1126" s="17" t="n">
        <x:v>6206.95</x:v>
      </x:c>
      <x:c r="I1126" s="13" t="str">
        <x:v>Gestor da área</x:v>
      </x:c>
      <x:c r="J1126" s="13" t="str">
        <x:v>Pago</x:v>
      </x:c>
      <x:c r="K1126" s="13" t="str">
        <x:v>Escala inteligente</x:v>
      </x:c>
      <x:c r="L1126" s="17" t="n">
        <x:f>H1126-G1126</x:f>
        <x:v>-105.82999999999993</x:v>
      </x:c>
      <x:c r="M1126" s="19" t="n">
        <x:f>IFERROR(L1126/G1126,0)</x:f>
        <x:v>-0.016764404905604175</x:v>
      </x:c>
      <x:c r="N1126" s="13" t="n">
        <x:f>D1126-C1126</x:f>
        <x:v>2</x:v>
      </x:c>
    </x:row>
    <x:row r="1127">
      <x:c r="A1127" s="13" t="str">
        <x:v>PAG-001126</x:v>
      </x:c>
      <x:c r="B1127" s="23" t="n">
        <x:v>46092</x:v>
      </x:c>
      <x:c r="C1127" s="23" t="n">
        <x:v>46099</x:v>
      </x:c>
      <x:c r="D1127" s="23" t="n">
        <x:v>46100</x:v>
      </x:c>
      <x:c r="E1127" s="13" t="str">
        <x:v>Conta Certa</x:v>
      </x:c>
      <x:c r="F1127" s="13" t="str">
        <x:v>Contabilidade</x:v>
      </x:c>
      <x:c r="G1127" s="17" t="n">
        <x:v>29014.06</x:v>
      </x:c>
      <x:c r="H1127" s="17" t="n">
        <x:v>29100.23</x:v>
      </x:c>
      <x:c r="I1127" s="13" t="str">
        <x:v>Financeiro</x:v>
      </x:c>
      <x:c r="J1127" s="13" t="str">
        <x:v>Pago</x:v>
      </x:c>
      <x:c r="K1127" s="13" t="str">
        <x:v>Escala inteligente</x:v>
      </x:c>
      <x:c r="L1127" s="17" t="n">
        <x:f>H1127-G1127</x:f>
        <x:v>86.16999999999825</x:v>
      </x:c>
      <x:c r="M1127" s="19" t="n">
        <x:f>IFERROR(L1127/G1127,0)</x:f>
        <x:v>0.002969939401793415</x:v>
      </x:c>
      <x:c r="N1127" s="13" t="n">
        <x:f>D1127-C1127</x:f>
        <x:v>1</x:v>
      </x:c>
    </x:row>
    <x:row r="1128">
      <x:c r="A1128" s="13" t="str">
        <x:v>PAG-001127</x:v>
      </x:c>
      <x:c r="B1128" s="23" t="n">
        <x:v>46098</x:v>
      </x:c>
      <x:c r="C1128" s="23" t="n">
        <x:v>46128</x:v>
      </x:c>
      <x:c r="D1128" s="23" t="n">
        <x:v>46129</x:v>
      </x:c>
      <x:c r="E1128" s="13" t="str">
        <x:v>Conta Certa</x:v>
      </x:c>
      <x:c r="F1128" s="13" t="str">
        <x:v>Contabilidade</x:v>
      </x:c>
      <x:c r="G1128" s="17" t="n">
        <x:v>8282.19</x:v>
      </x:c>
      <x:c r="H1128" s="17" t="n">
        <x:v>8582.74</x:v>
      </x:c>
      <x:c r="I1128" s="13" t="str">
        <x:v>Gestor da área</x:v>
      </x:c>
      <x:c r="J1128" s="13" t="str">
        <x:v>Pago</x:v>
      </x:c>
      <x:c r="K1128" s="13" t="str">
        <x:v>Escala inteligente</x:v>
      </x:c>
      <x:c r="L1128" s="17" t="n">
        <x:f>H1128-G1128</x:f>
        <x:v>300.5499999999993</x:v>
      </x:c>
      <x:c r="M1128" s="19" t="n">
        <x:f>IFERROR(L1128/G1128,0)</x:f>
        <x:v>0.03628871107762551</x:v>
      </x:c>
      <x:c r="N1128" s="13" t="n">
        <x:f>D1128-C1128</x:f>
        <x:v>1</x:v>
      </x:c>
    </x:row>
    <x:row r="1129">
      <x:c r="A1129" s="13" t="str">
        <x:v>PAG-001128</x:v>
      </x:c>
      <x:c r="B1129" s="23" t="n">
        <x:v>46101</x:v>
      </x:c>
      <x:c r="C1129" s="23" t="n">
        <x:v>46108</x:v>
      </x:c>
      <x:c r="D1129" s="23" t="n">
        <x:v>46106</x:v>
      </x:c>
      <x:c r="E1129" s="13" t="str">
        <x:v>PeopleHub</x:v>
      </x:c>
      <x:c r="F1129" s="13" t="str">
        <x:v>Recursos Humanos</x:v>
      </x:c>
      <x:c r="G1129" s="17" t="n">
        <x:v>27845.29</x:v>
      </x:c>
      <x:c r="H1129" s="17" t="n">
        <x:v>28053.23</x:v>
      </x:c>
      <x:c r="I1129" s="13" t="str">
        <x:v>Gestor da área</x:v>
      </x:c>
      <x:c r="J1129" s="13" t="str">
        <x:v>Pago</x:v>
      </x:c>
      <x:c r="K1129" s="13" t="str">
        <x:v>Escala inteligente</x:v>
      </x:c>
      <x:c r="L1129" s="17" t="n">
        <x:f>H1129-G1129</x:f>
        <x:v>207.9399999999987</x:v>
      </x:c>
      <x:c r="M1129" s="19" t="n">
        <x:f>IFERROR(L1129/G1129,0)</x:f>
        <x:v>0.007467690226964728</x:v>
      </x:c>
      <x:c r="N1129" s="13" t="n">
        <x:f>D1129-C1129</x:f>
        <x:v>-2</x:v>
      </x:c>
    </x:row>
    <x:row r="1130">
      <x:c r="A1130" s="13" t="str">
        <x:v>PAG-001129</x:v>
      </x:c>
      <x:c r="B1130" s="23" t="n">
        <x:v>46091</x:v>
      </x:c>
      <x:c r="C1130" s="23" t="n">
        <x:v>46111</x:v>
      </x:c>
      <x:c r="D1130" s="23" t="n">
        <x:v>46109</x:v>
      </x:c>
      <x:c r="E1130" s="13" t="str">
        <x:v>DataSafe</x:v>
      </x:c>
      <x:c r="F1130" s="13" t="str">
        <x:v>Segurança da informação</x:v>
      </x:c>
      <x:c r="G1130" s="17" t="n">
        <x:v>23063.42</x:v>
      </x:c>
      <x:c r="H1130" s="17" t="n">
        <x:v>22333.92</x:v>
      </x:c>
      <x:c r="I1130" s="13" t="str">
        <x:v>Diretoria</x:v>
      </x:c>
      <x:c r="J1130" s="13" t="str">
        <x:v>Pago</x:v>
      </x:c>
      <x:c r="K1130" s="13" t="str">
        <x:v>Escala inteligente</x:v>
      </x:c>
      <x:c r="L1130" s="17" t="n">
        <x:f>H1130-G1130</x:f>
        <x:v>-729.5</x:v>
      </x:c>
      <x:c r="M1130" s="19" t="n">
        <x:f>IFERROR(L1130/G1130,0)</x:f>
        <x:v>-0.03163017453612691</x:v>
      </x:c>
      <x:c r="N1130" s="13" t="n">
        <x:f>D1130-C1130</x:f>
        <x:v>-2</x:v>
      </x:c>
    </x:row>
    <x:row r="1131">
      <x:c r="A1131" s="13" t="str">
        <x:v>PAG-001130</x:v>
      </x:c>
      <x:c r="B1131" s="23" t="n">
        <x:v>46091</x:v>
      </x:c>
      <x:c r="C1131" s="23" t="n">
        <x:v>46111</x:v>
      </x:c>
      <x:c r="D1131" s="23" t="n">
        <x:v>46113</x:v>
      </x:c>
      <x:c r="E1131" s="13" t="str">
        <x:v>Conta Certa</x:v>
      </x:c>
      <x:c r="F1131" s="13" t="str">
        <x:v>Contabilidade</x:v>
      </x:c>
      <x:c r="G1131" s="17" t="n">
        <x:v>26388.86</x:v>
      </x:c>
      <x:c r="H1131" s="17" t="n">
        <x:v>27508.4</x:v>
      </x:c>
      <x:c r="I1131" s="13" t="str">
        <x:v>Diretoria</x:v>
      </x:c>
      <x:c r="J1131" s="13" t="str">
        <x:v>Pago</x:v>
      </x:c>
      <x:c r="K1131" s="13" t="str">
        <x:v>Escala inteligente</x:v>
      </x:c>
      <x:c r="L1131" s="17" t="n">
        <x:f>H1131-G1131</x:f>
        <x:v>1119.5400000000009</x:v>
      </x:c>
      <x:c r="M1131" s="19" t="n">
        <x:f>IFERROR(L1131/G1131,0)</x:f>
        <x:v>0.0424247201281147</x:v>
      </x:c>
      <x:c r="N1131" s="13" t="n">
        <x:f>D1131-C1131</x:f>
        <x:v>2</x:v>
      </x:c>
    </x:row>
    <x:row r="1132">
      <x:c r="A1132" s="13" t="str">
        <x:v>PAG-001131</x:v>
      </x:c>
      <x:c r="B1132" s="23" t="n">
        <x:v>46088</x:v>
      </x:c>
      <x:c r="C1132" s="23" t="n">
        <x:v>46118</x:v>
      </x:c>
      <x:c r="D1132" s="23" t="n">
        <x:v>46116</x:v>
      </x:c>
      <x:c r="E1132" s="13" t="str">
        <x:v>Banco Integra</x:v>
      </x:c>
      <x:c r="F1132" s="13" t="str">
        <x:v>Serviços bancários</x:v>
      </x:c>
      <x:c r="G1132" s="17" t="n">
        <x:v>8685.86</x:v>
      </x:c>
      <x:c r="H1132" s="17" t="n">
        <x:v>8650.41</x:v>
      </x:c>
      <x:c r="I1132" s="13" t="str">
        <x:v>Gestor da área</x:v>
      </x:c>
      <x:c r="J1132" s="13" t="str">
        <x:v>Pago</x:v>
      </x:c>
      <x:c r="K1132" s="13" t="str">
        <x:v>Escala inteligente</x:v>
      </x:c>
      <x:c r="L1132" s="17" t="n">
        <x:f>H1132-G1132</x:f>
        <x:v>-35.45000000000073</x:v>
      </x:c>
      <x:c r="M1132" s="19" t="n">
        <x:f>IFERROR(L1132/G1132,0)</x:f>
        <x:v>-0.00408134600373489</x:v>
      </x:c>
      <x:c r="N1132" s="13" t="n">
        <x:f>D1132-C1132</x:f>
        <x:v>-2</x:v>
      </x:c>
    </x:row>
    <x:row r="1133">
      <x:c r="A1133" s="13" t="str">
        <x:v>PAG-001132</x:v>
      </x:c>
      <x:c r="B1133" s="23" t="n">
        <x:v>46094</x:v>
      </x:c>
      <x:c r="C1133" s="23" t="n">
        <x:v>46109</x:v>
      </x:c>
      <x:c r="D1133" s="23" t="n">
        <x:v>46108</x:v>
      </x:c>
      <x:c r="E1133" s="13" t="str">
        <x:v>EducaPro</x:v>
      </x:c>
      <x:c r="F1133" s="13" t="str">
        <x:v>Treinamentos</x:v>
      </x:c>
      <x:c r="G1133" s="17" t="n">
        <x:v>1898.37</x:v>
      </x:c>
      <x:c r="H1133" s="17" t="n">
        <x:v>1882.23</x:v>
      </x:c>
      <x:c r="I1133" s="13" t="str">
        <x:v>Financeiro</x:v>
      </x:c>
      <x:c r="J1133" s="13" t="str">
        <x:v>Pago</x:v>
      </x:c>
      <x:c r="K1133" s="13" t="str">
        <x:v>Escala inteligente</x:v>
      </x:c>
      <x:c r="L1133" s="17" t="n">
        <x:f>H1133-G1133</x:f>
        <x:v>-16.139999999999873</x:v>
      </x:c>
      <x:c r="M1133" s="19" t="n">
        <x:f>IFERROR(L1133/G1133,0)</x:f>
        <x:v>-0.008502030689486177</x:v>
      </x:c>
      <x:c r="N1133" s="13" t="n">
        <x:f>D1133-C1133</x:f>
        <x:v>-1</x:v>
      </x:c>
    </x:row>
    <x:row r="1134">
      <x:c r="A1134" s="13" t="str">
        <x:v>PAG-001133</x:v>
      </x:c>
      <x:c r="B1134" s="23" t="n">
        <x:v>46096</x:v>
      </x:c>
      <x:c r="C1134" s="23" t="n">
        <x:v>46111</x:v>
      </x:c>
      <x:c r="D1134" s="23" t="n">
        <x:v>46108</x:v>
      </x:c>
      <x:c r="E1134" s="13" t="str">
        <x:v>WorkSpace</x:v>
      </x:c>
      <x:c r="F1134" s="13" t="str">
        <x:v>Locação</x:v>
      </x:c>
      <x:c r="G1134" s="17" t="n">
        <x:v>26612.62</x:v>
      </x:c>
      <x:c r="H1134" s="17" t="n">
        <x:v>25850.2</x:v>
      </x:c>
      <x:c r="I1134" s="13" t="str">
        <x:v>Diretoria</x:v>
      </x:c>
      <x:c r="J1134" s="13" t="str">
        <x:v>Pago</x:v>
      </x:c>
      <x:c r="K1134" s="13" t="str">
        <x:v>Escala inteligente</x:v>
      </x:c>
      <x:c r="L1134" s="17" t="n">
        <x:f>H1134-G1134</x:f>
        <x:v>-762.4199999999983</x:v>
      </x:c>
      <x:c r="M1134" s="19" t="n">
        <x:f>IFERROR(L1134/G1134,0)</x:f>
        <x:v>-0.028648813983741483</x:v>
      </x:c>
      <x:c r="N1134" s="13" t="n">
        <x:f>D1134-C1134</x:f>
        <x:v>-3</x:v>
      </x:c>
    </x:row>
    <x:row r="1135">
      <x:c r="A1135" s="13" t="str">
        <x:v>PAG-001134</x:v>
      </x:c>
      <x:c r="B1135" s="23" t="n">
        <x:v>46097</x:v>
      </x:c>
      <x:c r="C1135" s="23" t="n">
        <x:v>46112</x:v>
      </x:c>
      <x:c r="D1135" s="23" t="n">
        <x:v>46112</x:v>
      </x:c>
      <x:c r="E1135" s="13" t="str">
        <x:v>Banco Integra</x:v>
      </x:c>
      <x:c r="F1135" s="13" t="str">
        <x:v>Serviços bancários</x:v>
      </x:c>
      <x:c r="G1135" s="17" t="n">
        <x:v>25570.68</x:v>
      </x:c>
      <x:c r="H1135" s="17" t="n">
        <x:v>25107.35</x:v>
      </x:c>
      <x:c r="I1135" s="13" t="str">
        <x:v>Diretoria</x:v>
      </x:c>
      <x:c r="J1135" s="13" t="str">
        <x:v>Pago</x:v>
      </x:c>
      <x:c r="K1135" s="13" t="str">
        <x:v>Escala inteligente</x:v>
      </x:c>
      <x:c r="L1135" s="17" t="n">
        <x:f>H1135-G1135</x:f>
        <x:v>-463.33000000000175</x:v>
      </x:c>
      <x:c r="M1135" s="19" t="n">
        <x:f>IFERROR(L1135/G1135,0)</x:f>
        <x:v>-0.018119580707278874</x:v>
      </x:c>
      <x:c r="N1135" s="13" t="n">
        <x:f>D1135-C1135</x:f>
        <x:v>0</x:v>
      </x:c>
    </x:row>
    <x:row r="1136">
      <x:c r="A1136" s="13" t="str">
        <x:v>PAG-001135</x:v>
      </x:c>
      <x:c r="B1136" s="23" t="n">
        <x:v>46120</x:v>
      </x:c>
      <x:c r="C1136" s="23" t="n">
        <x:v>46127</x:v>
      </x:c>
      <x:c r="D1136" s="23" t="n">
        <x:v>46127</x:v>
      </x:c>
      <x:c r="E1136" s="13" t="str">
        <x:v>Office Prime</x:v>
      </x:c>
      <x:c r="F1136" s="13" t="str">
        <x:v>Escritório</x:v>
      </x:c>
      <x:c r="G1136" s="17" t="n">
        <x:v>982.65</x:v>
      </x:c>
      <x:c r="H1136" s="17" t="n">
        <x:v>985.18</x:v>
      </x:c>
      <x:c r="I1136" s="13" t="str">
        <x:v>Financeiro</x:v>
      </x:c>
      <x:c r="J1136" s="13" t="str">
        <x:v>Pago</x:v>
      </x:c>
      <x:c r="K1136" s="13" t="str">
        <x:v>Escala inteligente</x:v>
      </x:c>
      <x:c r="L1136" s="17" t="n">
        <x:f>H1136-G1136</x:f>
        <x:v>2.5299999999999727</x:v>
      </x:c>
      <x:c r="M1136" s="19" t="n">
        <x:f>IFERROR(L1136/G1136,0)</x:f>
        <x:v>0.002574670533760721</x:v>
      </x:c>
      <x:c r="N1136" s="13" t="n">
        <x:f>D1136-C1136</x:f>
        <x:v>0</x:v>
      </x:c>
    </x:row>
    <x:row r="1137">
      <x:c r="A1137" s="13" t="str">
        <x:v>PAG-001136</x:v>
      </x:c>
      <x:c r="B1137" s="23" t="n">
        <x:v>46127</x:v>
      </x:c>
      <x:c r="C1137" s="23" t="n">
        <x:v>46134</x:v>
      </x:c>
      <x:c r="D1137" s="23" t="n">
        <x:v>46132</x:v>
      </x:c>
      <x:c r="E1137" s="13" t="str">
        <x:v>Insight BI</x:v>
      </x:c>
      <x:c r="F1137" s="13" t="str">
        <x:v>Dados e Analytics</x:v>
      </x:c>
      <x:c r="G1137" s="17" t="n">
        <x:v>24284.41</x:v>
      </x:c>
      <x:c r="H1137" s="17" t="n">
        <x:v>23674.94</x:v>
      </x:c>
      <x:c r="I1137" s="13" t="str">
        <x:v>Gestor da área</x:v>
      </x:c>
      <x:c r="J1137" s="13" t="str">
        <x:v>Pago</x:v>
      </x:c>
      <x:c r="K1137" s="13" t="str">
        <x:v>Escala inteligente</x:v>
      </x:c>
      <x:c r="L1137" s="17" t="n">
        <x:f>H1137-G1137</x:f>
        <x:v>-609.4700000000012</x:v>
      </x:c>
      <x:c r="M1137" s="19" t="n">
        <x:f>IFERROR(L1137/G1137,0)</x:f>
        <x:v>-0.025097171395146153</x:v>
      </x:c>
      <x:c r="N1137" s="13" t="n">
        <x:f>D1137-C1137</x:f>
        <x:v>-2</x:v>
      </x:c>
    </x:row>
    <x:row r="1138">
      <x:c r="A1138" s="13" t="str">
        <x:v>PAG-001137</x:v>
      </x:c>
      <x:c r="B1138" s="23" t="n">
        <x:v>46117</x:v>
      </x:c>
      <x:c r="C1138" s="23" t="n">
        <x:v>46137</x:v>
      </x:c>
      <x:c r="D1138" s="23" t="n">
        <x:v>46137</x:v>
      </x:c>
      <x:c r="E1138" s="13" t="str">
        <x:v>Conta Certa</x:v>
      </x:c>
      <x:c r="F1138" s="13" t="str">
        <x:v>Contabilidade</x:v>
      </x:c>
      <x:c r="G1138" s="17" t="n">
        <x:v>4712.83</x:v>
      </x:c>
      <x:c r="H1138" s="17" t="n">
        <x:v>4911.88</x:v>
      </x:c>
      <x:c r="I1138" s="13" t="str">
        <x:v>Diretoria</x:v>
      </x:c>
      <x:c r="J1138" s="13" t="str">
        <x:v>Pago</x:v>
      </x:c>
      <x:c r="K1138" s="13" t="str">
        <x:v>Escala inteligente</x:v>
      </x:c>
      <x:c r="L1138" s="17" t="n">
        <x:f>H1138-G1138</x:f>
        <x:v>199.05000000000018</x:v>
      </x:c>
      <x:c r="M1138" s="19" t="n">
        <x:f>IFERROR(L1138/G1138,0)</x:f>
        <x:v>0.04223576916629715</x:v>
      </x:c>
      <x:c r="N1138" s="13" t="n">
        <x:f>D1138-C1138</x:f>
        <x:v>0</x:v>
      </x:c>
    </x:row>
    <x:row r="1139">
      <x:c r="A1139" s="13" t="str">
        <x:v>PAG-001138</x:v>
      </x:c>
      <x:c r="B1139" s="23" t="n">
        <x:v>46125</x:v>
      </x:c>
      <x:c r="C1139" s="23" t="n">
        <x:v>46145</x:v>
      </x:c>
      <x:c r="D1139" s="23" t="n">
        <x:v>46145</x:v>
      </x:c>
      <x:c r="E1139" s="13" t="str">
        <x:v>NetLink</x:v>
      </x:c>
      <x:c r="F1139" s="13" t="str">
        <x:v>Telecomunicações</x:v>
      </x:c>
      <x:c r="G1139" s="17" t="n">
        <x:v>8480.35</x:v>
      </x:c>
      <x:c r="H1139" s="17" t="n">
        <x:v>8564.92</x:v>
      </x:c>
      <x:c r="I1139" s="13" t="str">
        <x:v>Diretoria</x:v>
      </x:c>
      <x:c r="J1139" s="13" t="str">
        <x:v>Pago</x:v>
      </x:c>
      <x:c r="K1139" s="13" t="str">
        <x:v>Escala inteligente</x:v>
      </x:c>
      <x:c r="L1139" s="17" t="n">
        <x:f>H1139-G1139</x:f>
        <x:v>84.56999999999971</x:v>
      </x:c>
      <x:c r="M1139" s="19" t="n">
        <x:f>IFERROR(L1139/G1139,0)</x:f>
        <x:v>0.009972465759078305</x:v>
      </x:c>
      <x:c r="N1139" s="13" t="n">
        <x:f>D1139-C1139</x:f>
        <x:v>0</x:v>
      </x:c>
    </x:row>
    <x:row r="1140">
      <x:c r="A1140" s="13" t="str">
        <x:v>PAG-001139</x:v>
      </x:c>
      <x:c r="B1140" s="23" t="n">
        <x:v>46117</x:v>
      </x:c>
      <x:c r="C1140" s="23" t="n">
        <x:v>46147</x:v>
      </x:c>
      <x:c r="D1140" s="23" t="n">
        <x:v>46146</x:v>
      </x:c>
      <x:c r="E1140" s="13" t="str">
        <x:v>WorkSpace</x:v>
      </x:c>
      <x:c r="F1140" s="13" t="str">
        <x:v>Locação</x:v>
      </x:c>
      <x:c r="G1140" s="17" t="n">
        <x:v>698.24</x:v>
      </x:c>
      <x:c r="H1140" s="17" t="n">
        <x:v>726.22</x:v>
      </x:c>
      <x:c r="I1140" s="13" t="str">
        <x:v>Diretoria</x:v>
      </x:c>
      <x:c r="J1140" s="13" t="str">
        <x:v>Pago</x:v>
      </x:c>
      <x:c r="K1140" s="13" t="str">
        <x:v>Escala inteligente</x:v>
      </x:c>
      <x:c r="L1140" s="17" t="n">
        <x:f>H1140-G1140</x:f>
        <x:v>27.980000000000018</x:v>
      </x:c>
      <x:c r="M1140" s="19" t="n">
        <x:f>IFERROR(L1140/G1140,0)</x:f>
        <x:v>0.04007218148487628</x:v>
      </x:c>
      <x:c r="N1140" s="13" t="n">
        <x:f>D1140-C1140</x:f>
        <x:v>-1</x:v>
      </x:c>
    </x:row>
    <x:row r="1141">
      <x:c r="A1141" s="13" t="str">
        <x:v>PAG-001140</x:v>
      </x:c>
      <x:c r="B1141" s="23" t="n">
        <x:v>46119</x:v>
      </x:c>
      <x:c r="C1141" s="23" t="n">
        <x:v>46126</x:v>
      </x:c>
      <x:c r="D1141" s="23" t="n">
        <x:v>46125</x:v>
      </x:c>
      <x:c r="E1141" s="13" t="str">
        <x:v>Office Prime</x:v>
      </x:c>
      <x:c r="F1141" s="13" t="str">
        <x:v>Escritório</x:v>
      </x:c>
      <x:c r="G1141" s="17" t="n">
        <x:v>5947.84</x:v>
      </x:c>
      <x:c r="H1141" s="17" t="n">
        <x:v>6035.8</x:v>
      </x:c>
      <x:c r="I1141" s="13" t="str">
        <x:v>Gestor da área</x:v>
      </x:c>
      <x:c r="J1141" s="13" t="str">
        <x:v>Pago</x:v>
      </x:c>
      <x:c r="K1141" s="13" t="str">
        <x:v>Escala inteligente</x:v>
      </x:c>
      <x:c r="L1141" s="17" t="n">
        <x:f>H1141-G1141</x:f>
        <x:v>87.96000000000004</x:v>
      </x:c>
      <x:c r="M1141" s="19" t="n">
        <x:f>IFERROR(L1141/G1141,0)</x:f>
        <x:v>0.014788561898100828</x:v>
      </x:c>
      <x:c r="N1141" s="13" t="n">
        <x:f>D1141-C1141</x:f>
        <x:v>-1</x:v>
      </x:c>
    </x:row>
    <x:row r="1142">
      <x:c r="A1142" s="13" t="str">
        <x:v>PAG-001141</x:v>
      </x:c>
      <x:c r="B1142" s="23" t="n">
        <x:v>46130</x:v>
      </x:c>
      <x:c r="C1142" s="23" t="n">
        <x:v>46137</x:v>
      </x:c>
      <x:c r="D1142" s="23" t="n">
        <x:v>46134</x:v>
      </x:c>
      <x:c r="E1142" s="13" t="str">
        <x:v>DataSafe</x:v>
      </x:c>
      <x:c r="F1142" s="13" t="str">
        <x:v>Segurança da informação</x:v>
      </x:c>
      <x:c r="G1142" s="17" t="n">
        <x:v>601.17</x:v>
      </x:c>
      <x:c r="H1142" s="17" t="n">
        <x:v>619.3</x:v>
      </x:c>
      <x:c r="I1142" s="13" t="str">
        <x:v>Diretoria</x:v>
      </x:c>
      <x:c r="J1142" s="13" t="str">
        <x:v>Pago</x:v>
      </x:c>
      <x:c r="K1142" s="13" t="str">
        <x:v>Escala inteligente</x:v>
      </x:c>
      <x:c r="L1142" s="17" t="n">
        <x:f>H1142-G1142</x:f>
        <x:v>18.129999999999995</x:v>
      </x:c>
      <x:c r="M1142" s="19" t="n">
        <x:f>IFERROR(L1142/G1142,0)</x:f>
        <x:v>0.030157858841924907</x:v>
      </x:c>
      <x:c r="N1142" s="13" t="n">
        <x:f>D1142-C1142</x:f>
        <x:v>-3</x:v>
      </x:c>
    </x:row>
    <x:row r="1143">
      <x:c r="A1143" s="13" t="str">
        <x:v>PAG-001142</x:v>
      </x:c>
      <x:c r="B1143" s="23" t="n">
        <x:v>46132</x:v>
      </x:c>
      <x:c r="C1143" s="23" t="n">
        <x:v>46147</x:v>
      </x:c>
      <x:c r="D1143" s="23" t="n">
        <x:v>46146</x:v>
      </x:c>
      <x:c r="E1143" s="13" t="str">
        <x:v>DataSafe</x:v>
      </x:c>
      <x:c r="F1143" s="13" t="str">
        <x:v>Segurança da informação</x:v>
      </x:c>
      <x:c r="G1143" s="17" t="n">
        <x:v>25240.28</x:v>
      </x:c>
      <x:c r="H1143" s="17" t="n">
        <x:v>24834.63</x:v>
      </x:c>
      <x:c r="I1143" s="13" t="str">
        <x:v>Financeiro</x:v>
      </x:c>
      <x:c r="J1143" s="13" t="str">
        <x:v>Pago</x:v>
      </x:c>
      <x:c r="K1143" s="13" t="str">
        <x:v>Escala inteligente</x:v>
      </x:c>
      <x:c r="L1143" s="17" t="n">
        <x:f>H1143-G1143</x:f>
        <x:v>-405.6499999999978</x:v>
      </x:c>
      <x:c r="M1143" s="19" t="n">
        <x:f>IFERROR(L1143/G1143,0)</x:f>
        <x:v>-0.01607153327934547</x:v>
      </x:c>
      <x:c r="N1143" s="13" t="n">
        <x:f>D1143-C1143</x:f>
        <x:v>-1</x:v>
      </x:c>
    </x:row>
    <x:row r="1144">
      <x:c r="A1144" s="13" t="str">
        <x:v>PAG-001143</x:v>
      </x:c>
      <x:c r="B1144" s="23" t="n">
        <x:v>46132</x:v>
      </x:c>
      <x:c r="C1144" s="23" t="n">
        <x:v>46139</x:v>
      </x:c>
      <x:c r="D1144" s="23" t="n">
        <x:v>46140</x:v>
      </x:c>
      <x:c r="E1144" s="13" t="str">
        <x:v>WorkSpace</x:v>
      </x:c>
      <x:c r="F1144" s="13" t="str">
        <x:v>Locação</x:v>
      </x:c>
      <x:c r="G1144" s="17" t="n">
        <x:v>11290.99</x:v>
      </x:c>
      <x:c r="H1144" s="17" t="n">
        <x:v>10924.65</x:v>
      </x:c>
      <x:c r="I1144" s="13" t="str">
        <x:v>Financeiro</x:v>
      </x:c>
      <x:c r="J1144" s="13" t="str">
        <x:v>Pago</x:v>
      </x:c>
      <x:c r="K1144" s="13" t="str">
        <x:v>Escala inteligente</x:v>
      </x:c>
      <x:c r="L1144" s="17" t="n">
        <x:f>H1144-G1144</x:f>
        <x:v>-366.34000000000015</x:v>
      </x:c>
      <x:c r="M1144" s="19" t="n">
        <x:f>IFERROR(L1144/G1144,0)</x:f>
        <x:v>-0.03244533915980797</x:v>
      </x:c>
      <x:c r="N1144" s="13" t="n">
        <x:f>D1144-C1144</x:f>
        <x:v>1</x:v>
      </x:c>
    </x:row>
    <x:row r="1145">
      <x:c r="A1145" s="13" t="str">
        <x:v>PAG-001144</x:v>
      </x:c>
      <x:c r="B1145" s="23" t="n">
        <x:v>46130</x:v>
      </x:c>
      <x:c r="C1145" s="23" t="n">
        <x:v>46137</x:v>
      </x:c>
      <x:c r="D1145" s="23" t="n">
        <x:v>46137</x:v>
      </x:c>
      <x:c r="E1145" s="13" t="str">
        <x:v>NetLink</x:v>
      </x:c>
      <x:c r="F1145" s="13" t="str">
        <x:v>Telecomunicações</x:v>
      </x:c>
      <x:c r="G1145" s="17" t="n">
        <x:v>17643.81</x:v>
      </x:c>
      <x:c r="H1145" s="17" t="n">
        <x:v>17163.57</x:v>
      </x:c>
      <x:c r="I1145" s="13" t="str">
        <x:v>Diretoria</x:v>
      </x:c>
      <x:c r="J1145" s="13" t="str">
        <x:v>Pago</x:v>
      </x:c>
      <x:c r="K1145" s="13" t="str">
        <x:v>Escala inteligente</x:v>
      </x:c>
      <x:c r="L1145" s="17" t="n">
        <x:f>H1145-G1145</x:f>
        <x:v>-480.2400000000016</x:v>
      </x:c>
      <x:c r="M1145" s="19" t="n">
        <x:f>IFERROR(L1145/G1145,0)</x:f>
        <x:v>-0.0272186109462753</x:v>
      </x:c>
      <x:c r="N1145" s="13" t="n">
        <x:f>D1145-C1145</x:f>
        <x:v>0</x:v>
      </x:c>
    </x:row>
    <x:row r="1146">
      <x:c r="A1146" s="13" t="str">
        <x:v>PAG-001145</x:v>
      </x:c>
      <x:c r="B1146" s="23" t="n">
        <x:v>46124</x:v>
      </x:c>
      <x:c r="C1146" s="23" t="n">
        <x:v>46154</x:v>
      </x:c>
      <x:c r="D1146" s="23" t="n">
        <x:v>46152</x:v>
      </x:c>
      <x:c r="E1146" s="13" t="str">
        <x:v>EducaPro</x:v>
      </x:c>
      <x:c r="F1146" s="13" t="str">
        <x:v>Treinamentos</x:v>
      </x:c>
      <x:c r="G1146" s="17" t="n">
        <x:v>17756.46</x:v>
      </x:c>
      <x:c r="H1146" s="17" t="n">
        <x:v>18370.15</x:v>
      </x:c>
      <x:c r="I1146" s="13" t="str">
        <x:v>Gestor da área</x:v>
      </x:c>
      <x:c r="J1146" s="13" t="str">
        <x:v>Pago</x:v>
      </x:c>
      <x:c r="K1146" s="13" t="str">
        <x:v>Escala inteligente</x:v>
      </x:c>
      <x:c r="L1146" s="17" t="n">
        <x:f>H1146-G1146</x:f>
        <x:v>613.6900000000023</x:v>
      </x:c>
      <x:c r="M1146" s="19" t="n">
        <x:f>IFERROR(L1146/G1146,0)</x:f>
        <x:v>0.03456150606596148</x:v>
      </x:c>
      <x:c r="N1146" s="13" t="n">
        <x:f>D1146-C1146</x:f>
        <x:v>-2</x:v>
      </x:c>
    </x:row>
    <x:row r="1147">
      <x:c r="A1147" s="13" t="str">
        <x:v>PAG-001146</x:v>
      </x:c>
      <x:c r="B1147" s="23" t="n">
        <x:v>46129</x:v>
      </x:c>
      <x:c r="C1147" s="23" t="n">
        <x:v>46159</x:v>
      </x:c>
      <x:c r="D1147" s="23" t="n">
        <x:v>46159</x:v>
      </x:c>
      <x:c r="E1147" s="13" t="str">
        <x:v>Conta Certa</x:v>
      </x:c>
      <x:c r="F1147" s="13" t="str">
        <x:v>Contabilidade</x:v>
      </x:c>
      <x:c r="G1147" s="17" t="n">
        <x:v>29004.47</x:v>
      </x:c>
      <x:c r="H1147" s="17" t="n">
        <x:v>28835.77</x:v>
      </x:c>
      <x:c r="I1147" s="13" t="str">
        <x:v>Gestor da área</x:v>
      </x:c>
      <x:c r="J1147" s="13" t="str">
        <x:v>Pago</x:v>
      </x:c>
      <x:c r="K1147" s="13" t="str">
        <x:v>Escala inteligente</x:v>
      </x:c>
      <x:c r="L1147" s="17" t="n">
        <x:f>H1147-G1147</x:f>
        <x:v>-168.70000000000073</x:v>
      </x:c>
      <x:c r="M1147" s="19" t="n">
        <x:f>IFERROR(L1147/G1147,0)</x:f>
        <x:v>-0.0058163448599474745</x:v>
      </x:c>
      <x:c r="N1147" s="13" t="n">
        <x:f>D1147-C1147</x:f>
        <x:v>0</x:v>
      </x:c>
    </x:row>
    <x:row r="1148">
      <x:c r="A1148" s="13" t="str">
        <x:v>PAG-001147</x:v>
      </x:c>
      <x:c r="B1148" s="23" t="n">
        <x:v>46122</x:v>
      </x:c>
      <x:c r="C1148" s="23" t="n">
        <x:v>46129</x:v>
      </x:c>
      <x:c r="D1148" s="23" t="n">
        <x:v>46126</x:v>
      </x:c>
      <x:c r="E1148" s="13" t="str">
        <x:v>Conta Certa</x:v>
      </x:c>
      <x:c r="F1148" s="13" t="str">
        <x:v>Contabilidade</x:v>
      </x:c>
      <x:c r="G1148" s="17" t="n">
        <x:v>21596.99</x:v>
      </x:c>
      <x:c r="H1148" s="17" t="n">
        <x:v>21820.96</x:v>
      </x:c>
      <x:c r="I1148" s="13" t="str">
        <x:v>Financeiro</x:v>
      </x:c>
      <x:c r="J1148" s="13" t="str">
        <x:v>Pago</x:v>
      </x:c>
      <x:c r="K1148" s="13" t="str">
        <x:v>Escala inteligente</x:v>
      </x:c>
      <x:c r="L1148" s="17" t="n">
        <x:f>H1148-G1148</x:f>
        <x:v>223.96999999999753</x:v>
      </x:c>
      <x:c r="M1148" s="19" t="n">
        <x:f>IFERROR(L1148/G1148,0)</x:f>
        <x:v>0.010370426619635307</x:v>
      </x:c>
      <x:c r="N1148" s="13" t="n">
        <x:f>D1148-C1148</x:f>
        <x:v>-3</x:v>
      </x:c>
    </x:row>
    <x:row r="1149">
      <x:c r="A1149" s="13" t="str">
        <x:v>PAG-001148</x:v>
      </x:c>
      <x:c r="B1149" s="23" t="n">
        <x:v>46126</x:v>
      </x:c>
      <x:c r="C1149" s="23" t="n">
        <x:v>46156</x:v>
      </x:c>
      <x:c r="D1149" s="23" t="n">
        <x:v>46154</x:v>
      </x:c>
      <x:c r="E1149" s="13" t="str">
        <x:v>PeopleHub</x:v>
      </x:c>
      <x:c r="F1149" s="13" t="str">
        <x:v>Recursos Humanos</x:v>
      </x:c>
      <x:c r="G1149" s="17" t="n">
        <x:v>11099.34</x:v>
      </x:c>
      <x:c r="H1149" s="17" t="n">
        <x:v>10943.6</x:v>
      </x:c>
      <x:c r="I1149" s="13" t="str">
        <x:v>Diretoria</x:v>
      </x:c>
      <x:c r="J1149" s="13" t="str">
        <x:v>Pago</x:v>
      </x:c>
      <x:c r="K1149" s="13" t="str">
        <x:v>Escala inteligente</x:v>
      </x:c>
      <x:c r="L1149" s="17" t="n">
        <x:f>H1149-G1149</x:f>
        <x:v>-155.73999999999978</x:v>
      </x:c>
      <x:c r="M1149" s="19" t="n">
        <x:f>IFERROR(L1149/G1149,0)</x:f>
        <x:v>-0.014031464933951007</x:v>
      </x:c>
      <x:c r="N1149" s="13" t="n">
        <x:f>D1149-C1149</x:f>
        <x:v>-2</x:v>
      </x:c>
    </x:row>
    <x:row r="1150">
      <x:c r="A1150" s="13" t="str">
        <x:v>PAG-001149</x:v>
      </x:c>
      <x:c r="B1150" s="23" t="n">
        <x:v>46126</x:v>
      </x:c>
      <x:c r="C1150" s="23" t="n">
        <x:v>46133</x:v>
      </x:c>
      <x:c r="D1150" s="23" t="n">
        <x:v>46133</x:v>
      </x:c>
      <x:c r="E1150" s="13" t="str">
        <x:v>LegalMais</x:v>
      </x:c>
      <x:c r="F1150" s="13" t="str">
        <x:v>Jurídico</x:v>
      </x:c>
      <x:c r="G1150" s="17" t="n">
        <x:v>11477.43</x:v>
      </x:c>
      <x:c r="H1150" s="17" t="n">
        <x:v>11623.25</x:v>
      </x:c>
      <x:c r="I1150" s="13" t="str">
        <x:v>Financeiro</x:v>
      </x:c>
      <x:c r="J1150" s="13" t="str">
        <x:v>Pago</x:v>
      </x:c>
      <x:c r="K1150" s="13" t="str">
        <x:v>Escala inteligente</x:v>
      </x:c>
      <x:c r="L1150" s="17" t="n">
        <x:f>H1150-G1150</x:f>
        <x:v>145.8199999999997</x:v>
      </x:c>
      <x:c r="M1150" s="19" t="n">
        <x:f>IFERROR(L1150/G1150,0)</x:f>
        <x:v>0.01270493481554666</x:v>
      </x:c>
      <x:c r="N1150" s="13" t="n">
        <x:f>D1150-C1150</x:f>
        <x:v>0</x:v>
      </x:c>
    </x:row>
    <x:row r="1151">
      <x:c r="A1151" s="13" t="str">
        <x:v>PAG-001150</x:v>
      </x:c>
      <x:c r="B1151" s="23" t="n">
        <x:v>46132</x:v>
      </x:c>
      <x:c r="C1151" s="23" t="n">
        <x:v>46147</x:v>
      </x:c>
      <x:c r="D1151" s="23" t="n">
        <x:v>46148</x:v>
      </x:c>
      <x:c r="E1151" s="13" t="str">
        <x:v>Insight BI</x:v>
      </x:c>
      <x:c r="F1151" s="13" t="str">
        <x:v>Dados e Analytics</x:v>
      </x:c>
      <x:c r="G1151" s="17" t="n">
        <x:v>8880.89</x:v>
      </x:c>
      <x:c r="H1151" s="17" t="n">
        <x:v>9222.1</x:v>
      </x:c>
      <x:c r="I1151" s="13" t="str">
        <x:v>Gestor da área</x:v>
      </x:c>
      <x:c r="J1151" s="13" t="str">
        <x:v>Pago</x:v>
      </x:c>
      <x:c r="K1151" s="13" t="str">
        <x:v>Escala inteligente</x:v>
      </x:c>
      <x:c r="L1151" s="17" t="n">
        <x:f>H1151-G1151</x:f>
        <x:v>341.21000000000095</x:v>
      </x:c>
      <x:c r="M1151" s="19" t="n">
        <x:f>IFERROR(L1151/G1151,0)</x:f>
        <x:v>0.03842069882635648</x:v>
      </x:c>
      <x:c r="N1151" s="13" t="n">
        <x:f>D1151-C1151</x:f>
        <x:v>1</x:v>
      </x:c>
    </x:row>
    <x:row r="1152">
      <x:c r="A1152" s="13" t="str">
        <x:v>PAG-001151</x:v>
      </x:c>
      <x:c r="B1152" s="23" t="n">
        <x:v>46129</x:v>
      </x:c>
      <x:c r="C1152" s="23" t="n">
        <x:v>46149</x:v>
      </x:c>
      <x:c r="D1152" s="23" t="n">
        <x:v>46149</x:v>
      </x:c>
      <x:c r="E1152" s="13" t="str">
        <x:v>Banco Integra</x:v>
      </x:c>
      <x:c r="F1152" s="13" t="str">
        <x:v>Serviços bancários</x:v>
      </x:c>
      <x:c r="G1152" s="17" t="n">
        <x:v>11331.9</x:v>
      </x:c>
      <x:c r="H1152" s="17" t="n">
        <x:v>11446.13</x:v>
      </x:c>
      <x:c r="I1152" s="13" t="str">
        <x:v>Financeiro</x:v>
      </x:c>
      <x:c r="J1152" s="13" t="str">
        <x:v>Pago</x:v>
      </x:c>
      <x:c r="K1152" s="13" t="str">
        <x:v>Escala inteligente</x:v>
      </x:c>
      <x:c r="L1152" s="17" t="n">
        <x:f>H1152-G1152</x:f>
        <x:v>114.22999999999956</x:v>
      </x:c>
      <x:c r="M1152" s="19" t="n">
        <x:f>IFERROR(L1152/G1152,0)</x:f>
        <x:v>0.010080392520230462</x:v>
      </x:c>
      <x:c r="N1152" s="13" t="n">
        <x:f>D1152-C1152</x:f>
        <x:v>0</x:v>
      </x:c>
    </x:row>
    <x:row r="1153">
      <x:c r="A1153" s="13" t="str">
        <x:v>PAG-001152</x:v>
      </x:c>
      <x:c r="B1153" s="23" t="n">
        <x:v>46113</x:v>
      </x:c>
      <x:c r="C1153" s="23" t="n">
        <x:v>46120</x:v>
      </x:c>
      <x:c r="D1153" s="23" t="n">
        <x:v>46117</x:v>
      </x:c>
      <x:c r="E1153" s="13" t="str">
        <x:v>Office Prime</x:v>
      </x:c>
      <x:c r="F1153" s="13" t="str">
        <x:v>Escritório</x:v>
      </x:c>
      <x:c r="G1153" s="17" t="n">
        <x:v>24683.26</x:v>
      </x:c>
      <x:c r="H1153" s="17" t="n">
        <x:v>24545.88</x:v>
      </x:c>
      <x:c r="I1153" s="13" t="str">
        <x:v>Gestor da área</x:v>
      </x:c>
      <x:c r="J1153" s="13" t="str">
        <x:v>Pago</x:v>
      </x:c>
      <x:c r="K1153" s="13" t="str">
        <x:v>Escala inteligente</x:v>
      </x:c>
      <x:c r="L1153" s="17" t="n">
        <x:f>H1153-G1153</x:f>
        <x:v>-137.37999999999738</x:v>
      </x:c>
      <x:c r="M1153" s="19" t="n">
        <x:f>IFERROR(L1153/G1153,0)</x:f>
        <x:v>-0.00556571538767559</x:v>
      </x:c>
      <x:c r="N1153" s="13" t="n">
        <x:f>D1153-C1153</x:f>
        <x:v>-3</x:v>
      </x:c>
    </x:row>
    <x:row r="1154">
      <x:c r="A1154" s="13" t="str">
        <x:v>PAG-001153</x:v>
      </x:c>
      <x:c r="B1154" s="23" t="n">
        <x:v>46123</x:v>
      </x:c>
      <x:c r="C1154" s="23" t="n">
        <x:v>46138</x:v>
      </x:c>
      <x:c r="D1154" s="23" t="n">
        <x:v>46138</x:v>
      </x:c>
      <x:c r="E1154" s="13" t="str">
        <x:v>WorkSpace</x:v>
      </x:c>
      <x:c r="F1154" s="13" t="str">
        <x:v>Locação</x:v>
      </x:c>
      <x:c r="G1154" s="17" t="n">
        <x:v>5576.73</x:v>
      </x:c>
      <x:c r="H1154" s="17" t="n">
        <x:v>5514.15</x:v>
      </x:c>
      <x:c r="I1154" s="13" t="str">
        <x:v>Diretoria</x:v>
      </x:c>
      <x:c r="J1154" s="13" t="str">
        <x:v>Pago</x:v>
      </x:c>
      <x:c r="K1154" s="13" t="str">
        <x:v>Escala inteligente</x:v>
      </x:c>
      <x:c r="L1154" s="17" t="n">
        <x:f>H1154-G1154</x:f>
        <x:v>-62.57999999999993</x:v>
      </x:c>
      <x:c r="M1154" s="19" t="n">
        <x:f>IFERROR(L1154/G1154,0)</x:f>
        <x:v>-0.011221629879875829</x:v>
      </x:c>
      <x:c r="N1154" s="13" t="n">
        <x:f>D1154-C1154</x:f>
        <x:v>0</x:v>
      </x:c>
    </x:row>
    <x:row r="1155">
      <x:c r="A1155" s="13" t="str">
        <x:v>PAG-001154</x:v>
      </x:c>
      <x:c r="B1155" s="23" t="n">
        <x:v>46123</x:v>
      </x:c>
      <x:c r="C1155" s="23" t="n">
        <x:v>46143</x:v>
      </x:c>
      <x:c r="D1155" s="23" t="n">
        <x:v>46140</x:v>
      </x:c>
      <x:c r="E1155" s="13" t="str">
        <x:v>MarketLab</x:v>
      </x:c>
      <x:c r="F1155" s="13" t="str">
        <x:v>Marketing</x:v>
      </x:c>
      <x:c r="G1155" s="17" t="n">
        <x:v>16789.78</x:v>
      </x:c>
      <x:c r="H1155" s="17" t="n">
        <x:v>16494.86</x:v>
      </x:c>
      <x:c r="I1155" s="13" t="str">
        <x:v>Financeiro</x:v>
      </x:c>
      <x:c r="J1155" s="13" t="str">
        <x:v>Pago</x:v>
      </x:c>
      <x:c r="K1155" s="13" t="str">
        <x:v>Escala inteligente</x:v>
      </x:c>
      <x:c r="L1155" s="17" t="n">
        <x:f>H1155-G1155</x:f>
        <x:v>-294.91999999999825</x:v>
      </x:c>
      <x:c r="M1155" s="19" t="n">
        <x:f>IFERROR(L1155/G1155,0)</x:f>
        <x:v>-0.017565447552022617</x:v>
      </x:c>
      <x:c r="N1155" s="13" t="n">
        <x:f>D1155-C1155</x:f>
        <x:v>-3</x:v>
      </x:c>
    </x:row>
    <x:row r="1156">
      <x:c r="A1156" s="13" t="str">
        <x:v>PAG-001155</x:v>
      </x:c>
      <x:c r="B1156" s="23" t="n">
        <x:v>46113</x:v>
      </x:c>
      <x:c r="C1156" s="23" t="n">
        <x:v>46143</x:v>
      </x:c>
      <x:c r="D1156" s="23" t="n">
        <x:v>46141</x:v>
      </x:c>
      <x:c r="E1156" s="13" t="str">
        <x:v>Insight BI</x:v>
      </x:c>
      <x:c r="F1156" s="13" t="str">
        <x:v>Dados e Analytics</x:v>
      </x:c>
      <x:c r="G1156" s="17" t="n">
        <x:v>30134.09</x:v>
      </x:c>
      <x:c r="H1156" s="17" t="n">
        <x:v>30962.18</x:v>
      </x:c>
      <x:c r="I1156" s="13" t="str">
        <x:v>Financeiro</x:v>
      </x:c>
      <x:c r="J1156" s="13" t="str">
        <x:v>Pago</x:v>
      </x:c>
      <x:c r="K1156" s="13" t="str">
        <x:v>Escala inteligente</x:v>
      </x:c>
      <x:c r="L1156" s="17" t="n">
        <x:f>H1156-G1156</x:f>
        <x:v>828.0900000000001</x:v>
      </x:c>
      <x:c r="M1156" s="19" t="n">
        <x:f>IFERROR(L1156/G1156,0)</x:f>
        <x:v>0.027480172787696596</x:v>
      </x:c>
      <x:c r="N1156" s="13" t="n">
        <x:f>D1156-C1156</x:f>
        <x:v>-2</x:v>
      </x:c>
    </x:row>
    <x:row r="1157">
      <x:c r="A1157" s="13" t="str">
        <x:v>PAG-001156</x:v>
      </x:c>
      <x:c r="B1157" s="23" t="n">
        <x:v>46116</x:v>
      </x:c>
      <x:c r="C1157" s="23" t="n">
        <x:v>46131</x:v>
      </x:c>
      <x:c r="D1157" s="23" t="n">
        <x:v>46130</x:v>
      </x:c>
      <x:c r="E1157" s="13" t="str">
        <x:v>PeopleHub</x:v>
      </x:c>
      <x:c r="F1157" s="13" t="str">
        <x:v>Recursos Humanos</x:v>
      </x:c>
      <x:c r="G1157" s="17" t="n">
        <x:v>6658.49</x:v>
      </x:c>
      <x:c r="H1157" s="17" t="n">
        <x:v>6569.64</x:v>
      </x:c>
      <x:c r="I1157" s="13" t="str">
        <x:v>Financeiro</x:v>
      </x:c>
      <x:c r="J1157" s="13" t="str">
        <x:v>Pago</x:v>
      </x:c>
      <x:c r="K1157" s="13" t="str">
        <x:v>Escala inteligente</x:v>
      </x:c>
      <x:c r="L1157" s="17" t="n">
        <x:f>H1157-G1157</x:f>
        <x:v>-88.84999999999945</x:v>
      </x:c>
      <x:c r="M1157" s="19" t="n">
        <x:f>IFERROR(L1157/G1157,0)</x:f>
        <x:v>-0.013343866251957945</x:v>
      </x:c>
      <x:c r="N1157" s="13" t="n">
        <x:f>D1157-C1157</x:f>
        <x:v>-1</x:v>
      </x:c>
    </x:row>
    <x:row r="1158">
      <x:c r="A1158" s="13" t="str">
        <x:v>PAG-001157</x:v>
      </x:c>
      <x:c r="B1158" s="23" t="n">
        <x:v>46114</x:v>
      </x:c>
      <x:c r="C1158" s="23" t="n">
        <x:v>46121</x:v>
      </x:c>
      <x:c r="D1158" s="23" t="n">
        <x:v>46119</x:v>
      </x:c>
      <x:c r="E1158" s="13" t="str">
        <x:v>EducaPro</x:v>
      </x:c>
      <x:c r="F1158" s="13" t="str">
        <x:v>Treinamentos</x:v>
      </x:c>
      <x:c r="G1158" s="17" t="n">
        <x:v>20081.95</x:v>
      </x:c>
      <x:c r="H1158" s="17" t="n">
        <x:v>20143.63</x:v>
      </x:c>
      <x:c r="I1158" s="13" t="str">
        <x:v>Gestor da área</x:v>
      </x:c>
      <x:c r="J1158" s="13" t="str">
        <x:v>Pago</x:v>
      </x:c>
      <x:c r="K1158" s="13" t="str">
        <x:v>Escala inteligente</x:v>
      </x:c>
      <x:c r="L1158" s="17" t="n">
        <x:f>H1158-G1158</x:f>
        <x:v>61.68000000000029</x:v>
      </x:c>
      <x:c r="M1158" s="19" t="n">
        <x:f>IFERROR(L1158/G1158,0)</x:f>
        <x:v>0.003071414877539297</x:v>
      </x:c>
      <x:c r="N1158" s="13" t="n">
        <x:f>D1158-C1158</x:f>
        <x:v>-2</x:v>
      </x:c>
    </x:row>
    <x:row r="1159">
      <x:c r="A1159" s="13" t="str">
        <x:v>PAG-001158</x:v>
      </x:c>
      <x:c r="B1159" s="23" t="n">
        <x:v>46124</x:v>
      </x:c>
      <x:c r="C1159" s="23" t="n">
        <x:v>46131</x:v>
      </x:c>
      <x:c r="D1159" s="23" t="n">
        <x:v>46128</x:v>
      </x:c>
      <x:c r="E1159" s="13" t="str">
        <x:v>CloudCore</x:v>
      </x:c>
      <x:c r="F1159" s="13" t="str">
        <x:v>Tecnologia</x:v>
      </x:c>
      <x:c r="G1159" s="17" t="n">
        <x:v>3148.42</x:v>
      </x:c>
      <x:c r="H1159" s="17" t="n">
        <x:v>3234.61</x:v>
      </x:c>
      <x:c r="I1159" s="13" t="str">
        <x:v>Gestor da área</x:v>
      </x:c>
      <x:c r="J1159" s="13" t="str">
        <x:v>Pago</x:v>
      </x:c>
      <x:c r="K1159" s="13" t="str">
        <x:v>Escala inteligente</x:v>
      </x:c>
      <x:c r="L1159" s="17" t="n">
        <x:f>H1159-G1159</x:f>
        <x:v>86.19000000000005</x:v>
      </x:c>
      <x:c r="M1159" s="19" t="n">
        <x:f>IFERROR(L1159/G1159,0)</x:f>
        <x:v>0.027375636033311963</x:v>
      </x:c>
      <x:c r="N1159" s="13" t="n">
        <x:f>D1159-C1159</x:f>
        <x:v>-3</x:v>
      </x:c>
    </x:row>
    <x:row r="1160">
      <x:c r="A1160" s="13" t="str">
        <x:v>PAG-001159</x:v>
      </x:c>
      <x:c r="B1160" s="23" t="n">
        <x:v>46121</x:v>
      </x:c>
      <x:c r="C1160" s="23" t="n">
        <x:v>46151</x:v>
      </x:c>
      <x:c r="D1160" s="23" t="n">
        <x:v>46152</x:v>
      </x:c>
      <x:c r="E1160" s="13" t="str">
        <x:v>WorkSpace</x:v>
      </x:c>
      <x:c r="F1160" s="13" t="str">
        <x:v>Locação</x:v>
      </x:c>
      <x:c r="G1160" s="17" t="n">
        <x:v>9457.26</x:v>
      </x:c>
      <x:c r="H1160" s="17" t="n">
        <x:v>9281.26</x:v>
      </x:c>
      <x:c r="I1160" s="13" t="str">
        <x:v>Gestor da área</x:v>
      </x:c>
      <x:c r="J1160" s="13" t="str">
        <x:v>Pago</x:v>
      </x:c>
      <x:c r="K1160" s="13" t="str">
        <x:v>Escala inteligente</x:v>
      </x:c>
      <x:c r="L1160" s="17" t="n">
        <x:f>H1160-G1160</x:f>
        <x:v>-176</x:v>
      </x:c>
      <x:c r="M1160" s="19" t="n">
        <x:f>IFERROR(L1160/G1160,0)</x:f>
        <x:v>-0.01861004138619431</x:v>
      </x:c>
      <x:c r="N1160" s="13" t="n">
        <x:f>D1160-C1160</x:f>
        <x:v>1</x:v>
      </x:c>
    </x:row>
    <x:row r="1161">
      <x:c r="A1161" s="13" t="str">
        <x:v>PAG-001160</x:v>
      </x:c>
      <x:c r="B1161" s="23" t="n">
        <x:v>46126</x:v>
      </x:c>
      <x:c r="C1161" s="23" t="n">
        <x:v>46156</x:v>
      </x:c>
      <x:c r="D1161" s="23" t="n">
        <x:v>46155</x:v>
      </x:c>
      <x:c r="E1161" s="13" t="str">
        <x:v>Office Prime</x:v>
      </x:c>
      <x:c r="F1161" s="13" t="str">
        <x:v>Escritório</x:v>
      </x:c>
      <x:c r="G1161" s="17" t="n">
        <x:v>27331.69</x:v>
      </x:c>
      <x:c r="H1161" s="17" t="n">
        <x:v>26382.4</x:v>
      </x:c>
      <x:c r="I1161" s="13" t="str">
        <x:v>Gestor da área</x:v>
      </x:c>
      <x:c r="J1161" s="13" t="str">
        <x:v>Pago</x:v>
      </x:c>
      <x:c r="K1161" s="13" t="str">
        <x:v>Escala inteligente</x:v>
      </x:c>
      <x:c r="L1161" s="17" t="n">
        <x:f>H1161-G1161</x:f>
        <x:v>-949.2899999999972</x:v>
      </x:c>
      <x:c r="M1161" s="19" t="n">
        <x:f>IFERROR(L1161/G1161,0)</x:f>
        <x:v>-0.03473221011946196</x:v>
      </x:c>
      <x:c r="N1161" s="13" t="n">
        <x:f>D1161-C1161</x:f>
        <x:v>-1</x:v>
      </x:c>
    </x:row>
    <x:row r="1162">
      <x:c r="A1162" s="13" t="str">
        <x:v>PAG-001161</x:v>
      </x:c>
      <x:c r="B1162" s="23" t="n">
        <x:v>46118</x:v>
      </x:c>
      <x:c r="C1162" s="23" t="n">
        <x:v>46148</x:v>
      </x:c>
      <x:c r="D1162" s="23" t="n">
        <x:v>46147</x:v>
      </x:c>
      <x:c r="E1162" s="13" t="str">
        <x:v>LegalMais</x:v>
      </x:c>
      <x:c r="F1162" s="13" t="str">
        <x:v>Jurídico</x:v>
      </x:c>
      <x:c r="G1162" s="17" t="n">
        <x:v>11263.44</x:v>
      </x:c>
      <x:c r="H1162" s="17" t="n">
        <x:v>11462.42</x:v>
      </x:c>
      <x:c r="I1162" s="13" t="str">
        <x:v>Financeiro</x:v>
      </x:c>
      <x:c r="J1162" s="13" t="str">
        <x:v>Pago</x:v>
      </x:c>
      <x:c r="K1162" s="13" t="str">
        <x:v>Escala inteligente</x:v>
      </x:c>
      <x:c r="L1162" s="17" t="n">
        <x:f>H1162-G1162</x:f>
        <x:v>198.97999999999956</x:v>
      </x:c>
      <x:c r="M1162" s="19" t="n">
        <x:f>IFERROR(L1162/G1162,0)</x:f>
        <x:v>0.017666006122463437</x:v>
      </x:c>
      <x:c r="N1162" s="13" t="n">
        <x:f>D1162-C1162</x:f>
        <x:v>-1</x:v>
      </x:c>
    </x:row>
    <x:row r="1163">
      <x:c r="A1163" s="13" t="str">
        <x:v>PAG-001162</x:v>
      </x:c>
      <x:c r="B1163" s="23" t="n">
        <x:v>46118</x:v>
      </x:c>
      <x:c r="C1163" s="23" t="n">
        <x:v>46138</x:v>
      </x:c>
      <x:c r="D1163" s="23" t="n">
        <x:v>46135</x:v>
      </x:c>
      <x:c r="E1163" s="13" t="str">
        <x:v>Banco Integra</x:v>
      </x:c>
      <x:c r="F1163" s="13" t="str">
        <x:v>Serviços bancários</x:v>
      </x:c>
      <x:c r="G1163" s="17" t="n">
        <x:v>9937.35</x:v>
      </x:c>
      <x:c r="H1163" s="17" t="n">
        <x:v>10036.59</x:v>
      </x:c>
      <x:c r="I1163" s="13" t="str">
        <x:v>Diretoria</x:v>
      </x:c>
      <x:c r="J1163" s="13" t="str">
        <x:v>Pago</x:v>
      </x:c>
      <x:c r="K1163" s="13" t="str">
        <x:v>Escala inteligente</x:v>
      </x:c>
      <x:c r="L1163" s="17" t="n">
        <x:f>H1163-G1163</x:f>
        <x:v>99.23999999999978</x:v>
      </x:c>
      <x:c r="M1163" s="19" t="n">
        <x:f>IFERROR(L1163/G1163,0)</x:f>
        <x:v>0.009986565834955977</x:v>
      </x:c>
      <x:c r="N1163" s="13" t="n">
        <x:f>D1163-C1163</x:f>
        <x:v>-3</x:v>
      </x:c>
    </x:row>
    <x:row r="1164">
      <x:c r="A1164" s="13" t="str">
        <x:v>PAG-001163</x:v>
      </x:c>
      <x:c r="B1164" s="23" t="n">
        <x:v>46123</x:v>
      </x:c>
      <x:c r="C1164" s="23" t="n">
        <x:v>46138</x:v>
      </x:c>
      <x:c r="D1164" s="23" t="n">
        <x:v>46139</x:v>
      </x:c>
      <x:c r="E1164" s="13" t="str">
        <x:v>Insight BI</x:v>
      </x:c>
      <x:c r="F1164" s="13" t="str">
        <x:v>Dados e Analytics</x:v>
      </x:c>
      <x:c r="G1164" s="17" t="n">
        <x:v>30068.88</x:v>
      </x:c>
      <x:c r="H1164" s="17" t="n">
        <x:v>29170.52</x:v>
      </x:c>
      <x:c r="I1164" s="13" t="str">
        <x:v>Diretoria</x:v>
      </x:c>
      <x:c r="J1164" s="13" t="str">
        <x:v>Pago</x:v>
      </x:c>
      <x:c r="K1164" s="13" t="str">
        <x:v>Escala inteligente</x:v>
      </x:c>
      <x:c r="L1164" s="17" t="n">
        <x:f>H1164-G1164</x:f>
        <x:v>-898.3600000000006</x:v>
      </x:c>
      <x:c r="M1164" s="19" t="n">
        <x:f>IFERROR(L1164/G1164,0)</x:f>
        <x:v>-0.029876736346681372</x:v>
      </x:c>
      <x:c r="N1164" s="13" t="n">
        <x:f>D1164-C1164</x:f>
        <x:v>1</x:v>
      </x:c>
    </x:row>
    <x:row r="1165">
      <x:c r="A1165" s="13" t="str">
        <x:v>PAG-001164</x:v>
      </x:c>
      <x:c r="B1165" s="23" t="n">
        <x:v>46122</x:v>
      </x:c>
      <x:c r="C1165" s="23" t="n">
        <x:v>46137</x:v>
      </x:c>
      <x:c r="D1165" s="23" t="n">
        <x:v>46135</x:v>
      </x:c>
      <x:c r="E1165" s="13" t="str">
        <x:v>EducaPro</x:v>
      </x:c>
      <x:c r="F1165" s="13" t="str">
        <x:v>Treinamentos</x:v>
      </x:c>
      <x:c r="G1165" s="17" t="n">
        <x:v>25641.82</x:v>
      </x:c>
      <x:c r="H1165" s="17" t="n">
        <x:v>25480.04</x:v>
      </x:c>
      <x:c r="I1165" s="13" t="str">
        <x:v>Diretoria</x:v>
      </x:c>
      <x:c r="J1165" s="13" t="str">
        <x:v>Pago</x:v>
      </x:c>
      <x:c r="K1165" s="13" t="str">
        <x:v>Escala inteligente</x:v>
      </x:c>
      <x:c r="L1165" s="17" t="n">
        <x:f>H1165-G1165</x:f>
        <x:v>-161.77999999999884</x:v>
      </x:c>
      <x:c r="M1165" s="19" t="n">
        <x:f>IFERROR(L1165/G1165,0)</x:f>
        <x:v>-0.006309224540223699</x:v>
      </x:c>
      <x:c r="N1165" s="13" t="n">
        <x:f>D1165-C1165</x:f>
        <x:v>-2</x:v>
      </x:c>
    </x:row>
    <x:row r="1166">
      <x:c r="A1166" s="13" t="str">
        <x:v>PAG-001165</x:v>
      </x:c>
      <x:c r="B1166" s="23" t="n">
        <x:v>46115</x:v>
      </x:c>
      <x:c r="C1166" s="23" t="n">
        <x:v>46130</x:v>
      </x:c>
      <x:c r="D1166" s="23" t="n">
        <x:v>46131</x:v>
      </x:c>
      <x:c r="E1166" s="13" t="str">
        <x:v>Conta Certa</x:v>
      </x:c>
      <x:c r="F1166" s="13" t="str">
        <x:v>Contabilidade</x:v>
      </x:c>
      <x:c r="G1166" s="17" t="n">
        <x:v>21100.87</x:v>
      </x:c>
      <x:c r="H1166" s="17" t="n">
        <x:v>21354.4</x:v>
      </x:c>
      <x:c r="I1166" s="13" t="str">
        <x:v>Gestor da área</x:v>
      </x:c>
      <x:c r="J1166" s="13" t="str">
        <x:v>Pago</x:v>
      </x:c>
      <x:c r="K1166" s="13" t="str">
        <x:v>Escala inteligente</x:v>
      </x:c>
      <x:c r="L1166" s="17" t="n">
        <x:f>H1166-G1166</x:f>
        <x:v>253.53000000000247</x:v>
      </x:c>
      <x:c r="M1166" s="19" t="n">
        <x:f>IFERROR(L1166/G1166,0)</x:f>
        <x:v>0.012015144399259485</x:v>
      </x:c>
      <x:c r="N1166" s="13" t="n">
        <x:f>D1166-C1166</x:f>
        <x:v>1</x:v>
      </x:c>
    </x:row>
    <x:row r="1167">
      <x:c r="A1167" s="13" t="str">
        <x:v>PAG-001166</x:v>
      </x:c>
      <x:c r="B1167" s="23" t="n">
        <x:v>46117</x:v>
      </x:c>
      <x:c r="C1167" s="23" t="n">
        <x:v>46137</x:v>
      </x:c>
      <x:c r="D1167" s="23" t="n">
        <x:v>46135</x:v>
      </x:c>
      <x:c r="E1167" s="13" t="str">
        <x:v>EducaPro</x:v>
      </x:c>
      <x:c r="F1167" s="13" t="str">
        <x:v>Treinamentos</x:v>
      </x:c>
      <x:c r="G1167" s="17" t="n">
        <x:v>23187.75</x:v>
      </x:c>
      <x:c r="H1167" s="17" t="n">
        <x:v>23799.08</x:v>
      </x:c>
      <x:c r="I1167" s="13" t="str">
        <x:v>Diretoria</x:v>
      </x:c>
      <x:c r="J1167" s="13" t="str">
        <x:v>Pago</x:v>
      </x:c>
      <x:c r="K1167" s="13" t="str">
        <x:v>Escala inteligente</x:v>
      </x:c>
      <x:c r="L1167" s="17" t="n">
        <x:f>H1167-G1167</x:f>
        <x:v>611.3300000000017</x:v>
      </x:c>
      <x:c r="M1167" s="19" t="n">
        <x:f>IFERROR(L1167/G1167,0)</x:f>
        <x:v>0.02636435186682631</x:v>
      </x:c>
      <x:c r="N1167" s="13" t="n">
        <x:f>D1167-C1167</x:f>
        <x:v>-2</x:v>
      </x:c>
    </x:row>
    <x:row r="1168">
      <x:c r="A1168" s="13" t="str">
        <x:v>PAG-001167</x:v>
      </x:c>
      <x:c r="B1168" s="23" t="n">
        <x:v>46122</x:v>
      </x:c>
      <x:c r="C1168" s="23" t="n">
        <x:v>46152</x:v>
      </x:c>
      <x:c r="D1168" s="23" t="n">
        <x:v>46151</x:v>
      </x:c>
      <x:c r="E1168" s="13" t="str">
        <x:v>DataSafe</x:v>
      </x:c>
      <x:c r="F1168" s="13" t="str">
        <x:v>Segurança da informação</x:v>
      </x:c>
      <x:c r="G1168" s="17" t="n">
        <x:v>8008.86</x:v>
      </x:c>
      <x:c r="H1168" s="17" t="n">
        <x:v>8366.33</x:v>
      </x:c>
      <x:c r="I1168" s="13" t="str">
        <x:v>Diretoria</x:v>
      </x:c>
      <x:c r="J1168" s="13" t="str">
        <x:v>Pago</x:v>
      </x:c>
      <x:c r="K1168" s="13" t="str">
        <x:v>Escala inteligente</x:v>
      </x:c>
      <x:c r="L1168" s="17" t="n">
        <x:f>H1168-G1168</x:f>
        <x:v>357.47000000000025</x:v>
      </x:c>
      <x:c r="M1168" s="19" t="n">
        <x:f>IFERROR(L1168/G1168,0)</x:f>
        <x:v>0.04463431749337612</x:v>
      </x:c>
      <x:c r="N1168" s="13" t="n">
        <x:f>D1168-C1168</x:f>
        <x:v>-1</x:v>
      </x:c>
    </x:row>
    <x:row r="1169">
      <x:c r="A1169" s="13" t="str">
        <x:v>PAG-001168</x:v>
      </x:c>
      <x:c r="B1169" s="23" t="n">
        <x:v>46125</x:v>
      </x:c>
      <x:c r="C1169" s="23" t="n">
        <x:v>46132</x:v>
      </x:c>
      <x:c r="D1169" s="23" t="n">
        <x:v>46130</x:v>
      </x:c>
      <x:c r="E1169" s="13" t="str">
        <x:v>MarketLab</x:v>
      </x:c>
      <x:c r="F1169" s="13" t="str">
        <x:v>Marketing</x:v>
      </x:c>
      <x:c r="G1169" s="17" t="n">
        <x:v>20945.5</x:v>
      </x:c>
      <x:c r="H1169" s="17" t="n">
        <x:v>20782.38</x:v>
      </x:c>
      <x:c r="I1169" s="13" t="str">
        <x:v>Financeiro</x:v>
      </x:c>
      <x:c r="J1169" s="13" t="str">
        <x:v>Pago</x:v>
      </x:c>
      <x:c r="K1169" s="13" t="str">
        <x:v>Escala inteligente</x:v>
      </x:c>
      <x:c r="L1169" s="17" t="n">
        <x:f>H1169-G1169</x:f>
        <x:v>-163.11999999999898</x:v>
      </x:c>
      <x:c r="M1169" s="19" t="n">
        <x:f>IFERROR(L1169/G1169,0)</x:f>
        <x:v>-0.007787830321548733</x:v>
      </x:c>
      <x:c r="N1169" s="13" t="n">
        <x:f>D1169-C1169</x:f>
        <x:v>-2</x:v>
      </x:c>
    </x:row>
    <x:row r="1170">
      <x:c r="A1170" s="13" t="str">
        <x:v>PAG-001169</x:v>
      </x:c>
      <x:c r="B1170" s="23" t="n">
        <x:v>46114</x:v>
      </x:c>
      <x:c r="C1170" s="23" t="n">
        <x:v>46129</x:v>
      </x:c>
      <x:c r="D1170" s="23" t="n">
        <x:v>46129</x:v>
      </x:c>
      <x:c r="E1170" s="13" t="str">
        <x:v>DataSafe</x:v>
      </x:c>
      <x:c r="F1170" s="13" t="str">
        <x:v>Segurança da informação</x:v>
      </x:c>
      <x:c r="G1170" s="17" t="n">
        <x:v>17367.87</x:v>
      </x:c>
      <x:c r="H1170" s="17" t="n">
        <x:v>17540.8</x:v>
      </x:c>
      <x:c r="I1170" s="13" t="str">
        <x:v>Gestor da área</x:v>
      </x:c>
      <x:c r="J1170" s="13" t="str">
        <x:v>Pago</x:v>
      </x:c>
      <x:c r="K1170" s="13" t="str">
        <x:v>Escala inteligente</x:v>
      </x:c>
      <x:c r="L1170" s="17" t="n">
        <x:f>H1170-G1170</x:f>
        <x:v>172.9300000000003</x:v>
      </x:c>
      <x:c r="M1170" s="19" t="n">
        <x:f>IFERROR(L1170/G1170,0)</x:f>
        <x:v>0.00995689166259307</x:v>
      </x:c>
      <x:c r="N1170" s="13" t="n">
        <x:f>D1170-C1170</x:f>
        <x:v>0</x:v>
      </x:c>
    </x:row>
    <x:row r="1171">
      <x:c r="A1171" s="13" t="str">
        <x:v>PAG-001170</x:v>
      </x:c>
      <x:c r="B1171" s="23" t="n">
        <x:v>46129</x:v>
      </x:c>
      <x:c r="C1171" s="23" t="n">
        <x:v>46159</x:v>
      </x:c>
      <x:c r="D1171" s="23" t="n">
        <x:v>46160</x:v>
      </x:c>
      <x:c r="E1171" s="13" t="str">
        <x:v>NetLink</x:v>
      </x:c>
      <x:c r="F1171" s="13" t="str">
        <x:v>Telecomunicações</x:v>
      </x:c>
      <x:c r="G1171" s="17" t="n">
        <x:v>30913.02</x:v>
      </x:c>
      <x:c r="H1171" s="17" t="n">
        <x:v>30870.73</x:v>
      </x:c>
      <x:c r="I1171" s="13" t="str">
        <x:v>Diretoria</x:v>
      </x:c>
      <x:c r="J1171" s="13" t="str">
        <x:v>Pago</x:v>
      </x:c>
      <x:c r="K1171" s="13" t="str">
        <x:v>Escala inteligente</x:v>
      </x:c>
      <x:c r="L1171" s="17" t="n">
        <x:f>H1171-G1171</x:f>
        <x:v>-42.29000000000087</x:v>
      </x:c>
      <x:c r="M1171" s="19" t="n">
        <x:f>IFERROR(L1171/G1171,0)</x:f>
        <x:v>-0.0013680319813463993</x:v>
      </x:c>
      <x:c r="N1171" s="13" t="n">
        <x:f>D1171-C1171</x:f>
        <x:v>1</x:v>
      </x:c>
    </x:row>
    <x:row r="1172">
      <x:c r="A1172" s="13" t="str">
        <x:v>PAG-001171</x:v>
      </x:c>
      <x:c r="B1172" s="23" t="n">
        <x:v>46115</x:v>
      </x:c>
      <x:c r="C1172" s="23" t="n">
        <x:v>46145</x:v>
      </x:c>
      <x:c r="D1172" s="23" t="n">
        <x:v>46142</x:v>
      </x:c>
      <x:c r="E1172" s="13" t="str">
        <x:v>MarketLab</x:v>
      </x:c>
      <x:c r="F1172" s="13" t="str">
        <x:v>Marketing</x:v>
      </x:c>
      <x:c r="G1172" s="17" t="n">
        <x:v>16826.3</x:v>
      </x:c>
      <x:c r="H1172" s="17" t="n">
        <x:v>16418.93</x:v>
      </x:c>
      <x:c r="I1172" s="13" t="str">
        <x:v>Financeiro</x:v>
      </x:c>
      <x:c r="J1172" s="13" t="str">
        <x:v>Pago</x:v>
      </x:c>
      <x:c r="K1172" s="13" t="str">
        <x:v>Escala inteligente</x:v>
      </x:c>
      <x:c r="L1172" s="17" t="n">
        <x:f>H1172-G1172</x:f>
        <x:v>-407.369999999999</x:v>
      </x:c>
      <x:c r="M1172" s="19" t="n">
        <x:f>IFERROR(L1172/G1172,0)</x:f>
        <x:v>-0.02421031361618413</x:v>
      </x:c>
      <x:c r="N1172" s="13" t="n">
        <x:f>D1172-C1172</x:f>
        <x:v>-3</x:v>
      </x:c>
    </x:row>
    <x:row r="1173">
      <x:c r="A1173" s="13" t="str">
        <x:v>PAG-001172</x:v>
      </x:c>
      <x:c r="B1173" s="23" t="n">
        <x:v>46127</x:v>
      </x:c>
      <x:c r="C1173" s="23" t="n">
        <x:v>46134</x:v>
      </x:c>
      <x:c r="D1173" s="23" t="n">
        <x:v>46132</x:v>
      </x:c>
      <x:c r="E1173" s="13" t="str">
        <x:v>Office Prime</x:v>
      </x:c>
      <x:c r="F1173" s="13" t="str">
        <x:v>Escritório</x:v>
      </x:c>
      <x:c r="G1173" s="17" t="n">
        <x:v>20013.77</x:v>
      </x:c>
      <x:c r="H1173" s="17" t="n">
        <x:v>19489.63</x:v>
      </x:c>
      <x:c r="I1173" s="13" t="str">
        <x:v>Diretoria</x:v>
      </x:c>
      <x:c r="J1173" s="13" t="str">
        <x:v>Pago</x:v>
      </x:c>
      <x:c r="K1173" s="13" t="str">
        <x:v>Escala inteligente</x:v>
      </x:c>
      <x:c r="L1173" s="17" t="n">
        <x:f>H1173-G1173</x:f>
        <x:v>-524.1399999999994</x:v>
      </x:c>
      <x:c r="M1173" s="19" t="n">
        <x:f>IFERROR(L1173/G1173,0)</x:f>
        <x:v>-0.026188968894915822</x:v>
      </x:c>
      <x:c r="N1173" s="13" t="n">
        <x:f>D1173-C1173</x:f>
        <x:v>-2</x:v>
      </x:c>
    </x:row>
    <x:row r="1174">
      <x:c r="A1174" s="13" t="str">
        <x:v>PAG-001173</x:v>
      </x:c>
      <x:c r="B1174" s="23" t="n">
        <x:v>46131</x:v>
      </x:c>
      <x:c r="C1174" s="23" t="n">
        <x:v>46151</x:v>
      </x:c>
      <x:c r="D1174" s="23" t="n">
        <x:v>46153</x:v>
      </x:c>
      <x:c r="E1174" s="13" t="str">
        <x:v>EducaPro</x:v>
      </x:c>
      <x:c r="F1174" s="13" t="str">
        <x:v>Treinamentos</x:v>
      </x:c>
      <x:c r="G1174" s="17" t="n">
        <x:v>6585.4</x:v>
      </x:c>
      <x:c r="H1174" s="17" t="n">
        <x:v>6625.74</x:v>
      </x:c>
      <x:c r="I1174" s="13" t="str">
        <x:v>Gestor da área</x:v>
      </x:c>
      <x:c r="J1174" s="13" t="str">
        <x:v>Pago</x:v>
      </x:c>
      <x:c r="K1174" s="13" t="str">
        <x:v>Escala inteligente</x:v>
      </x:c>
      <x:c r="L1174" s="17" t="n">
        <x:f>H1174-G1174</x:f>
        <x:v>40.340000000000146</x:v>
      </x:c>
      <x:c r="M1174" s="19" t="n">
        <x:f>IFERROR(L1174/G1174,0)</x:f>
        <x:v>0.006125671940960329</x:v>
      </x:c>
      <x:c r="N1174" s="13" t="n">
        <x:f>D1174-C1174</x:f>
        <x:v>2</x:v>
      </x:c>
    </x:row>
    <x:row r="1175">
      <x:c r="A1175" s="13" t="str">
        <x:v>PAG-001174</x:v>
      </x:c>
      <x:c r="B1175" s="23" t="n">
        <x:v>46117</x:v>
      </x:c>
      <x:c r="C1175" s="23" t="n">
        <x:v>46132</x:v>
      </x:c>
      <x:c r="D1175" s="23" t="n">
        <x:v>46132</x:v>
      </x:c>
      <x:c r="E1175" s="13" t="str">
        <x:v>LegalMais</x:v>
      </x:c>
      <x:c r="F1175" s="13" t="str">
        <x:v>Jurídico</x:v>
      </x:c>
      <x:c r="G1175" s="17" t="n">
        <x:v>12483.98</x:v>
      </x:c>
      <x:c r="H1175" s="17" t="n">
        <x:v>12208.78</x:v>
      </x:c>
      <x:c r="I1175" s="13" t="str">
        <x:v>Diretoria</x:v>
      </x:c>
      <x:c r="J1175" s="13" t="str">
        <x:v>Pago</x:v>
      </x:c>
      <x:c r="K1175" s="13" t="str">
        <x:v>Escala inteligente</x:v>
      </x:c>
      <x:c r="L1175" s="17" t="n">
        <x:f>H1175-G1175</x:f>
        <x:v>-275.1999999999989</x:v>
      </x:c>
      <x:c r="M1175" s="19" t="n">
        <x:f>IFERROR(L1175/G1175,0)</x:f>
        <x:v>-0.022044251913251937</x:v>
      </x:c>
      <x:c r="N1175" s="13" t="n">
        <x:f>D1175-C1175</x:f>
        <x:v>0</x:v>
      </x:c>
    </x:row>
    <x:row r="1176">
      <x:c r="A1176" s="13" t="str">
        <x:v>PAG-001175</x:v>
      </x:c>
      <x:c r="B1176" s="23" t="n">
        <x:v>46115</x:v>
      </x:c>
      <x:c r="C1176" s="23" t="n">
        <x:v>46130</x:v>
      </x:c>
      <x:c r="D1176" s="23" t="n">
        <x:v>46130</x:v>
      </x:c>
      <x:c r="E1176" s="13" t="str">
        <x:v>DataSafe</x:v>
      </x:c>
      <x:c r="F1176" s="13" t="str">
        <x:v>Segurança da informação</x:v>
      </x:c>
      <x:c r="G1176" s="17" t="n">
        <x:v>24854.39</x:v>
      </x:c>
      <x:c r="H1176" s="17" t="n">
        <x:v>25322.44</x:v>
      </x:c>
      <x:c r="I1176" s="13" t="str">
        <x:v>Gestor da área</x:v>
      </x:c>
      <x:c r="J1176" s="13" t="str">
        <x:v>Pago</x:v>
      </x:c>
      <x:c r="K1176" s="13" t="str">
        <x:v>Escala inteligente</x:v>
      </x:c>
      <x:c r="L1176" s="17" t="n">
        <x:f>H1176-G1176</x:f>
        <x:v>468.0499999999993</x:v>
      </x:c>
      <x:c r="M1176" s="19" t="n">
        <x:f>IFERROR(L1176/G1176,0)</x:f>
        <x:v>0.01883168325595596</x:v>
      </x:c>
      <x:c r="N1176" s="13" t="n">
        <x:f>D1176-C1176</x:f>
        <x:v>0</x:v>
      </x:c>
    </x:row>
    <x:row r="1177">
      <x:c r="A1177" s="13" t="str">
        <x:v>PAG-001176</x:v>
      </x:c>
      <x:c r="B1177" s="23" t="n">
        <x:v>46126</x:v>
      </x:c>
      <x:c r="C1177" s="23" t="n">
        <x:v>46156</x:v>
      </x:c>
      <x:c r="D1177" s="23" t="n">
        <x:v>46157</x:v>
      </x:c>
      <x:c r="E1177" s="13" t="str">
        <x:v>Banco Integra</x:v>
      </x:c>
      <x:c r="F1177" s="13" t="str">
        <x:v>Serviços bancários</x:v>
      </x:c>
      <x:c r="G1177" s="17" t="n">
        <x:v>18106.63</x:v>
      </x:c>
      <x:c r="H1177" s="17" t="n">
        <x:v>18512.94</x:v>
      </x:c>
      <x:c r="I1177" s="13" t="str">
        <x:v>Financeiro</x:v>
      </x:c>
      <x:c r="J1177" s="13" t="str">
        <x:v>Pago</x:v>
      </x:c>
      <x:c r="K1177" s="13" t="str">
        <x:v>Escala inteligente</x:v>
      </x:c>
      <x:c r="L1177" s="17" t="n">
        <x:f>H1177-G1177</x:f>
        <x:v>406.3099999999977</x:v>
      </x:c>
      <x:c r="M1177" s="19" t="n">
        <x:f>IFERROR(L1177/G1177,0)</x:f>
        <x:v>0.022439846619718724</x:v>
      </x:c>
      <x:c r="N1177" s="13" t="n">
        <x:f>D1177-C1177</x:f>
        <x:v>1</x:v>
      </x:c>
    </x:row>
    <x:row r="1178">
      <x:c r="A1178" s="13" t="str">
        <x:v>PAG-001177</x:v>
      </x:c>
      <x:c r="B1178" s="23" t="n">
        <x:v>46145</x:v>
      </x:c>
      <x:c r="C1178" s="23" t="n">
        <x:v>46152</x:v>
      </x:c>
      <x:c r="D1178" s="23" t="n">
        <x:v>46154</x:v>
      </x:c>
      <x:c r="E1178" s="13" t="str">
        <x:v>MarketLab</x:v>
      </x:c>
      <x:c r="F1178" s="13" t="str">
        <x:v>Marketing</x:v>
      </x:c>
      <x:c r="G1178" s="17" t="n">
        <x:v>6235.57</x:v>
      </x:c>
      <x:c r="H1178" s="17" t="n">
        <x:v>6159.61</x:v>
      </x:c>
      <x:c r="I1178" s="13" t="str">
        <x:v>Gestor da área</x:v>
      </x:c>
      <x:c r="J1178" s="13" t="str">
        <x:v>Pago</x:v>
      </x:c>
      <x:c r="K1178" s="13" t="str">
        <x:v>Escala inteligente</x:v>
      </x:c>
      <x:c r="L1178" s="17" t="n">
        <x:f>H1178-G1178</x:f>
        <x:v>-75.96000000000004</x:v>
      </x:c>
      <x:c r="M1178" s="19" t="n">
        <x:f>IFERROR(L1178/G1178,0)</x:f>
        <x:v>-0.012181725167065728</x:v>
      </x:c>
      <x:c r="N1178" s="13" t="n">
        <x:f>D1178-C1178</x:f>
        <x:v>2</x:v>
      </x:c>
    </x:row>
    <x:row r="1179">
      <x:c r="A1179" s="13" t="str">
        <x:v>PAG-001178</x:v>
      </x:c>
      <x:c r="B1179" s="23" t="n">
        <x:v>46152</x:v>
      </x:c>
      <x:c r="C1179" s="23" t="n">
        <x:v>46159</x:v>
      </x:c>
      <x:c r="D1179" s="23" t="n">
        <x:v>46159</x:v>
      </x:c>
      <x:c r="E1179" s="13" t="str">
        <x:v>LegalMais</x:v>
      </x:c>
      <x:c r="F1179" s="13" t="str">
        <x:v>Jurídico</x:v>
      </x:c>
      <x:c r="G1179" s="17" t="n">
        <x:v>19732.16</x:v>
      </x:c>
      <x:c r="H1179" s="17" t="n">
        <x:v>19368.95</x:v>
      </x:c>
      <x:c r="I1179" s="13" t="str">
        <x:v>Gestor da área</x:v>
      </x:c>
      <x:c r="J1179" s="13" t="str">
        <x:v>Pago</x:v>
      </x:c>
      <x:c r="K1179" s="13" t="str">
        <x:v>Escala inteligente</x:v>
      </x:c>
      <x:c r="L1179" s="17" t="n">
        <x:f>H1179-G1179</x:f>
        <x:v>-363.2099999999991</x:v>
      </x:c>
      <x:c r="M1179" s="19" t="n">
        <x:f>IFERROR(L1179/G1179,0)</x:f>
        <x:v>-0.018407006632826774</x:v>
      </x:c>
      <x:c r="N1179" s="13" t="n">
        <x:f>D1179-C1179</x:f>
        <x:v>0</x:v>
      </x:c>
    </x:row>
    <x:row r="1180">
      <x:c r="A1180" s="13" t="str">
        <x:v>PAG-001179</x:v>
      </x:c>
      <x:c r="B1180" s="23" t="n">
        <x:v>46157</x:v>
      </x:c>
      <x:c r="C1180" s="23" t="n">
        <x:v>46177</x:v>
      </x:c>
      <x:c r="D1180" s="23" t="n">
        <x:v>46177</x:v>
      </x:c>
      <x:c r="E1180" s="13" t="str">
        <x:v>CloudCore</x:v>
      </x:c>
      <x:c r="F1180" s="13" t="str">
        <x:v>Tecnologia</x:v>
      </x:c>
      <x:c r="G1180" s="17" t="n">
        <x:v>6160.38</x:v>
      </x:c>
      <x:c r="H1180" s="17" t="n">
        <x:v>6304.37</x:v>
      </x:c>
      <x:c r="I1180" s="13" t="str">
        <x:v>Diretoria</x:v>
      </x:c>
      <x:c r="J1180" s="13" t="str">
        <x:v>Pago</x:v>
      </x:c>
      <x:c r="K1180" s="13" t="str">
        <x:v>Escala inteligente</x:v>
      </x:c>
      <x:c r="L1180" s="17" t="n">
        <x:f>H1180-G1180</x:f>
        <x:v>143.98999999999978</x:v>
      </x:c>
      <x:c r="M1180" s="19" t="n">
        <x:f>IFERROR(L1180/G1180,0)</x:f>
        <x:v>0.023373558124661103</x:v>
      </x:c>
      <x:c r="N1180" s="13" t="n">
        <x:f>D1180-C1180</x:f>
        <x:v>0</x:v>
      </x:c>
    </x:row>
    <x:row r="1181">
      <x:c r="A1181" s="13" t="str">
        <x:v>PAG-001180</x:v>
      </x:c>
      <x:c r="B1181" s="23" t="n">
        <x:v>46152</x:v>
      </x:c>
      <x:c r="C1181" s="23" t="n">
        <x:v>46159</x:v>
      </x:c>
      <x:c r="D1181" s="23" t="n">
        <x:v>46156</x:v>
      </x:c>
      <x:c r="E1181" s="13" t="str">
        <x:v>Office Prime</x:v>
      </x:c>
      <x:c r="F1181" s="13" t="str">
        <x:v>Escritório</x:v>
      </x:c>
      <x:c r="G1181" s="17" t="n">
        <x:v>17129.47</x:v>
      </x:c>
      <x:c r="H1181" s="17" t="n">
        <x:v>17058.83</x:v>
      </x:c>
      <x:c r="I1181" s="13" t="str">
        <x:v>Gestor da área</x:v>
      </x:c>
      <x:c r="J1181" s="13" t="str">
        <x:v>Pago</x:v>
      </x:c>
      <x:c r="K1181" s="13" t="str">
        <x:v>Escala inteligente</x:v>
      </x:c>
      <x:c r="L1181" s="17" t="n">
        <x:f>H1181-G1181</x:f>
        <x:v>-70.63999999999942</x:v>
      </x:c>
      <x:c r="M1181" s="19" t="n">
        <x:f>IFERROR(L1181/G1181,0)</x:f>
        <x:v>-0.004123887078817933</x:v>
      </x:c>
      <x:c r="N1181" s="13" t="n">
        <x:f>D1181-C1181</x:f>
        <x:v>-3</x:v>
      </x:c>
    </x:row>
    <x:row r="1182">
      <x:c r="A1182" s="13" t="str">
        <x:v>PAG-001181</x:v>
      </x:c>
      <x:c r="B1182" s="23" t="n">
        <x:v>46151</x:v>
      </x:c>
      <x:c r="C1182" s="23" t="n">
        <x:v>46171</x:v>
      </x:c>
      <x:c r="D1182" s="23" t="n">
        <x:v>46171</x:v>
      </x:c>
      <x:c r="E1182" s="13" t="str">
        <x:v>MarketLab</x:v>
      </x:c>
      <x:c r="F1182" s="13" t="str">
        <x:v>Marketing</x:v>
      </x:c>
      <x:c r="G1182" s="17" t="n">
        <x:v>13370.4</x:v>
      </x:c>
      <x:c r="H1182" s="17" t="n">
        <x:v>13915.68</x:v>
      </x:c>
      <x:c r="I1182" s="13" t="str">
        <x:v>Financeiro</x:v>
      </x:c>
      <x:c r="J1182" s="13" t="str">
        <x:v>Pago</x:v>
      </x:c>
      <x:c r="K1182" s="13" t="str">
        <x:v>Escala inteligente</x:v>
      </x:c>
      <x:c r="L1182" s="17" t="n">
        <x:f>H1182-G1182</x:f>
        <x:v>545.2800000000007</x:v>
      </x:c>
      <x:c r="M1182" s="19" t="n">
        <x:f>IFERROR(L1182/G1182,0)</x:f>
        <x:v>0.040782624304433725</x:v>
      </x:c>
      <x:c r="N1182" s="13" t="n">
        <x:f>D1182-C1182</x:f>
        <x:v>0</x:v>
      </x:c>
    </x:row>
    <x:row r="1183">
      <x:c r="A1183" s="13" t="str">
        <x:v>PAG-001182</x:v>
      </x:c>
      <x:c r="B1183" s="23" t="n">
        <x:v>46160</x:v>
      </x:c>
      <x:c r="C1183" s="23" t="n">
        <x:v>46167</x:v>
      </x:c>
      <x:c r="D1183" s="23" t="n">
        <x:v>46165</x:v>
      </x:c>
      <x:c r="E1183" s="13" t="str">
        <x:v>NetLink</x:v>
      </x:c>
      <x:c r="F1183" s="13" t="str">
        <x:v>Telecomunicações</x:v>
      </x:c>
      <x:c r="G1183" s="17" t="n">
        <x:v>2966.05</x:v>
      </x:c>
      <x:c r="H1183" s="17" t="n">
        <x:v>2881.32</x:v>
      </x:c>
      <x:c r="I1183" s="13" t="str">
        <x:v>Financeiro</x:v>
      </x:c>
      <x:c r="J1183" s="13" t="str">
        <x:v>Pago</x:v>
      </x:c>
      <x:c r="K1183" s="13" t="str">
        <x:v>Escala inteligente</x:v>
      </x:c>
      <x:c r="L1183" s="17" t="n">
        <x:f>H1183-G1183</x:f>
        <x:v>-84.73000000000002</x:v>
      </x:c>
      <x:c r="M1183" s="19" t="n">
        <x:f>IFERROR(L1183/G1183,0)</x:f>
        <x:v>-0.02856661216095481</x:v>
      </x:c>
      <x:c r="N1183" s="13" t="n">
        <x:f>D1183-C1183</x:f>
        <x:v>-2</x:v>
      </x:c>
    </x:row>
    <x:row r="1184">
      <x:c r="A1184" s="13" t="str">
        <x:v>PAG-001183</x:v>
      </x:c>
      <x:c r="B1184" s="23" t="n">
        <x:v>46152</x:v>
      </x:c>
      <x:c r="C1184" s="23" t="n">
        <x:v>46159</x:v>
      </x:c>
      <x:c r="D1184" s="23" t="n">
        <x:v>46157</x:v>
      </x:c>
      <x:c r="E1184" s="13" t="str">
        <x:v>PeopleHub</x:v>
      </x:c>
      <x:c r="F1184" s="13" t="str">
        <x:v>Recursos Humanos</x:v>
      </x:c>
      <x:c r="G1184" s="17" t="n">
        <x:v>22386.99</x:v>
      </x:c>
      <x:c r="H1184" s="17" t="n">
        <x:v>22439.62</x:v>
      </x:c>
      <x:c r="I1184" s="13" t="str">
        <x:v>Financeiro</x:v>
      </x:c>
      <x:c r="J1184" s="13" t="str">
        <x:v>Pago</x:v>
      </x:c>
      <x:c r="K1184" s="13" t="str">
        <x:v>Escala inteligente</x:v>
      </x:c>
      <x:c r="L1184" s="17" t="n">
        <x:f>H1184-G1184</x:f>
        <x:v>52.62999999999738</x:v>
      </x:c>
      <x:c r="M1184" s="19" t="n">
        <x:f>IFERROR(L1184/G1184,0)</x:f>
        <x:v>0.0023509189935760626</x:v>
      </x:c>
      <x:c r="N1184" s="13" t="n">
        <x:f>D1184-C1184</x:f>
        <x:v>-2</x:v>
      </x:c>
    </x:row>
    <x:row r="1185">
      <x:c r="A1185" s="13" t="str">
        <x:v>PAG-001184</x:v>
      </x:c>
      <x:c r="B1185" s="23" t="n">
        <x:v>46153</x:v>
      </x:c>
      <x:c r="C1185" s="23" t="n">
        <x:v>46160</x:v>
      </x:c>
      <x:c r="D1185" s="23" t="n">
        <x:v>46160</x:v>
      </x:c>
      <x:c r="E1185" s="13" t="str">
        <x:v>Conta Certa</x:v>
      </x:c>
      <x:c r="F1185" s="13" t="str">
        <x:v>Contabilidade</x:v>
      </x:c>
      <x:c r="G1185" s="17" t="n">
        <x:v>9598.46</x:v>
      </x:c>
      <x:c r="H1185" s="17" t="n">
        <x:v>9645.29</x:v>
      </x:c>
      <x:c r="I1185" s="13" t="str">
        <x:v>Financeiro</x:v>
      </x:c>
      <x:c r="J1185" s="13" t="str">
        <x:v>Pago</x:v>
      </x:c>
      <x:c r="K1185" s="13" t="str">
        <x:v>Escala inteligente</x:v>
      </x:c>
      <x:c r="L1185" s="17" t="n">
        <x:f>H1185-G1185</x:f>
        <x:v>46.830000000001746</x:v>
      </x:c>
      <x:c r="M1185" s="19" t="n">
        <x:f>IFERROR(L1185/G1185,0)</x:f>
        <x:v>0.00487890765810367</x:v>
      </x:c>
      <x:c r="N1185" s="13" t="n">
        <x:f>D1185-C1185</x:f>
        <x:v>0</x:v>
      </x:c>
    </x:row>
    <x:row r="1186">
      <x:c r="A1186" s="13" t="str">
        <x:v>PAG-001185</x:v>
      </x:c>
      <x:c r="B1186" s="23" t="n">
        <x:v>46151</x:v>
      </x:c>
      <x:c r="C1186" s="23" t="n">
        <x:v>46166</x:v>
      </x:c>
      <x:c r="D1186" s="23" t="n">
        <x:v>46165</x:v>
      </x:c>
      <x:c r="E1186" s="13" t="str">
        <x:v>NetLink</x:v>
      </x:c>
      <x:c r="F1186" s="13" t="str">
        <x:v>Telecomunicações</x:v>
      </x:c>
      <x:c r="G1186" s="17" t="n">
        <x:v>14451.64</x:v>
      </x:c>
      <x:c r="H1186" s="17" t="n">
        <x:v>14372.67</x:v>
      </x:c>
      <x:c r="I1186" s="13" t="str">
        <x:v>Financeiro</x:v>
      </x:c>
      <x:c r="J1186" s="13" t="str">
        <x:v>Pago</x:v>
      </x:c>
      <x:c r="K1186" s="13" t="str">
        <x:v>Escala inteligente</x:v>
      </x:c>
      <x:c r="L1186" s="17" t="n">
        <x:f>H1186-G1186</x:f>
        <x:v>-78.96999999999935</x:v>
      </x:c>
      <x:c r="M1186" s="19" t="n">
        <x:f>IFERROR(L1186/G1186,0)</x:f>
        <x:v>-0.0054644317184761974</x:v>
      </x:c>
      <x:c r="N1186" s="13" t="n">
        <x:f>D1186-C1186</x:f>
        <x:v>-1</x:v>
      </x:c>
    </x:row>
    <x:row r="1187">
      <x:c r="A1187" s="13" t="str">
        <x:v>PAG-001186</x:v>
      </x:c>
      <x:c r="B1187" s="23" t="n">
        <x:v>46155</x:v>
      </x:c>
      <x:c r="C1187" s="23" t="n">
        <x:v>46170</x:v>
      </x:c>
      <x:c r="D1187" s="23" t="n">
        <x:v>46170</x:v>
      </x:c>
      <x:c r="E1187" s="13" t="str">
        <x:v>Office Prime</x:v>
      </x:c>
      <x:c r="F1187" s="13" t="str">
        <x:v>Escritório</x:v>
      </x:c>
      <x:c r="G1187" s="17" t="n">
        <x:v>551.98</x:v>
      </x:c>
      <x:c r="H1187" s="17" t="n">
        <x:v>542.91</x:v>
      </x:c>
      <x:c r="I1187" s="13" t="str">
        <x:v>Diretoria</x:v>
      </x:c>
      <x:c r="J1187" s="13" t="str">
        <x:v>Pago</x:v>
      </x:c>
      <x:c r="K1187" s="13" t="str">
        <x:v>Escala inteligente</x:v>
      </x:c>
      <x:c r="L1187" s="17" t="n">
        <x:f>H1187-G1187</x:f>
        <x:v>-9.07000000000005</x:v>
      </x:c>
      <x:c r="M1187" s="19" t="n">
        <x:f>IFERROR(L1187/G1187,0)</x:f>
        <x:v>-0.016431754773723776</x:v>
      </x:c>
      <x:c r="N1187" s="13" t="n">
        <x:f>D1187-C1187</x:f>
        <x:v>0</x:v>
      </x:c>
    </x:row>
    <x:row r="1188">
      <x:c r="A1188" s="13" t="str">
        <x:v>PAG-001187</x:v>
      </x:c>
      <x:c r="B1188" s="23" t="n">
        <x:v>46158</x:v>
      </x:c>
      <x:c r="C1188" s="23" t="n">
        <x:v>46188</x:v>
      </x:c>
      <x:c r="D1188" s="23" t="n">
        <x:v>46188</x:v>
      </x:c>
      <x:c r="E1188" s="13" t="str">
        <x:v>Banco Integra</x:v>
      </x:c>
      <x:c r="F1188" s="13" t="str">
        <x:v>Serviços bancários</x:v>
      </x:c>
      <x:c r="G1188" s="17" t="n">
        <x:v>26758.44</x:v>
      </x:c>
      <x:c r="H1188" s="17" t="n">
        <x:v>27747.16</x:v>
      </x:c>
      <x:c r="I1188" s="13" t="str">
        <x:v>Gestor da área</x:v>
      </x:c>
      <x:c r="J1188" s="13" t="str">
        <x:v>Pago</x:v>
      </x:c>
      <x:c r="K1188" s="13" t="str">
        <x:v>Escala inteligente</x:v>
      </x:c>
      <x:c r="L1188" s="17" t="n">
        <x:f>H1188-G1188</x:f>
        <x:v>988.7200000000012</x:v>
      </x:c>
      <x:c r="M1188" s="19" t="n">
        <x:f>IFERROR(L1188/G1188,0)</x:f>
        <x:v>0.03694983713549823</x:v>
      </x:c>
      <x:c r="N1188" s="13" t="n">
        <x:f>D1188-C1188</x:f>
        <x:v>0</x:v>
      </x:c>
    </x:row>
    <x:row r="1189">
      <x:c r="A1189" s="13" t="str">
        <x:v>PAG-001188</x:v>
      </x:c>
      <x:c r="B1189" s="23" t="n">
        <x:v>46150</x:v>
      </x:c>
      <x:c r="C1189" s="23" t="n">
        <x:v>46165</x:v>
      </x:c>
      <x:c r="D1189" s="23" t="n">
        <x:v>46166</x:v>
      </x:c>
      <x:c r="E1189" s="13" t="str">
        <x:v>Insight BI</x:v>
      </x:c>
      <x:c r="F1189" s="13" t="str">
        <x:v>Dados e Analytics</x:v>
      </x:c>
      <x:c r="G1189" s="17" t="n">
        <x:v>21031.19</x:v>
      </x:c>
      <x:c r="H1189" s="17" t="n">
        <x:v>21784.99</x:v>
      </x:c>
      <x:c r="I1189" s="13" t="str">
        <x:v>Gestor da área</x:v>
      </x:c>
      <x:c r="J1189" s="13" t="str">
        <x:v>Pago</x:v>
      </x:c>
      <x:c r="K1189" s="13" t="str">
        <x:v>Escala inteligente</x:v>
      </x:c>
      <x:c r="L1189" s="17" t="n">
        <x:f>H1189-G1189</x:f>
        <x:v>753.8000000000029</x:v>
      </x:c>
      <x:c r="M1189" s="19" t="n">
        <x:f>IFERROR(L1189/G1189,0)</x:f>
        <x:v>0.035842004185212675</x:v>
      </x:c>
      <x:c r="N1189" s="13" t="n">
        <x:f>D1189-C1189</x:f>
        <x:v>1</x:v>
      </x:c>
    </x:row>
    <x:row r="1190">
      <x:c r="A1190" s="13" t="str">
        <x:v>PAG-001189</x:v>
      </x:c>
      <x:c r="B1190" s="23" t="n">
        <x:v>46150</x:v>
      </x:c>
      <x:c r="C1190" s="23" t="n">
        <x:v>46180</x:v>
      </x:c>
      <x:c r="D1190" s="23" t="n">
        <x:v>46179</x:v>
      </x:c>
      <x:c r="E1190" s="13" t="str">
        <x:v>PeopleHub</x:v>
      </x:c>
      <x:c r="F1190" s="13" t="str">
        <x:v>Recursos Humanos</x:v>
      </x:c>
      <x:c r="G1190" s="17" t="n">
        <x:v>7544.23</x:v>
      </x:c>
      <x:c r="H1190" s="17" t="n">
        <x:v>7809.95</x:v>
      </x:c>
      <x:c r="I1190" s="13" t="str">
        <x:v>Diretoria</x:v>
      </x:c>
      <x:c r="J1190" s="13" t="str">
        <x:v>Pago</x:v>
      </x:c>
      <x:c r="K1190" s="13" t="str">
        <x:v>Escala inteligente</x:v>
      </x:c>
      <x:c r="L1190" s="17" t="n">
        <x:f>H1190-G1190</x:f>
        <x:v>265.72000000000025</x:v>
      </x:c>
      <x:c r="M1190" s="19" t="n">
        <x:f>IFERROR(L1190/G1190,0)</x:f>
        <x:v>0.03522161970141423</x:v>
      </x:c>
      <x:c r="N1190" s="13" t="n">
        <x:f>D1190-C1190</x:f>
        <x:v>-1</x:v>
      </x:c>
    </x:row>
    <x:row r="1191">
      <x:c r="A1191" s="13" t="str">
        <x:v>PAG-001190</x:v>
      </x:c>
      <x:c r="B1191" s="23" t="n">
        <x:v>46153</x:v>
      </x:c>
      <x:c r="C1191" s="23" t="n">
        <x:v>46183</x:v>
      </x:c>
      <x:c r="D1191" s="23" t="n">
        <x:v>46185</x:v>
      </x:c>
      <x:c r="E1191" s="13" t="str">
        <x:v>CloudCore</x:v>
      </x:c>
      <x:c r="F1191" s="13" t="str">
        <x:v>Tecnologia</x:v>
      </x:c>
      <x:c r="G1191" s="17" t="n">
        <x:v>29009.43</x:v>
      </x:c>
      <x:c r="H1191" s="17" t="n">
        <x:v>28795.51</x:v>
      </x:c>
      <x:c r="I1191" s="13" t="str">
        <x:v>Gestor da área</x:v>
      </x:c>
      <x:c r="J1191" s="13" t="str">
        <x:v>Pago</x:v>
      </x:c>
      <x:c r="K1191" s="13" t="str">
        <x:v>Escala inteligente</x:v>
      </x:c>
      <x:c r="L1191" s="17" t="n">
        <x:f>H1191-G1191</x:f>
        <x:v>-213.9200000000019</x:v>
      </x:c>
      <x:c r="M1191" s="19" t="n">
        <x:f>IFERROR(L1191/G1191,0)</x:f>
        <x:v>-0.0073741538527300225</x:v>
      </x:c>
      <x:c r="N1191" s="13" t="n">
        <x:f>D1191-C1191</x:f>
        <x:v>2</x:v>
      </x:c>
    </x:row>
    <x:row r="1192">
      <x:c r="A1192" s="13" t="str">
        <x:v>PAG-001191</x:v>
      </x:c>
      <x:c r="B1192" s="23" t="n">
        <x:v>46161</x:v>
      </x:c>
      <x:c r="C1192" s="23" t="n">
        <x:v>46176</x:v>
      </x:c>
      <x:c r="D1192" s="23" t="n">
        <x:v>46177</x:v>
      </x:c>
      <x:c r="E1192" s="13" t="str">
        <x:v>LegalMais</x:v>
      </x:c>
      <x:c r="F1192" s="13" t="str">
        <x:v>Jurídico</x:v>
      </x:c>
      <x:c r="G1192" s="17" t="n">
        <x:v>17152.26</x:v>
      </x:c>
      <x:c r="H1192" s="17" t="n">
        <x:v>17062.67</x:v>
      </x:c>
      <x:c r="I1192" s="13" t="str">
        <x:v>Diretoria</x:v>
      </x:c>
      <x:c r="J1192" s="13" t="str">
        <x:v>Pago</x:v>
      </x:c>
      <x:c r="K1192" s="13" t="str">
        <x:v>Escala inteligente</x:v>
      </x:c>
      <x:c r="L1192" s="17" t="n">
        <x:f>H1192-G1192</x:f>
        <x:v>-89.59000000000015</x:v>
      </x:c>
      <x:c r="M1192" s="19" t="n">
        <x:f>IFERROR(L1192/G1192,0)</x:f>
        <x:v>-0.005223218398042016</x:v>
      </x:c>
      <x:c r="N1192" s="13" t="n">
        <x:f>D1192-C1192</x:f>
        <x:v>1</x:v>
      </x:c>
    </x:row>
    <x:row r="1193">
      <x:c r="A1193" s="13" t="str">
        <x:v>PAG-001192</x:v>
      </x:c>
      <x:c r="B1193" s="23" t="n">
        <x:v>46147</x:v>
      </x:c>
      <x:c r="C1193" s="23" t="n">
        <x:v>46167</x:v>
      </x:c>
      <x:c r="D1193" s="23" t="n">
        <x:v>46167</x:v>
      </x:c>
      <x:c r="E1193" s="13" t="str">
        <x:v>EducaPro</x:v>
      </x:c>
      <x:c r="F1193" s="13" t="str">
        <x:v>Treinamentos</x:v>
      </x:c>
      <x:c r="G1193" s="17" t="n">
        <x:v>20004.54</x:v>
      </x:c>
      <x:c r="H1193" s="17" t="n">
        <x:v>19326.17</x:v>
      </x:c>
      <x:c r="I1193" s="13" t="str">
        <x:v>Diretoria</x:v>
      </x:c>
      <x:c r="J1193" s="13" t="str">
        <x:v>Pago</x:v>
      </x:c>
      <x:c r="K1193" s="13" t="str">
        <x:v>Escala inteligente</x:v>
      </x:c>
      <x:c r="L1193" s="17" t="n">
        <x:f>H1193-G1193</x:f>
        <x:v>-678.3700000000026</x:v>
      </x:c>
      <x:c r="M1193" s="19" t="n">
        <x:f>IFERROR(L1193/G1193,0)</x:f>
        <x:v>-0.03391080224788986</x:v>
      </x:c>
      <x:c r="N1193" s="13" t="n">
        <x:f>D1193-C1193</x:f>
        <x:v>0</x:v>
      </x:c>
    </x:row>
    <x:row r="1194">
      <x:c r="A1194" s="13" t="str">
        <x:v>PAG-001193</x:v>
      </x:c>
      <x:c r="B1194" s="23" t="n">
        <x:v>46152</x:v>
      </x:c>
      <x:c r="C1194" s="23" t="n">
        <x:v>46182</x:v>
      </x:c>
      <x:c r="D1194" s="23" t="n">
        <x:v>46181</x:v>
      </x:c>
      <x:c r="E1194" s="13" t="str">
        <x:v>Banco Integra</x:v>
      </x:c>
      <x:c r="F1194" s="13" t="str">
        <x:v>Serviços bancários</x:v>
      </x:c>
      <x:c r="G1194" s="17" t="n">
        <x:v>11165.78</x:v>
      </x:c>
      <x:c r="H1194" s="17" t="n">
        <x:v>11162.92</x:v>
      </x:c>
      <x:c r="I1194" s="13" t="str">
        <x:v>Diretoria</x:v>
      </x:c>
      <x:c r="J1194" s="13" t="str">
        <x:v>Pago</x:v>
      </x:c>
      <x:c r="K1194" s="13" t="str">
        <x:v>Escala inteligente</x:v>
      </x:c>
      <x:c r="L1194" s="17" t="n">
        <x:f>H1194-G1194</x:f>
        <x:v>-2.860000000000582</x:v>
      </x:c>
      <x:c r="M1194" s="19" t="n">
        <x:f>IFERROR(L1194/G1194,0)</x:f>
        <x:v>-0.0002561397412451778</x:v>
      </x:c>
      <x:c r="N1194" s="13" t="n">
        <x:f>D1194-C1194</x:f>
        <x:v>-1</x:v>
      </x:c>
    </x:row>
    <x:row r="1195">
      <x:c r="A1195" s="13" t="str">
        <x:v>PAG-001194</x:v>
      </x:c>
      <x:c r="B1195" s="23" t="n">
        <x:v>46159</x:v>
      </x:c>
      <x:c r="C1195" s="23" t="n">
        <x:v>46189</x:v>
      </x:c>
      <x:c r="D1195" s="23" t="n">
        <x:v>46189</x:v>
      </x:c>
      <x:c r="E1195" s="13" t="str">
        <x:v>LegalMais</x:v>
      </x:c>
      <x:c r="F1195" s="13" t="str">
        <x:v>Jurídico</x:v>
      </x:c>
      <x:c r="G1195" s="17" t="n">
        <x:v>31409.56</x:v>
      </x:c>
      <x:c r="H1195" s="17" t="n">
        <x:v>32392.87</x:v>
      </x:c>
      <x:c r="I1195" s="13" t="str">
        <x:v>Gestor da área</x:v>
      </x:c>
      <x:c r="J1195" s="13" t="str">
        <x:v>Pago</x:v>
      </x:c>
      <x:c r="K1195" s="13" t="str">
        <x:v>Escala inteligente</x:v>
      </x:c>
      <x:c r="L1195" s="17" t="n">
        <x:f>H1195-G1195</x:f>
        <x:v>983.3099999999977</x:v>
      </x:c>
      <x:c r="M1195" s="19" t="n">
        <x:f>IFERROR(L1195/G1195,0)</x:f>
        <x:v>0.03130607369221338</x:v>
      </x:c>
      <x:c r="N1195" s="13" t="n">
        <x:f>D1195-C1195</x:f>
        <x:v>0</x:v>
      </x:c>
    </x:row>
    <x:row r="1196">
      <x:c r="A1196" s="13" t="str">
        <x:v>PAG-001195</x:v>
      </x:c>
      <x:c r="B1196" s="23" t="n">
        <x:v>46150</x:v>
      </x:c>
      <x:c r="C1196" s="23" t="n">
        <x:v>46180</x:v>
      </x:c>
      <x:c r="D1196" s="23" t="n">
        <x:v>46181</x:v>
      </x:c>
      <x:c r="E1196" s="13" t="str">
        <x:v>EducaPro</x:v>
      </x:c>
      <x:c r="F1196" s="13" t="str">
        <x:v>Treinamentos</x:v>
      </x:c>
      <x:c r="G1196" s="17" t="n">
        <x:v>9859.89</x:v>
      </x:c>
      <x:c r="H1196" s="17" t="n">
        <x:v>9667.19</x:v>
      </x:c>
      <x:c r="I1196" s="13" t="str">
        <x:v>Gestor da área</x:v>
      </x:c>
      <x:c r="J1196" s="13" t="str">
        <x:v>Pago</x:v>
      </x:c>
      <x:c r="K1196" s="13" t="str">
        <x:v>Escala inteligente</x:v>
      </x:c>
      <x:c r="L1196" s="17" t="n">
        <x:f>H1196-G1196</x:f>
        <x:v>-192.6999999999989</x:v>
      </x:c>
      <x:c r="M1196" s="19" t="n">
        <x:f>IFERROR(L1196/G1196,0)</x:f>
        <x:v>-0.019543828582266023</x:v>
      </x:c>
      <x:c r="N1196" s="13" t="n">
        <x:f>D1196-C1196</x:f>
        <x:v>1</x:v>
      </x:c>
    </x:row>
    <x:row r="1197">
      <x:c r="A1197" s="13" t="str">
        <x:v>PAG-001196</x:v>
      </x:c>
      <x:c r="B1197" s="23" t="n">
        <x:v>46145</x:v>
      </x:c>
      <x:c r="C1197" s="23" t="n">
        <x:v>46165</x:v>
      </x:c>
      <x:c r="D1197" s="23" t="n">
        <x:v>46166</x:v>
      </x:c>
      <x:c r="E1197" s="13" t="str">
        <x:v>Insight BI</x:v>
      </x:c>
      <x:c r="F1197" s="13" t="str">
        <x:v>Dados e Analytics</x:v>
      </x:c>
      <x:c r="G1197" s="17" t="n">
        <x:v>29098.46</x:v>
      </x:c>
      <x:c r="H1197" s="17" t="n">
        <x:v>28230.95</x:v>
      </x:c>
      <x:c r="I1197" s="13" t="str">
        <x:v>Diretoria</x:v>
      </x:c>
      <x:c r="J1197" s="13" t="str">
        <x:v>Pago</x:v>
      </x:c>
      <x:c r="K1197" s="13" t="str">
        <x:v>Escala inteligente</x:v>
      </x:c>
      <x:c r="L1197" s="17" t="n">
        <x:f>H1197-G1197</x:f>
        <x:v>-867.5099999999984</x:v>
      </x:c>
      <x:c r="M1197" s="19" t="n">
        <x:f>IFERROR(L1197/G1197,0)</x:f>
        <x:v>-0.029812917934488575</x:v>
      </x:c>
      <x:c r="N1197" s="13" t="n">
        <x:f>D1197-C1197</x:f>
        <x:v>1</x:v>
      </x:c>
    </x:row>
    <x:row r="1198">
      <x:c r="A1198" s="13" t="str">
        <x:v>PAG-001197</x:v>
      </x:c>
      <x:c r="B1198" s="23" t="n">
        <x:v>46148</x:v>
      </x:c>
      <x:c r="C1198" s="23" t="n">
        <x:v>46178</x:v>
      </x:c>
      <x:c r="D1198" s="23" t="n">
        <x:v>46179</x:v>
      </x:c>
      <x:c r="E1198" s="13" t="str">
        <x:v>WorkSpace</x:v>
      </x:c>
      <x:c r="F1198" s="13" t="str">
        <x:v>Locação</x:v>
      </x:c>
      <x:c r="G1198" s="17" t="n">
        <x:v>26077.14</x:v>
      </x:c>
      <x:c r="H1198" s="17" t="n">
        <x:v>25862.79</x:v>
      </x:c>
      <x:c r="I1198" s="13" t="str">
        <x:v>Financeiro</x:v>
      </x:c>
      <x:c r="J1198" s="13" t="str">
        <x:v>Pago</x:v>
      </x:c>
      <x:c r="K1198" s="13" t="str">
        <x:v>Escala inteligente</x:v>
      </x:c>
      <x:c r="L1198" s="17" t="n">
        <x:f>H1198-G1198</x:f>
        <x:v>-214.34999999999854</x:v>
      </x:c>
      <x:c r="M1198" s="19" t="n">
        <x:f>IFERROR(L1198/G1198,0)</x:f>
        <x:v>-0.008219843126968622</x:v>
      </x:c>
      <x:c r="N1198" s="13" t="n">
        <x:f>D1198-C1198</x:f>
        <x:v>1</x:v>
      </x:c>
    </x:row>
    <x:row r="1199">
      <x:c r="A1199" s="13" t="str">
        <x:v>PAG-001198</x:v>
      </x:c>
      <x:c r="B1199" s="23" t="n">
        <x:v>46143</x:v>
      </x:c>
      <x:c r="C1199" s="23" t="n">
        <x:v>46150</x:v>
      </x:c>
      <x:c r="D1199" s="23" t="n">
        <x:v>46152</x:v>
      </x:c>
      <x:c r="E1199" s="13" t="str">
        <x:v>DataSafe</x:v>
      </x:c>
      <x:c r="F1199" s="13" t="str">
        <x:v>Segurança da informação</x:v>
      </x:c>
      <x:c r="G1199" s="17" t="n">
        <x:v>11966.17</x:v>
      </x:c>
      <x:c r="H1199" s="17" t="n">
        <x:v>12446.48</x:v>
      </x:c>
      <x:c r="I1199" s="13" t="str">
        <x:v>Financeiro</x:v>
      </x:c>
      <x:c r="J1199" s="13" t="str">
        <x:v>Pago</x:v>
      </x:c>
      <x:c r="K1199" s="13" t="str">
        <x:v>Escala inteligente</x:v>
      </x:c>
      <x:c r="L1199" s="17" t="n">
        <x:f>H1199-G1199</x:f>
        <x:v>480.3099999999995</x:v>
      </x:c>
      <x:c r="M1199" s="19" t="n">
        <x:f>IFERROR(L1199/G1199,0)</x:f>
        <x:v>0.04013899184116551</x:v>
      </x:c>
      <x:c r="N1199" s="13" t="n">
        <x:f>D1199-C1199</x:f>
        <x:v>2</x:v>
      </x:c>
    </x:row>
    <x:row r="1200">
      <x:c r="A1200" s="13" t="str">
        <x:v>PAG-001199</x:v>
      </x:c>
      <x:c r="B1200" s="23" t="n">
        <x:v>46146</x:v>
      </x:c>
      <x:c r="C1200" s="23" t="n">
        <x:v>46153</x:v>
      </x:c>
      <x:c r="D1200" s="23" t="n">
        <x:v>46153</x:v>
      </x:c>
      <x:c r="E1200" s="13" t="str">
        <x:v>DataSafe</x:v>
      </x:c>
      <x:c r="F1200" s="13" t="str">
        <x:v>Segurança da informação</x:v>
      </x:c>
      <x:c r="G1200" s="17" t="n">
        <x:v>3550.43</x:v>
      </x:c>
      <x:c r="H1200" s="17" t="n">
        <x:v>3586.23</x:v>
      </x:c>
      <x:c r="I1200" s="13" t="str">
        <x:v>Diretoria</x:v>
      </x:c>
      <x:c r="J1200" s="13" t="str">
        <x:v>Pago</x:v>
      </x:c>
      <x:c r="K1200" s="13" t="str">
        <x:v>Escala inteligente</x:v>
      </x:c>
      <x:c r="L1200" s="17" t="n">
        <x:f>H1200-G1200</x:f>
        <x:v>35.80000000000018</x:v>
      </x:c>
      <x:c r="M1200" s="19" t="n">
        <x:f>IFERROR(L1200/G1200,0)</x:f>
        <x:v>0.010083285686522529</x:v>
      </x:c>
      <x:c r="N1200" s="13" t="n">
        <x:f>D1200-C1200</x:f>
        <x:v>0</x:v>
      </x:c>
    </x:row>
    <x:row r="1201">
      <x:c r="A1201" s="13" t="str">
        <x:v>PAG-001200</x:v>
      </x:c>
      <x:c r="B1201" s="23" t="n">
        <x:v>46146</x:v>
      </x:c>
      <x:c r="C1201" s="23" t="n">
        <x:v>46176</x:v>
      </x:c>
      <x:c r="D1201" s="23" t="n">
        <x:v>46173</x:v>
      </x:c>
      <x:c r="E1201" s="13" t="str">
        <x:v>Banco Integra</x:v>
      </x:c>
      <x:c r="F1201" s="13" t="str">
        <x:v>Serviços bancários</x:v>
      </x:c>
      <x:c r="G1201" s="17" t="n">
        <x:v>14859.49</x:v>
      </x:c>
      <x:c r="H1201" s="17" t="n">
        <x:v>14762.52</x:v>
      </x:c>
      <x:c r="I1201" s="13" t="str">
        <x:v>Financeiro</x:v>
      </x:c>
      <x:c r="J1201" s="13" t="str">
        <x:v>Pago</x:v>
      </x:c>
      <x:c r="K1201" s="13" t="str">
        <x:v>Escala inteligente</x:v>
      </x:c>
      <x:c r="L1201" s="17" t="n">
        <x:f>H1201-G1201</x:f>
        <x:v>-96.96999999999935</x:v>
      </x:c>
      <x:c r="M1201" s="19" t="n">
        <x:f>IFERROR(L1201/G1201,0)</x:f>
        <x:v>-0.006525795972809252</x:v>
      </x:c>
      <x:c r="N1201" s="13" t="n">
        <x:f>D1201-C1201</x:f>
        <x:v>-3</x:v>
      </x:c>
    </x:row>
    <x:row r="1202">
      <x:c r="A1202" s="13" t="str">
        <x:v>PAG-001201</x:v>
      </x:c>
      <x:c r="B1202" s="23" t="n">
        <x:v>46151</x:v>
      </x:c>
      <x:c r="C1202" s="23" t="n">
        <x:v>46158</x:v>
      </x:c>
      <x:c r="D1202" s="23" t="n">
        <x:v>46159</x:v>
      </x:c>
      <x:c r="E1202" s="13" t="str">
        <x:v>DataSafe</x:v>
      </x:c>
      <x:c r="F1202" s="13" t="str">
        <x:v>Segurança da informação</x:v>
      </x:c>
      <x:c r="G1202" s="17" t="n">
        <x:v>1604.89</x:v>
      </x:c>
      <x:c r="H1202" s="17" t="n">
        <x:v>1582.73</x:v>
      </x:c>
      <x:c r="I1202" s="13" t="str">
        <x:v>Gestor da área</x:v>
      </x:c>
      <x:c r="J1202" s="13" t="str">
        <x:v>Pago</x:v>
      </x:c>
      <x:c r="K1202" s="13" t="str">
        <x:v>Escala inteligente</x:v>
      </x:c>
      <x:c r="L1202" s="17" t="n">
        <x:f>H1202-G1202</x:f>
        <x:v>-22.160000000000082</x:v>
      </x:c>
      <x:c r="M1202" s="19" t="n">
        <x:f>IFERROR(L1202/G1202,0)</x:f>
        <x:v>-0.013807799911520466</x:v>
      </x:c>
      <x:c r="N1202" s="13" t="n">
        <x:f>D1202-C1202</x:f>
        <x:v>1</x:v>
      </x:c>
    </x:row>
    <x:row r="1203">
      <x:c r="A1203" s="13" t="str">
        <x:v>PAG-001202</x:v>
      </x:c>
      <x:c r="B1203" s="23" t="n">
        <x:v>46161</x:v>
      </x:c>
      <x:c r="C1203" s="23" t="n">
        <x:v>46168</x:v>
      </x:c>
      <x:c r="D1203" s="23" t="n">
        <x:v>46166</x:v>
      </x:c>
      <x:c r="E1203" s="13" t="str">
        <x:v>CloudCore</x:v>
      </x:c>
      <x:c r="F1203" s="13" t="str">
        <x:v>Tecnologia</x:v>
      </x:c>
      <x:c r="G1203" s="17" t="n">
        <x:v>20388.59</x:v>
      </x:c>
      <x:c r="H1203" s="17" t="n">
        <x:v>21288.22</x:v>
      </x:c>
      <x:c r="I1203" s="13" t="str">
        <x:v>Diretoria</x:v>
      </x:c>
      <x:c r="J1203" s="13" t="str">
        <x:v>Pago</x:v>
      </x:c>
      <x:c r="K1203" s="13" t="str">
        <x:v>Escala inteligente</x:v>
      </x:c>
      <x:c r="L1203" s="17" t="n">
        <x:f>H1203-G1203</x:f>
        <x:v>899.630000000001</x:v>
      </x:c>
      <x:c r="M1203" s="19" t="n">
        <x:f>IFERROR(L1203/G1203,0)</x:f>
        <x:v>0.044124189068493753</x:v>
      </x:c>
      <x:c r="N1203" s="13" t="n">
        <x:f>D1203-C1203</x:f>
        <x:v>-2</x:v>
      </x:c>
    </x:row>
    <x:row r="1204">
      <x:c r="A1204" s="13" t="str">
        <x:v>PAG-001203</x:v>
      </x:c>
      <x:c r="B1204" s="23" t="n">
        <x:v>46157</x:v>
      </x:c>
      <x:c r="C1204" s="23" t="n">
        <x:v>46177</x:v>
      </x:c>
      <x:c r="D1204" s="23" t="n">
        <x:v>46177</x:v>
      </x:c>
      <x:c r="E1204" s="13" t="str">
        <x:v>CloudCore</x:v>
      </x:c>
      <x:c r="F1204" s="13" t="str">
        <x:v>Tecnologia</x:v>
      </x:c>
      <x:c r="G1204" s="17" t="n">
        <x:v>5508.37</x:v>
      </x:c>
      <x:c r="H1204" s="17" t="n">
        <x:v>5639.23</x:v>
      </x:c>
      <x:c r="I1204" s="13" t="str">
        <x:v>Financeiro</x:v>
      </x:c>
      <x:c r="J1204" s="13" t="str">
        <x:v>Pago</x:v>
      </x:c>
      <x:c r="K1204" s="13" t="str">
        <x:v>Escala inteligente</x:v>
      </x:c>
      <x:c r="L1204" s="17" t="n">
        <x:f>H1204-G1204</x:f>
        <x:v>130.85999999999967</x:v>
      </x:c>
      <x:c r="M1204" s="19" t="n">
        <x:f>IFERROR(L1204/G1204,0)</x:f>
        <x:v>0.023756574086344903</x:v>
      </x:c>
      <x:c r="N1204" s="13" t="n">
        <x:f>D1204-C1204</x:f>
        <x:v>0</x:v>
      </x:c>
    </x:row>
    <x:row r="1205">
      <x:c r="A1205" s="13" t="str">
        <x:v>PAG-001204</x:v>
      </x:c>
      <x:c r="B1205" s="23" t="n">
        <x:v>46144</x:v>
      </x:c>
      <x:c r="C1205" s="23" t="n">
        <x:v>46151</x:v>
      </x:c>
      <x:c r="D1205" s="23" t="n">
        <x:v>46152</x:v>
      </x:c>
      <x:c r="E1205" s="13" t="str">
        <x:v>LegalMais</x:v>
      </x:c>
      <x:c r="F1205" s="13" t="str">
        <x:v>Jurídico</x:v>
      </x:c>
      <x:c r="G1205" s="17" t="n">
        <x:v>2615.74</x:v>
      </x:c>
      <x:c r="H1205" s="17" t="n">
        <x:v>2647.82</x:v>
      </x:c>
      <x:c r="I1205" s="13" t="str">
        <x:v>Financeiro</x:v>
      </x:c>
      <x:c r="J1205" s="13" t="str">
        <x:v>Pago</x:v>
      </x:c>
      <x:c r="K1205" s="13" t="str">
        <x:v>Escala inteligente</x:v>
      </x:c>
      <x:c r="L1205" s="17" t="n">
        <x:f>H1205-G1205</x:f>
        <x:v>32.08000000000038</x:v>
      </x:c>
      <x:c r="M1205" s="19" t="n">
        <x:f>IFERROR(L1205/G1205,0)</x:f>
        <x:v>0.012264215862432957</x:v>
      </x:c>
      <x:c r="N1205" s="13" t="n">
        <x:f>D1205-C1205</x:f>
        <x:v>1</x:v>
      </x:c>
    </x:row>
    <x:row r="1206">
      <x:c r="A1206" s="13" t="str">
        <x:v>PAG-001205</x:v>
      </x:c>
      <x:c r="B1206" s="23" t="n">
        <x:v>46158</x:v>
      </x:c>
      <x:c r="C1206" s="23" t="n">
        <x:v>46165</x:v>
      </x:c>
      <x:c r="D1206" s="23" t="n">
        <x:v>46167</x:v>
      </x:c>
      <x:c r="E1206" s="13" t="str">
        <x:v>Office Prime</x:v>
      </x:c>
      <x:c r="F1206" s="13" t="str">
        <x:v>Escritório</x:v>
      </x:c>
      <x:c r="G1206" s="17" t="n">
        <x:v>15092.26</x:v>
      </x:c>
      <x:c r="H1206" s="17" t="n">
        <x:v>14684.73</x:v>
      </x:c>
      <x:c r="I1206" s="13" t="str">
        <x:v>Financeiro</x:v>
      </x:c>
      <x:c r="J1206" s="13" t="str">
        <x:v>Pago</x:v>
      </x:c>
      <x:c r="K1206" s="13" t="str">
        <x:v>Escala inteligente</x:v>
      </x:c>
      <x:c r="L1206" s="17" t="n">
        <x:f>H1206-G1206</x:f>
        <x:v>-407.53000000000065</x:v>
      </x:c>
      <x:c r="M1206" s="19" t="n">
        <x:f>IFERROR(L1206/G1206,0)</x:f>
        <x:v>-0.027002582780842672</x:v>
      </x:c>
      <x:c r="N1206" s="13" t="n">
        <x:f>D1206-C1206</x:f>
        <x:v>2</x:v>
      </x:c>
    </x:row>
    <x:row r="1207">
      <x:c r="A1207" s="13" t="str">
        <x:v>PAG-001206</x:v>
      </x:c>
      <x:c r="B1207" s="23" t="n">
        <x:v>46150</x:v>
      </x:c>
      <x:c r="C1207" s="23" t="n">
        <x:v>46157</x:v>
      </x:c>
      <x:c r="D1207" s="23" t="n">
        <x:v>46154</x:v>
      </x:c>
      <x:c r="E1207" s="13" t="str">
        <x:v>Office Prime</x:v>
      </x:c>
      <x:c r="F1207" s="13" t="str">
        <x:v>Escritório</x:v>
      </x:c>
      <x:c r="G1207" s="17" t="n">
        <x:v>22926.82</x:v>
      </x:c>
      <x:c r="H1207" s="17" t="n">
        <x:v>23527.17</x:v>
      </x:c>
      <x:c r="I1207" s="13" t="str">
        <x:v>Diretoria</x:v>
      </x:c>
      <x:c r="J1207" s="13" t="str">
        <x:v>Pago</x:v>
      </x:c>
      <x:c r="K1207" s="13" t="str">
        <x:v>Escala inteligente</x:v>
      </x:c>
      <x:c r="L1207" s="17" t="n">
        <x:f>H1207-G1207</x:f>
        <x:v>600.3499999999985</x:v>
      </x:c>
      <x:c r="M1207" s="19" t="n">
        <x:f>IFERROR(L1207/G1207,0)</x:f>
        <x:v>0.02618548930902753</x:v>
      </x:c>
      <x:c r="N1207" s="13" t="n">
        <x:f>D1207-C1207</x:f>
        <x:v>-3</x:v>
      </x:c>
    </x:row>
    <x:row r="1208">
      <x:c r="A1208" s="13" t="str">
        <x:v>PAG-001207</x:v>
      </x:c>
      <x:c r="B1208" s="23" t="n">
        <x:v>46161</x:v>
      </x:c>
      <x:c r="C1208" s="23" t="n">
        <x:v>46168</x:v>
      </x:c>
      <x:c r="D1208" s="23" t="n">
        <x:v>46166</x:v>
      </x:c>
      <x:c r="E1208" s="13" t="str">
        <x:v>LegalMais</x:v>
      </x:c>
      <x:c r="F1208" s="13" t="str">
        <x:v>Jurídico</x:v>
      </x:c>
      <x:c r="G1208" s="17" t="n">
        <x:v>20322.75</x:v>
      </x:c>
      <x:c r="H1208" s="17" t="n">
        <x:v>20177.79</x:v>
      </x:c>
      <x:c r="I1208" s="13" t="str">
        <x:v>Financeiro</x:v>
      </x:c>
      <x:c r="J1208" s="13" t="str">
        <x:v>Pago</x:v>
      </x:c>
      <x:c r="K1208" s="13" t="str">
        <x:v>Escala inteligente</x:v>
      </x:c>
      <x:c r="L1208" s="17" t="n">
        <x:f>H1208-G1208</x:f>
        <x:v>-144.95999999999913</x:v>
      </x:c>
      <x:c r="M1208" s="19" t="n">
        <x:f>IFERROR(L1208/G1208,0)</x:f>
        <x:v>-0.007132892940177837</x:v>
      </x:c>
      <x:c r="N1208" s="13" t="n">
        <x:f>D1208-C1208</x:f>
        <x:v>-2</x:v>
      </x:c>
    </x:row>
    <x:row r="1209">
      <x:c r="A1209" s="13" t="str">
        <x:v>PAG-001208</x:v>
      </x:c>
      <x:c r="B1209" s="23" t="n">
        <x:v>46162</x:v>
      </x:c>
      <x:c r="C1209" s="23" t="n">
        <x:v>46192</x:v>
      </x:c>
      <x:c r="D1209" s="23" t="n">
        <x:v>46190</x:v>
      </x:c>
      <x:c r="E1209" s="13" t="str">
        <x:v>NetLink</x:v>
      </x:c>
      <x:c r="F1209" s="13" t="str">
        <x:v>Telecomunicações</x:v>
      </x:c>
      <x:c r="G1209" s="17" t="n">
        <x:v>4702.78</x:v>
      </x:c>
      <x:c r="H1209" s="17" t="n">
        <x:v>4683.71</x:v>
      </x:c>
      <x:c r="I1209" s="13" t="str">
        <x:v>Diretoria</x:v>
      </x:c>
      <x:c r="J1209" s="13" t="str">
        <x:v>Pago</x:v>
      </x:c>
      <x:c r="K1209" s="13" t="str">
        <x:v>Escala inteligente</x:v>
      </x:c>
      <x:c r="L1209" s="17" t="n">
        <x:f>H1209-G1209</x:f>
        <x:v>-19.06999999999971</x:v>
      </x:c>
      <x:c r="M1209" s="19" t="n">
        <x:f>IFERROR(L1209/G1209,0)</x:f>
        <x:v>-0.0040550482905855065</x:v>
      </x:c>
      <x:c r="N1209" s="13" t="n">
        <x:f>D1209-C1209</x:f>
        <x:v>-2</x:v>
      </x:c>
    </x:row>
    <x:row r="1210">
      <x:c r="A1210" s="13" t="str">
        <x:v>PAG-001209</x:v>
      </x:c>
      <x:c r="B1210" s="23" t="n">
        <x:v>46159</x:v>
      </x:c>
      <x:c r="C1210" s="23" t="n">
        <x:v>46189</x:v>
      </x:c>
      <x:c r="D1210" s="23" t="n">
        <x:v>46189</x:v>
      </x:c>
      <x:c r="E1210" s="13" t="str">
        <x:v>DataSafe</x:v>
      </x:c>
      <x:c r="F1210" s="13" t="str">
        <x:v>Segurança da informação</x:v>
      </x:c>
      <x:c r="G1210" s="17" t="n">
        <x:v>12529.7</x:v>
      </x:c>
      <x:c r="H1210" s="17" t="n">
        <x:v>12581.4</x:v>
      </x:c>
      <x:c r="I1210" s="13" t="str">
        <x:v>Gestor da área</x:v>
      </x:c>
      <x:c r="J1210" s="13" t="str">
        <x:v>Pago</x:v>
      </x:c>
      <x:c r="K1210" s="13" t="str">
        <x:v>Escala inteligente</x:v>
      </x:c>
      <x:c r="L1210" s="17" t="n">
        <x:f>H1210-G1210</x:f>
        <x:v>51.69999999999891</x:v>
      </x:c>
      <x:c r="M1210" s="19" t="n">
        <x:f>IFERROR(L1210/G1210,0)</x:f>
        <x:v>0.004126196157928674</x:v>
      </x:c>
      <x:c r="N1210" s="13" t="n">
        <x:f>D1210-C1210</x:f>
        <x:v>0</x:v>
      </x:c>
    </x:row>
    <x:row r="1211">
      <x:c r="A1211" s="13" t="str">
        <x:v>PAG-001210</x:v>
      </x:c>
      <x:c r="B1211" s="23" t="n">
        <x:v>46149</x:v>
      </x:c>
      <x:c r="C1211" s="23" t="n">
        <x:v>46169</x:v>
      </x:c>
      <x:c r="D1211" s="23" t="n">
        <x:v>46166</x:v>
      </x:c>
      <x:c r="E1211" s="13" t="str">
        <x:v>MarketLab</x:v>
      </x:c>
      <x:c r="F1211" s="13" t="str">
        <x:v>Marketing</x:v>
      </x:c>
      <x:c r="G1211" s="17" t="n">
        <x:v>4536.79</x:v>
      </x:c>
      <x:c r="H1211" s="17" t="n">
        <x:v>4392.87</x:v>
      </x:c>
      <x:c r="I1211" s="13" t="str">
        <x:v>Gestor da área</x:v>
      </x:c>
      <x:c r="J1211" s="13" t="str">
        <x:v>Pago</x:v>
      </x:c>
      <x:c r="K1211" s="13" t="str">
        <x:v>Escala inteligente</x:v>
      </x:c>
      <x:c r="L1211" s="17" t="n">
        <x:f>H1211-G1211</x:f>
        <x:v>-143.92000000000007</x:v>
      </x:c>
      <x:c r="M1211" s="19" t="n">
        <x:f>IFERROR(L1211/G1211,0)</x:f>
        <x:v>-0.03172287013505145</x:v>
      </x:c>
      <x:c r="N1211" s="13" t="n">
        <x:f>D1211-C1211</x:f>
        <x:v>-3</x:v>
      </x:c>
    </x:row>
    <x:row r="1212">
      <x:c r="A1212" s="13" t="str">
        <x:v>PAG-001211</x:v>
      </x:c>
      <x:c r="B1212" s="23" t="n">
        <x:v>46161</x:v>
      </x:c>
      <x:c r="C1212" s="23" t="n">
        <x:v>46168</x:v>
      </x:c>
      <x:c r="D1212" s="23" t="n">
        <x:v>46170</x:v>
      </x:c>
      <x:c r="E1212" s="13" t="str">
        <x:v>Banco Integra</x:v>
      </x:c>
      <x:c r="F1212" s="13" t="str">
        <x:v>Serviços bancários</x:v>
      </x:c>
      <x:c r="G1212" s="17" t="n">
        <x:v>14533.33</x:v>
      </x:c>
      <x:c r="H1212" s="17" t="n">
        <x:v>14643.71</x:v>
      </x:c>
      <x:c r="I1212" s="13" t="str">
        <x:v>Financeiro</x:v>
      </x:c>
      <x:c r="J1212" s="13" t="str">
        <x:v>Pago</x:v>
      </x:c>
      <x:c r="K1212" s="13" t="str">
        <x:v>Escala inteligente</x:v>
      </x:c>
      <x:c r="L1212" s="17" t="n">
        <x:f>H1212-G1212</x:f>
        <x:v>110.3799999999992</x:v>
      </x:c>
      <x:c r="M1212" s="19" t="n">
        <x:f>IFERROR(L1212/G1212,0)</x:f>
        <x:v>0.007594955870402668</x:v>
      </x:c>
      <x:c r="N1212" s="13" t="n">
        <x:f>D1212-C1212</x:f>
        <x:v>2</x:v>
      </x:c>
    </x:row>
    <x:row r="1213">
      <x:c r="A1213" s="13" t="str">
        <x:v>PAG-001212</x:v>
      </x:c>
      <x:c r="B1213" s="23" t="n">
        <x:v>46159</x:v>
      </x:c>
      <x:c r="C1213" s="23" t="n">
        <x:v>46174</x:v>
      </x:c>
      <x:c r="D1213" s="23" t="n">
        <x:v>46174</x:v>
      </x:c>
      <x:c r="E1213" s="13" t="str">
        <x:v>NetLink</x:v>
      </x:c>
      <x:c r="F1213" s="13" t="str">
        <x:v>Telecomunicações</x:v>
      </x:c>
      <x:c r="G1213" s="17" t="n">
        <x:v>11427.62</x:v>
      </x:c>
      <x:c r="H1213" s="17" t="n">
        <x:v>11818.62</x:v>
      </x:c>
      <x:c r="I1213" s="13" t="str">
        <x:v>Financeiro</x:v>
      </x:c>
      <x:c r="J1213" s="13" t="str">
        <x:v>Pago</x:v>
      </x:c>
      <x:c r="K1213" s="13" t="str">
        <x:v>Escala inteligente</x:v>
      </x:c>
      <x:c r="L1213" s="17" t="n">
        <x:f>H1213-G1213</x:f>
        <x:v>391</x:v>
      </x:c>
      <x:c r="M1213" s="19" t="n">
        <x:f>IFERROR(L1213/G1213,0)</x:f>
        <x:v>0.03421534842775661</x:v>
      </x:c>
      <x:c r="N1213" s="13" t="n">
        <x:f>D1213-C1213</x:f>
        <x:v>0</x:v>
      </x:c>
    </x:row>
    <x:row r="1214">
      <x:c r="A1214" s="13" t="str">
        <x:v>PAG-001213</x:v>
      </x:c>
      <x:c r="B1214" s="23" t="n">
        <x:v>46156</x:v>
      </x:c>
      <x:c r="C1214" s="23" t="n">
        <x:v>46171</x:v>
      </x:c>
      <x:c r="D1214" s="23" t="n">
        <x:v>46171</x:v>
      </x:c>
      <x:c r="E1214" s="13" t="str">
        <x:v>Conta Certa</x:v>
      </x:c>
      <x:c r="F1214" s="13" t="str">
        <x:v>Contabilidade</x:v>
      </x:c>
      <x:c r="G1214" s="17" t="n">
        <x:v>31890.31</x:v>
      </x:c>
      <x:c r="H1214" s="17" t="n">
        <x:v>32250.27</x:v>
      </x:c>
      <x:c r="I1214" s="13" t="str">
        <x:v>Gestor da área</x:v>
      </x:c>
      <x:c r="J1214" s="13" t="str">
        <x:v>Pago</x:v>
      </x:c>
      <x:c r="K1214" s="13" t="str">
        <x:v>Escala inteligente</x:v>
      </x:c>
      <x:c r="L1214" s="17" t="n">
        <x:f>H1214-G1214</x:f>
        <x:v>359.9599999999991</x:v>
      </x:c>
      <x:c r="M1214" s="19" t="n">
        <x:f>IFERROR(L1214/G1214,0)</x:f>
        <x:v>0.011287441232148546</x:v>
      </x:c>
      <x:c r="N1214" s="13" t="n">
        <x:f>D1214-C1214</x:f>
        <x:v>0</x:v>
      </x:c>
    </x:row>
    <x:row r="1215">
      <x:c r="A1215" s="13" t="str">
        <x:v>PAG-001214</x:v>
      </x:c>
      <x:c r="B1215" s="23" t="n">
        <x:v>46146</x:v>
      </x:c>
      <x:c r="C1215" s="23" t="n">
        <x:v>46153</x:v>
      </x:c>
      <x:c r="D1215" s="23" t="n">
        <x:v>46155</x:v>
      </x:c>
      <x:c r="E1215" s="13" t="str">
        <x:v>Insight BI</x:v>
      </x:c>
      <x:c r="F1215" s="13" t="str">
        <x:v>Dados e Analytics</x:v>
      </x:c>
      <x:c r="G1215" s="17" t="n">
        <x:v>16341.01</x:v>
      </x:c>
      <x:c r="H1215" s="17" t="n">
        <x:v>15849.7</x:v>
      </x:c>
      <x:c r="I1215" s="13" t="str">
        <x:v>Diretoria</x:v>
      </x:c>
      <x:c r="J1215" s="13" t="str">
        <x:v>Pago</x:v>
      </x:c>
      <x:c r="K1215" s="13" t="str">
        <x:v>Escala inteligente</x:v>
      </x:c>
      <x:c r="L1215" s="17" t="n">
        <x:f>H1215-G1215</x:f>
        <x:v>-491.3099999999995</x:v>
      </x:c>
      <x:c r="M1215" s="19" t="n">
        <x:f>IFERROR(L1215/G1215,0)</x:f>
        <x:v>-0.030066073027309785</x:v>
      </x:c>
      <x:c r="N1215" s="13" t="n">
        <x:f>D1215-C1215</x:f>
        <x:v>2</x:v>
      </x:c>
    </x:row>
    <x:row r="1216">
      <x:c r="A1216" s="13" t="str">
        <x:v>PAG-001215</x:v>
      </x:c>
      <x:c r="B1216" s="23" t="n">
        <x:v>46155</x:v>
      </x:c>
      <x:c r="C1216" s="23" t="n">
        <x:v>46162</x:v>
      </x:c>
      <x:c r="D1216" s="23" t="n">
        <x:v>46160</x:v>
      </x:c>
      <x:c r="E1216" s="13" t="str">
        <x:v>CloudCore</x:v>
      </x:c>
      <x:c r="F1216" s="13" t="str">
        <x:v>Tecnologia</x:v>
      </x:c>
      <x:c r="G1216" s="17" t="n">
        <x:v>7895.58</x:v>
      </x:c>
      <x:c r="H1216" s="17" t="n">
        <x:v>8198.76</x:v>
      </x:c>
      <x:c r="I1216" s="13" t="str">
        <x:v>Gestor da área</x:v>
      </x:c>
      <x:c r="J1216" s="13" t="str">
        <x:v>Pago</x:v>
      </x:c>
      <x:c r="K1216" s="13" t="str">
        <x:v>Escala inteligente</x:v>
      </x:c>
      <x:c r="L1216" s="17" t="n">
        <x:f>H1216-G1216</x:f>
        <x:v>303.1800000000003</x:v>
      </x:c>
      <x:c r="M1216" s="19" t="n">
        <x:f>IFERROR(L1216/G1216,0)</x:f>
        <x:v>0.03839869901894481</x:v>
      </x:c>
      <x:c r="N1216" s="13" t="n">
        <x:f>D1216-C1216</x:f>
        <x:v>-2</x:v>
      </x:c>
    </x:row>
    <x:row r="1217">
      <x:c r="A1217" s="13" t="str">
        <x:v>PAG-001216</x:v>
      </x:c>
      <x:c r="B1217" s="23" t="n">
        <x:v>46145</x:v>
      </x:c>
      <x:c r="C1217" s="23" t="n">
        <x:v>46175</x:v>
      </x:c>
      <x:c r="D1217" s="23" t="n">
        <x:v>46173</x:v>
      </x:c>
      <x:c r="E1217" s="13" t="str">
        <x:v>MarketLab</x:v>
      </x:c>
      <x:c r="F1217" s="13" t="str">
        <x:v>Marketing</x:v>
      </x:c>
      <x:c r="G1217" s="17" t="n">
        <x:v>12647.48</x:v>
      </x:c>
      <x:c r="H1217" s="17" t="n">
        <x:v>12868.2</x:v>
      </x:c>
      <x:c r="I1217" s="13" t="str">
        <x:v>Diretoria</x:v>
      </x:c>
      <x:c r="J1217" s="13" t="str">
        <x:v>Pago</x:v>
      </x:c>
      <x:c r="K1217" s="13" t="str">
        <x:v>Escala inteligente</x:v>
      </x:c>
      <x:c r="L1217" s="17" t="n">
        <x:f>H1217-G1217</x:f>
        <x:v>220.72000000000116</x:v>
      </x:c>
      <x:c r="M1217" s="19" t="n">
        <x:f>IFERROR(L1217/G1217,0)</x:f>
        <x:v>0.01745169788764253</x:v>
      </x:c>
      <x:c r="N1217" s="13" t="n">
        <x:f>D1217-C1217</x:f>
        <x:v>-2</x:v>
      </x:c>
    </x:row>
    <x:row r="1218">
      <x:c r="A1218" s="13" t="str">
        <x:v>PAG-001217</x:v>
      </x:c>
      <x:c r="B1218" s="23" t="n">
        <x:v>46144</x:v>
      </x:c>
      <x:c r="C1218" s="23" t="n">
        <x:v>46159</x:v>
      </x:c>
      <x:c r="D1218" s="23" t="n">
        <x:v>46157</x:v>
      </x:c>
      <x:c r="E1218" s="13" t="str">
        <x:v>PeopleHub</x:v>
      </x:c>
      <x:c r="F1218" s="13" t="str">
        <x:v>Recursos Humanos</x:v>
      </x:c>
      <x:c r="G1218" s="17" t="n">
        <x:v>14149.48</x:v>
      </x:c>
      <x:c r="H1218" s="17" t="n">
        <x:v>14206.88</x:v>
      </x:c>
      <x:c r="I1218" s="13" t="str">
        <x:v>Financeiro</x:v>
      </x:c>
      <x:c r="J1218" s="13" t="str">
        <x:v>Pago</x:v>
      </x:c>
      <x:c r="K1218" s="13" t="str">
        <x:v>Escala inteligente</x:v>
      </x:c>
      <x:c r="L1218" s="17" t="n">
        <x:f>H1218-G1218</x:f>
        <x:v>57.399999999999636</x:v>
      </x:c>
      <x:c r="M1218" s="19" t="n">
        <x:f>IFERROR(L1218/G1218,0)</x:f>
        <x:v>0.00405668618210702</x:v>
      </x:c>
      <x:c r="N1218" s="13" t="n">
        <x:f>D1218-C1218</x:f>
        <x:v>-2</x:v>
      </x:c>
    </x:row>
    <x:row r="1219">
      <x:c r="A1219" s="13" t="str">
        <x:v>PAG-001218</x:v>
      </x:c>
      <x:c r="B1219" s="23" t="n">
        <x:v>46155</x:v>
      </x:c>
      <x:c r="C1219" s="23" t="n">
        <x:v>46162</x:v>
      </x:c>
      <x:c r="D1219" s="23" t="n">
        <x:v>46163</x:v>
      </x:c>
      <x:c r="E1219" s="13" t="str">
        <x:v>WorkSpace</x:v>
      </x:c>
      <x:c r="F1219" s="13" t="str">
        <x:v>Locação</x:v>
      </x:c>
      <x:c r="G1219" s="17" t="n">
        <x:v>7563.92</x:v>
      </x:c>
      <x:c r="H1219" s="17" t="n">
        <x:v>7688.16</x:v>
      </x:c>
      <x:c r="I1219" s="13" t="str">
        <x:v>Financeiro</x:v>
      </x:c>
      <x:c r="J1219" s="13" t="str">
        <x:v>Pago</x:v>
      </x:c>
      <x:c r="K1219" s="13" t="str">
        <x:v>Escala inteligente</x:v>
      </x:c>
      <x:c r="L1219" s="17" t="n">
        <x:f>H1219-G1219</x:f>
        <x:v>124.23999999999978</x:v>
      </x:c>
      <x:c r="M1219" s="19" t="n">
        <x:f>IFERROR(L1219/G1219,0)</x:f>
        <x:v>0.01642534558800196</x:v>
      </x:c>
      <x:c r="N1219" s="13" t="n">
        <x:f>D1219-C1219</x:f>
        <x:v>1</x:v>
      </x:c>
    </x:row>
    <x:row r="1220">
      <x:c r="A1220" s="13" t="str">
        <x:v>PAG-001219</x:v>
      </x:c>
      <x:c r="B1220" s="23" t="n">
        <x:v>46175</x:v>
      </x:c>
      <x:c r="C1220" s="23" t="n">
        <x:v>46182</x:v>
      </x:c>
      <x:c r="D1220" s="23" t="n">
        <x:v>46184</x:v>
      </x:c>
      <x:c r="E1220" s="13" t="str">
        <x:v>Insight BI</x:v>
      </x:c>
      <x:c r="F1220" s="13" t="str">
        <x:v>Dados e Analytics</x:v>
      </x:c>
      <x:c r="G1220" s="17" t="n">
        <x:v>20875.87</x:v>
      </x:c>
      <x:c r="H1220" s="17" t="n">
        <x:v>21096.77</x:v>
      </x:c>
      <x:c r="I1220" s="13" t="str">
        <x:v>Diretoria</x:v>
      </x:c>
      <x:c r="J1220" s="13" t="str">
        <x:v>Pago</x:v>
      </x:c>
      <x:c r="K1220" s="13" t="str">
        <x:v>Escala inteligente</x:v>
      </x:c>
      <x:c r="L1220" s="17" t="n">
        <x:f>H1220-G1220</x:f>
        <x:v>220.90000000000146</x:v>
      </x:c>
      <x:c r="M1220" s="19" t="n">
        <x:f>IFERROR(L1220/G1220,0)</x:f>
        <x:v>0.010581594922750594</x:v>
      </x:c>
      <x:c r="N1220" s="13" t="n">
        <x:f>D1220-C1220</x:f>
        <x:v>2</x:v>
      </x:c>
    </x:row>
    <x:row r="1221">
      <x:c r="A1221" s="13" t="str">
        <x:v>PAG-001220</x:v>
      </x:c>
      <x:c r="B1221" s="23" t="n">
        <x:v>46182</x:v>
      </x:c>
      <x:c r="C1221" s="23" t="n">
        <x:v>46189</x:v>
      </x:c>
      <x:c r="D1221" s="23" t="n">
        <x:v>46186</x:v>
      </x:c>
      <x:c r="E1221" s="13" t="str">
        <x:v>Insight BI</x:v>
      </x:c>
      <x:c r="F1221" s="13" t="str">
        <x:v>Dados e Analytics</x:v>
      </x:c>
      <x:c r="G1221" s="17" t="n">
        <x:v>9501.79</x:v>
      </x:c>
      <x:c r="H1221" s="17" t="n">
        <x:v>9629.65</x:v>
      </x:c>
      <x:c r="I1221" s="13" t="str">
        <x:v>Gestor da área</x:v>
      </x:c>
      <x:c r="J1221" s="13" t="str">
        <x:v>Pago</x:v>
      </x:c>
      <x:c r="K1221" s="13" t="str">
        <x:v>Escala inteligente</x:v>
      </x:c>
      <x:c r="L1221" s="17" t="n">
        <x:f>H1221-G1221</x:f>
        <x:v>127.85999999999876</x:v>
      </x:c>
      <x:c r="M1221" s="19" t="n">
        <x:f>IFERROR(L1221/G1221,0)</x:f>
        <x:v>0.013456411897126621</x:v>
      </x:c>
      <x:c r="N1221" s="13" t="n">
        <x:f>D1221-C1221</x:f>
        <x:v>-3</x:v>
      </x:c>
    </x:row>
    <x:row r="1222">
      <x:c r="A1222" s="13" t="str">
        <x:v>PAG-001221</x:v>
      </x:c>
      <x:c r="B1222" s="23" t="n">
        <x:v>46180</x:v>
      </x:c>
      <x:c r="C1222" s="23" t="n">
        <x:v>46195</x:v>
      </x:c>
      <x:c r="D1222" s="23" t="n">
        <x:v>46195</x:v>
      </x:c>
      <x:c r="E1222" s="13" t="str">
        <x:v>EducaPro</x:v>
      </x:c>
      <x:c r="F1222" s="13" t="str">
        <x:v>Treinamentos</x:v>
      </x:c>
      <x:c r="G1222" s="17" t="n">
        <x:v>14000.12</x:v>
      </x:c>
      <x:c r="H1222" s="17" t="n">
        <x:v>14146.14</x:v>
      </x:c>
      <x:c r="I1222" s="13" t="str">
        <x:v>Financeiro</x:v>
      </x:c>
      <x:c r="J1222" s="13" t="str">
        <x:v>Pago</x:v>
      </x:c>
      <x:c r="K1222" s="13" t="str">
        <x:v>Escala inteligente</x:v>
      </x:c>
      <x:c r="L1222" s="17" t="n">
        <x:f>H1222-G1222</x:f>
        <x:v>146.01999999999862</x:v>
      </x:c>
      <x:c r="M1222" s="19" t="n">
        <x:f>IFERROR(L1222/G1222,0)</x:f>
        <x:v>0.01042991060076618</x:v>
      </x:c>
      <x:c r="N1222" s="13" t="n">
        <x:f>D1222-C1222</x:f>
        <x:v>0</x:v>
      </x:c>
    </x:row>
    <x:row r="1223">
      <x:c r="A1223" s="13" t="str">
        <x:v>PAG-001222</x:v>
      </x:c>
      <x:c r="B1223" s="23" t="n">
        <x:v>46190</x:v>
      </x:c>
      <x:c r="C1223" s="23" t="n">
        <x:v>46220</x:v>
      </x:c>
      <x:c r="D1223" s="23" t="n">
        <x:v>46220</x:v>
      </x:c>
      <x:c r="E1223" s="13" t="str">
        <x:v>Banco Integra</x:v>
      </x:c>
      <x:c r="F1223" s="13" t="str">
        <x:v>Serviços bancários</x:v>
      </x:c>
      <x:c r="G1223" s="17" t="n">
        <x:v>12672.85</x:v>
      </x:c>
      <x:c r="H1223" s="17" t="n">
        <x:v>12942.7</x:v>
      </x:c>
      <x:c r="I1223" s="13" t="str">
        <x:v>Financeiro</x:v>
      </x:c>
      <x:c r="J1223" s="13" t="str">
        <x:v>Pago</x:v>
      </x:c>
      <x:c r="K1223" s="13" t="str">
        <x:v>Escala inteligente</x:v>
      </x:c>
      <x:c r="L1223" s="17" t="n">
        <x:f>H1223-G1223</x:f>
        <x:v>269.85000000000036</x:v>
      </x:c>
      <x:c r="M1223" s="19" t="n">
        <x:f>IFERROR(L1223/G1223,0)</x:f>
        <x:v>0.021293552752537935</x:v>
      </x:c>
      <x:c r="N1223" s="13" t="n">
        <x:f>D1223-C1223</x:f>
        <x:v>0</x:v>
      </x:c>
    </x:row>
    <x:row r="1224">
      <x:c r="A1224" s="13" t="str">
        <x:v>PAG-001223</x:v>
      </x:c>
      <x:c r="B1224" s="23" t="n">
        <x:v>46178</x:v>
      </x:c>
      <x:c r="C1224" s="23" t="n">
        <x:v>46198</x:v>
      </x:c>
      <x:c r="D1224" s="23" t="n">
        <x:v>46198</x:v>
      </x:c>
      <x:c r="E1224" s="13" t="str">
        <x:v>EducaPro</x:v>
      </x:c>
      <x:c r="F1224" s="13" t="str">
        <x:v>Treinamentos</x:v>
      </x:c>
      <x:c r="G1224" s="17" t="n">
        <x:v>9984.9</x:v>
      </x:c>
      <x:c r="H1224" s="17" t="n">
        <x:v>9753.34</x:v>
      </x:c>
      <x:c r="I1224" s="13" t="str">
        <x:v>Diretoria</x:v>
      </x:c>
      <x:c r="J1224" s="13" t="str">
        <x:v>Pago</x:v>
      </x:c>
      <x:c r="K1224" s="13" t="str">
        <x:v>Escala inteligente</x:v>
      </x:c>
      <x:c r="L1224" s="17" t="n">
        <x:f>H1224-G1224</x:f>
        <x:v>-231.5599999999995</x:v>
      </x:c>
      <x:c r="M1224" s="19" t="n">
        <x:f>IFERROR(L1224/G1224,0)</x:f>
        <x:v>-0.02319101843784109</x:v>
      </x:c>
      <x:c r="N1224" s="13" t="n">
        <x:f>D1224-C1224</x:f>
        <x:v>0</x:v>
      </x:c>
    </x:row>
    <x:row r="1225">
      <x:c r="A1225" s="13" t="str">
        <x:v>PAG-001224</x:v>
      </x:c>
      <x:c r="B1225" s="23" t="n">
        <x:v>46177</x:v>
      </x:c>
      <x:c r="C1225" s="23" t="n">
        <x:v>46197</x:v>
      </x:c>
      <x:c r="D1225" s="23" t="n">
        <x:v>46195</x:v>
      </x:c>
      <x:c r="E1225" s="13" t="str">
        <x:v>Conta Certa</x:v>
      </x:c>
      <x:c r="F1225" s="13" t="str">
        <x:v>Contabilidade</x:v>
      </x:c>
      <x:c r="G1225" s="17" t="n">
        <x:v>27349.85</x:v>
      </x:c>
      <x:c r="H1225" s="17" t="n">
        <x:v>26490.5</x:v>
      </x:c>
      <x:c r="I1225" s="13" t="str">
        <x:v>Financeiro</x:v>
      </x:c>
      <x:c r="J1225" s="13" t="str">
        <x:v>Pago</x:v>
      </x:c>
      <x:c r="K1225" s="13" t="str">
        <x:v>Escala inteligente</x:v>
      </x:c>
      <x:c r="L1225" s="17" t="n">
        <x:f>H1225-G1225</x:f>
        <x:v>-859.3499999999985</x:v>
      </x:c>
      <x:c r="M1225" s="19" t="n">
        <x:f>IFERROR(L1225/G1225,0)</x:f>
        <x:v>-0.031420647645233835</x:v>
      </x:c>
      <x:c r="N1225" s="13" t="n">
        <x:f>D1225-C1225</x:f>
        <x:v>-2</x:v>
      </x:c>
    </x:row>
    <x:row r="1226">
      <x:c r="A1226" s="13" t="str">
        <x:v>PAG-001225</x:v>
      </x:c>
      <x:c r="B1226" s="23" t="n">
        <x:v>46184</x:v>
      </x:c>
      <x:c r="C1226" s="23" t="n">
        <x:v>46199</x:v>
      </x:c>
      <x:c r="D1226" s="23" t="n">
        <x:v>46200</x:v>
      </x:c>
      <x:c r="E1226" s="13" t="str">
        <x:v>DataSafe</x:v>
      </x:c>
      <x:c r="F1226" s="13" t="str">
        <x:v>Segurança da informação</x:v>
      </x:c>
      <x:c r="G1226" s="17" t="n">
        <x:v>1409.8</x:v>
      </x:c>
      <x:c r="H1226" s="17" t="n">
        <x:v>1389.41</x:v>
      </x:c>
      <x:c r="I1226" s="13" t="str">
        <x:v>Gestor da área</x:v>
      </x:c>
      <x:c r="J1226" s="13" t="str">
        <x:v>Pago</x:v>
      </x:c>
      <x:c r="K1226" s="13" t="str">
        <x:v>Escala inteligente</x:v>
      </x:c>
      <x:c r="L1226" s="17" t="n">
        <x:f>H1226-G1226</x:f>
        <x:v>-20.389999999999873</x:v>
      </x:c>
      <x:c r="M1226" s="19" t="n">
        <x:f>IFERROR(L1226/G1226,0)</x:f>
        <x:v>-0.014463044403461394</x:v>
      </x:c>
      <x:c r="N1226" s="13" t="n">
        <x:f>D1226-C1226</x:f>
        <x:v>1</x:v>
      </x:c>
    </x:row>
    <x:row r="1227">
      <x:c r="A1227" s="13" t="str">
        <x:v>PAG-001226</x:v>
      </x:c>
      <x:c r="B1227" s="23" t="n">
        <x:v>46192</x:v>
      </x:c>
      <x:c r="C1227" s="23" t="n">
        <x:v>46222</x:v>
      </x:c>
      <x:c r="D1227" s="23" t="n">
        <x:v>46222</x:v>
      </x:c>
      <x:c r="E1227" s="13" t="str">
        <x:v>NetLink</x:v>
      </x:c>
      <x:c r="F1227" s="13" t="str">
        <x:v>Telecomunicações</x:v>
      </x:c>
      <x:c r="G1227" s="17" t="n">
        <x:v>17950.96</x:v>
      </x:c>
      <x:c r="H1227" s="17" t="n">
        <x:v>18722.32</x:v>
      </x:c>
      <x:c r="I1227" s="13" t="str">
        <x:v>Gestor da área</x:v>
      </x:c>
      <x:c r="J1227" s="13" t="str">
        <x:v>Pago</x:v>
      </x:c>
      <x:c r="K1227" s="13" t="str">
        <x:v>Escala inteligente</x:v>
      </x:c>
      <x:c r="L1227" s="17" t="n">
        <x:f>H1227-G1227</x:f>
        <x:v>771.3600000000006</x:v>
      </x:c>
      <x:c r="M1227" s="19" t="n">
        <x:f>IFERROR(L1227/G1227,0)</x:f>
        <x:v>0.042970403811272526</x:v>
      </x:c>
      <x:c r="N1227" s="13" t="n">
        <x:f>D1227-C1227</x:f>
        <x:v>0</x:v>
      </x:c>
    </x:row>
    <x:row r="1228">
      <x:c r="A1228" s="13" t="str">
        <x:v>PAG-001227</x:v>
      </x:c>
      <x:c r="B1228" s="23" t="n">
        <x:v>46183</x:v>
      </x:c>
      <x:c r="C1228" s="23" t="n">
        <x:v>46213</x:v>
      </x:c>
      <x:c r="D1228" s="23" t="n">
        <x:v>46213</x:v>
      </x:c>
      <x:c r="E1228" s="13" t="str">
        <x:v>Banco Integra</x:v>
      </x:c>
      <x:c r="F1228" s="13" t="str">
        <x:v>Serviços bancários</x:v>
      </x:c>
      <x:c r="G1228" s="17" t="n">
        <x:v>31776.8</x:v>
      </x:c>
      <x:c r="H1228" s="17" t="n">
        <x:v>30887.59</x:v>
      </x:c>
      <x:c r="I1228" s="13" t="str">
        <x:v>Diretoria</x:v>
      </x:c>
      <x:c r="J1228" s="13" t="str">
        <x:v>Pago</x:v>
      </x:c>
      <x:c r="K1228" s="13" t="str">
        <x:v>Escala inteligente</x:v>
      </x:c>
      <x:c r="L1228" s="17" t="n">
        <x:f>H1228-G1228</x:f>
        <x:v>-889.2099999999991</x:v>
      </x:c>
      <x:c r="M1228" s="19" t="n">
        <x:f>IFERROR(L1228/G1228,0)</x:f>
        <x:v>-0.02798299388232922</x:v>
      </x:c>
      <x:c r="N1228" s="13" t="n">
        <x:f>D1228-C1228</x:f>
        <x:v>0</x:v>
      </x:c>
    </x:row>
    <x:row r="1229">
      <x:c r="A1229" s="13" t="str">
        <x:v>PAG-001228</x:v>
      </x:c>
      <x:c r="B1229" s="23" t="n">
        <x:v>46190</x:v>
      </x:c>
      <x:c r="C1229" s="23" t="n">
        <x:v>46220</x:v>
      </x:c>
      <x:c r="D1229" s="23" t="n">
        <x:v>46220</x:v>
      </x:c>
      <x:c r="E1229" s="13" t="str">
        <x:v>Conta Certa</x:v>
      </x:c>
      <x:c r="F1229" s="13" t="str">
        <x:v>Contabilidade</x:v>
      </x:c>
      <x:c r="G1229" s="17" t="n">
        <x:v>27641.48</x:v>
      </x:c>
      <x:c r="H1229" s="17" t="n">
        <x:v>27971.52</x:v>
      </x:c>
      <x:c r="I1229" s="13" t="str">
        <x:v>Gestor da área</x:v>
      </x:c>
      <x:c r="J1229" s="13" t="str">
        <x:v>Pago</x:v>
      </x:c>
      <x:c r="K1229" s="13" t="str">
        <x:v>Escala inteligente</x:v>
      </x:c>
      <x:c r="L1229" s="17" t="n">
        <x:f>H1229-G1229</x:f>
        <x:v>330.0400000000009</x:v>
      </x:c>
      <x:c r="M1229" s="19" t="n">
        <x:f>IFERROR(L1229/G1229,0)</x:f>
        <x:v>0.011940026366171452</x:v>
      </x:c>
      <x:c r="N1229" s="13" t="n">
        <x:f>D1229-C1229</x:f>
        <x:v>0</x:v>
      </x:c>
    </x:row>
    <x:row r="1230">
      <x:c r="A1230" s="13" t="str">
        <x:v>PAG-001229</x:v>
      </x:c>
      <x:c r="B1230" s="23" t="n">
        <x:v>46186</x:v>
      </x:c>
      <x:c r="C1230" s="23" t="n">
        <x:v>46193</x:v>
      </x:c>
      <x:c r="D1230" s="23" t="n">
        <x:v>46194</x:v>
      </x:c>
      <x:c r="E1230" s="13" t="str">
        <x:v>EducaPro</x:v>
      </x:c>
      <x:c r="F1230" s="13" t="str">
        <x:v>Treinamentos</x:v>
      </x:c>
      <x:c r="G1230" s="17" t="n">
        <x:v>13256.65</x:v>
      </x:c>
      <x:c r="H1230" s="17" t="n">
        <x:v>13265.7</x:v>
      </x:c>
      <x:c r="I1230" s="13" t="str">
        <x:v>Gestor da área</x:v>
      </x:c>
      <x:c r="J1230" s="13" t="str">
        <x:v>Pago</x:v>
      </x:c>
      <x:c r="K1230" s="13" t="str">
        <x:v>Escala inteligente</x:v>
      </x:c>
      <x:c r="L1230" s="17" t="n">
        <x:f>H1230-G1230</x:f>
        <x:v>9.050000000001091</x:v>
      </x:c>
      <x:c r="M1230" s="19" t="n">
        <x:f>IFERROR(L1230/G1230,0)</x:f>
        <x:v>0.0006826762417353624</x:v>
      </x:c>
      <x:c r="N1230" s="13" t="n">
        <x:f>D1230-C1230</x:f>
        <x:v>1</x:v>
      </x:c>
    </x:row>
    <x:row r="1231">
      <x:c r="A1231" s="13" t="str">
        <x:v>PAG-001230</x:v>
      </x:c>
      <x:c r="B1231" s="23" t="n">
        <x:v>46193</x:v>
      </x:c>
      <x:c r="C1231" s="23" t="n">
        <x:v>46223</x:v>
      </x:c>
      <x:c r="D1231" s="23" t="n">
        <x:v>46225</x:v>
      </x:c>
      <x:c r="E1231" s="13" t="str">
        <x:v>Banco Integra</x:v>
      </x:c>
      <x:c r="F1231" s="13" t="str">
        <x:v>Serviços bancários</x:v>
      </x:c>
      <x:c r="G1231" s="17" t="n">
        <x:v>929.58</x:v>
      </x:c>
      <x:c r="H1231" s="17" t="n">
        <x:v>898.76</x:v>
      </x:c>
      <x:c r="I1231" s="13" t="str">
        <x:v>Gestor da área</x:v>
      </x:c>
      <x:c r="J1231" s="13" t="str">
        <x:v>Pago</x:v>
      </x:c>
      <x:c r="K1231" s="13" t="str">
        <x:v>Escala inteligente</x:v>
      </x:c>
      <x:c r="L1231" s="17" t="n">
        <x:f>H1231-G1231</x:f>
        <x:v>-30.82000000000005</x:v>
      </x:c>
      <x:c r="M1231" s="19" t="n">
        <x:f>IFERROR(L1231/G1231,0)</x:f>
        <x:v>-0.03315475806278109</x:v>
      </x:c>
      <x:c r="N1231" s="13" t="n">
        <x:f>D1231-C1231</x:f>
        <x:v>2</x:v>
      </x:c>
    </x:row>
    <x:row r="1232">
      <x:c r="A1232" s="13" t="str">
        <x:v>PAG-001231</x:v>
      </x:c>
      <x:c r="B1232" s="23" t="n">
        <x:v>46174</x:v>
      </x:c>
      <x:c r="C1232" s="23" t="n">
        <x:v>46194</x:v>
      </x:c>
      <x:c r="D1232" s="23" t="n">
        <x:v>46196</x:v>
      </x:c>
      <x:c r="E1232" s="13" t="str">
        <x:v>MarketLab</x:v>
      </x:c>
      <x:c r="F1232" s="13" t="str">
        <x:v>Marketing</x:v>
      </x:c>
      <x:c r="G1232" s="17" t="n">
        <x:v>24823.15</x:v>
      </x:c>
      <x:c r="H1232" s="17" t="n">
        <x:v>24937.85</x:v>
      </x:c>
      <x:c r="I1232" s="13" t="str">
        <x:v>Financeiro</x:v>
      </x:c>
      <x:c r="J1232" s="13" t="str">
        <x:v>Pago</x:v>
      </x:c>
      <x:c r="K1232" s="13" t="str">
        <x:v>Escala inteligente</x:v>
      </x:c>
      <x:c r="L1232" s="17" t="n">
        <x:f>H1232-G1232</x:f>
        <x:v>114.69999999999709</x:v>
      </x:c>
      <x:c r="M1232" s="19" t="n">
        <x:f>IFERROR(L1232/G1232,0)</x:f>
        <x:v>0.004620686737984385</x:v>
      </x:c>
      <x:c r="N1232" s="13" t="n">
        <x:f>D1232-C1232</x:f>
        <x:v>2</x:v>
      </x:c>
    </x:row>
    <x:row r="1233">
      <x:c r="A1233" s="13" t="str">
        <x:v>PAG-001232</x:v>
      </x:c>
      <x:c r="B1233" s="23" t="n">
        <x:v>46178</x:v>
      </x:c>
      <x:c r="C1233" s="23" t="n">
        <x:v>46185</x:v>
      </x:c>
      <x:c r="D1233" s="23" t="n">
        <x:v>46184</x:v>
      </x:c>
      <x:c r="E1233" s="13" t="str">
        <x:v>Insight BI</x:v>
      </x:c>
      <x:c r="F1233" s="13" t="str">
        <x:v>Dados e Analytics</x:v>
      </x:c>
      <x:c r="G1233" s="17" t="n">
        <x:v>21153</x:v>
      </x:c>
      <x:c r="H1233" s="17" t="n">
        <x:v>21942.47</x:v>
      </x:c>
      <x:c r="I1233" s="13" t="str">
        <x:v>Financeiro</x:v>
      </x:c>
      <x:c r="J1233" s="13" t="str">
        <x:v>Pago</x:v>
      </x:c>
      <x:c r="K1233" s="13" t="str">
        <x:v>Escala inteligente</x:v>
      </x:c>
      <x:c r="L1233" s="17" t="n">
        <x:f>H1233-G1233</x:f>
        <x:v>789.4700000000012</x:v>
      </x:c>
      <x:c r="M1233" s="19" t="n">
        <x:f>IFERROR(L1233/G1233,0)</x:f>
        <x:v>0.037321892875715086</x:v>
      </x:c>
      <x:c r="N1233" s="13" t="n">
        <x:f>D1233-C1233</x:f>
        <x:v>-1</x:v>
      </x:c>
    </x:row>
    <x:row r="1234">
      <x:c r="A1234" s="13" t="str">
        <x:v>PAG-001233</x:v>
      </x:c>
      <x:c r="B1234" s="23" t="n">
        <x:v>46191</x:v>
      </x:c>
      <x:c r="C1234" s="23" t="n">
        <x:v>46206</x:v>
      </x:c>
      <x:c r="D1234" s="23" t="n">
        <x:v>46206</x:v>
      </x:c>
      <x:c r="E1234" s="13" t="str">
        <x:v>Banco Integra</x:v>
      </x:c>
      <x:c r="F1234" s="13" t="str">
        <x:v>Serviços bancários</x:v>
      </x:c>
      <x:c r="G1234" s="17" t="n">
        <x:v>25281.49</x:v>
      </x:c>
      <x:c r="H1234" s="17" t="n">
        <x:v>25094.24</x:v>
      </x:c>
      <x:c r="I1234" s="13" t="str">
        <x:v>Financeiro</x:v>
      </x:c>
      <x:c r="J1234" s="13" t="str">
        <x:v>Pago</x:v>
      </x:c>
      <x:c r="K1234" s="13" t="str">
        <x:v>Escala inteligente</x:v>
      </x:c>
      <x:c r="L1234" s="17" t="n">
        <x:f>H1234-G1234</x:f>
        <x:v>-187.25</x:v>
      </x:c>
      <x:c r="M1234" s="19" t="n">
        <x:f>IFERROR(L1234/G1234,0)</x:f>
        <x:v>-0.007406604594903227</x:v>
      </x:c>
      <x:c r="N1234" s="13" t="n">
        <x:f>D1234-C1234</x:f>
        <x:v>0</x:v>
      </x:c>
    </x:row>
    <x:row r="1235">
      <x:c r="A1235" s="13" t="str">
        <x:v>PAG-001234</x:v>
      </x:c>
      <x:c r="B1235" s="23" t="n">
        <x:v>46186</x:v>
      </x:c>
      <x:c r="C1235" s="23" t="n">
        <x:v>46193</x:v>
      </x:c>
      <x:c r="D1235" s="23" t="n">
        <x:v>46194</x:v>
      </x:c>
      <x:c r="E1235" s="13" t="str">
        <x:v>EducaPro</x:v>
      </x:c>
      <x:c r="F1235" s="13" t="str">
        <x:v>Treinamentos</x:v>
      </x:c>
      <x:c r="G1235" s="17" t="n">
        <x:v>1310.4</x:v>
      </x:c>
      <x:c r="H1235" s="17" t="n">
        <x:v>1268.93</x:v>
      </x:c>
      <x:c r="I1235" s="13" t="str">
        <x:v>Financeiro</x:v>
      </x:c>
      <x:c r="J1235" s="13" t="str">
        <x:v>Pago</x:v>
      </x:c>
      <x:c r="K1235" s="13" t="str">
        <x:v>Escala inteligente</x:v>
      </x:c>
      <x:c r="L1235" s="17" t="n">
        <x:f>H1235-G1235</x:f>
        <x:v>-41.47000000000003</x:v>
      </x:c>
      <x:c r="M1235" s="19" t="n">
        <x:f>IFERROR(L1235/G1235,0)</x:f>
        <x:v>-0.031646825396825416</x:v>
      </x:c>
      <x:c r="N1235" s="13" t="n">
        <x:f>D1235-C1235</x:f>
        <x:v>1</x:v>
      </x:c>
    </x:row>
    <x:row r="1236">
      <x:c r="A1236" s="13" t="str">
        <x:v>PAG-001235</x:v>
      </x:c>
      <x:c r="B1236" s="23" t="n">
        <x:v>46180</x:v>
      </x:c>
      <x:c r="C1236" s="23" t="n">
        <x:v>46210</x:v>
      </x:c>
      <x:c r="D1236" s="23" t="n">
        <x:v>46211</x:v>
      </x:c>
      <x:c r="E1236" s="13" t="str">
        <x:v>DataSafe</x:v>
      </x:c>
      <x:c r="F1236" s="13" t="str">
        <x:v>Segurança da informação</x:v>
      </x:c>
      <x:c r="G1236" s="17" t="n">
        <x:v>1672.8</x:v>
      </x:c>
      <x:c r="H1236" s="17" t="n">
        <x:v>1692.8</x:v>
      </x:c>
      <x:c r="I1236" s="13" t="str">
        <x:v>Financeiro</x:v>
      </x:c>
      <x:c r="J1236" s="13" t="str">
        <x:v>Pago</x:v>
      </x:c>
      <x:c r="K1236" s="13" t="str">
        <x:v>Escala inteligente</x:v>
      </x:c>
      <x:c r="L1236" s="17" t="n">
        <x:f>H1236-G1236</x:f>
        <x:v>20</x:v>
      </x:c>
      <x:c r="M1236" s="19" t="n">
        <x:f>IFERROR(L1236/G1236,0)</x:f>
        <x:v>0.011956001912960307</x:v>
      </x:c>
      <x:c r="N1236" s="13" t="n">
        <x:f>D1236-C1236</x:f>
        <x:v>1</x:v>
      </x:c>
    </x:row>
    <x:row r="1237">
      <x:c r="A1237" s="13" t="str">
        <x:v>PAG-001236</x:v>
      </x:c>
      <x:c r="B1237" s="23" t="n">
        <x:v>46187</x:v>
      </x:c>
      <x:c r="C1237" s="23" t="n">
        <x:v>46202</x:v>
      </x:c>
      <x:c r="D1237" s="23" t="n">
        <x:v>46202</x:v>
      </x:c>
      <x:c r="E1237" s="13" t="str">
        <x:v>DataSafe</x:v>
      </x:c>
      <x:c r="F1237" s="13" t="str">
        <x:v>Segurança da informação</x:v>
      </x:c>
      <x:c r="G1237" s="17" t="n">
        <x:v>7071</x:v>
      </x:c>
      <x:c r="H1237" s="17" t="n">
        <x:v>6956.42</x:v>
      </x:c>
      <x:c r="I1237" s="13" t="str">
        <x:v>Diretoria</x:v>
      </x:c>
      <x:c r="J1237" s="13" t="str">
        <x:v>Pago</x:v>
      </x:c>
      <x:c r="K1237" s="13" t="str">
        <x:v>Escala inteligente</x:v>
      </x:c>
      <x:c r="L1237" s="17" t="n">
        <x:f>H1237-G1237</x:f>
        <x:v>-114.57999999999993</x:v>
      </x:c>
      <x:c r="M1237" s="19" t="n">
        <x:f>IFERROR(L1237/G1237,0)</x:f>
        <x:v>-0.01620421439683212</x:v>
      </x:c>
      <x:c r="N1237" s="13" t="n">
        <x:f>D1237-C1237</x:f>
        <x:v>0</x:v>
      </x:c>
    </x:row>
    <x:row r="1238">
      <x:c r="A1238" s="13" t="str">
        <x:v>PAG-001237</x:v>
      </x:c>
      <x:c r="B1238" s="23" t="n">
        <x:v>46178</x:v>
      </x:c>
      <x:c r="C1238" s="23" t="n">
        <x:v>46208</x:v>
      </x:c>
      <x:c r="D1238" s="23" t="n">
        <x:v>46208</x:v>
      </x:c>
      <x:c r="E1238" s="13" t="str">
        <x:v>PeopleHub</x:v>
      </x:c>
      <x:c r="F1238" s="13" t="str">
        <x:v>Recursos Humanos</x:v>
      </x:c>
      <x:c r="G1238" s="17" t="n">
        <x:v>29310.96</x:v>
      </x:c>
      <x:c r="H1238" s="17" t="n">
        <x:v>28987.23</x:v>
      </x:c>
      <x:c r="I1238" s="13" t="str">
        <x:v>Diretoria</x:v>
      </x:c>
      <x:c r="J1238" s="13" t="str">
        <x:v>Pago</x:v>
      </x:c>
      <x:c r="K1238" s="13" t="str">
        <x:v>Escala inteligente</x:v>
      </x:c>
      <x:c r="L1238" s="17" t="n">
        <x:f>H1238-G1238</x:f>
        <x:v>-323.72999999999956</x:v>
      </x:c>
      <x:c r="M1238" s="19" t="n">
        <x:f>IFERROR(L1238/G1238,0)</x:f>
        <x:v>-0.011044674074134711</x:v>
      </x:c>
      <x:c r="N1238" s="13" t="n">
        <x:f>D1238-C1238</x:f>
        <x:v>0</x:v>
      </x:c>
    </x:row>
    <x:row r="1239">
      <x:c r="A1239" s="13" t="str">
        <x:v>PAG-001238</x:v>
      </x:c>
      <x:c r="B1239" s="23" t="n">
        <x:v>46190</x:v>
      </x:c>
      <x:c r="C1239" s="23" t="n">
        <x:v>46197</x:v>
      </x:c>
      <x:c r="D1239" s="23" t="n">
        <x:v>46197</x:v>
      </x:c>
      <x:c r="E1239" s="13" t="str">
        <x:v>WorkSpace</x:v>
      </x:c>
      <x:c r="F1239" s="13" t="str">
        <x:v>Locação</x:v>
      </x:c>
      <x:c r="G1239" s="17" t="n">
        <x:v>19088.15</x:v>
      </x:c>
      <x:c r="H1239" s="17" t="n">
        <x:v>19352.92</x:v>
      </x:c>
      <x:c r="I1239" s="13" t="str">
        <x:v>Financeiro</x:v>
      </x:c>
      <x:c r="J1239" s="13" t="str">
        <x:v>Pago</x:v>
      </x:c>
      <x:c r="K1239" s="13" t="str">
        <x:v>Escala inteligente</x:v>
      </x:c>
      <x:c r="L1239" s="17" t="n">
        <x:f>H1239-G1239</x:f>
        <x:v>264.7699999999968</x:v>
      </x:c>
      <x:c r="M1239" s="19" t="n">
        <x:f>IFERROR(L1239/G1239,0)</x:f>
        <x:v>0.013870909438578216</x:v>
      </x:c>
      <x:c r="N1239" s="13" t="n">
        <x:f>D1239-C1239</x:f>
        <x:v>0</x:v>
      </x:c>
    </x:row>
    <x:row r="1240">
      <x:c r="A1240" s="13" t="str">
        <x:v>PAG-001239</x:v>
      </x:c>
      <x:c r="B1240" s="23" t="n">
        <x:v>46192</x:v>
      </x:c>
      <x:c r="C1240" s="23" t="n">
        <x:v>46212</x:v>
      </x:c>
      <x:c r="D1240" s="23" t="n">
        <x:v>46214</x:v>
      </x:c>
      <x:c r="E1240" s="13" t="str">
        <x:v>Office Prime</x:v>
      </x:c>
      <x:c r="F1240" s="13" t="str">
        <x:v>Escritório</x:v>
      </x:c>
      <x:c r="G1240" s="17" t="n">
        <x:v>5259.46</x:v>
      </x:c>
      <x:c r="H1240" s="17" t="n">
        <x:v>5085.8</x:v>
      </x:c>
      <x:c r="I1240" s="13" t="str">
        <x:v>Gestor da área</x:v>
      </x:c>
      <x:c r="J1240" s="13" t="str">
        <x:v>Pago</x:v>
      </x:c>
      <x:c r="K1240" s="13" t="str">
        <x:v>Escala inteligente</x:v>
      </x:c>
      <x:c r="L1240" s="17" t="n">
        <x:f>H1240-G1240</x:f>
        <x:v>-173.65999999999985</x:v>
      </x:c>
      <x:c r="M1240" s="19" t="n">
        <x:f>IFERROR(L1240/G1240,0)</x:f>
        <x:v>-0.03301859886756432</x:v>
      </x:c>
      <x:c r="N1240" s="13" t="n">
        <x:f>D1240-C1240</x:f>
        <x:v>2</x:v>
      </x:c>
    </x:row>
    <x:row r="1241">
      <x:c r="A1241" s="13" t="str">
        <x:v>PAG-001240</x:v>
      </x:c>
      <x:c r="B1241" s="23" t="n">
        <x:v>46174</x:v>
      </x:c>
      <x:c r="C1241" s="23" t="n">
        <x:v>46194</x:v>
      </x:c>
      <x:c r="D1241" s="23" t="n">
        <x:v>46192</x:v>
      </x:c>
      <x:c r="E1241" s="13" t="str">
        <x:v>EducaPro</x:v>
      </x:c>
      <x:c r="F1241" s="13" t="str">
        <x:v>Treinamentos</x:v>
      </x:c>
      <x:c r="G1241" s="17" t="n">
        <x:v>8211.24</x:v>
      </x:c>
      <x:c r="H1241" s="17" t="n">
        <x:v>8175.75</x:v>
      </x:c>
      <x:c r="I1241" s="13" t="str">
        <x:v>Diretoria</x:v>
      </x:c>
      <x:c r="J1241" s="13" t="str">
        <x:v>Pago</x:v>
      </x:c>
      <x:c r="K1241" s="13" t="str">
        <x:v>Escala inteligente</x:v>
      </x:c>
      <x:c r="L1241" s="17" t="n">
        <x:f>H1241-G1241</x:f>
        <x:v>-35.48999999999978</x:v>
      </x:c>
      <x:c r="M1241" s="19" t="n">
        <x:f>IFERROR(L1241/G1241,0)</x:f>
        <x:v>-0.004322124307656308</x:v>
      </x:c>
      <x:c r="N1241" s="13" t="n">
        <x:f>D1241-C1241</x:f>
        <x:v>-2</x:v>
      </x:c>
    </x:row>
    <x:row r="1242">
      <x:c r="A1242" s="13" t="str">
        <x:v>PAG-001241</x:v>
      </x:c>
      <x:c r="B1242" s="23" t="n">
        <x:v>46193</x:v>
      </x:c>
      <x:c r="C1242" s="23" t="n">
        <x:v>46208</x:v>
      </x:c>
      <x:c r="D1242" s="23" t="n">
        <x:v>46209</x:v>
      </x:c>
      <x:c r="E1242" s="13" t="str">
        <x:v>DataSafe</x:v>
      </x:c>
      <x:c r="F1242" s="13" t="str">
        <x:v>Segurança da informação</x:v>
      </x:c>
      <x:c r="G1242" s="17" t="n">
        <x:v>30471.11</x:v>
      </x:c>
      <x:c r="H1242" s="17" t="n">
        <x:v>30756.89</x:v>
      </x:c>
      <x:c r="I1242" s="13" t="str">
        <x:v>Financeiro</x:v>
      </x:c>
      <x:c r="J1242" s="13" t="str">
        <x:v>Pago</x:v>
      </x:c>
      <x:c r="K1242" s="13" t="str">
        <x:v>Escala inteligente</x:v>
      </x:c>
      <x:c r="L1242" s="17" t="n">
        <x:f>H1242-G1242</x:f>
        <x:v>285.77999999999884</x:v>
      </x:c>
      <x:c r="M1242" s="19" t="n">
        <x:f>IFERROR(L1242/G1242,0)</x:f>
        <x:v>0.009378719711884432</x:v>
      </x:c>
      <x:c r="N1242" s="13" t="n">
        <x:f>D1242-C1242</x:f>
        <x:v>1</x:v>
      </x:c>
    </x:row>
    <x:row r="1243">
      <x:c r="A1243" s="13" t="str">
        <x:v>PAG-001242</x:v>
      </x:c>
      <x:c r="B1243" s="23" t="n">
        <x:v>46180</x:v>
      </x:c>
      <x:c r="C1243" s="23" t="n">
        <x:v>46195</x:v>
      </x:c>
      <x:c r="D1243" s="23" t="n">
        <x:v>46196</x:v>
      </x:c>
      <x:c r="E1243" s="13" t="str">
        <x:v>MarketLab</x:v>
      </x:c>
      <x:c r="F1243" s="13" t="str">
        <x:v>Marketing</x:v>
      </x:c>
      <x:c r="G1243" s="17" t="n">
        <x:v>15267.85</x:v>
      </x:c>
      <x:c r="H1243" s="17" t="n">
        <x:v>15129.31</x:v>
      </x:c>
      <x:c r="I1243" s="13" t="str">
        <x:v>Diretoria</x:v>
      </x:c>
      <x:c r="J1243" s="13" t="str">
        <x:v>Pago</x:v>
      </x:c>
      <x:c r="K1243" s="13" t="str">
        <x:v>Escala inteligente</x:v>
      </x:c>
      <x:c r="L1243" s="17" t="n">
        <x:f>H1243-G1243</x:f>
        <x:v>-138.54000000000087</x:v>
      </x:c>
      <x:c r="M1243" s="19" t="n">
        <x:f>IFERROR(L1243/G1243,0)</x:f>
        <x:v>-0.009073969157412529</x:v>
      </x:c>
      <x:c r="N1243" s="13" t="n">
        <x:f>D1243-C1243</x:f>
        <x:v>1</x:v>
      </x:c>
    </x:row>
    <x:row r="1244">
      <x:c r="A1244" s="13" t="str">
        <x:v>PAG-001243</x:v>
      </x:c>
      <x:c r="B1244" s="23" t="n">
        <x:v>46191</x:v>
      </x:c>
      <x:c r="C1244" s="23" t="n">
        <x:v>46198</x:v>
      </x:c>
      <x:c r="D1244" s="23" t="n">
        <x:v>46198</x:v>
      </x:c>
      <x:c r="E1244" s="13" t="str">
        <x:v>NetLink</x:v>
      </x:c>
      <x:c r="F1244" s="13" t="str">
        <x:v>Telecomunicações</x:v>
      </x:c>
      <x:c r="G1244" s="17" t="n">
        <x:v>13214.3</x:v>
      </x:c>
      <x:c r="H1244" s="17" t="n">
        <x:v>13001.55</x:v>
      </x:c>
      <x:c r="I1244" s="13" t="str">
        <x:v>Diretoria</x:v>
      </x:c>
      <x:c r="J1244" s="13" t="str">
        <x:v>Pago</x:v>
      </x:c>
      <x:c r="K1244" s="13" t="str">
        <x:v>Escala inteligente</x:v>
      </x:c>
      <x:c r="L1244" s="17" t="n">
        <x:f>H1244-G1244</x:f>
        <x:v>-212.75</x:v>
      </x:c>
      <x:c r="M1244" s="19" t="n">
        <x:f>IFERROR(L1244/G1244,0)</x:f>
        <x:v>-0.016099982594613413</x:v>
      </x:c>
      <x:c r="N1244" s="13" t="n">
        <x:f>D1244-C1244</x:f>
        <x:v>0</x:v>
      </x:c>
    </x:row>
    <x:row r="1245">
      <x:c r="A1245" s="13" t="str">
        <x:v>PAG-001244</x:v>
      </x:c>
      <x:c r="B1245" s="23" t="n">
        <x:v>46183</x:v>
      </x:c>
      <x:c r="C1245" s="23" t="n">
        <x:v>46198</x:v>
      </x:c>
      <x:c r="D1245" s="23" t="n">
        <x:v>46199</x:v>
      </x:c>
      <x:c r="E1245" s="13" t="str">
        <x:v>Conta Certa</x:v>
      </x:c>
      <x:c r="F1245" s="13" t="str">
        <x:v>Contabilidade</x:v>
      </x:c>
      <x:c r="G1245" s="17" t="n">
        <x:v>11653.24</x:v>
      </x:c>
      <x:c r="H1245" s="17" t="n">
        <x:v>11526.12</x:v>
      </x:c>
      <x:c r="I1245" s="13" t="str">
        <x:v>Gestor da área</x:v>
      </x:c>
      <x:c r="J1245" s="13" t="str">
        <x:v>Pago</x:v>
      </x:c>
      <x:c r="K1245" s="13" t="str">
        <x:v>Escala inteligente</x:v>
      </x:c>
      <x:c r="L1245" s="17" t="n">
        <x:f>H1245-G1245</x:f>
        <x:v>-127.11999999999898</x:v>
      </x:c>
      <x:c r="M1245" s="19" t="n">
        <x:f>IFERROR(L1245/G1245,0)</x:f>
        <x:v>-0.010908554187504848</x:v>
      </x:c>
      <x:c r="N1245" s="13" t="n">
        <x:f>D1245-C1245</x:f>
        <x:v>1</x:v>
      </x:c>
    </x:row>
    <x:row r="1246">
      <x:c r="A1246" s="13" t="str">
        <x:v>PAG-001245</x:v>
      </x:c>
      <x:c r="B1246" s="23" t="n">
        <x:v>46180</x:v>
      </x:c>
      <x:c r="C1246" s="23" t="n">
        <x:v>46195</x:v>
      </x:c>
      <x:c r="D1246" s="23" t="n">
        <x:v>46194</x:v>
      </x:c>
      <x:c r="E1246" s="13" t="str">
        <x:v>Insight BI</x:v>
      </x:c>
      <x:c r="F1246" s="13" t="str">
        <x:v>Dados e Analytics</x:v>
      </x:c>
      <x:c r="G1246" s="17" t="n">
        <x:v>6490.61</x:v>
      </x:c>
      <x:c r="H1246" s="17" t="n">
        <x:v>6535.66</x:v>
      </x:c>
      <x:c r="I1246" s="13" t="str">
        <x:v>Gestor da área</x:v>
      </x:c>
      <x:c r="J1246" s="13" t="str">
        <x:v>Pago</x:v>
      </x:c>
      <x:c r="K1246" s="13" t="str">
        <x:v>Escala inteligente</x:v>
      </x:c>
      <x:c r="L1246" s="17" t="n">
        <x:f>H1246-G1246</x:f>
        <x:v>45.05000000000018</x:v>
      </x:c>
      <x:c r="M1246" s="19" t="n">
        <x:f>IFERROR(L1246/G1246,0)</x:f>
        <x:v>0.006940796011468904</x:v>
      </x:c>
      <x:c r="N1246" s="13" t="n">
        <x:f>D1246-C1246</x:f>
        <x:v>-1</x:v>
      </x:c>
    </x:row>
    <x:row r="1247">
      <x:c r="A1247" s="13" t="str">
        <x:v>PAG-001246</x:v>
      </x:c>
      <x:c r="B1247" s="23" t="n">
        <x:v>46185</x:v>
      </x:c>
      <x:c r="C1247" s="23" t="n">
        <x:v>46215</x:v>
      </x:c>
      <x:c r="D1247" s="23" t="n">
        <x:v>46215</x:v>
      </x:c>
      <x:c r="E1247" s="13" t="str">
        <x:v>WorkSpace</x:v>
      </x:c>
      <x:c r="F1247" s="13" t="str">
        <x:v>Locação</x:v>
      </x:c>
      <x:c r="G1247" s="17" t="n">
        <x:v>20116.73</x:v>
      </x:c>
      <x:c r="H1247" s="17" t="n">
        <x:v>20962.64</x:v>
      </x:c>
      <x:c r="I1247" s="13" t="str">
        <x:v>Diretoria</x:v>
      </x:c>
      <x:c r="J1247" s="13" t="str">
        <x:v>Pago</x:v>
      </x:c>
      <x:c r="K1247" s="13" t="str">
        <x:v>Escala inteligente</x:v>
      </x:c>
      <x:c r="L1247" s="17" t="n">
        <x:f>H1247-G1247</x:f>
        <x:v>845.9099999999999</x:v>
      </x:c>
      <x:c r="M1247" s="19" t="n">
        <x:f>IFERROR(L1247/G1247,0)</x:f>
        <x:v>0.042050074738787066</x:v>
      </x:c>
      <x:c r="N1247" s="13" t="n">
        <x:f>D1247-C1247</x:f>
        <x:v>0</x:v>
      </x:c>
    </x:row>
    <x:row r="1248">
      <x:c r="A1248" s="13" t="str">
        <x:v>PAG-001247</x:v>
      </x:c>
      <x:c r="B1248" s="23" t="n">
        <x:v>46183</x:v>
      </x:c>
      <x:c r="C1248" s="23" t="n">
        <x:v>46213</x:v>
      </x:c>
      <x:c r="D1248" s="23" t="n">
        <x:v>46210</x:v>
      </x:c>
      <x:c r="E1248" s="13" t="str">
        <x:v>NetLink</x:v>
      </x:c>
      <x:c r="F1248" s="13" t="str">
        <x:v>Telecomunicações</x:v>
      </x:c>
      <x:c r="G1248" s="17" t="n">
        <x:v>21463.88</x:v>
      </x:c>
      <x:c r="H1248" s="17" t="n">
        <x:v>22124.72</x:v>
      </x:c>
      <x:c r="I1248" s="13" t="str">
        <x:v>Financeiro</x:v>
      </x:c>
      <x:c r="J1248" s="13" t="str">
        <x:v>Pago</x:v>
      </x:c>
      <x:c r="K1248" s="13" t="str">
        <x:v>Escala inteligente</x:v>
      </x:c>
      <x:c r="L1248" s="17" t="n">
        <x:f>H1248-G1248</x:f>
        <x:v>660.8400000000001</x:v>
      </x:c>
      <x:c r="M1248" s="19" t="n">
        <x:f>IFERROR(L1248/G1248,0)</x:f>
        <x:v>0.030788468813653453</x:v>
      </x:c>
      <x:c r="N1248" s="13" t="n">
        <x:f>D1248-C1248</x:f>
        <x:v>-3</x:v>
      </x:c>
    </x:row>
    <x:row r="1249">
      <x:c r="A1249" s="13" t="str">
        <x:v>PAG-001248</x:v>
      </x:c>
      <x:c r="B1249" s="23" t="n">
        <x:v>46191</x:v>
      </x:c>
      <x:c r="C1249" s="23" t="n">
        <x:v>46206</x:v>
      </x:c>
      <x:c r="D1249" s="23" t="n">
        <x:v>46206</x:v>
      </x:c>
      <x:c r="E1249" s="13" t="str">
        <x:v>Conta Certa</x:v>
      </x:c>
      <x:c r="F1249" s="13" t="str">
        <x:v>Contabilidade</x:v>
      </x:c>
      <x:c r="G1249" s="17" t="n">
        <x:v>2799.98</x:v>
      </x:c>
      <x:c r="H1249" s="17" t="n">
        <x:v>2779.09</x:v>
      </x:c>
      <x:c r="I1249" s="13" t="str">
        <x:v>Diretoria</x:v>
      </x:c>
      <x:c r="J1249" s="13" t="str">
        <x:v>Pago</x:v>
      </x:c>
      <x:c r="K1249" s="13" t="str">
        <x:v>Escala inteligente</x:v>
      </x:c>
      <x:c r="L1249" s="17" t="n">
        <x:f>H1249-G1249</x:f>
        <x:v>-20.889999999999873</x:v>
      </x:c>
      <x:c r="M1249" s="19" t="n">
        <x:f>IFERROR(L1249/G1249,0)</x:f>
        <x:v>-0.0074607675769112185</x:v>
      </x:c>
      <x:c r="N1249" s="13" t="n">
        <x:f>D1249-C1249</x:f>
        <x:v>0</x:v>
      </x:c>
    </x:row>
    <x:row r="1250">
      <x:c r="A1250" s="13" t="str">
        <x:v>PAG-001249</x:v>
      </x:c>
      <x:c r="B1250" s="23" t="n">
        <x:v>46176</x:v>
      </x:c>
      <x:c r="C1250" s="23" t="n">
        <x:v>46183</x:v>
      </x:c>
      <x:c r="D1250" s="23" t="n">
        <x:v>46185</x:v>
      </x:c>
      <x:c r="E1250" s="13" t="str">
        <x:v>Insight BI</x:v>
      </x:c>
      <x:c r="F1250" s="13" t="str">
        <x:v>Dados e Analytics</x:v>
      </x:c>
      <x:c r="G1250" s="17" t="n">
        <x:v>6135.63</x:v>
      </x:c>
      <x:c r="H1250" s="17" t="n">
        <x:v>6005.54</x:v>
      </x:c>
      <x:c r="I1250" s="13" t="str">
        <x:v>Diretoria</x:v>
      </x:c>
      <x:c r="J1250" s="13" t="str">
        <x:v>Pago</x:v>
      </x:c>
      <x:c r="K1250" s="13" t="str">
        <x:v>Escala inteligente</x:v>
      </x:c>
      <x:c r="L1250" s="17" t="n">
        <x:f>H1250-G1250</x:f>
        <x:v>-130.09000000000015</x:v>
      </x:c>
      <x:c r="M1250" s="19" t="n">
        <x:f>IFERROR(L1250/G1250,0)</x:f>
        <x:v>-0.021202386714974687</x:v>
      </x:c>
      <x:c r="N1250" s="13" t="n">
        <x:f>D1250-C1250</x:f>
        <x:v>2</x:v>
      </x:c>
    </x:row>
    <x:row r="1251">
      <x:c r="A1251" s="13" t="str">
        <x:v>PAG-001250</x:v>
      </x:c>
      <x:c r="B1251" s="23" t="n">
        <x:v>46189</x:v>
      </x:c>
      <x:c r="C1251" s="23" t="n">
        <x:v>46196</x:v>
      </x:c>
      <x:c r="D1251" s="23" t="n">
        <x:v>46197</x:v>
      </x:c>
      <x:c r="E1251" s="13" t="str">
        <x:v>MarketLab</x:v>
      </x:c>
      <x:c r="F1251" s="13" t="str">
        <x:v>Marketing</x:v>
      </x:c>
      <x:c r="G1251" s="17" t="n">
        <x:v>3773.52</x:v>
      </x:c>
      <x:c r="H1251" s="17" t="n">
        <x:v>3678.61</x:v>
      </x:c>
      <x:c r="I1251" s="13" t="str">
        <x:v>Gestor da área</x:v>
      </x:c>
      <x:c r="J1251" s="13" t="str">
        <x:v>Pago</x:v>
      </x:c>
      <x:c r="K1251" s="13" t="str">
        <x:v>Escala inteligente</x:v>
      </x:c>
      <x:c r="L1251" s="17" t="n">
        <x:f>H1251-G1251</x:f>
        <x:v>-94.90999999999985</x:v>
      </x:c>
      <x:c r="M1251" s="19" t="n">
        <x:f>IFERROR(L1251/G1251,0)</x:f>
        <x:v>-0.025151582607220807</x:v>
      </x:c>
      <x:c r="N1251" s="13" t="n">
        <x:f>D1251-C1251</x:f>
        <x:v>1</x:v>
      </x:c>
    </x:row>
    <x:row r="1252">
      <x:c r="A1252" s="13" t="str">
        <x:v>PAG-001251</x:v>
      </x:c>
      <x:c r="B1252" s="23" t="n">
        <x:v>46176</x:v>
      </x:c>
      <x:c r="C1252" s="23" t="n">
        <x:v>46191</x:v>
      </x:c>
      <x:c r="D1252" s="23" t="n">
        <x:v>46193</x:v>
      </x:c>
      <x:c r="E1252" s="13" t="str">
        <x:v>CloudCore</x:v>
      </x:c>
      <x:c r="F1252" s="13" t="str">
        <x:v>Tecnologia</x:v>
      </x:c>
      <x:c r="G1252" s="17" t="n">
        <x:v>24608.35</x:v>
      </x:c>
      <x:c r="H1252" s="17" t="n">
        <x:v>25652.93</x:v>
      </x:c>
      <x:c r="I1252" s="13" t="str">
        <x:v>Diretoria</x:v>
      </x:c>
      <x:c r="J1252" s="13" t="str">
        <x:v>Pago</x:v>
      </x:c>
      <x:c r="K1252" s="13" t="str">
        <x:v>Escala inteligente</x:v>
      </x:c>
      <x:c r="L1252" s="17" t="n">
        <x:f>H1252-G1252</x:f>
        <x:v>1044.5800000000017</x:v>
      </x:c>
      <x:c r="M1252" s="19" t="n">
        <x:f>IFERROR(L1252/G1252,0)</x:f>
        <x:v>0.04244819339776953</x:v>
      </x:c>
      <x:c r="N1252" s="13" t="n">
        <x:f>D1252-C1252</x:f>
        <x:v>2</x:v>
      </x:c>
    </x:row>
    <x:row r="1253">
      <x:c r="A1253" s="13" t="str">
        <x:v>PAG-001252</x:v>
      </x:c>
      <x:c r="B1253" s="23" t="n">
        <x:v>46180</x:v>
      </x:c>
      <x:c r="C1253" s="23" t="n">
        <x:v>46187</x:v>
      </x:c>
      <x:c r="D1253" s="23" t="n">
        <x:v>46189</x:v>
      </x:c>
      <x:c r="E1253" s="13" t="str">
        <x:v>EducaPro</x:v>
      </x:c>
      <x:c r="F1253" s="13" t="str">
        <x:v>Treinamentos</x:v>
      </x:c>
      <x:c r="G1253" s="17" t="n">
        <x:v>14836.28</x:v>
      </x:c>
      <x:c r="H1253" s="17" t="n">
        <x:v>15154.3</x:v>
      </x:c>
      <x:c r="I1253" s="13" t="str">
        <x:v>Gestor da área</x:v>
      </x:c>
      <x:c r="J1253" s="13" t="str">
        <x:v>Pago</x:v>
      </x:c>
      <x:c r="K1253" s="13" t="str">
        <x:v>Escala inteligente</x:v>
      </x:c>
      <x:c r="L1253" s="17" t="n">
        <x:f>H1253-G1253</x:f>
        <x:v>318.0199999999986</x:v>
      </x:c>
      <x:c r="M1253" s="19" t="n">
        <x:f>IFERROR(L1253/G1253,0)</x:f>
        <x:v>0.021435292404834543</x:v>
      </x:c>
      <x:c r="N1253" s="13" t="n">
        <x:f>D1253-C1253</x:f>
        <x:v>2</x:v>
      </x:c>
    </x:row>
    <x:row r="1254">
      <x:c r="A1254" s="13" t="str">
        <x:v>PAG-001253</x:v>
      </x:c>
      <x:c r="B1254" s="23" t="n">
        <x:v>46189</x:v>
      </x:c>
      <x:c r="C1254" s="23" t="n">
        <x:v>46204</x:v>
      </x:c>
      <x:c r="D1254" s="23" t="n">
        <x:v>46201</x:v>
      </x:c>
      <x:c r="E1254" s="13" t="str">
        <x:v>EducaPro</x:v>
      </x:c>
      <x:c r="F1254" s="13" t="str">
        <x:v>Treinamentos</x:v>
      </x:c>
      <x:c r="G1254" s="17" t="n">
        <x:v>14657.09</x:v>
      </x:c>
      <x:c r="H1254" s="17" t="n">
        <x:v>14577.72</x:v>
      </x:c>
      <x:c r="I1254" s="13" t="str">
        <x:v>Diretoria</x:v>
      </x:c>
      <x:c r="J1254" s="13" t="str">
        <x:v>Pago</x:v>
      </x:c>
      <x:c r="K1254" s="13" t="str">
        <x:v>Escala inteligente</x:v>
      </x:c>
      <x:c r="L1254" s="17" t="n">
        <x:f>H1254-G1254</x:f>
        <x:v>-79.3700000000008</x:v>
      </x:c>
      <x:c r="M1254" s="19" t="n">
        <x:f>IFERROR(L1254/G1254,0)</x:f>
        <x:v>-0.005415126740710523</x:v>
      </x:c>
      <x:c r="N1254" s="13" t="n">
        <x:f>D1254-C1254</x:f>
        <x:v>-3</x:v>
      </x:c>
    </x:row>
    <x:row r="1255">
      <x:c r="A1255" s="13" t="str">
        <x:v>PAG-001254</x:v>
      </x:c>
      <x:c r="B1255" s="23" t="n">
        <x:v>46191</x:v>
      </x:c>
      <x:c r="C1255" s="23" t="n">
        <x:v>46211</x:v>
      </x:c>
      <x:c r="D1255" s="23" t="n">
        <x:v>46211</x:v>
      </x:c>
      <x:c r="E1255" s="13" t="str">
        <x:v>MarketLab</x:v>
      </x:c>
      <x:c r="F1255" s="13" t="str">
        <x:v>Marketing</x:v>
      </x:c>
      <x:c r="G1255" s="17" t="n">
        <x:v>14428.28</x:v>
      </x:c>
      <x:c r="H1255" s="17" t="n">
        <x:v>13993.68</x:v>
      </x:c>
      <x:c r="I1255" s="13" t="str">
        <x:v>Financeiro</x:v>
      </x:c>
      <x:c r="J1255" s="13" t="str">
        <x:v>Pago</x:v>
      </x:c>
      <x:c r="K1255" s="13" t="str">
        <x:v>Escala inteligente</x:v>
      </x:c>
      <x:c r="L1255" s="17" t="n">
        <x:f>H1255-G1255</x:f>
        <x:v>-434.60000000000036</x:v>
      </x:c>
      <x:c r="M1255" s="19" t="n">
        <x:f>IFERROR(L1255/G1255,0)</x:f>
        <x:v>-0.030121400471851138</x:v>
      </x:c>
      <x:c r="N1255" s="13" t="n">
        <x:f>D1255-C1255</x:f>
        <x:v>0</x:v>
      </x:c>
    </x:row>
    <x:row r="1256">
      <x:c r="A1256" s="13" t="str">
        <x:v>PAG-001255</x:v>
      </x:c>
      <x:c r="B1256" s="23" t="n">
        <x:v>46186</x:v>
      </x:c>
      <x:c r="C1256" s="23" t="n">
        <x:v>46216</x:v>
      </x:c>
      <x:c r="D1256" s="23" t="n">
        <x:v>46213</x:v>
      </x:c>
      <x:c r="E1256" s="13" t="str">
        <x:v>NetLink</x:v>
      </x:c>
      <x:c r="F1256" s="13" t="str">
        <x:v>Telecomunicações</x:v>
      </x:c>
      <x:c r="G1256" s="17" t="n">
        <x:v>14084.4</x:v>
      </x:c>
      <x:c r="H1256" s="17" t="n">
        <x:v>14166.79</x:v>
      </x:c>
      <x:c r="I1256" s="13" t="str">
        <x:v>Diretoria</x:v>
      </x:c>
      <x:c r="J1256" s="13" t="str">
        <x:v>Pago</x:v>
      </x:c>
      <x:c r="K1256" s="13" t="str">
        <x:v>Escala inteligente</x:v>
      </x:c>
      <x:c r="L1256" s="17" t="n">
        <x:f>H1256-G1256</x:f>
        <x:v>82.39000000000124</x:v>
      </x:c>
      <x:c r="M1256" s="19" t="n">
        <x:f>IFERROR(L1256/G1256,0)</x:f>
        <x:v>0.005849734457981969</x:v>
      </x:c>
      <x:c r="N1256" s="13" t="n">
        <x:f>D1256-C1256</x:f>
        <x:v>-3</x:v>
      </x:c>
    </x:row>
    <x:row r="1257">
      <x:c r="A1257" s="13" t="str">
        <x:v>PAG-001256</x:v>
      </x:c>
      <x:c r="B1257" s="23" t="n">
        <x:v>46175</x:v>
      </x:c>
      <x:c r="C1257" s="23" t="n">
        <x:v>46195</x:v>
      </x:c>
      <x:c r="D1257" s="23" t="n">
        <x:v>46197</x:v>
      </x:c>
      <x:c r="E1257" s="13" t="str">
        <x:v>EducaPro</x:v>
      </x:c>
      <x:c r="F1257" s="13" t="str">
        <x:v>Treinamentos</x:v>
      </x:c>
      <x:c r="G1257" s="17" t="n">
        <x:v>7343.14</x:v>
      </x:c>
      <x:c r="H1257" s="17" t="n">
        <x:v>7318.85</x:v>
      </x:c>
      <x:c r="I1257" s="13" t="str">
        <x:v>Financeiro</x:v>
      </x:c>
      <x:c r="J1257" s="13" t="str">
        <x:v>Pago</x:v>
      </x:c>
      <x:c r="K1257" s="13" t="str">
        <x:v>Escala inteligente</x:v>
      </x:c>
      <x:c r="L1257" s="17" t="n">
        <x:f>H1257-G1257</x:f>
        <x:v>-24.289999999999964</x:v>
      </x:c>
      <x:c r="M1257" s="19" t="n">
        <x:f>IFERROR(L1257/G1257,0)</x:f>
        <x:v>-0.003307849230710563</x:v>
      </x:c>
      <x:c r="N1257" s="13" t="n">
        <x:f>D1257-C1257</x:f>
        <x:v>2</x:v>
      </x:c>
    </x:row>
    <x:row r="1258">
      <x:c r="A1258" s="13" t="str">
        <x:v>PAG-001257</x:v>
      </x:c>
      <x:c r="B1258" s="23" t="n">
        <x:v>46192</x:v>
      </x:c>
      <x:c r="C1258" s="23" t="n">
        <x:v>46212</x:v>
      </x:c>
      <x:c r="D1258" s="23" t="n">
        <x:v>46214</x:v>
      </x:c>
      <x:c r="E1258" s="13" t="str">
        <x:v>Banco Integra</x:v>
      </x:c>
      <x:c r="F1258" s="13" t="str">
        <x:v>Serviços bancários</x:v>
      </x:c>
      <x:c r="G1258" s="17" t="n">
        <x:v>26304.25</x:v>
      </x:c>
      <x:c r="H1258" s="17" t="n">
        <x:v>25469.33</x:v>
      </x:c>
      <x:c r="I1258" s="13" t="str">
        <x:v>Diretoria</x:v>
      </x:c>
      <x:c r="J1258" s="13" t="str">
        <x:v>Pago</x:v>
      </x:c>
      <x:c r="K1258" s="13" t="str">
        <x:v>Escala inteligente</x:v>
      </x:c>
      <x:c r="L1258" s="17" t="n">
        <x:f>H1258-G1258</x:f>
        <x:v>-834.9199999999983</x:v>
      </x:c>
      <x:c r="M1258" s="19" t="n">
        <x:f>IFERROR(L1258/G1258,0)</x:f>
        <x:v>-0.031740878375167446</x:v>
      </x:c>
      <x:c r="N1258" s="13" t="n">
        <x:f>D1258-C1258</x:f>
        <x:v>2</x:v>
      </x:c>
    </x:row>
    <x:row r="1259">
      <x:c r="A1259" s="13" t="str">
        <x:v>PAG-001258</x:v>
      </x:c>
      <x:c r="B1259" s="23" t="n">
        <x:v>46189</x:v>
      </x:c>
      <x:c r="C1259" s="23" t="n">
        <x:v>46209</x:v>
      </x:c>
      <x:c r="D1259" s="23" t="n">
        <x:v>46207</x:v>
      </x:c>
      <x:c r="E1259" s="13" t="str">
        <x:v>PeopleHub</x:v>
      </x:c>
      <x:c r="F1259" s="13" t="str">
        <x:v>Recursos Humanos</x:v>
      </x:c>
      <x:c r="G1259" s="17" t="n">
        <x:v>13444.45</x:v>
      </x:c>
      <x:c r="H1259" s="17" t="n">
        <x:v>13370.85</x:v>
      </x:c>
      <x:c r="I1259" s="13" t="str">
        <x:v>Financeiro</x:v>
      </x:c>
      <x:c r="J1259" s="13" t="str">
        <x:v>Pago</x:v>
      </x:c>
      <x:c r="K1259" s="13" t="str">
        <x:v>Escala inteligente</x:v>
      </x:c>
      <x:c r="L1259" s="17" t="n">
        <x:f>H1259-G1259</x:f>
        <x:v>-73.60000000000036</x:v>
      </x:c>
      <x:c r="M1259" s="19" t="n">
        <x:f>IFERROR(L1259/G1259,0)</x:f>
        <x:v>-0.005474377903149654</x:v>
      </x:c>
      <x:c r="N1259" s="13" t="n">
        <x:f>D1259-C1259</x:f>
        <x:v>-2</x:v>
      </x:c>
    </x:row>
    <x:row r="1260">
      <x:c r="A1260" s="13" t="str">
        <x:v>PAG-001259</x:v>
      </x:c>
      <x:c r="B1260" s="23" t="n">
        <x:v>46192</x:v>
      </x:c>
      <x:c r="C1260" s="23" t="n">
        <x:v>46212</x:v>
      </x:c>
      <x:c r="D1260" s="23" t="n">
        <x:v>46210</x:v>
      </x:c>
      <x:c r="E1260" s="13" t="str">
        <x:v>Banco Integra</x:v>
      </x:c>
      <x:c r="F1260" s="13" t="str">
        <x:v>Serviços bancários</x:v>
      </x:c>
      <x:c r="G1260" s="17" t="n">
        <x:v>16075.38</x:v>
      </x:c>
      <x:c r="H1260" s="17" t="n">
        <x:v>16515.28</x:v>
      </x:c>
      <x:c r="I1260" s="13" t="str">
        <x:v>Financeiro</x:v>
      </x:c>
      <x:c r="J1260" s="13" t="str">
        <x:v>Pago</x:v>
      </x:c>
      <x:c r="K1260" s="13" t="str">
        <x:v>Escala inteligente</x:v>
      </x:c>
      <x:c r="L1260" s="17" t="n">
        <x:f>H1260-G1260</x:f>
        <x:v>439.89999999999964</x:v>
      </x:c>
      <x:c r="M1260" s="19" t="n">
        <x:f>IFERROR(L1260/G1260,0)</x:f>
        <x:v>0.027364827456644862</x:v>
      </x:c>
      <x:c r="N1260" s="13" t="n">
        <x:f>D1260-C1260</x:f>
        <x:v>-2</x:v>
      </x:c>
    </x:row>
    <x:row r="1261">
      <x:c r="A1261" s="13" t="str">
        <x:v>PAG-001260</x:v>
      </x:c>
      <x:c r="B1261" s="23" t="n">
        <x:v>46179</x:v>
      </x:c>
      <x:c r="C1261" s="23" t="n">
        <x:v>46209</x:v>
      </x:c>
      <x:c r="D1261" s="23" t="n">
        <x:v>46211</x:v>
      </x:c>
      <x:c r="E1261" s="13" t="str">
        <x:v>CloudCore</x:v>
      </x:c>
      <x:c r="F1261" s="13" t="str">
        <x:v>Tecnologia</x:v>
      </x:c>
      <x:c r="G1261" s="17" t="n">
        <x:v>28223.66</x:v>
      </x:c>
      <x:c r="H1261" s="17" t="n">
        <x:v>27897.1</x:v>
      </x:c>
      <x:c r="I1261" s="13" t="str">
        <x:v>Gestor da área</x:v>
      </x:c>
      <x:c r="J1261" s="13" t="str">
        <x:v>Pago</x:v>
      </x:c>
      <x:c r="K1261" s="13" t="str">
        <x:v>Escala inteligente</x:v>
      </x:c>
      <x:c r="L1261" s="17" t="n">
        <x:f>H1261-G1261</x:f>
        <x:v>-326.5600000000013</x:v>
      </x:c>
      <x:c r="M1261" s="19" t="n">
        <x:f>IFERROR(L1261/G1261,0)</x:f>
        <x:v>-0.011570434167645206</x:v>
      </x:c>
      <x:c r="N1261" s="13" t="n">
        <x:f>D1261-C1261</x:f>
        <x:v>2</x:v>
      </x:c>
    </x:row>
  </x:sheetData>
  <x:conditionalFormatting sqref="M2:M1261">
    <x:cfRule type="colorScale" priority="1">
      <x:colorScale>
        <x:cfvo type="min"/>
        <x:cfvo type="percentile" val="50"/>
        <x:cfvo type="max"/>
        <x:color rgb="FFCBEBD8"/>
        <x:color rgb="FFFFF0B5"/>
        <x:color rgb="FFF8C9C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4f30325937b49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6" max="6" width="17" hidden="0" customWidth="1"/>
    <x:col min="8" max="8" width="17" hidden="0" customWidth="1"/>
    <x:col min="3" max="3" width="24" hidden="0" customWidth="1"/>
    <x:col min="7" max="7" width="24" hidden="0" customWidth="1"/>
    <x:col min="9" max="9" width="24" hidden="0" customWidth="1"/>
    <x:col min="4" max="4" width="16" hidden="0" customWidth="1"/>
    <x:col min="5" max="5" width="16" hidden="0" customWidth="1"/>
    <x:col min="10" max="10" width="16" hidden="0" customWidth="1"/>
    <x:col min="11" max="11" width="16" hidden="0" customWidth="1"/>
  </x:cols>
  <x:sheetData>
    <x:row r="1" ht="34" customHeight="1">
      <x:c r="A1" s="6" t="str">
        <x:v>ID_Conciliação</x:v>
      </x:c>
      <x:c r="B1" s="6" t="str">
        <x:v>Data_Movimento</x:v>
      </x:c>
      <x:c r="C1" s="6" t="str">
        <x:v>Conta_Bancária</x:v>
      </x:c>
      <x:c r="D1" s="6" t="str">
        <x:v>Valor_Sistema</x:v>
      </x:c>
      <x:c r="E1" s="6" t="str">
        <x:v>Valor_Banco</x:v>
      </x:c>
      <x:c r="F1" s="6" t="str">
        <x:v>Status</x:v>
      </x:c>
      <x:c r="G1" s="6" t="str">
        <x:v>Causa</x:v>
      </x:c>
      <x:c r="H1" s="6" t="str">
        <x:v>Tempo_Resolução_h</x:v>
      </x:c>
      <x:c r="I1" s="6" t="str">
        <x:v>Fase</x:v>
      </x:c>
      <x:c r="J1" s="6" t="str">
        <x:v>Divergência_Valor</x:v>
      </x:c>
      <x:c r="K1" s="6" t="str">
        <x:v>Divergência_%</x:v>
      </x:c>
    </x:row>
    <x:row r="2">
      <x:c r="A2" s="13" t="str">
        <x:v>CON-000001</x:v>
      </x:c>
      <x:c r="B2" s="23" t="n">
        <x:v>45293</x:v>
      </x:c>
      <x:c r="C2" s="13" t="str">
        <x:v>Nubank Serviços</x:v>
      </x:c>
      <x:c r="D2" s="17" t="n">
        <x:v>10642.6</x:v>
      </x:c>
      <x:c r="E2" s="17" t="n">
        <x:v>10642.6</x:v>
      </x:c>
      <x:c r="F2" s="13" t="str">
        <x:v>Conciliado</x:v>
      </x:c>
      <x:c r="G2" s="13" t="str">
        <x:v>Sem divergência</x:v>
      </x:c>
      <x:c r="H2" s="13" t="n">
        <x:v>0.31</x:v>
      </x:c>
      <x:c r="I2" s="13" t="str">
        <x:v>Base controlada</x:v>
      </x:c>
      <x:c r="J2" s="17" t="n">
        <x:f>E2-D2</x:f>
        <x:v>0</x:v>
      </x:c>
      <x:c r="K2" s="19" t="n">
        <x:f>IFERROR(ABS(J2/D2),0)</x:f>
        <x:v>0</x:v>
      </x:c>
    </x:row>
    <x:row r="3">
      <x:c r="A3" s="13" t="str">
        <x:v>CON-000002</x:v>
      </x:c>
      <x:c r="B3" s="23" t="n">
        <x:v>45312</x:v>
      </x:c>
      <x:c r="C3" s="13" t="str">
        <x:v>Santander Recebimentos</x:v>
      </x:c>
      <x:c r="D3" s="17" t="n">
        <x:v>8288.05</x:v>
      </x:c>
      <x:c r="E3" s="17" t="n">
        <x:v>8988.91</x:v>
      </x:c>
      <x:c r="F3" s="13" t="str">
        <x:v>Resolvido</x:v>
      </x:c>
      <x:c r="G3" s="13" t="str">
        <x:v>Duplicidade</x:v>
      </x:c>
      <x:c r="H3" s="13" t="n">
        <x:v>11.96</x:v>
      </x:c>
      <x:c r="I3" s="13" t="str">
        <x:v>Base controlada</x:v>
      </x:c>
      <x:c r="J3" s="17" t="n">
        <x:f>E3-D3</x:f>
        <x:v>700.8600000000006</x:v>
      </x:c>
      <x:c r="K3" s="19" t="n">
        <x:f>IFERROR(ABS(J3/D3),0)</x:f>
        <x:v>0.08456271378671709</x:v>
      </x:c>
    </x:row>
    <x:row r="4">
      <x:c r="A4" s="13" t="str">
        <x:v>CON-000003</x:v>
      </x:c>
      <x:c r="B4" s="23" t="n">
        <x:v>45302</x:v>
      </x:c>
      <x:c r="C4" s="13" t="str">
        <x:v>Itaú Operacional</x:v>
      </x:c>
      <x:c r="D4" s="17" t="n">
        <x:v>16183.09</x:v>
      </x:c>
      <x:c r="E4" s="17" t="n">
        <x:v>16183.09</x:v>
      </x:c>
      <x:c r="F4" s="13" t="str">
        <x:v>Conciliado</x:v>
      </x:c>
      <x:c r="G4" s="13" t="str">
        <x:v>Sem divergência</x:v>
      </x:c>
      <x:c r="H4" s="13" t="n">
        <x:v>0.44</x:v>
      </x:c>
      <x:c r="I4" s="13" t="str">
        <x:v>Base controlada</x:v>
      </x:c>
      <x:c r="J4" s="17" t="n">
        <x:f>E4-D4</x:f>
        <x:v>0</x:v>
      </x:c>
      <x:c r="K4" s="19" t="n">
        <x:f>IFERROR(ABS(J4/D4),0)</x:f>
        <x:v>0</x:v>
      </x:c>
    </x:row>
    <x:row r="5">
      <x:c r="A5" s="13" t="str">
        <x:v>CON-000004</x:v>
      </x:c>
      <x:c r="B5" s="23" t="n">
        <x:v>45299</x:v>
      </x:c>
      <x:c r="C5" s="13" t="str">
        <x:v>Itaú Operacional</x:v>
      </x:c>
      <x:c r="D5" s="17" t="n">
        <x:v>43115.11</x:v>
      </x:c>
      <x:c r="E5" s="17" t="n">
        <x:v>43115.11</x:v>
      </x:c>
      <x:c r="F5" s="13" t="str">
        <x:v>Conciliado</x:v>
      </x:c>
      <x:c r="G5" s="13" t="str">
        <x:v>Sem divergência</x:v>
      </x:c>
      <x:c r="H5" s="13" t="n">
        <x:v>0.13</x:v>
      </x:c>
      <x:c r="I5" s="13" t="str">
        <x:v>Base controlada</x:v>
      </x:c>
      <x:c r="J5" s="17" t="n">
        <x:f>E5-D5</x:f>
        <x:v>0</x:v>
      </x:c>
      <x:c r="K5" s="19" t="n">
        <x:f>IFERROR(ABS(J5/D5),0)</x:f>
        <x:v>0</x:v>
      </x:c>
    </x:row>
    <x:row r="6">
      <x:c r="A6" s="13" t="str">
        <x:v>CON-000005</x:v>
      </x:c>
      <x:c r="B6" s="23" t="n">
        <x:v>45309</x:v>
      </x:c>
      <x:c r="C6" s="13" t="str">
        <x:v>Nubank Serviços</x:v>
      </x:c>
      <x:c r="D6" s="17" t="n">
        <x:v>39498.15</x:v>
      </x:c>
      <x:c r="E6" s="17" t="n">
        <x:v>39498.15</x:v>
      </x:c>
      <x:c r="F6" s="13" t="str">
        <x:v>Conciliado</x:v>
      </x:c>
      <x:c r="G6" s="13" t="str">
        <x:v>Sem divergência</x:v>
      </x:c>
      <x:c r="H6" s="13" t="n">
        <x:v>0.43</x:v>
      </x:c>
      <x:c r="I6" s="13" t="str">
        <x:v>Base controlada</x:v>
      </x:c>
      <x:c r="J6" s="17" t="n">
        <x:f>E6-D6</x:f>
        <x:v>0</x:v>
      </x:c>
      <x:c r="K6" s="19" t="n">
        <x:f>IFERROR(ABS(J6/D6),0)</x:f>
        <x:v>0</x:v>
      </x:c>
    </x:row>
    <x:row r="7">
      <x:c r="A7" s="13" t="str">
        <x:v>CON-000006</x:v>
      </x:c>
      <x:c r="B7" s="23" t="n">
        <x:v>45298</x:v>
      </x:c>
      <x:c r="C7" s="13" t="str">
        <x:v>Santander Recebimentos</x:v>
      </x:c>
      <x:c r="D7" s="17" t="n">
        <x:v>29309.58</x:v>
      </x:c>
      <x:c r="E7" s="17" t="n">
        <x:v>29309.58</x:v>
      </x:c>
      <x:c r="F7" s="13" t="str">
        <x:v>Conciliado</x:v>
      </x:c>
      <x:c r="G7" s="13" t="str">
        <x:v>Sem divergência</x:v>
      </x:c>
      <x:c r="H7" s="13" t="n">
        <x:v>0.29</x:v>
      </x:c>
      <x:c r="I7" s="13" t="str">
        <x:v>Base controlada</x:v>
      </x:c>
      <x:c r="J7" s="17" t="n">
        <x:f>E7-D7</x:f>
        <x:v>0</x:v>
      </x:c>
      <x:c r="K7" s="19" t="n">
        <x:f>IFERROR(ABS(J7/D7),0)</x:f>
        <x:v>0</x:v>
      </x:c>
    </x:row>
    <x:row r="8">
      <x:c r="A8" s="13" t="str">
        <x:v>CON-000007</x:v>
      </x:c>
      <x:c r="B8" s="23" t="n">
        <x:v>45295</x:v>
      </x:c>
      <x:c r="C8" s="13" t="str">
        <x:v>Bradesco Pagamentos</x:v>
      </x:c>
      <x:c r="D8" s="17" t="n">
        <x:v>37911.17</x:v>
      </x:c>
      <x:c r="E8" s="17" t="n">
        <x:v>37911.17</x:v>
      </x:c>
      <x:c r="F8" s="13" t="str">
        <x:v>Conciliado</x:v>
      </x:c>
      <x:c r="G8" s="13" t="str">
        <x:v>Sem divergência</x:v>
      </x:c>
      <x:c r="H8" s="13" t="n">
        <x:v>0.38</x:v>
      </x:c>
      <x:c r="I8" s="13" t="str">
        <x:v>Base controlada</x:v>
      </x:c>
      <x:c r="J8" s="17" t="n">
        <x:f>E8-D8</x:f>
        <x:v>0</x:v>
      </x:c>
      <x:c r="K8" s="19" t="n">
        <x:f>IFERROR(ABS(J8/D8),0)</x:f>
        <x:v>0</x:v>
      </x:c>
    </x:row>
    <x:row r="9">
      <x:c r="A9" s="13" t="str">
        <x:v>CON-000008</x:v>
      </x:c>
      <x:c r="B9" s="23" t="n">
        <x:v>45297</x:v>
      </x:c>
      <x:c r="C9" s="13" t="str">
        <x:v>Santander Recebimentos</x:v>
      </x:c>
      <x:c r="D9" s="17" t="n">
        <x:v>18878.94</x:v>
      </x:c>
      <x:c r="E9" s="17" t="n">
        <x:v>18878.94</x:v>
      </x:c>
      <x:c r="F9" s="13" t="str">
        <x:v>Conciliado</x:v>
      </x:c>
      <x:c r="G9" s="13" t="str">
        <x:v>Sem divergência</x:v>
      </x:c>
      <x:c r="H9" s="13" t="n">
        <x:v>0.04</x:v>
      </x:c>
      <x:c r="I9" s="13" t="str">
        <x:v>Base controlada</x:v>
      </x:c>
      <x:c r="J9" s="17" t="n">
        <x:f>E9-D9</x:f>
        <x:v>0</x:v>
      </x:c>
      <x:c r="K9" s="19" t="n">
        <x:f>IFERROR(ABS(J9/D9),0)</x:f>
        <x:v>0</x:v>
      </x:c>
    </x:row>
    <x:row r="10">
      <x:c r="A10" s="13" t="str">
        <x:v>CON-000009</x:v>
      </x:c>
      <x:c r="B10" s="23" t="n">
        <x:v>45292</x:v>
      </x:c>
      <x:c r="C10" s="13" t="str">
        <x:v>Nubank Serviços</x:v>
      </x:c>
      <x:c r="D10" s="17" t="n">
        <x:v>42562.69</x:v>
      </x:c>
      <x:c r="E10" s="17" t="n">
        <x:v>42562.69</x:v>
      </x:c>
      <x:c r="F10" s="13" t="str">
        <x:v>Conciliado</x:v>
      </x:c>
      <x:c r="G10" s="13" t="str">
        <x:v>Sem divergência</x:v>
      </x:c>
      <x:c r="H10" s="13" t="n">
        <x:v>0.03</x:v>
      </x:c>
      <x:c r="I10" s="13" t="str">
        <x:v>Base controlada</x:v>
      </x:c>
      <x:c r="J10" s="17" t="n">
        <x:f>E10-D10</x:f>
        <x:v>0</x:v>
      </x:c>
      <x:c r="K10" s="19" t="n">
        <x:f>IFERROR(ABS(J10/D10),0)</x:f>
        <x:v>0</x:v>
      </x:c>
    </x:row>
    <x:row r="11">
      <x:c r="A11" s="13" t="str">
        <x:v>CON-000010</x:v>
      </x:c>
      <x:c r="B11" s="23" t="n">
        <x:v>45314</x:v>
      </x:c>
      <x:c r="C11" s="13" t="str">
        <x:v>Nubank Serviços</x:v>
      </x:c>
      <x:c r="D11" s="17" t="n">
        <x:v>30625.3</x:v>
      </x:c>
      <x:c r="E11" s="17" t="n">
        <x:v>30625.3</x:v>
      </x:c>
      <x:c r="F11" s="13" t="str">
        <x:v>Conciliado</x:v>
      </x:c>
      <x:c r="G11" s="13" t="str">
        <x:v>Sem divergência</x:v>
      </x:c>
      <x:c r="H11" s="13" t="n">
        <x:v>0.14</x:v>
      </x:c>
      <x:c r="I11" s="13" t="str">
        <x:v>Base controlada</x:v>
      </x:c>
      <x:c r="J11" s="17" t="n">
        <x:f>E11-D11</x:f>
        <x:v>0</x:v>
      </x:c>
      <x:c r="K11" s="19" t="n">
        <x:f>IFERROR(ABS(J11/D11),0)</x:f>
        <x:v>0</x:v>
      </x:c>
    </x:row>
    <x:row r="12">
      <x:c r="A12" s="13" t="str">
        <x:v>CON-000011</x:v>
      </x:c>
      <x:c r="B12" s="23" t="n">
        <x:v>45294</x:v>
      </x:c>
      <x:c r="C12" s="13" t="str">
        <x:v>Nubank Serviços</x:v>
      </x:c>
      <x:c r="D12" s="17" t="n">
        <x:v>4549.79</x:v>
      </x:c>
      <x:c r="E12" s="17" t="n">
        <x:v>4549.79</x:v>
      </x:c>
      <x:c r="F12" s="13" t="str">
        <x:v>Conciliado</x:v>
      </x:c>
      <x:c r="G12" s="13" t="str">
        <x:v>Sem divergência</x:v>
      </x:c>
      <x:c r="H12" s="13" t="n">
        <x:v>0.18</x:v>
      </x:c>
      <x:c r="I12" s="13" t="str">
        <x:v>Base controlada</x:v>
      </x:c>
      <x:c r="J12" s="17" t="n">
        <x:f>E12-D12</x:f>
        <x:v>0</x:v>
      </x:c>
      <x:c r="K12" s="19" t="n">
        <x:f>IFERROR(ABS(J12/D12),0)</x:f>
        <x:v>0</x:v>
      </x:c>
    </x:row>
    <x:row r="13">
      <x:c r="A13" s="13" t="str">
        <x:v>CON-000012</x:v>
      </x:c>
      <x:c r="B13" s="23" t="n">
        <x:v>45307</x:v>
      </x:c>
      <x:c r="C13" s="13" t="str">
        <x:v>Santander Recebimentos</x:v>
      </x:c>
      <x:c r="D13" s="17" t="n">
        <x:v>41246.38</x:v>
      </x:c>
      <x:c r="E13" s="17" t="n">
        <x:v>41246.38</x:v>
      </x:c>
      <x:c r="F13" s="13" t="str">
        <x:v>Conciliado</x:v>
      </x:c>
      <x:c r="G13" s="13" t="str">
        <x:v>Sem divergência</x:v>
      </x:c>
      <x:c r="H13" s="13" t="n">
        <x:v>0.21</x:v>
      </x:c>
      <x:c r="I13" s="13" t="str">
        <x:v>Base controlada</x:v>
      </x:c>
      <x:c r="J13" s="17" t="n">
        <x:f>E13-D13</x:f>
        <x:v>0</x:v>
      </x:c>
      <x:c r="K13" s="19" t="n">
        <x:f>IFERROR(ABS(J13/D13),0)</x:f>
        <x:v>0</x:v>
      </x:c>
    </x:row>
    <x:row r="14">
      <x:c r="A14" s="13" t="str">
        <x:v>CON-000013</x:v>
      </x:c>
      <x:c r="B14" s="23" t="n">
        <x:v>45315</x:v>
      </x:c>
      <x:c r="C14" s="13" t="str">
        <x:v>Bradesco Pagamentos</x:v>
      </x:c>
      <x:c r="D14" s="17" t="n">
        <x:v>26645.67</x:v>
      </x:c>
      <x:c r="E14" s="17" t="n">
        <x:v>26645.67</x:v>
      </x:c>
      <x:c r="F14" s="13" t="str">
        <x:v>Conciliado</x:v>
      </x:c>
      <x:c r="G14" s="13" t="str">
        <x:v>Sem divergência</x:v>
      </x:c>
      <x:c r="H14" s="13" t="n">
        <x:v>0.14</x:v>
      </x:c>
      <x:c r="I14" s="13" t="str">
        <x:v>Base controlada</x:v>
      </x:c>
      <x:c r="J14" s="17" t="n">
        <x:f>E14-D14</x:f>
        <x:v>0</x:v>
      </x:c>
      <x:c r="K14" s="19" t="n">
        <x:f>IFERROR(ABS(J14/D14),0)</x:f>
        <x:v>0</x:v>
      </x:c>
    </x:row>
    <x:row r="15">
      <x:c r="A15" s="13" t="str">
        <x:v>CON-000014</x:v>
      </x:c>
      <x:c r="B15" s="23" t="n">
        <x:v>45318</x:v>
      </x:c>
      <x:c r="C15" s="13" t="str">
        <x:v>Nubank Serviços</x:v>
      </x:c>
      <x:c r="D15" s="17" t="n">
        <x:v>30811.61</x:v>
      </x:c>
      <x:c r="E15" s="17" t="n">
        <x:v>30811.61</x:v>
      </x:c>
      <x:c r="F15" s="13" t="str">
        <x:v>Conciliado</x:v>
      </x:c>
      <x:c r="G15" s="13" t="str">
        <x:v>Sem divergência</x:v>
      </x:c>
      <x:c r="H15" s="13" t="n">
        <x:v>0.11</x:v>
      </x:c>
      <x:c r="I15" s="13" t="str">
        <x:v>Base controlada</x:v>
      </x:c>
      <x:c r="J15" s="17" t="n">
        <x:f>E15-D15</x:f>
        <x:v>0</x:v>
      </x:c>
      <x:c r="K15" s="19" t="n">
        <x:f>IFERROR(ABS(J15/D15),0)</x:f>
        <x:v>0</x:v>
      </x:c>
    </x:row>
    <x:row r="16">
      <x:c r="A16" s="13" t="str">
        <x:v>CON-000015</x:v>
      </x:c>
      <x:c r="B16" s="23" t="n">
        <x:v>45298</x:v>
      </x:c>
      <x:c r="C16" s="13" t="str">
        <x:v>Santander Recebimentos</x:v>
      </x:c>
      <x:c r="D16" s="17" t="n">
        <x:v>41592.3</x:v>
      </x:c>
      <x:c r="E16" s="17" t="n">
        <x:v>41592.3</x:v>
      </x:c>
      <x:c r="F16" s="13" t="str">
        <x:v>Conciliado</x:v>
      </x:c>
      <x:c r="G16" s="13" t="str">
        <x:v>Sem divergência</x:v>
      </x:c>
      <x:c r="H16" s="13" t="n">
        <x:v>0.05</x:v>
      </x:c>
      <x:c r="I16" s="13" t="str">
        <x:v>Base controlada</x:v>
      </x:c>
      <x:c r="J16" s="17" t="n">
        <x:f>E16-D16</x:f>
        <x:v>0</x:v>
      </x:c>
      <x:c r="K16" s="19" t="n">
        <x:f>IFERROR(ABS(J16/D16),0)</x:f>
        <x:v>0</x:v>
      </x:c>
    </x:row>
    <x:row r="17">
      <x:c r="A17" s="13" t="str">
        <x:v>CON-000016</x:v>
      </x:c>
      <x:c r="B17" s="23" t="n">
        <x:v>45296</x:v>
      </x:c>
      <x:c r="C17" s="13" t="str">
        <x:v>Itaú Operacional</x:v>
      </x:c>
      <x:c r="D17" s="17" t="n">
        <x:v>9166.7</x:v>
      </x:c>
      <x:c r="E17" s="17" t="n">
        <x:v>9166.7</x:v>
      </x:c>
      <x:c r="F17" s="13" t="str">
        <x:v>Conciliado</x:v>
      </x:c>
      <x:c r="G17" s="13" t="str">
        <x:v>Sem divergência</x:v>
      </x:c>
      <x:c r="H17" s="13" t="n">
        <x:v>0.26</x:v>
      </x:c>
      <x:c r="I17" s="13" t="str">
        <x:v>Base controlada</x:v>
      </x:c>
      <x:c r="J17" s="17" t="n">
        <x:f>E17-D17</x:f>
        <x:v>0</x:v>
      </x:c>
      <x:c r="K17" s="19" t="n">
        <x:f>IFERROR(ABS(J17/D17),0)</x:f>
        <x:v>0</x:v>
      </x:c>
    </x:row>
    <x:row r="18">
      <x:c r="A18" s="13" t="str">
        <x:v>CON-000017</x:v>
      </x:c>
      <x:c r="B18" s="23" t="n">
        <x:v>45292</x:v>
      </x:c>
      <x:c r="C18" s="13" t="str">
        <x:v>Santander Recebimentos</x:v>
      </x:c>
      <x:c r="D18" s="17" t="n">
        <x:v>3918.05</x:v>
      </x:c>
      <x:c r="E18" s="17" t="n">
        <x:v>3918.05</x:v>
      </x:c>
      <x:c r="F18" s="13" t="str">
        <x:v>Conciliado</x:v>
      </x:c>
      <x:c r="G18" s="13" t="str">
        <x:v>Sem divergência</x:v>
      </x:c>
      <x:c r="H18" s="13" t="n">
        <x:v>0.15</x:v>
      </x:c>
      <x:c r="I18" s="13" t="str">
        <x:v>Base controlada</x:v>
      </x:c>
      <x:c r="J18" s="17" t="n">
        <x:f>E18-D18</x:f>
        <x:v>0</x:v>
      </x:c>
      <x:c r="K18" s="19" t="n">
        <x:f>IFERROR(ABS(J18/D18),0)</x:f>
        <x:v>0</x:v>
      </x:c>
    </x:row>
    <x:row r="19">
      <x:c r="A19" s="13" t="str">
        <x:v>CON-000018</x:v>
      </x:c>
      <x:c r="B19" s="23" t="n">
        <x:v>45311</x:v>
      </x:c>
      <x:c r="C19" s="13" t="str">
        <x:v>Santander Recebimentos</x:v>
      </x:c>
      <x:c r="D19" s="17" t="n">
        <x:v>28203.84</x:v>
      </x:c>
      <x:c r="E19" s="17" t="n">
        <x:v>28203.84</x:v>
      </x:c>
      <x:c r="F19" s="13" t="str">
        <x:v>Conciliado</x:v>
      </x:c>
      <x:c r="G19" s="13" t="str">
        <x:v>Sem divergência</x:v>
      </x:c>
      <x:c r="H19" s="13" t="n">
        <x:v>0.3</x:v>
      </x:c>
      <x:c r="I19" s="13" t="str">
        <x:v>Base controlada</x:v>
      </x:c>
      <x:c r="J19" s="17" t="n">
        <x:f>E19-D19</x:f>
        <x:v>0</x:v>
      </x:c>
      <x:c r="K19" s="19" t="n">
        <x:f>IFERROR(ABS(J19/D19),0)</x:f>
        <x:v>0</x:v>
      </x:c>
    </x:row>
    <x:row r="20">
      <x:c r="A20" s="13" t="str">
        <x:v>CON-000019</x:v>
      </x:c>
      <x:c r="B20" s="23" t="n">
        <x:v>45315</x:v>
      </x:c>
      <x:c r="C20" s="13" t="str">
        <x:v>Nubank Serviços</x:v>
      </x:c>
      <x:c r="D20" s="17" t="n">
        <x:v>43900.59</x:v>
      </x:c>
      <x:c r="E20" s="17" t="n">
        <x:v>43900.59</x:v>
      </x:c>
      <x:c r="F20" s="13" t="str">
        <x:v>Conciliado</x:v>
      </x:c>
      <x:c r="G20" s="13" t="str">
        <x:v>Sem divergência</x:v>
      </x:c>
      <x:c r="H20" s="13" t="n">
        <x:v>0.06</x:v>
      </x:c>
      <x:c r="I20" s="13" t="str">
        <x:v>Base controlada</x:v>
      </x:c>
      <x:c r="J20" s="17" t="n">
        <x:f>E20-D20</x:f>
        <x:v>0</x:v>
      </x:c>
      <x:c r="K20" s="19" t="n">
        <x:f>IFERROR(ABS(J20/D20),0)</x:f>
        <x:v>0</x:v>
      </x:c>
    </x:row>
    <x:row r="21">
      <x:c r="A21" s="13" t="str">
        <x:v>CON-000020</x:v>
      </x:c>
      <x:c r="B21" s="23" t="n">
        <x:v>45300</x:v>
      </x:c>
      <x:c r="C21" s="13" t="str">
        <x:v>Bradesco Pagamentos</x:v>
      </x:c>
      <x:c r="D21" s="17" t="n">
        <x:v>11535.97</x:v>
      </x:c>
      <x:c r="E21" s="17" t="n">
        <x:v>11535.97</x:v>
      </x:c>
      <x:c r="F21" s="13" t="str">
        <x:v>Conciliado</x:v>
      </x:c>
      <x:c r="G21" s="13" t="str">
        <x:v>Sem divergência</x:v>
      </x:c>
      <x:c r="H21" s="13" t="n">
        <x:v>0.16</x:v>
      </x:c>
      <x:c r="I21" s="13" t="str">
        <x:v>Base controlada</x:v>
      </x:c>
      <x:c r="J21" s="17" t="n">
        <x:f>E21-D21</x:f>
        <x:v>0</x:v>
      </x:c>
      <x:c r="K21" s="19" t="n">
        <x:f>IFERROR(ABS(J21/D21),0)</x:f>
        <x:v>0</x:v>
      </x:c>
    </x:row>
    <x:row r="22">
      <x:c r="A22" s="13" t="str">
        <x:v>CON-000021</x:v>
      </x:c>
      <x:c r="B22" s="23" t="n">
        <x:v>45319</x:v>
      </x:c>
      <x:c r="C22" s="13" t="str">
        <x:v>Itaú Operacional</x:v>
      </x:c>
      <x:c r="D22" s="17" t="n">
        <x:v>22813.05</x:v>
      </x:c>
      <x:c r="E22" s="17" t="n">
        <x:v>22813.05</x:v>
      </x:c>
      <x:c r="F22" s="13" t="str">
        <x:v>Conciliado</x:v>
      </x:c>
      <x:c r="G22" s="13" t="str">
        <x:v>Sem divergência</x:v>
      </x:c>
      <x:c r="H22" s="13" t="n">
        <x:v>0.12</x:v>
      </x:c>
      <x:c r="I22" s="13" t="str">
        <x:v>Base controlada</x:v>
      </x:c>
      <x:c r="J22" s="17" t="n">
        <x:f>E22-D22</x:f>
        <x:v>0</x:v>
      </x:c>
      <x:c r="K22" s="19" t="n">
        <x:f>IFERROR(ABS(J22/D22),0)</x:f>
        <x:v>0</x:v>
      </x:c>
    </x:row>
    <x:row r="23">
      <x:c r="A23" s="13" t="str">
        <x:v>CON-000022</x:v>
      </x:c>
      <x:c r="B23" s="23" t="n">
        <x:v>45297</x:v>
      </x:c>
      <x:c r="C23" s="13" t="str">
        <x:v>Nubank Serviços</x:v>
      </x:c>
      <x:c r="D23" s="17" t="n">
        <x:v>16913.59</x:v>
      </x:c>
      <x:c r="E23" s="17" t="n">
        <x:v>16913.59</x:v>
      </x:c>
      <x:c r="F23" s="13" t="str">
        <x:v>Conciliado</x:v>
      </x:c>
      <x:c r="G23" s="13" t="str">
        <x:v>Sem divergência</x:v>
      </x:c>
      <x:c r="H23" s="13" t="n">
        <x:v>0.22</x:v>
      </x:c>
      <x:c r="I23" s="13" t="str">
        <x:v>Base controlada</x:v>
      </x:c>
      <x:c r="J23" s="17" t="n">
        <x:f>E23-D23</x:f>
        <x:v>0</x:v>
      </x:c>
      <x:c r="K23" s="19" t="n">
        <x:f>IFERROR(ABS(J23/D23),0)</x:f>
        <x:v>0</x:v>
      </x:c>
    </x:row>
    <x:row r="24">
      <x:c r="A24" s="13" t="str">
        <x:v>CON-000023</x:v>
      </x:c>
      <x:c r="B24" s="23" t="n">
        <x:v>45293</x:v>
      </x:c>
      <x:c r="C24" s="13" t="str">
        <x:v>Bradesco Pagamentos</x:v>
      </x:c>
      <x:c r="D24" s="17" t="n">
        <x:v>18035.51</x:v>
      </x:c>
      <x:c r="E24" s="17" t="n">
        <x:v>18035.51</x:v>
      </x:c>
      <x:c r="F24" s="13" t="str">
        <x:v>Conciliado</x:v>
      </x:c>
      <x:c r="G24" s="13" t="str">
        <x:v>Sem divergência</x:v>
      </x:c>
      <x:c r="H24" s="13" t="n">
        <x:v>0.44</x:v>
      </x:c>
      <x:c r="I24" s="13" t="str">
        <x:v>Base controlada</x:v>
      </x:c>
      <x:c r="J24" s="17" t="n">
        <x:f>E24-D24</x:f>
        <x:v>0</x:v>
      </x:c>
      <x:c r="K24" s="19" t="n">
        <x:f>IFERROR(ABS(J24/D24),0)</x:f>
        <x:v>0</x:v>
      </x:c>
    </x:row>
    <x:row r="25">
      <x:c r="A25" s="13" t="str">
        <x:v>CON-000024</x:v>
      </x:c>
      <x:c r="B25" s="23" t="n">
        <x:v>45319</x:v>
      </x:c>
      <x:c r="C25" s="13" t="str">
        <x:v>Bradesco Pagamentos</x:v>
      </x:c>
      <x:c r="D25" s="17" t="n">
        <x:v>30172.36</x:v>
      </x:c>
      <x:c r="E25" s="17" t="n">
        <x:v>30172.36</x:v>
      </x:c>
      <x:c r="F25" s="13" t="str">
        <x:v>Conciliado</x:v>
      </x:c>
      <x:c r="G25" s="13" t="str">
        <x:v>Sem divergência</x:v>
      </x:c>
      <x:c r="H25" s="13" t="n">
        <x:v>0.19</x:v>
      </x:c>
      <x:c r="I25" s="13" t="str">
        <x:v>Base controlada</x:v>
      </x:c>
      <x:c r="J25" s="17" t="n">
        <x:f>E25-D25</x:f>
        <x:v>0</x:v>
      </x:c>
      <x:c r="K25" s="19" t="n">
        <x:f>IFERROR(ABS(J25/D25),0)</x:f>
        <x:v>0</x:v>
      </x:c>
    </x:row>
    <x:row r="26">
      <x:c r="A26" s="13" t="str">
        <x:v>CON-000025</x:v>
      </x:c>
      <x:c r="B26" s="23" t="n">
        <x:v>45308</x:v>
      </x:c>
      <x:c r="C26" s="13" t="str">
        <x:v>Bradesco Pagamentos</x:v>
      </x:c>
      <x:c r="D26" s="17" t="n">
        <x:v>25016.65</x:v>
      </x:c>
      <x:c r="E26" s="17" t="n">
        <x:v>25016.65</x:v>
      </x:c>
      <x:c r="F26" s="13" t="str">
        <x:v>Conciliado</x:v>
      </x:c>
      <x:c r="G26" s="13" t="str">
        <x:v>Sem divergência</x:v>
      </x:c>
      <x:c r="H26" s="13" t="n">
        <x:v>0.24</x:v>
      </x:c>
      <x:c r="I26" s="13" t="str">
        <x:v>Base controlada</x:v>
      </x:c>
      <x:c r="J26" s="17" t="n">
        <x:f>E26-D26</x:f>
        <x:v>0</x:v>
      </x:c>
      <x:c r="K26" s="19" t="n">
        <x:f>IFERROR(ABS(J26/D26),0)</x:f>
        <x:v>0</x:v>
      </x:c>
    </x:row>
    <x:row r="27">
      <x:c r="A27" s="13" t="str">
        <x:v>CON-000026</x:v>
      </x:c>
      <x:c r="B27" s="23" t="n">
        <x:v>45307</x:v>
      </x:c>
      <x:c r="C27" s="13" t="str">
        <x:v>Bradesco Pagamentos</x:v>
      </x:c>
      <x:c r="D27" s="17" t="n">
        <x:v>28285.3</x:v>
      </x:c>
      <x:c r="E27" s="17" t="n">
        <x:v>28285.3</x:v>
      </x:c>
      <x:c r="F27" s="13" t="str">
        <x:v>Conciliado</x:v>
      </x:c>
      <x:c r="G27" s="13" t="str">
        <x:v>Sem divergência</x:v>
      </x:c>
      <x:c r="H27" s="13" t="n">
        <x:v>0.18</x:v>
      </x:c>
      <x:c r="I27" s="13" t="str">
        <x:v>Base controlada</x:v>
      </x:c>
      <x:c r="J27" s="17" t="n">
        <x:f>E27-D27</x:f>
        <x:v>0</x:v>
      </x:c>
      <x:c r="K27" s="19" t="n">
        <x:f>IFERROR(ABS(J27/D27),0)</x:f>
        <x:v>0</x:v>
      </x:c>
    </x:row>
    <x:row r="28">
      <x:c r="A28" s="13" t="str">
        <x:v>CON-000027</x:v>
      </x:c>
      <x:c r="B28" s="23" t="n">
        <x:v>45299</x:v>
      </x:c>
      <x:c r="C28" s="13" t="str">
        <x:v>Itaú Operacional</x:v>
      </x:c>
      <x:c r="D28" s="17" t="n">
        <x:v>31596.81</x:v>
      </x:c>
      <x:c r="E28" s="17" t="n">
        <x:v>31596.81</x:v>
      </x:c>
      <x:c r="F28" s="13" t="str">
        <x:v>Conciliado</x:v>
      </x:c>
      <x:c r="G28" s="13" t="str">
        <x:v>Sem divergência</x:v>
      </x:c>
      <x:c r="H28" s="13" t="n">
        <x:v>0.18</x:v>
      </x:c>
      <x:c r="I28" s="13" t="str">
        <x:v>Base controlada</x:v>
      </x:c>
      <x:c r="J28" s="17" t="n">
        <x:f>E28-D28</x:f>
        <x:v>0</x:v>
      </x:c>
      <x:c r="K28" s="19" t="n">
        <x:f>IFERROR(ABS(J28/D28),0)</x:f>
        <x:v>0</x:v>
      </x:c>
    </x:row>
    <x:row r="29">
      <x:c r="A29" s="13" t="str">
        <x:v>CON-000028</x:v>
      </x:c>
      <x:c r="B29" s="23" t="n">
        <x:v>45303</x:v>
      </x:c>
      <x:c r="C29" s="13" t="str">
        <x:v>Nubank Serviços</x:v>
      </x:c>
      <x:c r="D29" s="17" t="n">
        <x:v>30308.96</x:v>
      </x:c>
      <x:c r="E29" s="17" t="n">
        <x:v>30308.96</x:v>
      </x:c>
      <x:c r="F29" s="13" t="str">
        <x:v>Conciliado</x:v>
      </x:c>
      <x:c r="G29" s="13" t="str">
        <x:v>Sem divergência</x:v>
      </x:c>
      <x:c r="H29" s="13" t="n">
        <x:v>0.22</x:v>
      </x:c>
      <x:c r="I29" s="13" t="str">
        <x:v>Base controlada</x:v>
      </x:c>
      <x:c r="J29" s="17" t="n">
        <x:f>E29-D29</x:f>
        <x:v>0</x:v>
      </x:c>
      <x:c r="K29" s="19" t="n">
        <x:f>IFERROR(ABS(J29/D29),0)</x:f>
        <x:v>0</x:v>
      </x:c>
    </x:row>
    <x:row r="30">
      <x:c r="A30" s="13" t="str">
        <x:v>CON-000029</x:v>
      </x:c>
      <x:c r="B30" s="23" t="n">
        <x:v>45312</x:v>
      </x:c>
      <x:c r="C30" s="13" t="str">
        <x:v>Santander Recebimentos</x:v>
      </x:c>
      <x:c r="D30" s="17" t="n">
        <x:v>36922.9</x:v>
      </x:c>
      <x:c r="E30" s="17" t="n">
        <x:v>36922.9</x:v>
      </x:c>
      <x:c r="F30" s="13" t="str">
        <x:v>Conciliado</x:v>
      </x:c>
      <x:c r="G30" s="13" t="str">
        <x:v>Sem divergência</x:v>
      </x:c>
      <x:c r="H30" s="13" t="n">
        <x:v>0.35</x:v>
      </x:c>
      <x:c r="I30" s="13" t="str">
        <x:v>Base controlada</x:v>
      </x:c>
      <x:c r="J30" s="17" t="n">
        <x:f>E30-D30</x:f>
        <x:v>0</x:v>
      </x:c>
      <x:c r="K30" s="19" t="n">
        <x:f>IFERROR(ABS(J30/D30),0)</x:f>
        <x:v>0</x:v>
      </x:c>
    </x:row>
    <x:row r="31">
      <x:c r="A31" s="13" t="str">
        <x:v>CON-000030</x:v>
      </x:c>
      <x:c r="B31" s="23" t="n">
        <x:v>45297</x:v>
      </x:c>
      <x:c r="C31" s="13" t="str">
        <x:v>Santander Recebimentos</x:v>
      </x:c>
      <x:c r="D31" s="17" t="n">
        <x:v>3582.35</x:v>
      </x:c>
      <x:c r="E31" s="17" t="n">
        <x:v>3582.35</x:v>
      </x:c>
      <x:c r="F31" s="13" t="str">
        <x:v>Conciliado</x:v>
      </x:c>
      <x:c r="G31" s="13" t="str">
        <x:v>Sem divergência</x:v>
      </x:c>
      <x:c r="H31" s="13" t="n">
        <x:v>0.25</x:v>
      </x:c>
      <x:c r="I31" s="13" t="str">
        <x:v>Base controlada</x:v>
      </x:c>
      <x:c r="J31" s="17" t="n">
        <x:f>E31-D31</x:f>
        <x:v>0</x:v>
      </x:c>
      <x:c r="K31" s="19" t="n">
        <x:f>IFERROR(ABS(J31/D31),0)</x:f>
        <x:v>0</x:v>
      </x:c>
    </x:row>
    <x:row r="32">
      <x:c r="A32" s="13" t="str">
        <x:v>CON-000031</x:v>
      </x:c>
      <x:c r="B32" s="23" t="n">
        <x:v>45306</x:v>
      </x:c>
      <x:c r="C32" s="13" t="str">
        <x:v>Santander Recebimentos</x:v>
      </x:c>
      <x:c r="D32" s="17" t="n">
        <x:v>17077.22</x:v>
      </x:c>
      <x:c r="E32" s="17" t="n">
        <x:v>17077.22</x:v>
      </x:c>
      <x:c r="F32" s="13" t="str">
        <x:v>Conciliado</x:v>
      </x:c>
      <x:c r="G32" s="13" t="str">
        <x:v>Sem divergência</x:v>
      </x:c>
      <x:c r="H32" s="13" t="n">
        <x:v>0.18</x:v>
      </x:c>
      <x:c r="I32" s="13" t="str">
        <x:v>Base controlada</x:v>
      </x:c>
      <x:c r="J32" s="17" t="n">
        <x:f>E32-D32</x:f>
        <x:v>0</x:v>
      </x:c>
      <x:c r="K32" s="19" t="n">
        <x:f>IFERROR(ABS(J32/D32),0)</x:f>
        <x:v>0</x:v>
      </x:c>
    </x:row>
    <x:row r="33">
      <x:c r="A33" s="13" t="str">
        <x:v>CON-000032</x:v>
      </x:c>
      <x:c r="B33" s="23" t="n">
        <x:v>45300</x:v>
      </x:c>
      <x:c r="C33" s="13" t="str">
        <x:v>Nubank Serviços</x:v>
      </x:c>
      <x:c r="D33" s="17" t="n">
        <x:v>4625.47</x:v>
      </x:c>
      <x:c r="E33" s="17" t="n">
        <x:v>4625.47</x:v>
      </x:c>
      <x:c r="F33" s="13" t="str">
        <x:v>Conciliado</x:v>
      </x:c>
      <x:c r="G33" s="13" t="str">
        <x:v>Sem divergência</x:v>
      </x:c>
      <x:c r="H33" s="13" t="n">
        <x:v>0.38</x:v>
      </x:c>
      <x:c r="I33" s="13" t="str">
        <x:v>Base controlada</x:v>
      </x:c>
      <x:c r="J33" s="17" t="n">
        <x:f>E33-D33</x:f>
        <x:v>0</x:v>
      </x:c>
      <x:c r="K33" s="19" t="n">
        <x:f>IFERROR(ABS(J33/D33),0)</x:f>
        <x:v>0</x:v>
      </x:c>
    </x:row>
    <x:row r="34">
      <x:c r="A34" s="13" t="str">
        <x:v>CON-000033</x:v>
      </x:c>
      <x:c r="B34" s="23" t="n">
        <x:v>45308</x:v>
      </x:c>
      <x:c r="C34" s="13" t="str">
        <x:v>Bradesco Pagamentos</x:v>
      </x:c>
      <x:c r="D34" s="17" t="n">
        <x:v>26127.99</x:v>
      </x:c>
      <x:c r="E34" s="17" t="n">
        <x:v>26127.99</x:v>
      </x:c>
      <x:c r="F34" s="13" t="str">
        <x:v>Conciliado</x:v>
      </x:c>
      <x:c r="G34" s="13" t="str">
        <x:v>Sem divergência</x:v>
      </x:c>
      <x:c r="H34" s="13" t="n">
        <x:v>0.17</x:v>
      </x:c>
      <x:c r="I34" s="13" t="str">
        <x:v>Base controlada</x:v>
      </x:c>
      <x:c r="J34" s="17" t="n">
        <x:f>E34-D34</x:f>
        <x:v>0</x:v>
      </x:c>
      <x:c r="K34" s="19" t="n">
        <x:f>IFERROR(ABS(J34/D34),0)</x:f>
        <x:v>0</x:v>
      </x:c>
    </x:row>
    <x:row r="35">
      <x:c r="A35" s="13" t="str">
        <x:v>CON-000034</x:v>
      </x:c>
      <x:c r="B35" s="23" t="n">
        <x:v>45308</x:v>
      </x:c>
      <x:c r="C35" s="13" t="str">
        <x:v>Santander Recebimentos</x:v>
      </x:c>
      <x:c r="D35" s="17" t="n">
        <x:v>43749.19</x:v>
      </x:c>
      <x:c r="E35" s="17" t="n">
        <x:v>43749.19</x:v>
      </x:c>
      <x:c r="F35" s="13" t="str">
        <x:v>Conciliado</x:v>
      </x:c>
      <x:c r="G35" s="13" t="str">
        <x:v>Sem divergência</x:v>
      </x:c>
      <x:c r="H35" s="13" t="n">
        <x:v>0.17</x:v>
      </x:c>
      <x:c r="I35" s="13" t="str">
        <x:v>Base controlada</x:v>
      </x:c>
      <x:c r="J35" s="17" t="n">
        <x:f>E35-D35</x:f>
        <x:v>0</x:v>
      </x:c>
      <x:c r="K35" s="19" t="n">
        <x:f>IFERROR(ABS(J35/D35),0)</x:f>
        <x:v>0</x:v>
      </x:c>
    </x:row>
    <x:row r="36">
      <x:c r="A36" s="13" t="str">
        <x:v>CON-000035</x:v>
      </x:c>
      <x:c r="B36" s="23" t="n">
        <x:v>45310</x:v>
      </x:c>
      <x:c r="C36" s="13" t="str">
        <x:v>Nubank Serviços</x:v>
      </x:c>
      <x:c r="D36" s="17" t="n">
        <x:v>12610.83</x:v>
      </x:c>
      <x:c r="E36" s="17" t="n">
        <x:v>12610.83</x:v>
      </x:c>
      <x:c r="F36" s="13" t="str">
        <x:v>Conciliado</x:v>
      </x:c>
      <x:c r="G36" s="13" t="str">
        <x:v>Sem divergência</x:v>
      </x:c>
      <x:c r="H36" s="13" t="n">
        <x:v>0.36</x:v>
      </x:c>
      <x:c r="I36" s="13" t="str">
        <x:v>Base controlada</x:v>
      </x:c>
      <x:c r="J36" s="17" t="n">
        <x:f>E36-D36</x:f>
        <x:v>0</x:v>
      </x:c>
      <x:c r="K36" s="19" t="n">
        <x:f>IFERROR(ABS(J36/D36),0)</x:f>
        <x:v>0</x:v>
      </x:c>
    </x:row>
    <x:row r="37">
      <x:c r="A37" s="13" t="str">
        <x:v>CON-000036</x:v>
      </x:c>
      <x:c r="B37" s="23" t="n">
        <x:v>45331</x:v>
      </x:c>
      <x:c r="C37" s="13" t="str">
        <x:v>Itaú Operacional</x:v>
      </x:c>
      <x:c r="D37" s="17" t="n">
        <x:v>13957.18</x:v>
      </x:c>
      <x:c r="E37" s="17" t="n">
        <x:v>13957.18</x:v>
      </x:c>
      <x:c r="F37" s="13" t="str">
        <x:v>Conciliado</x:v>
      </x:c>
      <x:c r="G37" s="13" t="str">
        <x:v>Sem divergência</x:v>
      </x:c>
      <x:c r="H37" s="13" t="n">
        <x:v>0.15</x:v>
      </x:c>
      <x:c r="I37" s="13" t="str">
        <x:v>Base controlada</x:v>
      </x:c>
      <x:c r="J37" s="17" t="n">
        <x:f>E37-D37</x:f>
        <x:v>0</x:v>
      </x:c>
      <x:c r="K37" s="19" t="n">
        <x:f>IFERROR(ABS(J37/D37),0)</x:f>
        <x:v>0</x:v>
      </x:c>
    </x:row>
    <x:row r="38">
      <x:c r="A38" s="13" t="str">
        <x:v>CON-000037</x:v>
      </x:c>
      <x:c r="B38" s="23" t="n">
        <x:v>45326</x:v>
      </x:c>
      <x:c r="C38" s="13" t="str">
        <x:v>Santander Recebimentos</x:v>
      </x:c>
      <x:c r="D38" s="17" t="n">
        <x:v>10811.48</x:v>
      </x:c>
      <x:c r="E38" s="17" t="n">
        <x:v>10811.48</x:v>
      </x:c>
      <x:c r="F38" s="13" t="str">
        <x:v>Conciliado</x:v>
      </x:c>
      <x:c r="G38" s="13" t="str">
        <x:v>Sem divergência</x:v>
      </x:c>
      <x:c r="H38" s="13" t="n">
        <x:v>0.21</x:v>
      </x:c>
      <x:c r="I38" s="13" t="str">
        <x:v>Base controlada</x:v>
      </x:c>
      <x:c r="J38" s="17" t="n">
        <x:f>E38-D38</x:f>
        <x:v>0</x:v>
      </x:c>
      <x:c r="K38" s="19" t="n">
        <x:f>IFERROR(ABS(J38/D38),0)</x:f>
        <x:v>0</x:v>
      </x:c>
    </x:row>
    <x:row r="39">
      <x:c r="A39" s="13" t="str">
        <x:v>CON-000038</x:v>
      </x:c>
      <x:c r="B39" s="23" t="n">
        <x:v>45338</x:v>
      </x:c>
      <x:c r="C39" s="13" t="str">
        <x:v>Itaú Operacional</x:v>
      </x:c>
      <x:c r="D39" s="17" t="n">
        <x:v>20722.25</x:v>
      </x:c>
      <x:c r="E39" s="17" t="n">
        <x:v>20722.25</x:v>
      </x:c>
      <x:c r="F39" s="13" t="str">
        <x:v>Conciliado</x:v>
      </x:c>
      <x:c r="G39" s="13" t="str">
        <x:v>Sem divergência</x:v>
      </x:c>
      <x:c r="H39" s="13" t="n">
        <x:v>0.16</x:v>
      </x:c>
      <x:c r="I39" s="13" t="str">
        <x:v>Base controlada</x:v>
      </x:c>
      <x:c r="J39" s="17" t="n">
        <x:f>E39-D39</x:f>
        <x:v>0</x:v>
      </x:c>
      <x:c r="K39" s="19" t="n">
        <x:f>IFERROR(ABS(J39/D39),0)</x:f>
        <x:v>0</x:v>
      </x:c>
    </x:row>
    <x:row r="40">
      <x:c r="A40" s="13" t="str">
        <x:v>CON-000039</x:v>
      </x:c>
      <x:c r="B40" s="23" t="n">
        <x:v>45325</x:v>
      </x:c>
      <x:c r="C40" s="13" t="str">
        <x:v>Itaú Operacional</x:v>
      </x:c>
      <x:c r="D40" s="17" t="n">
        <x:v>11992.03</x:v>
      </x:c>
      <x:c r="E40" s="17" t="n">
        <x:v>11992.03</x:v>
      </x:c>
      <x:c r="F40" s="13" t="str">
        <x:v>Conciliado</x:v>
      </x:c>
      <x:c r="G40" s="13" t="str">
        <x:v>Sem divergência</x:v>
      </x:c>
      <x:c r="H40" s="13" t="n">
        <x:v>0.26</x:v>
      </x:c>
      <x:c r="I40" s="13" t="str">
        <x:v>Base controlada</x:v>
      </x:c>
      <x:c r="J40" s="17" t="n">
        <x:f>E40-D40</x:f>
        <x:v>0</x:v>
      </x:c>
      <x:c r="K40" s="19" t="n">
        <x:f>IFERROR(ABS(J40/D40),0)</x:f>
        <x:v>0</x:v>
      </x:c>
    </x:row>
    <x:row r="41">
      <x:c r="A41" s="13" t="str">
        <x:v>CON-000040</x:v>
      </x:c>
      <x:c r="B41" s="23" t="n">
        <x:v>45350</x:v>
      </x:c>
      <x:c r="C41" s="13" t="str">
        <x:v>Santander Recebimentos</x:v>
      </x:c>
      <x:c r="D41" s="17" t="n">
        <x:v>5397.94</x:v>
      </x:c>
      <x:c r="E41" s="17" t="n">
        <x:v>5397.94</x:v>
      </x:c>
      <x:c r="F41" s="13" t="str">
        <x:v>Conciliado</x:v>
      </x:c>
      <x:c r="G41" s="13" t="str">
        <x:v>Sem divergência</x:v>
      </x:c>
      <x:c r="H41" s="13" t="n">
        <x:v>0.39</x:v>
      </x:c>
      <x:c r="I41" s="13" t="str">
        <x:v>Base controlada</x:v>
      </x:c>
      <x:c r="J41" s="17" t="n">
        <x:f>E41-D41</x:f>
        <x:v>0</x:v>
      </x:c>
      <x:c r="K41" s="19" t="n">
        <x:f>IFERROR(ABS(J41/D41),0)</x:f>
        <x:v>0</x:v>
      </x:c>
    </x:row>
    <x:row r="42">
      <x:c r="A42" s="13" t="str">
        <x:v>CON-000041</x:v>
      </x:c>
      <x:c r="B42" s="23" t="n">
        <x:v>45341</x:v>
      </x:c>
      <x:c r="C42" s="13" t="str">
        <x:v>Nubank Serviços</x:v>
      </x:c>
      <x:c r="D42" s="17" t="n">
        <x:v>20593.71</x:v>
      </x:c>
      <x:c r="E42" s="17" t="n">
        <x:v>20593.71</x:v>
      </x:c>
      <x:c r="F42" s="13" t="str">
        <x:v>Conciliado</x:v>
      </x:c>
      <x:c r="G42" s="13" t="str">
        <x:v>Sem divergência</x:v>
      </x:c>
      <x:c r="H42" s="13" t="n">
        <x:v>0.44</x:v>
      </x:c>
      <x:c r="I42" s="13" t="str">
        <x:v>Base controlada</x:v>
      </x:c>
      <x:c r="J42" s="17" t="n">
        <x:f>E42-D42</x:f>
        <x:v>0</x:v>
      </x:c>
      <x:c r="K42" s="19" t="n">
        <x:f>IFERROR(ABS(J42/D42),0)</x:f>
        <x:v>0</x:v>
      </x:c>
    </x:row>
    <x:row r="43">
      <x:c r="A43" s="13" t="str">
        <x:v>CON-000042</x:v>
      </x:c>
      <x:c r="B43" s="23" t="n">
        <x:v>45338</x:v>
      </x:c>
      <x:c r="C43" s="13" t="str">
        <x:v>Santander Recebimentos</x:v>
      </x:c>
      <x:c r="D43" s="17" t="n">
        <x:v>32637.29</x:v>
      </x:c>
      <x:c r="E43" s="17" t="n">
        <x:v>32637.29</x:v>
      </x:c>
      <x:c r="F43" s="13" t="str">
        <x:v>Conciliado</x:v>
      </x:c>
      <x:c r="G43" s="13" t="str">
        <x:v>Sem divergência</x:v>
      </x:c>
      <x:c r="H43" s="13" t="n">
        <x:v>0.18</x:v>
      </x:c>
      <x:c r="I43" s="13" t="str">
        <x:v>Base controlada</x:v>
      </x:c>
      <x:c r="J43" s="17" t="n">
        <x:f>E43-D43</x:f>
        <x:v>0</x:v>
      </x:c>
      <x:c r="K43" s="19" t="n">
        <x:f>IFERROR(ABS(J43/D43),0)</x:f>
        <x:v>0</x:v>
      </x:c>
    </x:row>
    <x:row r="44">
      <x:c r="A44" s="13" t="str">
        <x:v>CON-000043</x:v>
      </x:c>
      <x:c r="B44" s="23" t="n">
        <x:v>45328</x:v>
      </x:c>
      <x:c r="C44" s="13" t="str">
        <x:v>Bradesco Pagamentos</x:v>
      </x:c>
      <x:c r="D44" s="17" t="n">
        <x:v>16786.86</x:v>
      </x:c>
      <x:c r="E44" s="17" t="n">
        <x:v>16786.86</x:v>
      </x:c>
      <x:c r="F44" s="13" t="str">
        <x:v>Conciliado</x:v>
      </x:c>
      <x:c r="G44" s="13" t="str">
        <x:v>Sem divergência</x:v>
      </x:c>
      <x:c r="H44" s="13" t="n">
        <x:v>0.06</x:v>
      </x:c>
      <x:c r="I44" s="13" t="str">
        <x:v>Base controlada</x:v>
      </x:c>
      <x:c r="J44" s="17" t="n">
        <x:f>E44-D44</x:f>
        <x:v>0</x:v>
      </x:c>
      <x:c r="K44" s="19" t="n">
        <x:f>IFERROR(ABS(J44/D44),0)</x:f>
        <x:v>0</x:v>
      </x:c>
    </x:row>
    <x:row r="45">
      <x:c r="A45" s="13" t="str">
        <x:v>CON-000044</x:v>
      </x:c>
      <x:c r="B45" s="23" t="n">
        <x:v>45337</x:v>
      </x:c>
      <x:c r="C45" s="13" t="str">
        <x:v>Nubank Serviços</x:v>
      </x:c>
      <x:c r="D45" s="17" t="n">
        <x:v>21913.71</x:v>
      </x:c>
      <x:c r="E45" s="17" t="n">
        <x:v>21913.71</x:v>
      </x:c>
      <x:c r="F45" s="13" t="str">
        <x:v>Conciliado</x:v>
      </x:c>
      <x:c r="G45" s="13" t="str">
        <x:v>Sem divergência</x:v>
      </x:c>
      <x:c r="H45" s="13" t="n">
        <x:v>0.21</x:v>
      </x:c>
      <x:c r="I45" s="13" t="str">
        <x:v>Base controlada</x:v>
      </x:c>
      <x:c r="J45" s="17" t="n">
        <x:f>E45-D45</x:f>
        <x:v>0</x:v>
      </x:c>
      <x:c r="K45" s="19" t="n">
        <x:f>IFERROR(ABS(J45/D45),0)</x:f>
        <x:v>0</x:v>
      </x:c>
    </x:row>
    <x:row r="46">
      <x:c r="A46" s="13" t="str">
        <x:v>CON-000045</x:v>
      </x:c>
      <x:c r="B46" s="23" t="n">
        <x:v>45330</x:v>
      </x:c>
      <x:c r="C46" s="13" t="str">
        <x:v>Itaú Operacional</x:v>
      </x:c>
      <x:c r="D46" s="17" t="n">
        <x:v>22648.67</x:v>
      </x:c>
      <x:c r="E46" s="17" t="n">
        <x:v>22648.67</x:v>
      </x:c>
      <x:c r="F46" s="13" t="str">
        <x:v>Conciliado</x:v>
      </x:c>
      <x:c r="G46" s="13" t="str">
        <x:v>Sem divergência</x:v>
      </x:c>
      <x:c r="H46" s="13" t="n">
        <x:v>0.38</x:v>
      </x:c>
      <x:c r="I46" s="13" t="str">
        <x:v>Base controlada</x:v>
      </x:c>
      <x:c r="J46" s="17" t="n">
        <x:f>E46-D46</x:f>
        <x:v>0</x:v>
      </x:c>
      <x:c r="K46" s="19" t="n">
        <x:f>IFERROR(ABS(J46/D46),0)</x:f>
        <x:v>0</x:v>
      </x:c>
    </x:row>
    <x:row r="47">
      <x:c r="A47" s="13" t="str">
        <x:v>CON-000046</x:v>
      </x:c>
      <x:c r="B47" s="23" t="n">
        <x:v>45339</x:v>
      </x:c>
      <x:c r="C47" s="13" t="str">
        <x:v>Itaú Operacional</x:v>
      </x:c>
      <x:c r="D47" s="17" t="n">
        <x:v>29518.44</x:v>
      </x:c>
      <x:c r="E47" s="17" t="n">
        <x:v>29518.44</x:v>
      </x:c>
      <x:c r="F47" s="13" t="str">
        <x:v>Conciliado</x:v>
      </x:c>
      <x:c r="G47" s="13" t="str">
        <x:v>Sem divergência</x:v>
      </x:c>
      <x:c r="H47" s="13" t="n">
        <x:v>0.22</x:v>
      </x:c>
      <x:c r="I47" s="13" t="str">
        <x:v>Base controlada</x:v>
      </x:c>
      <x:c r="J47" s="17" t="n">
        <x:f>E47-D47</x:f>
        <x:v>0</x:v>
      </x:c>
      <x:c r="K47" s="19" t="n">
        <x:f>IFERROR(ABS(J47/D47),0)</x:f>
        <x:v>0</x:v>
      </x:c>
    </x:row>
    <x:row r="48">
      <x:c r="A48" s="13" t="str">
        <x:v>CON-000047</x:v>
      </x:c>
      <x:c r="B48" s="23" t="n">
        <x:v>45338</x:v>
      </x:c>
      <x:c r="C48" s="13" t="str">
        <x:v>Bradesco Pagamentos</x:v>
      </x:c>
      <x:c r="D48" s="17" t="n">
        <x:v>24147.26</x:v>
      </x:c>
      <x:c r="E48" s="17" t="n">
        <x:v>24147.26</x:v>
      </x:c>
      <x:c r="F48" s="13" t="str">
        <x:v>Conciliado</x:v>
      </x:c>
      <x:c r="G48" s="13" t="str">
        <x:v>Sem divergência</x:v>
      </x:c>
      <x:c r="H48" s="13" t="n">
        <x:v>0.43</x:v>
      </x:c>
      <x:c r="I48" s="13" t="str">
        <x:v>Base controlada</x:v>
      </x:c>
      <x:c r="J48" s="17" t="n">
        <x:f>E48-D48</x:f>
        <x:v>0</x:v>
      </x:c>
      <x:c r="K48" s="19" t="n">
        <x:f>IFERROR(ABS(J48/D48),0)</x:f>
        <x:v>0</x:v>
      </x:c>
    </x:row>
    <x:row r="49">
      <x:c r="A49" s="13" t="str">
        <x:v>CON-000048</x:v>
      </x:c>
      <x:c r="B49" s="23" t="n">
        <x:v>45349</x:v>
      </x:c>
      <x:c r="C49" s="13" t="str">
        <x:v>Bradesco Pagamentos</x:v>
      </x:c>
      <x:c r="D49" s="17" t="n">
        <x:v>3260.06</x:v>
      </x:c>
      <x:c r="E49" s="17" t="n">
        <x:v>3260.06</x:v>
      </x:c>
      <x:c r="F49" s="13" t="str">
        <x:v>Conciliado</x:v>
      </x:c>
      <x:c r="G49" s="13" t="str">
        <x:v>Sem divergência</x:v>
      </x:c>
      <x:c r="H49" s="13" t="n">
        <x:v>0.09</x:v>
      </x:c>
      <x:c r="I49" s="13" t="str">
        <x:v>Base controlada</x:v>
      </x:c>
      <x:c r="J49" s="17" t="n">
        <x:f>E49-D49</x:f>
        <x:v>0</x:v>
      </x:c>
      <x:c r="K49" s="19" t="n">
        <x:f>IFERROR(ABS(J49/D49),0)</x:f>
        <x:v>0</x:v>
      </x:c>
    </x:row>
    <x:row r="50">
      <x:c r="A50" s="13" t="str">
        <x:v>CON-000049</x:v>
      </x:c>
      <x:c r="B50" s="23" t="n">
        <x:v>45344</x:v>
      </x:c>
      <x:c r="C50" s="13" t="str">
        <x:v>Santander Recebimentos</x:v>
      </x:c>
      <x:c r="D50" s="17" t="n">
        <x:v>29546.14</x:v>
      </x:c>
      <x:c r="E50" s="17" t="n">
        <x:v>29546.14</x:v>
      </x:c>
      <x:c r="F50" s="13" t="str">
        <x:v>Conciliado</x:v>
      </x:c>
      <x:c r="G50" s="13" t="str">
        <x:v>Sem divergência</x:v>
      </x:c>
      <x:c r="H50" s="13" t="n">
        <x:v>0.19</x:v>
      </x:c>
      <x:c r="I50" s="13" t="str">
        <x:v>Base controlada</x:v>
      </x:c>
      <x:c r="J50" s="17" t="n">
        <x:f>E50-D50</x:f>
        <x:v>0</x:v>
      </x:c>
      <x:c r="K50" s="19" t="n">
        <x:f>IFERROR(ABS(J50/D50),0)</x:f>
        <x:v>0</x:v>
      </x:c>
    </x:row>
    <x:row r="51">
      <x:c r="A51" s="13" t="str">
        <x:v>CON-000050</x:v>
      </x:c>
      <x:c r="B51" s="23" t="n">
        <x:v>45346</x:v>
      </x:c>
      <x:c r="C51" s="13" t="str">
        <x:v>Itaú Operacional</x:v>
      </x:c>
      <x:c r="D51" s="17" t="n">
        <x:v>3205.44</x:v>
      </x:c>
      <x:c r="E51" s="17" t="n">
        <x:v>3205.44</x:v>
      </x:c>
      <x:c r="F51" s="13" t="str">
        <x:v>Conciliado</x:v>
      </x:c>
      <x:c r="G51" s="13" t="str">
        <x:v>Sem divergência</x:v>
      </x:c>
      <x:c r="H51" s="13" t="n">
        <x:v>0.13</x:v>
      </x:c>
      <x:c r="I51" s="13" t="str">
        <x:v>Base controlada</x:v>
      </x:c>
      <x:c r="J51" s="17" t="n">
        <x:f>E51-D51</x:f>
        <x:v>0</x:v>
      </x:c>
      <x:c r="K51" s="19" t="n">
        <x:f>IFERROR(ABS(J51/D51),0)</x:f>
        <x:v>0</x:v>
      </x:c>
    </x:row>
    <x:row r="52">
      <x:c r="A52" s="13" t="str">
        <x:v>CON-000051</x:v>
      </x:c>
      <x:c r="B52" s="23" t="n">
        <x:v>45342</x:v>
      </x:c>
      <x:c r="C52" s="13" t="str">
        <x:v>Bradesco Pagamentos</x:v>
      </x:c>
      <x:c r="D52" s="17" t="n">
        <x:v>8324.35</x:v>
      </x:c>
      <x:c r="E52" s="17" t="n">
        <x:v>8324.35</x:v>
      </x:c>
      <x:c r="F52" s="13" t="str">
        <x:v>Conciliado</x:v>
      </x:c>
      <x:c r="G52" s="13" t="str">
        <x:v>Sem divergência</x:v>
      </x:c>
      <x:c r="H52" s="13" t="n">
        <x:v>0.15</x:v>
      </x:c>
      <x:c r="I52" s="13" t="str">
        <x:v>Base controlada</x:v>
      </x:c>
      <x:c r="J52" s="17" t="n">
        <x:f>E52-D52</x:f>
        <x:v>0</x:v>
      </x:c>
      <x:c r="K52" s="19" t="n">
        <x:f>IFERROR(ABS(J52/D52),0)</x:f>
        <x:v>0</x:v>
      </x:c>
    </x:row>
    <x:row r="53">
      <x:c r="A53" s="13" t="str">
        <x:v>CON-000052</x:v>
      </x:c>
      <x:c r="B53" s="23" t="n">
        <x:v>45349</x:v>
      </x:c>
      <x:c r="C53" s="13" t="str">
        <x:v>Nubank Serviços</x:v>
      </x:c>
      <x:c r="D53" s="17" t="n">
        <x:v>7568.53</x:v>
      </x:c>
      <x:c r="E53" s="17" t="n">
        <x:v>7568.53</x:v>
      </x:c>
      <x:c r="F53" s="13" t="str">
        <x:v>Conciliado</x:v>
      </x:c>
      <x:c r="G53" s="13" t="str">
        <x:v>Sem divergência</x:v>
      </x:c>
      <x:c r="H53" s="13" t="n">
        <x:v>0.36</x:v>
      </x:c>
      <x:c r="I53" s="13" t="str">
        <x:v>Base controlada</x:v>
      </x:c>
      <x:c r="J53" s="17" t="n">
        <x:f>E53-D53</x:f>
        <x:v>0</x:v>
      </x:c>
      <x:c r="K53" s="19" t="n">
        <x:f>IFERROR(ABS(J53/D53),0)</x:f>
        <x:v>0</x:v>
      </x:c>
    </x:row>
    <x:row r="54">
      <x:c r="A54" s="13" t="str">
        <x:v>CON-000053</x:v>
      </x:c>
      <x:c r="B54" s="23" t="n">
        <x:v>45348</x:v>
      </x:c>
      <x:c r="C54" s="13" t="str">
        <x:v>Nubank Serviços</x:v>
      </x:c>
      <x:c r="D54" s="17" t="n">
        <x:v>15187.23</x:v>
      </x:c>
      <x:c r="E54" s="17" t="n">
        <x:v>15187.23</x:v>
      </x:c>
      <x:c r="F54" s="13" t="str">
        <x:v>Conciliado</x:v>
      </x:c>
      <x:c r="G54" s="13" t="str">
        <x:v>Sem divergência</x:v>
      </x:c>
      <x:c r="H54" s="13" t="n">
        <x:v>0.19</x:v>
      </x:c>
      <x:c r="I54" s="13" t="str">
        <x:v>Base controlada</x:v>
      </x:c>
      <x:c r="J54" s="17" t="n">
        <x:f>E54-D54</x:f>
        <x:v>0</x:v>
      </x:c>
      <x:c r="K54" s="19" t="n">
        <x:f>IFERROR(ABS(J54/D54),0)</x:f>
        <x:v>0</x:v>
      </x:c>
    </x:row>
    <x:row r="55">
      <x:c r="A55" s="13" t="str">
        <x:v>CON-000054</x:v>
      </x:c>
      <x:c r="B55" s="23" t="n">
        <x:v>45327</x:v>
      </x:c>
      <x:c r="C55" s="13" t="str">
        <x:v>Bradesco Pagamentos</x:v>
      </x:c>
      <x:c r="D55" s="17" t="n">
        <x:v>11460.93</x:v>
      </x:c>
      <x:c r="E55" s="17" t="n">
        <x:v>11460.93</x:v>
      </x:c>
      <x:c r="F55" s="13" t="str">
        <x:v>Conciliado</x:v>
      </x:c>
      <x:c r="G55" s="13" t="str">
        <x:v>Sem divergência</x:v>
      </x:c>
      <x:c r="H55" s="13" t="n">
        <x:v>0.25</x:v>
      </x:c>
      <x:c r="I55" s="13" t="str">
        <x:v>Base controlada</x:v>
      </x:c>
      <x:c r="J55" s="17" t="n">
        <x:f>E55-D55</x:f>
        <x:v>0</x:v>
      </x:c>
      <x:c r="K55" s="19" t="n">
        <x:f>IFERROR(ABS(J55/D55),0)</x:f>
        <x:v>0</x:v>
      </x:c>
    </x:row>
    <x:row r="56">
      <x:c r="A56" s="13" t="str">
        <x:v>CON-000055</x:v>
      </x:c>
      <x:c r="B56" s="23" t="n">
        <x:v>45330</x:v>
      </x:c>
      <x:c r="C56" s="13" t="str">
        <x:v>Santander Recebimentos</x:v>
      </x:c>
      <x:c r="D56" s="17" t="n">
        <x:v>31701.09</x:v>
      </x:c>
      <x:c r="E56" s="17" t="n">
        <x:v>31701.09</x:v>
      </x:c>
      <x:c r="F56" s="13" t="str">
        <x:v>Conciliado</x:v>
      </x:c>
      <x:c r="G56" s="13" t="str">
        <x:v>Sem divergência</x:v>
      </x:c>
      <x:c r="H56" s="13" t="n">
        <x:v>0.13</x:v>
      </x:c>
      <x:c r="I56" s="13" t="str">
        <x:v>Base controlada</x:v>
      </x:c>
      <x:c r="J56" s="17" t="n">
        <x:f>E56-D56</x:f>
        <x:v>0</x:v>
      </x:c>
      <x:c r="K56" s="19" t="n">
        <x:f>IFERROR(ABS(J56/D56),0)</x:f>
        <x:v>0</x:v>
      </x:c>
    </x:row>
    <x:row r="57">
      <x:c r="A57" s="13" t="str">
        <x:v>CON-000056</x:v>
      </x:c>
      <x:c r="B57" s="23" t="n">
        <x:v>45331</x:v>
      </x:c>
      <x:c r="C57" s="13" t="str">
        <x:v>Santander Recebimentos</x:v>
      </x:c>
      <x:c r="D57" s="17" t="n">
        <x:v>16268.2</x:v>
      </x:c>
      <x:c r="E57" s="17" t="n">
        <x:v>16268.2</x:v>
      </x:c>
      <x:c r="F57" s="13" t="str">
        <x:v>Conciliado</x:v>
      </x:c>
      <x:c r="G57" s="13" t="str">
        <x:v>Sem divergência</x:v>
      </x:c>
      <x:c r="H57" s="13" t="n">
        <x:v>0.17</x:v>
      </x:c>
      <x:c r="I57" s="13" t="str">
        <x:v>Base controlada</x:v>
      </x:c>
      <x:c r="J57" s="17" t="n">
        <x:f>E57-D57</x:f>
        <x:v>0</x:v>
      </x:c>
      <x:c r="K57" s="19" t="n">
        <x:f>IFERROR(ABS(J57/D57),0)</x:f>
        <x:v>0</x:v>
      </x:c>
    </x:row>
    <x:row r="58">
      <x:c r="A58" s="13" t="str">
        <x:v>CON-000057</x:v>
      </x:c>
      <x:c r="B58" s="23" t="n">
        <x:v>45327</x:v>
      </x:c>
      <x:c r="C58" s="13" t="str">
        <x:v>Bradesco Pagamentos</x:v>
      </x:c>
      <x:c r="D58" s="17" t="n">
        <x:v>25642.1</x:v>
      </x:c>
      <x:c r="E58" s="17" t="n">
        <x:v>25642.1</x:v>
      </x:c>
      <x:c r="F58" s="13" t="str">
        <x:v>Conciliado</x:v>
      </x:c>
      <x:c r="G58" s="13" t="str">
        <x:v>Sem divergência</x:v>
      </x:c>
      <x:c r="H58" s="13" t="n">
        <x:v>0.15</x:v>
      </x:c>
      <x:c r="I58" s="13" t="str">
        <x:v>Base controlada</x:v>
      </x:c>
      <x:c r="J58" s="17" t="n">
        <x:f>E58-D58</x:f>
        <x:v>0</x:v>
      </x:c>
      <x:c r="K58" s="19" t="n">
        <x:f>IFERROR(ABS(J58/D58),0)</x:f>
        <x:v>0</x:v>
      </x:c>
    </x:row>
    <x:row r="59">
      <x:c r="A59" s="13" t="str">
        <x:v>CON-000058</x:v>
      </x:c>
      <x:c r="B59" s="23" t="n">
        <x:v>45338</x:v>
      </x:c>
      <x:c r="C59" s="13" t="str">
        <x:v>Santander Recebimentos</x:v>
      </x:c>
      <x:c r="D59" s="17" t="n">
        <x:v>4798.44</x:v>
      </x:c>
      <x:c r="E59" s="17" t="n">
        <x:v>4798.44</x:v>
      </x:c>
      <x:c r="F59" s="13" t="str">
        <x:v>Conciliado</x:v>
      </x:c>
      <x:c r="G59" s="13" t="str">
        <x:v>Sem divergência</x:v>
      </x:c>
      <x:c r="H59" s="13" t="n">
        <x:v>0.38</x:v>
      </x:c>
      <x:c r="I59" s="13" t="str">
        <x:v>Base controlada</x:v>
      </x:c>
      <x:c r="J59" s="17" t="n">
        <x:f>E59-D59</x:f>
        <x:v>0</x:v>
      </x:c>
      <x:c r="K59" s="19" t="n">
        <x:f>IFERROR(ABS(J59/D59),0)</x:f>
        <x:v>0</x:v>
      </x:c>
    </x:row>
    <x:row r="60">
      <x:c r="A60" s="13" t="str">
        <x:v>CON-000059</x:v>
      </x:c>
      <x:c r="B60" s="23" t="n">
        <x:v>45337</x:v>
      </x:c>
      <x:c r="C60" s="13" t="str">
        <x:v>Nubank Serviços</x:v>
      </x:c>
      <x:c r="D60" s="17" t="n">
        <x:v>20967.96</x:v>
      </x:c>
      <x:c r="E60" s="17" t="n">
        <x:v>20967.96</x:v>
      </x:c>
      <x:c r="F60" s="13" t="str">
        <x:v>Conciliado</x:v>
      </x:c>
      <x:c r="G60" s="13" t="str">
        <x:v>Sem divergência</x:v>
      </x:c>
      <x:c r="H60" s="13" t="n">
        <x:v>0.43</x:v>
      </x:c>
      <x:c r="I60" s="13" t="str">
        <x:v>Base controlada</x:v>
      </x:c>
      <x:c r="J60" s="17" t="n">
        <x:f>E60-D60</x:f>
        <x:v>0</x:v>
      </x:c>
      <x:c r="K60" s="19" t="n">
        <x:f>IFERROR(ABS(J60/D60),0)</x:f>
        <x:v>0</x:v>
      </x:c>
    </x:row>
    <x:row r="61">
      <x:c r="A61" s="13" t="str">
        <x:v>CON-000060</x:v>
      </x:c>
      <x:c r="B61" s="23" t="n">
        <x:v>45333</x:v>
      </x:c>
      <x:c r="C61" s="13" t="str">
        <x:v>Itaú Operacional</x:v>
      </x:c>
      <x:c r="D61" s="17" t="n">
        <x:v>43523.7</x:v>
      </x:c>
      <x:c r="E61" s="17" t="n">
        <x:v>43523.7</x:v>
      </x:c>
      <x:c r="F61" s="13" t="str">
        <x:v>Conciliado</x:v>
      </x:c>
      <x:c r="G61" s="13" t="str">
        <x:v>Sem divergência</x:v>
      </x:c>
      <x:c r="H61" s="13" t="n">
        <x:v>0.15</x:v>
      </x:c>
      <x:c r="I61" s="13" t="str">
        <x:v>Base controlada</x:v>
      </x:c>
      <x:c r="J61" s="17" t="n">
        <x:f>E61-D61</x:f>
        <x:v>0</x:v>
      </x:c>
      <x:c r="K61" s="19" t="n">
        <x:f>IFERROR(ABS(J61/D61),0)</x:f>
        <x:v>0</x:v>
      </x:c>
    </x:row>
    <x:row r="62">
      <x:c r="A62" s="13" t="str">
        <x:v>CON-000061</x:v>
      </x:c>
      <x:c r="B62" s="23" t="n">
        <x:v>45324</x:v>
      </x:c>
      <x:c r="C62" s="13" t="str">
        <x:v>Santander Recebimentos</x:v>
      </x:c>
      <x:c r="D62" s="17" t="n">
        <x:v>25223.56</x:v>
      </x:c>
      <x:c r="E62" s="17" t="n">
        <x:v>25223.56</x:v>
      </x:c>
      <x:c r="F62" s="13" t="str">
        <x:v>Conciliado</x:v>
      </x:c>
      <x:c r="G62" s="13" t="str">
        <x:v>Sem divergência</x:v>
      </x:c>
      <x:c r="H62" s="13" t="n">
        <x:v>0.11</x:v>
      </x:c>
      <x:c r="I62" s="13" t="str">
        <x:v>Base controlada</x:v>
      </x:c>
      <x:c r="J62" s="17" t="n">
        <x:f>E62-D62</x:f>
        <x:v>0</x:v>
      </x:c>
      <x:c r="K62" s="19" t="n">
        <x:f>IFERROR(ABS(J62/D62),0)</x:f>
        <x:v>0</x:v>
      </x:c>
    </x:row>
    <x:row r="63">
      <x:c r="A63" s="13" t="str">
        <x:v>CON-000062</x:v>
      </x:c>
      <x:c r="B63" s="23" t="n">
        <x:v>45325</x:v>
      </x:c>
      <x:c r="C63" s="13" t="str">
        <x:v>Itaú Operacional</x:v>
      </x:c>
      <x:c r="D63" s="17" t="n">
        <x:v>42042.19</x:v>
      </x:c>
      <x:c r="E63" s="17" t="n">
        <x:v>42042.19</x:v>
      </x:c>
      <x:c r="F63" s="13" t="str">
        <x:v>Conciliado</x:v>
      </x:c>
      <x:c r="G63" s="13" t="str">
        <x:v>Sem divergência</x:v>
      </x:c>
      <x:c r="H63" s="13" t="n">
        <x:v>0.14</x:v>
      </x:c>
      <x:c r="I63" s="13" t="str">
        <x:v>Base controlada</x:v>
      </x:c>
      <x:c r="J63" s="17" t="n">
        <x:f>E63-D63</x:f>
        <x:v>0</x:v>
      </x:c>
      <x:c r="K63" s="19" t="n">
        <x:f>IFERROR(ABS(J63/D63),0)</x:f>
        <x:v>0</x:v>
      </x:c>
    </x:row>
    <x:row r="64">
      <x:c r="A64" s="13" t="str">
        <x:v>CON-000063</x:v>
      </x:c>
      <x:c r="B64" s="23" t="n">
        <x:v>45339</x:v>
      </x:c>
      <x:c r="C64" s="13" t="str">
        <x:v>Nubank Serviços</x:v>
      </x:c>
      <x:c r="D64" s="17" t="n">
        <x:v>8393.64</x:v>
      </x:c>
      <x:c r="E64" s="17" t="n">
        <x:v>8393.64</x:v>
      </x:c>
      <x:c r="F64" s="13" t="str">
        <x:v>Conciliado</x:v>
      </x:c>
      <x:c r="G64" s="13" t="str">
        <x:v>Sem divergência</x:v>
      </x:c>
      <x:c r="H64" s="13" t="n">
        <x:v>0.32</x:v>
      </x:c>
      <x:c r="I64" s="13" t="str">
        <x:v>Base controlada</x:v>
      </x:c>
      <x:c r="J64" s="17" t="n">
        <x:f>E64-D64</x:f>
        <x:v>0</x:v>
      </x:c>
      <x:c r="K64" s="19" t="n">
        <x:f>IFERROR(ABS(J64/D64),0)</x:f>
        <x:v>0</x:v>
      </x:c>
    </x:row>
    <x:row r="65">
      <x:c r="A65" s="13" t="str">
        <x:v>CON-000064</x:v>
      </x:c>
      <x:c r="B65" s="23" t="n">
        <x:v>45324</x:v>
      </x:c>
      <x:c r="C65" s="13" t="str">
        <x:v>Nubank Serviços</x:v>
      </x:c>
      <x:c r="D65" s="17" t="n">
        <x:v>12584.09</x:v>
      </x:c>
      <x:c r="E65" s="17" t="n">
        <x:v>12584.09</x:v>
      </x:c>
      <x:c r="F65" s="13" t="str">
        <x:v>Conciliado</x:v>
      </x:c>
      <x:c r="G65" s="13" t="str">
        <x:v>Sem divergência</x:v>
      </x:c>
      <x:c r="H65" s="13" t="n">
        <x:v>0.2</x:v>
      </x:c>
      <x:c r="I65" s="13" t="str">
        <x:v>Base controlada</x:v>
      </x:c>
      <x:c r="J65" s="17" t="n">
        <x:f>E65-D65</x:f>
        <x:v>0</x:v>
      </x:c>
      <x:c r="K65" s="19" t="n">
        <x:f>IFERROR(ABS(J65/D65),0)</x:f>
        <x:v>0</x:v>
      </x:c>
    </x:row>
    <x:row r="66">
      <x:c r="A66" s="13" t="str">
        <x:v>CON-000065</x:v>
      </x:c>
      <x:c r="B66" s="23" t="n">
        <x:v>45331</x:v>
      </x:c>
      <x:c r="C66" s="13" t="str">
        <x:v>Bradesco Pagamentos</x:v>
      </x:c>
      <x:c r="D66" s="17" t="n">
        <x:v>24382.05</x:v>
      </x:c>
      <x:c r="E66" s="17" t="n">
        <x:v>24382.05</x:v>
      </x:c>
      <x:c r="F66" s="13" t="str">
        <x:v>Conciliado</x:v>
      </x:c>
      <x:c r="G66" s="13" t="str">
        <x:v>Sem divergência</x:v>
      </x:c>
      <x:c r="H66" s="13" t="n">
        <x:v>0.16</x:v>
      </x:c>
      <x:c r="I66" s="13" t="str">
        <x:v>Base controlada</x:v>
      </x:c>
      <x:c r="J66" s="17" t="n">
        <x:f>E66-D66</x:f>
        <x:v>0</x:v>
      </x:c>
      <x:c r="K66" s="19" t="n">
        <x:f>IFERROR(ABS(J66/D66),0)</x:f>
        <x:v>0</x:v>
      </x:c>
    </x:row>
    <x:row r="67">
      <x:c r="A67" s="13" t="str">
        <x:v>CON-000066</x:v>
      </x:c>
      <x:c r="B67" s="23" t="n">
        <x:v>45336</x:v>
      </x:c>
      <x:c r="C67" s="13" t="str">
        <x:v>Santander Recebimentos</x:v>
      </x:c>
      <x:c r="D67" s="17" t="n">
        <x:v>4341.11</x:v>
      </x:c>
      <x:c r="E67" s="17" t="n">
        <x:v>4999.88</x:v>
      </x:c>
      <x:c r="F67" s="13" t="str">
        <x:v>Pendente</x:v>
      </x:c>
      <x:c r="G67" s="13" t="str">
        <x:v>Duplicidade</x:v>
      </x:c>
      <x:c r="H67" s="13" t="n">
        <x:v>3.08</x:v>
      </x:c>
      <x:c r="I67" s="13" t="str">
        <x:v>Base controlada</x:v>
      </x:c>
      <x:c r="J67" s="17" t="n">
        <x:f>E67-D67</x:f>
        <x:v>658.7700000000004</x:v>
      </x:c>
      <x:c r="K67" s="19" t="n">
        <x:f>IFERROR(ABS(J67/D67),0)</x:f>
        <x:v>0.15175151055835961</x:v>
      </x:c>
    </x:row>
    <x:row r="68">
      <x:c r="A68" s="13" t="str">
        <x:v>CON-000067</x:v>
      </x:c>
      <x:c r="B68" s="23" t="n">
        <x:v>45323</x:v>
      </x:c>
      <x:c r="C68" s="13" t="str">
        <x:v>Santander Recebimentos</x:v>
      </x:c>
      <x:c r="D68" s="17" t="n">
        <x:v>23072.72</x:v>
      </x:c>
      <x:c r="E68" s="17" t="n">
        <x:v>23072.72</x:v>
      </x:c>
      <x:c r="F68" s="13" t="str">
        <x:v>Conciliado</x:v>
      </x:c>
      <x:c r="G68" s="13" t="str">
        <x:v>Sem divergência</x:v>
      </x:c>
      <x:c r="H68" s="13" t="n">
        <x:v>0.09</x:v>
      </x:c>
      <x:c r="I68" s="13" t="str">
        <x:v>Base controlada</x:v>
      </x:c>
      <x:c r="J68" s="17" t="n">
        <x:f>E68-D68</x:f>
        <x:v>0</x:v>
      </x:c>
      <x:c r="K68" s="19" t="n">
        <x:f>IFERROR(ABS(J68/D68),0)</x:f>
        <x:v>0</x:v>
      </x:c>
    </x:row>
    <x:row r="69">
      <x:c r="A69" s="13" t="str">
        <x:v>CON-000068</x:v>
      </x:c>
      <x:c r="B69" s="23" t="n">
        <x:v>45349</x:v>
      </x:c>
      <x:c r="C69" s="13" t="str">
        <x:v>Itaú Operacional</x:v>
      </x:c>
      <x:c r="D69" s="17" t="n">
        <x:v>18360.64</x:v>
      </x:c>
      <x:c r="E69" s="17" t="n">
        <x:v>18360.64</x:v>
      </x:c>
      <x:c r="F69" s="13" t="str">
        <x:v>Conciliado</x:v>
      </x:c>
      <x:c r="G69" s="13" t="str">
        <x:v>Sem divergência</x:v>
      </x:c>
      <x:c r="H69" s="13" t="n">
        <x:v>0.25</x:v>
      </x:c>
      <x:c r="I69" s="13" t="str">
        <x:v>Base controlada</x:v>
      </x:c>
      <x:c r="J69" s="17" t="n">
        <x:f>E69-D69</x:f>
        <x:v>0</x:v>
      </x:c>
      <x:c r="K69" s="19" t="n">
        <x:f>IFERROR(ABS(J69/D69),0)</x:f>
        <x:v>0</x:v>
      </x:c>
    </x:row>
    <x:row r="70">
      <x:c r="A70" s="13" t="str">
        <x:v>CON-000069</x:v>
      </x:c>
      <x:c r="B70" s="23" t="n">
        <x:v>45328</x:v>
      </x:c>
      <x:c r="C70" s="13" t="str">
        <x:v>Bradesco Pagamentos</x:v>
      </x:c>
      <x:c r="D70" s="17" t="n">
        <x:v>24490.91</x:v>
      </x:c>
      <x:c r="E70" s="17" t="n">
        <x:v>24490.91</x:v>
      </x:c>
      <x:c r="F70" s="13" t="str">
        <x:v>Conciliado</x:v>
      </x:c>
      <x:c r="G70" s="13" t="str">
        <x:v>Sem divergência</x:v>
      </x:c>
      <x:c r="H70" s="13" t="n">
        <x:v>0.09</x:v>
      </x:c>
      <x:c r="I70" s="13" t="str">
        <x:v>Base controlada</x:v>
      </x:c>
      <x:c r="J70" s="17" t="n">
        <x:f>E70-D70</x:f>
        <x:v>0</x:v>
      </x:c>
      <x:c r="K70" s="19" t="n">
        <x:f>IFERROR(ABS(J70/D70),0)</x:f>
        <x:v>0</x:v>
      </x:c>
    </x:row>
    <x:row r="71">
      <x:c r="A71" s="13" t="str">
        <x:v>CON-000070</x:v>
      </x:c>
      <x:c r="B71" s="23" t="n">
        <x:v>45326</x:v>
      </x:c>
      <x:c r="C71" s="13" t="str">
        <x:v>Itaú Operacional</x:v>
      </x:c>
      <x:c r="D71" s="17" t="n">
        <x:v>21000.31</x:v>
      </x:c>
      <x:c r="E71" s="17" t="n">
        <x:v>21000.31</x:v>
      </x:c>
      <x:c r="F71" s="13" t="str">
        <x:v>Conciliado</x:v>
      </x:c>
      <x:c r="G71" s="13" t="str">
        <x:v>Sem divergência</x:v>
      </x:c>
      <x:c r="H71" s="13" t="n">
        <x:v>0.26</x:v>
      </x:c>
      <x:c r="I71" s="13" t="str">
        <x:v>Base controlada</x:v>
      </x:c>
      <x:c r="J71" s="17" t="n">
        <x:f>E71-D71</x:f>
        <x:v>0</x:v>
      </x:c>
      <x:c r="K71" s="19" t="n">
        <x:f>IFERROR(ABS(J71/D71),0)</x:f>
        <x:v>0</x:v>
      </x:c>
    </x:row>
    <x:row r="72">
      <x:c r="A72" s="13" t="str">
        <x:v>CON-000071</x:v>
      </x:c>
      <x:c r="B72" s="23" t="n">
        <x:v>45369</x:v>
      </x:c>
      <x:c r="C72" s="13" t="str">
        <x:v>Nubank Serviços</x:v>
      </x:c>
      <x:c r="D72" s="17" t="n">
        <x:v>5891.34</x:v>
      </x:c>
      <x:c r="E72" s="17" t="n">
        <x:v>5891.34</x:v>
      </x:c>
      <x:c r="F72" s="13" t="str">
        <x:v>Conciliado</x:v>
      </x:c>
      <x:c r="G72" s="13" t="str">
        <x:v>Sem divergência</x:v>
      </x:c>
      <x:c r="H72" s="13" t="n">
        <x:v>0.41</x:v>
      </x:c>
      <x:c r="I72" s="13" t="str">
        <x:v>Base controlada</x:v>
      </x:c>
      <x:c r="J72" s="17" t="n">
        <x:f>E72-D72</x:f>
        <x:v>0</x:v>
      </x:c>
      <x:c r="K72" s="19" t="n">
        <x:f>IFERROR(ABS(J72/D72),0)</x:f>
        <x:v>0</x:v>
      </x:c>
    </x:row>
    <x:row r="73">
      <x:c r="A73" s="13" t="str">
        <x:v>CON-000072</x:v>
      </x:c>
      <x:c r="B73" s="23" t="n">
        <x:v>45364</x:v>
      </x:c>
      <x:c r="C73" s="13" t="str">
        <x:v>Nubank Serviços</x:v>
      </x:c>
      <x:c r="D73" s="17" t="n">
        <x:v>40871.63</x:v>
      </x:c>
      <x:c r="E73" s="17" t="n">
        <x:v>40871.63</x:v>
      </x:c>
      <x:c r="F73" s="13" t="str">
        <x:v>Conciliado</x:v>
      </x:c>
      <x:c r="G73" s="13" t="str">
        <x:v>Sem divergência</x:v>
      </x:c>
      <x:c r="H73" s="13" t="n">
        <x:v>0.3</x:v>
      </x:c>
      <x:c r="I73" s="13" t="str">
        <x:v>Base controlada</x:v>
      </x:c>
      <x:c r="J73" s="17" t="n">
        <x:f>E73-D73</x:f>
        <x:v>0</x:v>
      </x:c>
      <x:c r="K73" s="19" t="n">
        <x:f>IFERROR(ABS(J73/D73),0)</x:f>
        <x:v>0</x:v>
      </x:c>
    </x:row>
    <x:row r="74">
      <x:c r="A74" s="13" t="str">
        <x:v>CON-000073</x:v>
      </x:c>
      <x:c r="B74" s="23" t="n">
        <x:v>45373</x:v>
      </x:c>
      <x:c r="C74" s="13" t="str">
        <x:v>Santander Recebimentos</x:v>
      </x:c>
      <x:c r="D74" s="17" t="n">
        <x:v>38093.19</x:v>
      </x:c>
      <x:c r="E74" s="17" t="n">
        <x:v>38093.19</x:v>
      </x:c>
      <x:c r="F74" s="13" t="str">
        <x:v>Conciliado</x:v>
      </x:c>
      <x:c r="G74" s="13" t="str">
        <x:v>Sem divergência</x:v>
      </x:c>
      <x:c r="H74" s="13" t="n">
        <x:v>0.21</x:v>
      </x:c>
      <x:c r="I74" s="13" t="str">
        <x:v>Base controlada</x:v>
      </x:c>
      <x:c r="J74" s="17" t="n">
        <x:f>E74-D74</x:f>
        <x:v>0</x:v>
      </x:c>
      <x:c r="K74" s="19" t="n">
        <x:f>IFERROR(ABS(J74/D74),0)</x:f>
        <x:v>0</x:v>
      </x:c>
    </x:row>
    <x:row r="75">
      <x:c r="A75" s="13" t="str">
        <x:v>CON-000074</x:v>
      </x:c>
      <x:c r="B75" s="23" t="n">
        <x:v>45356</x:v>
      </x:c>
      <x:c r="C75" s="13" t="str">
        <x:v>Nubank Serviços</x:v>
      </x:c>
      <x:c r="D75" s="17" t="n">
        <x:v>41352.57</x:v>
      </x:c>
      <x:c r="E75" s="17" t="n">
        <x:v>41352.57</x:v>
      </x:c>
      <x:c r="F75" s="13" t="str">
        <x:v>Conciliado</x:v>
      </x:c>
      <x:c r="G75" s="13" t="str">
        <x:v>Sem divergência</x:v>
      </x:c>
      <x:c r="H75" s="13" t="n">
        <x:v>0.39</x:v>
      </x:c>
      <x:c r="I75" s="13" t="str">
        <x:v>Base controlada</x:v>
      </x:c>
      <x:c r="J75" s="17" t="n">
        <x:f>E75-D75</x:f>
        <x:v>0</x:v>
      </x:c>
      <x:c r="K75" s="19" t="n">
        <x:f>IFERROR(ABS(J75/D75),0)</x:f>
        <x:v>0</x:v>
      </x:c>
    </x:row>
    <x:row r="76">
      <x:c r="A76" s="13" t="str">
        <x:v>CON-000075</x:v>
      </x:c>
      <x:c r="B76" s="23" t="n">
        <x:v>45354</x:v>
      </x:c>
      <x:c r="C76" s="13" t="str">
        <x:v>Bradesco Pagamentos</x:v>
      </x:c>
      <x:c r="D76" s="17" t="n">
        <x:v>40734.05</x:v>
      </x:c>
      <x:c r="E76" s="17" t="n">
        <x:v>40734.05</x:v>
      </x:c>
      <x:c r="F76" s="13" t="str">
        <x:v>Conciliado</x:v>
      </x:c>
      <x:c r="G76" s="13" t="str">
        <x:v>Sem divergência</x:v>
      </x:c>
      <x:c r="H76" s="13" t="n">
        <x:v>0.43</x:v>
      </x:c>
      <x:c r="I76" s="13" t="str">
        <x:v>Base controlada</x:v>
      </x:c>
      <x:c r="J76" s="17" t="n">
        <x:f>E76-D76</x:f>
        <x:v>0</x:v>
      </x:c>
      <x:c r="K76" s="19" t="n">
        <x:f>IFERROR(ABS(J76/D76),0)</x:f>
        <x:v>0</x:v>
      </x:c>
    </x:row>
    <x:row r="77">
      <x:c r="A77" s="13" t="str">
        <x:v>CON-000076</x:v>
      </x:c>
      <x:c r="B77" s="23" t="n">
        <x:v>45373</x:v>
      </x:c>
      <x:c r="C77" s="13" t="str">
        <x:v>Bradesco Pagamentos</x:v>
      </x:c>
      <x:c r="D77" s="17" t="n">
        <x:v>15789.75</x:v>
      </x:c>
      <x:c r="E77" s="17" t="n">
        <x:v>15789.75</x:v>
      </x:c>
      <x:c r="F77" s="13" t="str">
        <x:v>Conciliado</x:v>
      </x:c>
      <x:c r="G77" s="13" t="str">
        <x:v>Sem divergência</x:v>
      </x:c>
      <x:c r="H77" s="13" t="n">
        <x:v>0.15</x:v>
      </x:c>
      <x:c r="I77" s="13" t="str">
        <x:v>Base controlada</x:v>
      </x:c>
      <x:c r="J77" s="17" t="n">
        <x:f>E77-D77</x:f>
        <x:v>0</x:v>
      </x:c>
      <x:c r="K77" s="19" t="n">
        <x:f>IFERROR(ABS(J77/D77),0)</x:f>
        <x:v>0</x:v>
      </x:c>
    </x:row>
    <x:row r="78">
      <x:c r="A78" s="13" t="str">
        <x:v>CON-000077</x:v>
      </x:c>
      <x:c r="B78" s="23" t="n">
        <x:v>45367</x:v>
      </x:c>
      <x:c r="C78" s="13" t="str">
        <x:v>Itaú Operacional</x:v>
      </x:c>
      <x:c r="D78" s="17" t="n">
        <x:v>12991.81</x:v>
      </x:c>
      <x:c r="E78" s="17" t="n">
        <x:v>12991.81</x:v>
      </x:c>
      <x:c r="F78" s="13" t="str">
        <x:v>Conciliado</x:v>
      </x:c>
      <x:c r="G78" s="13" t="str">
        <x:v>Sem divergência</x:v>
      </x:c>
      <x:c r="H78" s="13" t="n">
        <x:v>0.34</x:v>
      </x:c>
      <x:c r="I78" s="13" t="str">
        <x:v>Base controlada</x:v>
      </x:c>
      <x:c r="J78" s="17" t="n">
        <x:f>E78-D78</x:f>
        <x:v>0</x:v>
      </x:c>
      <x:c r="K78" s="19" t="n">
        <x:f>IFERROR(ABS(J78/D78),0)</x:f>
        <x:v>0</x:v>
      </x:c>
    </x:row>
    <x:row r="79">
      <x:c r="A79" s="13" t="str">
        <x:v>CON-000078</x:v>
      </x:c>
      <x:c r="B79" s="23" t="n">
        <x:v>45370</x:v>
      </x:c>
      <x:c r="C79" s="13" t="str">
        <x:v>Itaú Operacional</x:v>
      </x:c>
      <x:c r="D79" s="17" t="n">
        <x:v>22583.59</x:v>
      </x:c>
      <x:c r="E79" s="17" t="n">
        <x:v>22583.59</x:v>
      </x:c>
      <x:c r="F79" s="13" t="str">
        <x:v>Conciliado</x:v>
      </x:c>
      <x:c r="G79" s="13" t="str">
        <x:v>Sem divergência</x:v>
      </x:c>
      <x:c r="H79" s="13" t="n">
        <x:v>0.16</x:v>
      </x:c>
      <x:c r="I79" s="13" t="str">
        <x:v>Base controlada</x:v>
      </x:c>
      <x:c r="J79" s="17" t="n">
        <x:f>E79-D79</x:f>
        <x:v>0</x:v>
      </x:c>
      <x:c r="K79" s="19" t="n">
        <x:f>IFERROR(ABS(J79/D79),0)</x:f>
        <x:v>0</x:v>
      </x:c>
    </x:row>
    <x:row r="80">
      <x:c r="A80" s="13" t="str">
        <x:v>CON-000079</x:v>
      </x:c>
      <x:c r="B80" s="23" t="n">
        <x:v>45378</x:v>
      </x:c>
      <x:c r="C80" s="13" t="str">
        <x:v>Nubank Serviços</x:v>
      </x:c>
      <x:c r="D80" s="17" t="n">
        <x:v>11263.71</x:v>
      </x:c>
      <x:c r="E80" s="17" t="n">
        <x:v>11263.71</x:v>
      </x:c>
      <x:c r="F80" s="13" t="str">
        <x:v>Conciliado</x:v>
      </x:c>
      <x:c r="G80" s="13" t="str">
        <x:v>Sem divergência</x:v>
      </x:c>
      <x:c r="H80" s="13" t="n">
        <x:v>0.09</x:v>
      </x:c>
      <x:c r="I80" s="13" t="str">
        <x:v>Base controlada</x:v>
      </x:c>
      <x:c r="J80" s="17" t="n">
        <x:f>E80-D80</x:f>
        <x:v>0</x:v>
      </x:c>
      <x:c r="K80" s="19" t="n">
        <x:f>IFERROR(ABS(J80/D80),0)</x:f>
        <x:v>0</x:v>
      </x:c>
    </x:row>
    <x:row r="81">
      <x:c r="A81" s="13" t="str">
        <x:v>CON-000080</x:v>
      </x:c>
      <x:c r="B81" s="23" t="n">
        <x:v>45368</x:v>
      </x:c>
      <x:c r="C81" s="13" t="str">
        <x:v>Nubank Serviços</x:v>
      </x:c>
      <x:c r="D81" s="17" t="n">
        <x:v>36675.79</x:v>
      </x:c>
      <x:c r="E81" s="17" t="n">
        <x:v>36675.79</x:v>
      </x:c>
      <x:c r="F81" s="13" t="str">
        <x:v>Conciliado</x:v>
      </x:c>
      <x:c r="G81" s="13" t="str">
        <x:v>Sem divergência</x:v>
      </x:c>
      <x:c r="H81" s="13" t="n">
        <x:v>0.02</x:v>
      </x:c>
      <x:c r="I81" s="13" t="str">
        <x:v>Base controlada</x:v>
      </x:c>
      <x:c r="J81" s="17" t="n">
        <x:f>E81-D81</x:f>
        <x:v>0</x:v>
      </x:c>
      <x:c r="K81" s="19" t="n">
        <x:f>IFERROR(ABS(J81/D81),0)</x:f>
        <x:v>0</x:v>
      </x:c>
    </x:row>
    <x:row r="82">
      <x:c r="A82" s="13" t="str">
        <x:v>CON-000081</x:v>
      </x:c>
      <x:c r="B82" s="23" t="n">
        <x:v>45373</x:v>
      </x:c>
      <x:c r="C82" s="13" t="str">
        <x:v>Bradesco Pagamentos</x:v>
      </x:c>
      <x:c r="D82" s="17" t="n">
        <x:v>25776.46</x:v>
      </x:c>
      <x:c r="E82" s="17" t="n">
        <x:v>25776.46</x:v>
      </x:c>
      <x:c r="F82" s="13" t="str">
        <x:v>Conciliado</x:v>
      </x:c>
      <x:c r="G82" s="13" t="str">
        <x:v>Sem divergência</x:v>
      </x:c>
      <x:c r="H82" s="13" t="n">
        <x:v>0.1</x:v>
      </x:c>
      <x:c r="I82" s="13" t="str">
        <x:v>Base controlada</x:v>
      </x:c>
      <x:c r="J82" s="17" t="n">
        <x:f>E82-D82</x:f>
        <x:v>0</x:v>
      </x:c>
      <x:c r="K82" s="19" t="n">
        <x:f>IFERROR(ABS(J82/D82),0)</x:f>
        <x:v>0</x:v>
      </x:c>
    </x:row>
    <x:row r="83">
      <x:c r="A83" s="13" t="str">
        <x:v>CON-000082</x:v>
      </x:c>
      <x:c r="B83" s="23" t="n">
        <x:v>45354</x:v>
      </x:c>
      <x:c r="C83" s="13" t="str">
        <x:v>Santander Recebimentos</x:v>
      </x:c>
      <x:c r="D83" s="17" t="n">
        <x:v>42624.41</x:v>
      </x:c>
      <x:c r="E83" s="17" t="n">
        <x:v>42624.41</x:v>
      </x:c>
      <x:c r="F83" s="13" t="str">
        <x:v>Conciliado</x:v>
      </x:c>
      <x:c r="G83" s="13" t="str">
        <x:v>Sem divergência</x:v>
      </x:c>
      <x:c r="H83" s="13" t="n">
        <x:v>0.26</x:v>
      </x:c>
      <x:c r="I83" s="13" t="str">
        <x:v>Base controlada</x:v>
      </x:c>
      <x:c r="J83" s="17" t="n">
        <x:f>E83-D83</x:f>
        <x:v>0</x:v>
      </x:c>
      <x:c r="K83" s="19" t="n">
        <x:f>IFERROR(ABS(J83/D83),0)</x:f>
        <x:v>0</x:v>
      </x:c>
    </x:row>
    <x:row r="84">
      <x:c r="A84" s="13" t="str">
        <x:v>CON-000083</x:v>
      </x:c>
      <x:c r="B84" s="23" t="n">
        <x:v>45379</x:v>
      </x:c>
      <x:c r="C84" s="13" t="str">
        <x:v>Bradesco Pagamentos</x:v>
      </x:c>
      <x:c r="D84" s="17" t="n">
        <x:v>18820.05</x:v>
      </x:c>
      <x:c r="E84" s="17" t="n">
        <x:v>18820.05</x:v>
      </x:c>
      <x:c r="F84" s="13" t="str">
        <x:v>Conciliado</x:v>
      </x:c>
      <x:c r="G84" s="13" t="str">
        <x:v>Sem divergência</x:v>
      </x:c>
      <x:c r="H84" s="13" t="n">
        <x:v>0.35</x:v>
      </x:c>
      <x:c r="I84" s="13" t="str">
        <x:v>Base controlada</x:v>
      </x:c>
      <x:c r="J84" s="17" t="n">
        <x:f>E84-D84</x:f>
        <x:v>0</x:v>
      </x:c>
      <x:c r="K84" s="19" t="n">
        <x:f>IFERROR(ABS(J84/D84),0)</x:f>
        <x:v>0</x:v>
      </x:c>
    </x:row>
    <x:row r="85">
      <x:c r="A85" s="13" t="str">
        <x:v>CON-000084</x:v>
      </x:c>
      <x:c r="B85" s="23" t="n">
        <x:v>45357</x:v>
      </x:c>
      <x:c r="C85" s="13" t="str">
        <x:v>Itaú Operacional</x:v>
      </x:c>
      <x:c r="D85" s="17" t="n">
        <x:v>27621.37</x:v>
      </x:c>
      <x:c r="E85" s="17" t="n">
        <x:v>27621.37</x:v>
      </x:c>
      <x:c r="F85" s="13" t="str">
        <x:v>Conciliado</x:v>
      </x:c>
      <x:c r="G85" s="13" t="str">
        <x:v>Sem divergência</x:v>
      </x:c>
      <x:c r="H85" s="13" t="n">
        <x:v>0.06</x:v>
      </x:c>
      <x:c r="I85" s="13" t="str">
        <x:v>Base controlada</x:v>
      </x:c>
      <x:c r="J85" s="17" t="n">
        <x:f>E85-D85</x:f>
        <x:v>0</x:v>
      </x:c>
      <x:c r="K85" s="19" t="n">
        <x:f>IFERROR(ABS(J85/D85),0)</x:f>
        <x:v>0</x:v>
      </x:c>
    </x:row>
    <x:row r="86">
      <x:c r="A86" s="13" t="str">
        <x:v>CON-000085</x:v>
      </x:c>
      <x:c r="B86" s="23" t="n">
        <x:v>45361</x:v>
      </x:c>
      <x:c r="C86" s="13" t="str">
        <x:v>Itaú Operacional</x:v>
      </x:c>
      <x:c r="D86" s="17" t="n">
        <x:v>22096.19</x:v>
      </x:c>
      <x:c r="E86" s="17" t="n">
        <x:v>22096.19</x:v>
      </x:c>
      <x:c r="F86" s="13" t="str">
        <x:v>Conciliado</x:v>
      </x:c>
      <x:c r="G86" s="13" t="str">
        <x:v>Sem divergência</x:v>
      </x:c>
      <x:c r="H86" s="13" t="n">
        <x:v>0.11</x:v>
      </x:c>
      <x:c r="I86" s="13" t="str">
        <x:v>Base controlada</x:v>
      </x:c>
      <x:c r="J86" s="17" t="n">
        <x:f>E86-D86</x:f>
        <x:v>0</x:v>
      </x:c>
      <x:c r="K86" s="19" t="n">
        <x:f>IFERROR(ABS(J86/D86),0)</x:f>
        <x:v>0</x:v>
      </x:c>
    </x:row>
    <x:row r="87">
      <x:c r="A87" s="13" t="str">
        <x:v>CON-000086</x:v>
      </x:c>
      <x:c r="B87" s="23" t="n">
        <x:v>45363</x:v>
      </x:c>
      <x:c r="C87" s="13" t="str">
        <x:v>Nubank Serviços</x:v>
      </x:c>
      <x:c r="D87" s="17" t="n">
        <x:v>33011.31</x:v>
      </x:c>
      <x:c r="E87" s="17" t="n">
        <x:v>32390.88</x:v>
      </x:c>
      <x:c r="F87" s="13" t="str">
        <x:v>Resolvido</x:v>
      </x:c>
      <x:c r="G87" s="13" t="str">
        <x:v>Lançamento sem documento</x:v>
      </x:c>
      <x:c r="H87" s="13" t="n">
        <x:v>13.22</x:v>
      </x:c>
      <x:c r="I87" s="13" t="str">
        <x:v>Base controlada</x:v>
      </x:c>
      <x:c r="J87" s="17" t="n">
        <x:f>E87-D87</x:f>
        <x:v>-620.4299999999967</x:v>
      </x:c>
      <x:c r="K87" s="19" t="n">
        <x:f>IFERROR(ABS(J87/D87),0)</x:f>
        <x:v>0.018794467714246928</x:v>
      </x:c>
    </x:row>
    <x:row r="88">
      <x:c r="A88" s="13" t="str">
        <x:v>CON-000087</x:v>
      </x:c>
      <x:c r="B88" s="23" t="n">
        <x:v>45370</x:v>
      </x:c>
      <x:c r="C88" s="13" t="str">
        <x:v>Nubank Serviços</x:v>
      </x:c>
      <x:c r="D88" s="17" t="n">
        <x:v>37498.47</x:v>
      </x:c>
      <x:c r="E88" s="17" t="n">
        <x:v>37498.47</x:v>
      </x:c>
      <x:c r="F88" s="13" t="str">
        <x:v>Conciliado</x:v>
      </x:c>
      <x:c r="G88" s="13" t="str">
        <x:v>Sem divergência</x:v>
      </x:c>
      <x:c r="H88" s="13" t="n">
        <x:v>0.07</x:v>
      </x:c>
      <x:c r="I88" s="13" t="str">
        <x:v>Base controlada</x:v>
      </x:c>
      <x:c r="J88" s="17" t="n">
        <x:f>E88-D88</x:f>
        <x:v>0</x:v>
      </x:c>
      <x:c r="K88" s="19" t="n">
        <x:f>IFERROR(ABS(J88/D88),0)</x:f>
        <x:v>0</x:v>
      </x:c>
    </x:row>
    <x:row r="89">
      <x:c r="A89" s="13" t="str">
        <x:v>CON-000088</x:v>
      </x:c>
      <x:c r="B89" s="23" t="n">
        <x:v>45370</x:v>
      </x:c>
      <x:c r="C89" s="13" t="str">
        <x:v>Bradesco Pagamentos</x:v>
      </x:c>
      <x:c r="D89" s="17" t="n">
        <x:v>36924.43</x:v>
      </x:c>
      <x:c r="E89" s="17" t="n">
        <x:v>36924.43</x:v>
      </x:c>
      <x:c r="F89" s="13" t="str">
        <x:v>Conciliado</x:v>
      </x:c>
      <x:c r="G89" s="13" t="str">
        <x:v>Sem divergência</x:v>
      </x:c>
      <x:c r="H89" s="13" t="n">
        <x:v>0.06</x:v>
      </x:c>
      <x:c r="I89" s="13" t="str">
        <x:v>Base controlada</x:v>
      </x:c>
      <x:c r="J89" s="17" t="n">
        <x:f>E89-D89</x:f>
        <x:v>0</x:v>
      </x:c>
      <x:c r="K89" s="19" t="n">
        <x:f>IFERROR(ABS(J89/D89),0)</x:f>
        <x:v>0</x:v>
      </x:c>
    </x:row>
    <x:row r="90">
      <x:c r="A90" s="13" t="str">
        <x:v>CON-000089</x:v>
      </x:c>
      <x:c r="B90" s="23" t="n">
        <x:v>45358</x:v>
      </x:c>
      <x:c r="C90" s="13" t="str">
        <x:v>Bradesco Pagamentos</x:v>
      </x:c>
      <x:c r="D90" s="17" t="n">
        <x:v>10535.56</x:v>
      </x:c>
      <x:c r="E90" s="17" t="n">
        <x:v>10535.56</x:v>
      </x:c>
      <x:c r="F90" s="13" t="str">
        <x:v>Conciliado</x:v>
      </x:c>
      <x:c r="G90" s="13" t="str">
        <x:v>Sem divergência</x:v>
      </x:c>
      <x:c r="H90" s="13" t="n">
        <x:v>0.18</x:v>
      </x:c>
      <x:c r="I90" s="13" t="str">
        <x:v>Base controlada</x:v>
      </x:c>
      <x:c r="J90" s="17" t="n">
        <x:f>E90-D90</x:f>
        <x:v>0</x:v>
      </x:c>
      <x:c r="K90" s="19" t="n">
        <x:f>IFERROR(ABS(J90/D90),0)</x:f>
        <x:v>0</x:v>
      </x:c>
    </x:row>
    <x:row r="91">
      <x:c r="A91" s="13" t="str">
        <x:v>CON-000090</x:v>
      </x:c>
      <x:c r="B91" s="23" t="n">
        <x:v>45360</x:v>
      </x:c>
      <x:c r="C91" s="13" t="str">
        <x:v>Nubank Serviços</x:v>
      </x:c>
      <x:c r="D91" s="17" t="n">
        <x:v>32651.35</x:v>
      </x:c>
      <x:c r="E91" s="17" t="n">
        <x:v>32651.35</x:v>
      </x:c>
      <x:c r="F91" s="13" t="str">
        <x:v>Conciliado</x:v>
      </x:c>
      <x:c r="G91" s="13" t="str">
        <x:v>Sem divergência</x:v>
      </x:c>
      <x:c r="H91" s="13" t="n">
        <x:v>0.37</x:v>
      </x:c>
      <x:c r="I91" s="13" t="str">
        <x:v>Base controlada</x:v>
      </x:c>
      <x:c r="J91" s="17" t="n">
        <x:f>E91-D91</x:f>
        <x:v>0</x:v>
      </x:c>
      <x:c r="K91" s="19" t="n">
        <x:f>IFERROR(ABS(J91/D91),0)</x:f>
        <x:v>0</x:v>
      </x:c>
    </x:row>
    <x:row r="92">
      <x:c r="A92" s="13" t="str">
        <x:v>CON-000091</x:v>
      </x:c>
      <x:c r="B92" s="23" t="n">
        <x:v>45364</x:v>
      </x:c>
      <x:c r="C92" s="13" t="str">
        <x:v>Bradesco Pagamentos</x:v>
      </x:c>
      <x:c r="D92" s="17" t="n">
        <x:v>42716.06</x:v>
      </x:c>
      <x:c r="E92" s="17" t="n">
        <x:v>42716.06</x:v>
      </x:c>
      <x:c r="F92" s="13" t="str">
        <x:v>Conciliado</x:v>
      </x:c>
      <x:c r="G92" s="13" t="str">
        <x:v>Sem divergência</x:v>
      </x:c>
      <x:c r="H92" s="13" t="n">
        <x:v>0.43</x:v>
      </x:c>
      <x:c r="I92" s="13" t="str">
        <x:v>Base controlada</x:v>
      </x:c>
      <x:c r="J92" s="17" t="n">
        <x:f>E92-D92</x:f>
        <x:v>0</x:v>
      </x:c>
      <x:c r="K92" s="19" t="n">
        <x:f>IFERROR(ABS(J92/D92),0)</x:f>
        <x:v>0</x:v>
      </x:c>
    </x:row>
    <x:row r="93">
      <x:c r="A93" s="13" t="str">
        <x:v>CON-000092</x:v>
      </x:c>
      <x:c r="B93" s="23" t="n">
        <x:v>45370</x:v>
      </x:c>
      <x:c r="C93" s="13" t="str">
        <x:v>Santander Recebimentos</x:v>
      </x:c>
      <x:c r="D93" s="17" t="n">
        <x:v>9849.5</x:v>
      </x:c>
      <x:c r="E93" s="17" t="n">
        <x:v>9849.5</x:v>
      </x:c>
      <x:c r="F93" s="13" t="str">
        <x:v>Conciliado</x:v>
      </x:c>
      <x:c r="G93" s="13" t="str">
        <x:v>Sem divergência</x:v>
      </x:c>
      <x:c r="H93" s="13" t="n">
        <x:v>0.13</x:v>
      </x:c>
      <x:c r="I93" s="13" t="str">
        <x:v>Base controlada</x:v>
      </x:c>
      <x:c r="J93" s="17" t="n">
        <x:f>E93-D93</x:f>
        <x:v>0</x:v>
      </x:c>
      <x:c r="K93" s="19" t="n">
        <x:f>IFERROR(ABS(J93/D93),0)</x:f>
        <x:v>0</x:v>
      </x:c>
    </x:row>
    <x:row r="94">
      <x:c r="A94" s="13" t="str">
        <x:v>CON-000093</x:v>
      </x:c>
      <x:c r="B94" s="23" t="n">
        <x:v>45362</x:v>
      </x:c>
      <x:c r="C94" s="13" t="str">
        <x:v>Santander Recebimentos</x:v>
      </x:c>
      <x:c r="D94" s="17" t="n">
        <x:v>8360.87</x:v>
      </x:c>
      <x:c r="E94" s="17" t="n">
        <x:v>8360.87</x:v>
      </x:c>
      <x:c r="F94" s="13" t="str">
        <x:v>Conciliado</x:v>
      </x:c>
      <x:c r="G94" s="13" t="str">
        <x:v>Sem divergência</x:v>
      </x:c>
      <x:c r="H94" s="13" t="n">
        <x:v>0.17</x:v>
      </x:c>
      <x:c r="I94" s="13" t="str">
        <x:v>Base controlada</x:v>
      </x:c>
      <x:c r="J94" s="17" t="n">
        <x:f>E94-D94</x:f>
        <x:v>0</x:v>
      </x:c>
      <x:c r="K94" s="19" t="n">
        <x:f>IFERROR(ABS(J94/D94),0)</x:f>
        <x:v>0</x:v>
      </x:c>
    </x:row>
    <x:row r="95">
      <x:c r="A95" s="13" t="str">
        <x:v>CON-000094</x:v>
      </x:c>
      <x:c r="B95" s="23" t="n">
        <x:v>45378</x:v>
      </x:c>
      <x:c r="C95" s="13" t="str">
        <x:v>Nubank Serviços</x:v>
      </x:c>
      <x:c r="D95" s="17" t="n">
        <x:v>30517.12</x:v>
      </x:c>
      <x:c r="E95" s="17" t="n">
        <x:v>30517.12</x:v>
      </x:c>
      <x:c r="F95" s="13" t="str">
        <x:v>Conciliado</x:v>
      </x:c>
      <x:c r="G95" s="13" t="str">
        <x:v>Sem divergência</x:v>
      </x:c>
      <x:c r="H95" s="13" t="n">
        <x:v>0.34</x:v>
      </x:c>
      <x:c r="I95" s="13" t="str">
        <x:v>Base controlada</x:v>
      </x:c>
      <x:c r="J95" s="17" t="n">
        <x:f>E95-D95</x:f>
        <x:v>0</x:v>
      </x:c>
      <x:c r="K95" s="19" t="n">
        <x:f>IFERROR(ABS(J95/D95),0)</x:f>
        <x:v>0</x:v>
      </x:c>
    </x:row>
    <x:row r="96">
      <x:c r="A96" s="13" t="str">
        <x:v>CON-000095</x:v>
      </x:c>
      <x:c r="B96" s="23" t="n">
        <x:v>45367</x:v>
      </x:c>
      <x:c r="C96" s="13" t="str">
        <x:v>Nubank Serviços</x:v>
      </x:c>
      <x:c r="D96" s="17" t="n">
        <x:v>20023</x:v>
      </x:c>
      <x:c r="E96" s="17" t="n">
        <x:v>20023</x:v>
      </x:c>
      <x:c r="F96" s="13" t="str">
        <x:v>Conciliado</x:v>
      </x:c>
      <x:c r="G96" s="13" t="str">
        <x:v>Sem divergência</x:v>
      </x:c>
      <x:c r="H96" s="13" t="n">
        <x:v>0.39</x:v>
      </x:c>
      <x:c r="I96" s="13" t="str">
        <x:v>Base controlada</x:v>
      </x:c>
      <x:c r="J96" s="17" t="n">
        <x:f>E96-D96</x:f>
        <x:v>0</x:v>
      </x:c>
      <x:c r="K96" s="19" t="n">
        <x:f>IFERROR(ABS(J96/D96),0)</x:f>
        <x:v>0</x:v>
      </x:c>
    </x:row>
    <x:row r="97">
      <x:c r="A97" s="13" t="str">
        <x:v>CON-000096</x:v>
      </x:c>
      <x:c r="B97" s="23" t="n">
        <x:v>45371</x:v>
      </x:c>
      <x:c r="C97" s="13" t="str">
        <x:v>Santander Recebimentos</x:v>
      </x:c>
      <x:c r="D97" s="17" t="n">
        <x:v>30624.69</x:v>
      </x:c>
      <x:c r="E97" s="17" t="n">
        <x:v>30624.69</x:v>
      </x:c>
      <x:c r="F97" s="13" t="str">
        <x:v>Conciliado</x:v>
      </x:c>
      <x:c r="G97" s="13" t="str">
        <x:v>Sem divergência</x:v>
      </x:c>
      <x:c r="H97" s="13" t="n">
        <x:v>0.15</x:v>
      </x:c>
      <x:c r="I97" s="13" t="str">
        <x:v>Base controlada</x:v>
      </x:c>
      <x:c r="J97" s="17" t="n">
        <x:f>E97-D97</x:f>
        <x:v>0</x:v>
      </x:c>
      <x:c r="K97" s="19" t="n">
        <x:f>IFERROR(ABS(J97/D97),0)</x:f>
        <x:v>0</x:v>
      </x:c>
    </x:row>
    <x:row r="98">
      <x:c r="A98" s="13" t="str">
        <x:v>CON-000097</x:v>
      </x:c>
      <x:c r="B98" s="23" t="n">
        <x:v>45379</x:v>
      </x:c>
      <x:c r="C98" s="13" t="str">
        <x:v>Bradesco Pagamentos</x:v>
      </x:c>
      <x:c r="D98" s="17" t="n">
        <x:v>12751.59</x:v>
      </x:c>
      <x:c r="E98" s="17" t="n">
        <x:v>12751.59</x:v>
      </x:c>
      <x:c r="F98" s="13" t="str">
        <x:v>Conciliado</x:v>
      </x:c>
      <x:c r="G98" s="13" t="str">
        <x:v>Sem divergência</x:v>
      </x:c>
      <x:c r="H98" s="13" t="n">
        <x:v>0.05</x:v>
      </x:c>
      <x:c r="I98" s="13" t="str">
        <x:v>Base controlada</x:v>
      </x:c>
      <x:c r="J98" s="17" t="n">
        <x:f>E98-D98</x:f>
        <x:v>0</x:v>
      </x:c>
      <x:c r="K98" s="19" t="n">
        <x:f>IFERROR(ABS(J98/D98),0)</x:f>
        <x:v>0</x:v>
      </x:c>
    </x:row>
    <x:row r="99">
      <x:c r="A99" s="13" t="str">
        <x:v>CON-000098</x:v>
      </x:c>
      <x:c r="B99" s="23" t="n">
        <x:v>45374</x:v>
      </x:c>
      <x:c r="C99" s="13" t="str">
        <x:v>Itaú Operacional</x:v>
      </x:c>
      <x:c r="D99" s="17" t="n">
        <x:v>34821.76</x:v>
      </x:c>
      <x:c r="E99" s="17" t="n">
        <x:v>34821.76</x:v>
      </x:c>
      <x:c r="F99" s="13" t="str">
        <x:v>Conciliado</x:v>
      </x:c>
      <x:c r="G99" s="13" t="str">
        <x:v>Sem divergência</x:v>
      </x:c>
      <x:c r="H99" s="13" t="n">
        <x:v>0.21</x:v>
      </x:c>
      <x:c r="I99" s="13" t="str">
        <x:v>Base controlada</x:v>
      </x:c>
      <x:c r="J99" s="17" t="n">
        <x:f>E99-D99</x:f>
        <x:v>0</x:v>
      </x:c>
      <x:c r="K99" s="19" t="n">
        <x:f>IFERROR(ABS(J99/D99),0)</x:f>
        <x:v>0</x:v>
      </x:c>
    </x:row>
    <x:row r="100">
      <x:c r="A100" s="13" t="str">
        <x:v>CON-000099</x:v>
      </x:c>
      <x:c r="B100" s="23" t="n">
        <x:v>45361</x:v>
      </x:c>
      <x:c r="C100" s="13" t="str">
        <x:v>Nubank Serviços</x:v>
      </x:c>
      <x:c r="D100" s="17" t="n">
        <x:v>36569.24</x:v>
      </x:c>
      <x:c r="E100" s="17" t="n">
        <x:v>36569.24</x:v>
      </x:c>
      <x:c r="F100" s="13" t="str">
        <x:v>Conciliado</x:v>
      </x:c>
      <x:c r="G100" s="13" t="str">
        <x:v>Sem divergência</x:v>
      </x:c>
      <x:c r="H100" s="13" t="n">
        <x:v>0.09</x:v>
      </x:c>
      <x:c r="I100" s="13" t="str">
        <x:v>Base controlada</x:v>
      </x:c>
      <x:c r="J100" s="17" t="n">
        <x:f>E100-D100</x:f>
        <x:v>0</x:v>
      </x:c>
      <x:c r="K100" s="19" t="n">
        <x:f>IFERROR(ABS(J100/D100),0)</x:f>
        <x:v>0</x:v>
      </x:c>
    </x:row>
    <x:row r="101">
      <x:c r="A101" s="13" t="str">
        <x:v>CON-000100</x:v>
      </x:c>
      <x:c r="B101" s="23" t="n">
        <x:v>45366</x:v>
      </x:c>
      <x:c r="C101" s="13" t="str">
        <x:v>Itaú Operacional</x:v>
      </x:c>
      <x:c r="D101" s="17" t="n">
        <x:v>18601.42</x:v>
      </x:c>
      <x:c r="E101" s="17" t="n">
        <x:v>18601.42</x:v>
      </x:c>
      <x:c r="F101" s="13" t="str">
        <x:v>Conciliado</x:v>
      </x:c>
      <x:c r="G101" s="13" t="str">
        <x:v>Sem divergência</x:v>
      </x:c>
      <x:c r="H101" s="13" t="n">
        <x:v>0.44</x:v>
      </x:c>
      <x:c r="I101" s="13" t="str">
        <x:v>Base controlada</x:v>
      </x:c>
      <x:c r="J101" s="17" t="n">
        <x:f>E101-D101</x:f>
        <x:v>0</x:v>
      </x:c>
      <x:c r="K101" s="19" t="n">
        <x:f>IFERROR(ABS(J101/D101),0)</x:f>
        <x:v>0</x:v>
      </x:c>
    </x:row>
    <x:row r="102">
      <x:c r="A102" s="13" t="str">
        <x:v>CON-000101</x:v>
      </x:c>
      <x:c r="B102" s="23" t="n">
        <x:v>45366</x:v>
      </x:c>
      <x:c r="C102" s="13" t="str">
        <x:v>Bradesco Pagamentos</x:v>
      </x:c>
      <x:c r="D102" s="17" t="n">
        <x:v>24383.67</x:v>
      </x:c>
      <x:c r="E102" s="17" t="n">
        <x:v>24383.67</x:v>
      </x:c>
      <x:c r="F102" s="13" t="str">
        <x:v>Conciliado</x:v>
      </x:c>
      <x:c r="G102" s="13" t="str">
        <x:v>Sem divergência</x:v>
      </x:c>
      <x:c r="H102" s="13" t="n">
        <x:v>0.28</x:v>
      </x:c>
      <x:c r="I102" s="13" t="str">
        <x:v>Base controlada</x:v>
      </x:c>
      <x:c r="J102" s="17" t="n">
        <x:f>E102-D102</x:f>
        <x:v>0</x:v>
      </x:c>
      <x:c r="K102" s="19" t="n">
        <x:f>IFERROR(ABS(J102/D102),0)</x:f>
        <x:v>0</x:v>
      </x:c>
    </x:row>
    <x:row r="103">
      <x:c r="A103" s="13" t="str">
        <x:v>CON-000102</x:v>
      </x:c>
      <x:c r="B103" s="23" t="n">
        <x:v>45375</x:v>
      </x:c>
      <x:c r="C103" s="13" t="str">
        <x:v>Nubank Serviços</x:v>
      </x:c>
      <x:c r="D103" s="17" t="n">
        <x:v>25877.85</x:v>
      </x:c>
      <x:c r="E103" s="17" t="n">
        <x:v>25877.85</x:v>
      </x:c>
      <x:c r="F103" s="13" t="str">
        <x:v>Conciliado</x:v>
      </x:c>
      <x:c r="G103" s="13" t="str">
        <x:v>Sem divergência</x:v>
      </x:c>
      <x:c r="H103" s="13" t="n">
        <x:v>0.39</x:v>
      </x:c>
      <x:c r="I103" s="13" t="str">
        <x:v>Base controlada</x:v>
      </x:c>
      <x:c r="J103" s="17" t="n">
        <x:f>E103-D103</x:f>
        <x:v>0</x:v>
      </x:c>
      <x:c r="K103" s="19" t="n">
        <x:f>IFERROR(ABS(J103/D103),0)</x:f>
        <x:v>0</x:v>
      </x:c>
    </x:row>
    <x:row r="104">
      <x:c r="A104" s="13" t="str">
        <x:v>CON-000103</x:v>
      </x:c>
      <x:c r="B104" s="23" t="n">
        <x:v>45372</x:v>
      </x:c>
      <x:c r="C104" s="13" t="str">
        <x:v>Itaú Operacional</x:v>
      </x:c>
      <x:c r="D104" s="17" t="n">
        <x:v>40517.89</x:v>
      </x:c>
      <x:c r="E104" s="17" t="n">
        <x:v>40517.89</x:v>
      </x:c>
      <x:c r="F104" s="13" t="str">
        <x:v>Conciliado</x:v>
      </x:c>
      <x:c r="G104" s="13" t="str">
        <x:v>Sem divergência</x:v>
      </x:c>
      <x:c r="H104" s="13" t="n">
        <x:v>0.05</x:v>
      </x:c>
      <x:c r="I104" s="13" t="str">
        <x:v>Base controlada</x:v>
      </x:c>
      <x:c r="J104" s="17" t="n">
        <x:f>E104-D104</x:f>
        <x:v>0</x:v>
      </x:c>
      <x:c r="K104" s="19" t="n">
        <x:f>IFERROR(ABS(J104/D104),0)</x:f>
        <x:v>0</x:v>
      </x:c>
    </x:row>
    <x:row r="105">
      <x:c r="A105" s="13" t="str">
        <x:v>CON-000104</x:v>
      </x:c>
      <x:c r="B105" s="23" t="n">
        <x:v>45372</x:v>
      </x:c>
      <x:c r="C105" s="13" t="str">
        <x:v>Santander Recebimentos</x:v>
      </x:c>
      <x:c r="D105" s="17" t="n">
        <x:v>6223.54</x:v>
      </x:c>
      <x:c r="E105" s="17" t="n">
        <x:v>6223.54</x:v>
      </x:c>
      <x:c r="F105" s="13" t="str">
        <x:v>Conciliado</x:v>
      </x:c>
      <x:c r="G105" s="13" t="str">
        <x:v>Sem divergência</x:v>
      </x:c>
      <x:c r="H105" s="13" t="n">
        <x:v>0.33</x:v>
      </x:c>
      <x:c r="I105" s="13" t="str">
        <x:v>Base controlada</x:v>
      </x:c>
      <x:c r="J105" s="17" t="n">
        <x:f>E105-D105</x:f>
        <x:v>0</x:v>
      </x:c>
      <x:c r="K105" s="19" t="n">
        <x:f>IFERROR(ABS(J105/D105),0)</x:f>
        <x:v>0</x:v>
      </x:c>
    </x:row>
    <x:row r="106">
      <x:c r="A106" s="13" t="str">
        <x:v>CON-000105</x:v>
      </x:c>
      <x:c r="B106" s="23" t="n">
        <x:v>45369</x:v>
      </x:c>
      <x:c r="C106" s="13" t="str">
        <x:v>Nubank Serviços</x:v>
      </x:c>
      <x:c r="D106" s="17" t="n">
        <x:v>23443.92</x:v>
      </x:c>
      <x:c r="E106" s="17" t="n">
        <x:v>23443.92</x:v>
      </x:c>
      <x:c r="F106" s="13" t="str">
        <x:v>Conciliado</x:v>
      </x:c>
      <x:c r="G106" s="13" t="str">
        <x:v>Sem divergência</x:v>
      </x:c>
      <x:c r="H106" s="13" t="n">
        <x:v>0.38</x:v>
      </x:c>
      <x:c r="I106" s="13" t="str">
        <x:v>Base controlada</x:v>
      </x:c>
      <x:c r="J106" s="17" t="n">
        <x:f>E106-D106</x:f>
        <x:v>0</x:v>
      </x:c>
      <x:c r="K106" s="19" t="n">
        <x:f>IFERROR(ABS(J106/D106),0)</x:f>
        <x:v>0</x:v>
      </x:c>
    </x:row>
    <x:row r="107">
      <x:c r="A107" s="13" t="str">
        <x:v>CON-000106</x:v>
      </x:c>
      <x:c r="B107" s="23" t="n">
        <x:v>45409</x:v>
      </x:c>
      <x:c r="C107" s="13" t="str">
        <x:v>Nubank Serviços</x:v>
      </x:c>
      <x:c r="D107" s="17" t="n">
        <x:v>24475.57</x:v>
      </x:c>
      <x:c r="E107" s="17" t="n">
        <x:v>24475.57</x:v>
      </x:c>
      <x:c r="F107" s="13" t="str">
        <x:v>Conciliado</x:v>
      </x:c>
      <x:c r="G107" s="13" t="str">
        <x:v>Sem divergência</x:v>
      </x:c>
      <x:c r="H107" s="13" t="n">
        <x:v>0.44</x:v>
      </x:c>
      <x:c r="I107" s="13" t="str">
        <x:v>Base controlada</x:v>
      </x:c>
      <x:c r="J107" s="17" t="n">
        <x:f>E107-D107</x:f>
        <x:v>0</x:v>
      </x:c>
      <x:c r="K107" s="19" t="n">
        <x:f>IFERROR(ABS(J107/D107),0)</x:f>
        <x:v>0</x:v>
      </x:c>
    </x:row>
    <x:row r="108">
      <x:c r="A108" s="13" t="str">
        <x:v>CON-000107</x:v>
      </x:c>
      <x:c r="B108" s="23" t="n">
        <x:v>45406</x:v>
      </x:c>
      <x:c r="C108" s="13" t="str">
        <x:v>Itaú Operacional</x:v>
      </x:c>
      <x:c r="D108" s="17" t="n">
        <x:v>20870.93</x:v>
      </x:c>
      <x:c r="E108" s="17" t="n">
        <x:v>20870.93</x:v>
      </x:c>
      <x:c r="F108" s="13" t="str">
        <x:v>Conciliado</x:v>
      </x:c>
      <x:c r="G108" s="13" t="str">
        <x:v>Sem divergência</x:v>
      </x:c>
      <x:c r="H108" s="13" t="n">
        <x:v>0.4</x:v>
      </x:c>
      <x:c r="I108" s="13" t="str">
        <x:v>Base controlada</x:v>
      </x:c>
      <x:c r="J108" s="17" t="n">
        <x:f>E108-D108</x:f>
        <x:v>0</x:v>
      </x:c>
      <x:c r="K108" s="19" t="n">
        <x:f>IFERROR(ABS(J108/D108),0)</x:f>
        <x:v>0</x:v>
      </x:c>
    </x:row>
    <x:row r="109">
      <x:c r="A109" s="13" t="str">
        <x:v>CON-000108</x:v>
      </x:c>
      <x:c r="B109" s="23" t="n">
        <x:v>45385</x:v>
      </x:c>
      <x:c r="C109" s="13" t="str">
        <x:v>Nubank Serviços</x:v>
      </x:c>
      <x:c r="D109" s="17" t="n">
        <x:v>32118.16</x:v>
      </x:c>
      <x:c r="E109" s="17" t="n">
        <x:v>32118.16</x:v>
      </x:c>
      <x:c r="F109" s="13" t="str">
        <x:v>Conciliado</x:v>
      </x:c>
      <x:c r="G109" s="13" t="str">
        <x:v>Sem divergência</x:v>
      </x:c>
      <x:c r="H109" s="13" t="n">
        <x:v>0.34</x:v>
      </x:c>
      <x:c r="I109" s="13" t="str">
        <x:v>Base controlada</x:v>
      </x:c>
      <x:c r="J109" s="17" t="n">
        <x:f>E109-D109</x:f>
        <x:v>0</x:v>
      </x:c>
      <x:c r="K109" s="19" t="n">
        <x:f>IFERROR(ABS(J109/D109),0)</x:f>
        <x:v>0</x:v>
      </x:c>
    </x:row>
    <x:row r="110">
      <x:c r="A110" s="13" t="str">
        <x:v>CON-000109</x:v>
      </x:c>
      <x:c r="B110" s="23" t="n">
        <x:v>45387</x:v>
      </x:c>
      <x:c r="C110" s="13" t="str">
        <x:v>Nubank Serviços</x:v>
      </x:c>
      <x:c r="D110" s="17" t="n">
        <x:v>13036.39</x:v>
      </x:c>
      <x:c r="E110" s="17" t="n">
        <x:v>13036.39</x:v>
      </x:c>
      <x:c r="F110" s="13" t="str">
        <x:v>Conciliado</x:v>
      </x:c>
      <x:c r="G110" s="13" t="str">
        <x:v>Sem divergência</x:v>
      </x:c>
      <x:c r="H110" s="13" t="n">
        <x:v>0.28</x:v>
      </x:c>
      <x:c r="I110" s="13" t="str">
        <x:v>Base controlada</x:v>
      </x:c>
      <x:c r="J110" s="17" t="n">
        <x:f>E110-D110</x:f>
        <x:v>0</x:v>
      </x:c>
      <x:c r="K110" s="19" t="n">
        <x:f>IFERROR(ABS(J110/D110),0)</x:f>
        <x:v>0</x:v>
      </x:c>
    </x:row>
    <x:row r="111">
      <x:c r="A111" s="13" t="str">
        <x:v>CON-000110</x:v>
      </x:c>
      <x:c r="B111" s="23" t="n">
        <x:v>45389</x:v>
      </x:c>
      <x:c r="C111" s="13" t="str">
        <x:v>Bradesco Pagamentos</x:v>
      </x:c>
      <x:c r="D111" s="17" t="n">
        <x:v>26848.5</x:v>
      </x:c>
      <x:c r="E111" s="17" t="n">
        <x:v>26848.5</x:v>
      </x:c>
      <x:c r="F111" s="13" t="str">
        <x:v>Conciliado</x:v>
      </x:c>
      <x:c r="G111" s="13" t="str">
        <x:v>Sem divergência</x:v>
      </x:c>
      <x:c r="H111" s="13" t="n">
        <x:v>0.32</x:v>
      </x:c>
      <x:c r="I111" s="13" t="str">
        <x:v>Base controlada</x:v>
      </x:c>
      <x:c r="J111" s="17" t="n">
        <x:f>E111-D111</x:f>
        <x:v>0</x:v>
      </x:c>
      <x:c r="K111" s="19" t="n">
        <x:f>IFERROR(ABS(J111/D111),0)</x:f>
        <x:v>0</x:v>
      </x:c>
    </x:row>
    <x:row r="112">
      <x:c r="A112" s="13" t="str">
        <x:v>CON-000111</x:v>
      </x:c>
      <x:c r="B112" s="23" t="n">
        <x:v>45385</x:v>
      </x:c>
      <x:c r="C112" s="13" t="str">
        <x:v>Nubank Serviços</x:v>
      </x:c>
      <x:c r="D112" s="17" t="n">
        <x:v>3445.9</x:v>
      </x:c>
      <x:c r="E112" s="17" t="n">
        <x:v>3445.9</x:v>
      </x:c>
      <x:c r="F112" s="13" t="str">
        <x:v>Conciliado</x:v>
      </x:c>
      <x:c r="G112" s="13" t="str">
        <x:v>Sem divergência</x:v>
      </x:c>
      <x:c r="H112" s="13" t="n">
        <x:v>0.07</x:v>
      </x:c>
      <x:c r="I112" s="13" t="str">
        <x:v>Base controlada</x:v>
      </x:c>
      <x:c r="J112" s="17" t="n">
        <x:f>E112-D112</x:f>
        <x:v>0</x:v>
      </x:c>
      <x:c r="K112" s="19" t="n">
        <x:f>IFERROR(ABS(J112/D112),0)</x:f>
        <x:v>0</x:v>
      </x:c>
    </x:row>
    <x:row r="113">
      <x:c r="A113" s="13" t="str">
        <x:v>CON-000112</x:v>
      </x:c>
      <x:c r="B113" s="23" t="n">
        <x:v>45389</x:v>
      </x:c>
      <x:c r="C113" s="13" t="str">
        <x:v>Itaú Operacional</x:v>
      </x:c>
      <x:c r="D113" s="17" t="n">
        <x:v>30462.37</x:v>
      </x:c>
      <x:c r="E113" s="17" t="n">
        <x:v>30462.37</x:v>
      </x:c>
      <x:c r="F113" s="13" t="str">
        <x:v>Conciliado</x:v>
      </x:c>
      <x:c r="G113" s="13" t="str">
        <x:v>Sem divergência</x:v>
      </x:c>
      <x:c r="H113" s="13" t="n">
        <x:v>0.03</x:v>
      </x:c>
      <x:c r="I113" s="13" t="str">
        <x:v>Base controlada</x:v>
      </x:c>
      <x:c r="J113" s="17" t="n">
        <x:f>E113-D113</x:f>
        <x:v>0</x:v>
      </x:c>
      <x:c r="K113" s="19" t="n">
        <x:f>IFERROR(ABS(J113/D113),0)</x:f>
        <x:v>0</x:v>
      </x:c>
    </x:row>
    <x:row r="114">
      <x:c r="A114" s="13" t="str">
        <x:v>CON-000113</x:v>
      </x:c>
      <x:c r="B114" s="23" t="n">
        <x:v>45392</x:v>
      </x:c>
      <x:c r="C114" s="13" t="str">
        <x:v>Bradesco Pagamentos</x:v>
      </x:c>
      <x:c r="D114" s="17" t="n">
        <x:v>8796.96</x:v>
      </x:c>
      <x:c r="E114" s="17" t="n">
        <x:v>8796.96</x:v>
      </x:c>
      <x:c r="F114" s="13" t="str">
        <x:v>Conciliado</x:v>
      </x:c>
      <x:c r="G114" s="13" t="str">
        <x:v>Sem divergência</x:v>
      </x:c>
      <x:c r="H114" s="13" t="n">
        <x:v>0.28</x:v>
      </x:c>
      <x:c r="I114" s="13" t="str">
        <x:v>Base controlada</x:v>
      </x:c>
      <x:c r="J114" s="17" t="n">
        <x:f>E114-D114</x:f>
        <x:v>0</x:v>
      </x:c>
      <x:c r="K114" s="19" t="n">
        <x:f>IFERROR(ABS(J114/D114),0)</x:f>
        <x:v>0</x:v>
      </x:c>
    </x:row>
    <x:row r="115">
      <x:c r="A115" s="13" t="str">
        <x:v>CON-000114</x:v>
      </x:c>
      <x:c r="B115" s="23" t="n">
        <x:v>45410</x:v>
      </x:c>
      <x:c r="C115" s="13" t="str">
        <x:v>Santander Recebimentos</x:v>
      </x:c>
      <x:c r="D115" s="17" t="n">
        <x:v>38923.02</x:v>
      </x:c>
      <x:c r="E115" s="17" t="n">
        <x:v>38923.02</x:v>
      </x:c>
      <x:c r="F115" s="13" t="str">
        <x:v>Conciliado</x:v>
      </x:c>
      <x:c r="G115" s="13" t="str">
        <x:v>Sem divergência</x:v>
      </x:c>
      <x:c r="H115" s="13" t="n">
        <x:v>0.08</x:v>
      </x:c>
      <x:c r="I115" s="13" t="str">
        <x:v>Base controlada</x:v>
      </x:c>
      <x:c r="J115" s="17" t="n">
        <x:f>E115-D115</x:f>
        <x:v>0</x:v>
      </x:c>
      <x:c r="K115" s="19" t="n">
        <x:f>IFERROR(ABS(J115/D115),0)</x:f>
        <x:v>0</x:v>
      </x:c>
    </x:row>
    <x:row r="116">
      <x:c r="A116" s="13" t="str">
        <x:v>CON-000115</x:v>
      </x:c>
      <x:c r="B116" s="23" t="n">
        <x:v>45405</x:v>
      </x:c>
      <x:c r="C116" s="13" t="str">
        <x:v>Bradesco Pagamentos</x:v>
      </x:c>
      <x:c r="D116" s="17" t="n">
        <x:v>42055.79</x:v>
      </x:c>
      <x:c r="E116" s="17" t="n">
        <x:v>42055.79</x:v>
      </x:c>
      <x:c r="F116" s="13" t="str">
        <x:v>Conciliado</x:v>
      </x:c>
      <x:c r="G116" s="13" t="str">
        <x:v>Sem divergência</x:v>
      </x:c>
      <x:c r="H116" s="13" t="n">
        <x:v>0.06</x:v>
      </x:c>
      <x:c r="I116" s="13" t="str">
        <x:v>Base controlada</x:v>
      </x:c>
      <x:c r="J116" s="17" t="n">
        <x:f>E116-D116</x:f>
        <x:v>0</x:v>
      </x:c>
      <x:c r="K116" s="19" t="n">
        <x:f>IFERROR(ABS(J116/D116),0)</x:f>
        <x:v>0</x:v>
      </x:c>
    </x:row>
    <x:row r="117">
      <x:c r="A117" s="13" t="str">
        <x:v>CON-000116</x:v>
      </x:c>
      <x:c r="B117" s="23" t="n">
        <x:v>45397</x:v>
      </x:c>
      <x:c r="C117" s="13" t="str">
        <x:v>Bradesco Pagamentos</x:v>
      </x:c>
      <x:c r="D117" s="17" t="n">
        <x:v>3094.9</x:v>
      </x:c>
      <x:c r="E117" s="17" t="n">
        <x:v>3094.9</x:v>
      </x:c>
      <x:c r="F117" s="13" t="str">
        <x:v>Conciliado</x:v>
      </x:c>
      <x:c r="G117" s="13" t="str">
        <x:v>Sem divergência</x:v>
      </x:c>
      <x:c r="H117" s="13" t="n">
        <x:v>0.27</x:v>
      </x:c>
      <x:c r="I117" s="13" t="str">
        <x:v>Base controlada</x:v>
      </x:c>
      <x:c r="J117" s="17" t="n">
        <x:f>E117-D117</x:f>
        <x:v>0</x:v>
      </x:c>
      <x:c r="K117" s="19" t="n">
        <x:f>IFERROR(ABS(J117/D117),0)</x:f>
        <x:v>0</x:v>
      </x:c>
    </x:row>
    <x:row r="118">
      <x:c r="A118" s="13" t="str">
        <x:v>CON-000117</x:v>
      </x:c>
      <x:c r="B118" s="23" t="n">
        <x:v>45392</x:v>
      </x:c>
      <x:c r="C118" s="13" t="str">
        <x:v>Nubank Serviços</x:v>
      </x:c>
      <x:c r="D118" s="17" t="n">
        <x:v>2642.63</x:v>
      </x:c>
      <x:c r="E118" s="17" t="n">
        <x:v>2642.63</x:v>
      </x:c>
      <x:c r="F118" s="13" t="str">
        <x:v>Conciliado</x:v>
      </x:c>
      <x:c r="G118" s="13" t="str">
        <x:v>Sem divergência</x:v>
      </x:c>
      <x:c r="H118" s="13" t="n">
        <x:v>0.12</x:v>
      </x:c>
      <x:c r="I118" s="13" t="str">
        <x:v>Base controlada</x:v>
      </x:c>
      <x:c r="J118" s="17" t="n">
        <x:f>E118-D118</x:f>
        <x:v>0</x:v>
      </x:c>
      <x:c r="K118" s="19" t="n">
        <x:f>IFERROR(ABS(J118/D118),0)</x:f>
        <x:v>0</x:v>
      </x:c>
    </x:row>
    <x:row r="119">
      <x:c r="A119" s="13" t="str">
        <x:v>CON-000118</x:v>
      </x:c>
      <x:c r="B119" s="23" t="n">
        <x:v>45409</x:v>
      </x:c>
      <x:c r="C119" s="13" t="str">
        <x:v>Nubank Serviços</x:v>
      </x:c>
      <x:c r="D119" s="17" t="n">
        <x:v>30806.73</x:v>
      </x:c>
      <x:c r="E119" s="17" t="n">
        <x:v>30806.73</x:v>
      </x:c>
      <x:c r="F119" s="13" t="str">
        <x:v>Conciliado</x:v>
      </x:c>
      <x:c r="G119" s="13" t="str">
        <x:v>Sem divergência</x:v>
      </x:c>
      <x:c r="H119" s="13" t="n">
        <x:v>0.09</x:v>
      </x:c>
      <x:c r="I119" s="13" t="str">
        <x:v>Base controlada</x:v>
      </x:c>
      <x:c r="J119" s="17" t="n">
        <x:f>E119-D119</x:f>
        <x:v>0</x:v>
      </x:c>
      <x:c r="K119" s="19" t="n">
        <x:f>IFERROR(ABS(J119/D119),0)</x:f>
        <x:v>0</x:v>
      </x:c>
    </x:row>
    <x:row r="120">
      <x:c r="A120" s="13" t="str">
        <x:v>CON-000119</x:v>
      </x:c>
      <x:c r="B120" s="23" t="n">
        <x:v>45408</x:v>
      </x:c>
      <x:c r="C120" s="13" t="str">
        <x:v>Nubank Serviços</x:v>
      </x:c>
      <x:c r="D120" s="17" t="n">
        <x:v>44152.94</x:v>
      </x:c>
      <x:c r="E120" s="17" t="n">
        <x:v>44152.94</x:v>
      </x:c>
      <x:c r="F120" s="13" t="str">
        <x:v>Conciliado</x:v>
      </x:c>
      <x:c r="G120" s="13" t="str">
        <x:v>Sem divergência</x:v>
      </x:c>
      <x:c r="H120" s="13" t="n">
        <x:v>0.28</x:v>
      </x:c>
      <x:c r="I120" s="13" t="str">
        <x:v>Base controlada</x:v>
      </x:c>
      <x:c r="J120" s="17" t="n">
        <x:f>E120-D120</x:f>
        <x:v>0</x:v>
      </x:c>
      <x:c r="K120" s="19" t="n">
        <x:f>IFERROR(ABS(J120/D120),0)</x:f>
        <x:v>0</x:v>
      </x:c>
    </x:row>
    <x:row r="121">
      <x:c r="A121" s="13" t="str">
        <x:v>CON-000120</x:v>
      </x:c>
      <x:c r="B121" s="23" t="n">
        <x:v>45401</x:v>
      </x:c>
      <x:c r="C121" s="13" t="str">
        <x:v>Nubank Serviços</x:v>
      </x:c>
      <x:c r="D121" s="17" t="n">
        <x:v>24383.56</x:v>
      </x:c>
      <x:c r="E121" s="17" t="n">
        <x:v>24383.56</x:v>
      </x:c>
      <x:c r="F121" s="13" t="str">
        <x:v>Conciliado</x:v>
      </x:c>
      <x:c r="G121" s="13" t="str">
        <x:v>Sem divergência</x:v>
      </x:c>
      <x:c r="H121" s="13" t="n">
        <x:v>0.03</x:v>
      </x:c>
      <x:c r="I121" s="13" t="str">
        <x:v>Base controlada</x:v>
      </x:c>
      <x:c r="J121" s="17" t="n">
        <x:f>E121-D121</x:f>
        <x:v>0</x:v>
      </x:c>
      <x:c r="K121" s="19" t="n">
        <x:f>IFERROR(ABS(J121/D121),0)</x:f>
        <x:v>0</x:v>
      </x:c>
    </x:row>
    <x:row r="122">
      <x:c r="A122" s="13" t="str">
        <x:v>CON-000121</x:v>
      </x:c>
      <x:c r="B122" s="23" t="n">
        <x:v>45390</x:v>
      </x:c>
      <x:c r="C122" s="13" t="str">
        <x:v>Itaú Operacional</x:v>
      </x:c>
      <x:c r="D122" s="17" t="n">
        <x:v>7998.68</x:v>
      </x:c>
      <x:c r="E122" s="17" t="n">
        <x:v>7998.68</x:v>
      </x:c>
      <x:c r="F122" s="13" t="str">
        <x:v>Conciliado</x:v>
      </x:c>
      <x:c r="G122" s="13" t="str">
        <x:v>Sem divergência</x:v>
      </x:c>
      <x:c r="H122" s="13" t="n">
        <x:v>0.44</x:v>
      </x:c>
      <x:c r="I122" s="13" t="str">
        <x:v>Base controlada</x:v>
      </x:c>
      <x:c r="J122" s="17" t="n">
        <x:f>E122-D122</x:f>
        <x:v>0</x:v>
      </x:c>
      <x:c r="K122" s="19" t="n">
        <x:f>IFERROR(ABS(J122/D122),0)</x:f>
        <x:v>0</x:v>
      </x:c>
    </x:row>
    <x:row r="123">
      <x:c r="A123" s="13" t="str">
        <x:v>CON-000122</x:v>
      </x:c>
      <x:c r="B123" s="23" t="n">
        <x:v>45403</x:v>
      </x:c>
      <x:c r="C123" s="13" t="str">
        <x:v>Nubank Serviços</x:v>
      </x:c>
      <x:c r="D123" s="17" t="n">
        <x:v>40144.47</x:v>
      </x:c>
      <x:c r="E123" s="17" t="n">
        <x:v>40144.47</x:v>
      </x:c>
      <x:c r="F123" s="13" t="str">
        <x:v>Conciliado</x:v>
      </x:c>
      <x:c r="G123" s="13" t="str">
        <x:v>Sem divergência</x:v>
      </x:c>
      <x:c r="H123" s="13" t="n">
        <x:v>0.1</x:v>
      </x:c>
      <x:c r="I123" s="13" t="str">
        <x:v>Base controlada</x:v>
      </x:c>
      <x:c r="J123" s="17" t="n">
        <x:f>E123-D123</x:f>
        <x:v>0</x:v>
      </x:c>
      <x:c r="K123" s="19" t="n">
        <x:f>IFERROR(ABS(J123/D123),0)</x:f>
        <x:v>0</x:v>
      </x:c>
    </x:row>
    <x:row r="124">
      <x:c r="A124" s="13" t="str">
        <x:v>CON-000123</x:v>
      </x:c>
      <x:c r="B124" s="23" t="n">
        <x:v>45403</x:v>
      </x:c>
      <x:c r="C124" s="13" t="str">
        <x:v>Bradesco Pagamentos</x:v>
      </x:c>
      <x:c r="D124" s="17" t="n">
        <x:v>4396.2</x:v>
      </x:c>
      <x:c r="E124" s="17" t="n">
        <x:v>4396.2</x:v>
      </x:c>
      <x:c r="F124" s="13" t="str">
        <x:v>Conciliado</x:v>
      </x:c>
      <x:c r="G124" s="13" t="str">
        <x:v>Sem divergência</x:v>
      </x:c>
      <x:c r="H124" s="13" t="n">
        <x:v>0.35</x:v>
      </x:c>
      <x:c r="I124" s="13" t="str">
        <x:v>Base controlada</x:v>
      </x:c>
      <x:c r="J124" s="17" t="n">
        <x:f>E124-D124</x:f>
        <x:v>0</x:v>
      </x:c>
      <x:c r="K124" s="19" t="n">
        <x:f>IFERROR(ABS(J124/D124),0)</x:f>
        <x:v>0</x:v>
      </x:c>
    </x:row>
    <x:row r="125">
      <x:c r="A125" s="13" t="str">
        <x:v>CON-000124</x:v>
      </x:c>
      <x:c r="B125" s="23" t="n">
        <x:v>45408</x:v>
      </x:c>
      <x:c r="C125" s="13" t="str">
        <x:v>Santander Recebimentos</x:v>
      </x:c>
      <x:c r="D125" s="17" t="n">
        <x:v>4524.37</x:v>
      </x:c>
      <x:c r="E125" s="17" t="n">
        <x:v>4524.37</x:v>
      </x:c>
      <x:c r="F125" s="13" t="str">
        <x:v>Conciliado</x:v>
      </x:c>
      <x:c r="G125" s="13" t="str">
        <x:v>Sem divergência</x:v>
      </x:c>
      <x:c r="H125" s="13" t="n">
        <x:v>0.06</x:v>
      </x:c>
      <x:c r="I125" s="13" t="str">
        <x:v>Base controlada</x:v>
      </x:c>
      <x:c r="J125" s="17" t="n">
        <x:f>E125-D125</x:f>
        <x:v>0</x:v>
      </x:c>
      <x:c r="K125" s="19" t="n">
        <x:f>IFERROR(ABS(J125/D125),0)</x:f>
        <x:v>0</x:v>
      </x:c>
    </x:row>
    <x:row r="126">
      <x:c r="A126" s="13" t="str">
        <x:v>CON-000125</x:v>
      </x:c>
      <x:c r="B126" s="23" t="n">
        <x:v>45410</x:v>
      </x:c>
      <x:c r="C126" s="13" t="str">
        <x:v>Santander Recebimentos</x:v>
      </x:c>
      <x:c r="D126" s="17" t="n">
        <x:v>25564.06</x:v>
      </x:c>
      <x:c r="E126" s="17" t="n">
        <x:v>25564.06</x:v>
      </x:c>
      <x:c r="F126" s="13" t="str">
        <x:v>Conciliado</x:v>
      </x:c>
      <x:c r="G126" s="13" t="str">
        <x:v>Sem divergência</x:v>
      </x:c>
      <x:c r="H126" s="13" t="n">
        <x:v>0.32</x:v>
      </x:c>
      <x:c r="I126" s="13" t="str">
        <x:v>Base controlada</x:v>
      </x:c>
      <x:c r="J126" s="17" t="n">
        <x:f>E126-D126</x:f>
        <x:v>0</x:v>
      </x:c>
      <x:c r="K126" s="19" t="n">
        <x:f>IFERROR(ABS(J126/D126),0)</x:f>
        <x:v>0</x:v>
      </x:c>
    </x:row>
    <x:row r="127">
      <x:c r="A127" s="13" t="str">
        <x:v>CON-000126</x:v>
      </x:c>
      <x:c r="B127" s="23" t="n">
        <x:v>45408</x:v>
      </x:c>
      <x:c r="C127" s="13" t="str">
        <x:v>Santander Recebimentos</x:v>
      </x:c>
      <x:c r="D127" s="17" t="n">
        <x:v>26810.33</x:v>
      </x:c>
      <x:c r="E127" s="17" t="n">
        <x:v>26810.33</x:v>
      </x:c>
      <x:c r="F127" s="13" t="str">
        <x:v>Conciliado</x:v>
      </x:c>
      <x:c r="G127" s="13" t="str">
        <x:v>Sem divergência</x:v>
      </x:c>
      <x:c r="H127" s="13" t="n">
        <x:v>0.29</x:v>
      </x:c>
      <x:c r="I127" s="13" t="str">
        <x:v>Base controlada</x:v>
      </x:c>
      <x:c r="J127" s="17" t="n">
        <x:f>E127-D127</x:f>
        <x:v>0</x:v>
      </x:c>
      <x:c r="K127" s="19" t="n">
        <x:f>IFERROR(ABS(J127/D127),0)</x:f>
        <x:v>0</x:v>
      </x:c>
    </x:row>
    <x:row r="128">
      <x:c r="A128" s="13" t="str">
        <x:v>CON-000127</x:v>
      </x:c>
      <x:c r="B128" s="23" t="n">
        <x:v>45384</x:v>
      </x:c>
      <x:c r="C128" s="13" t="str">
        <x:v>Nubank Serviços</x:v>
      </x:c>
      <x:c r="D128" s="17" t="n">
        <x:v>35945.78</x:v>
      </x:c>
      <x:c r="E128" s="17" t="n">
        <x:v>35945.78</x:v>
      </x:c>
      <x:c r="F128" s="13" t="str">
        <x:v>Conciliado</x:v>
      </x:c>
      <x:c r="G128" s="13" t="str">
        <x:v>Sem divergência</x:v>
      </x:c>
      <x:c r="H128" s="13" t="n">
        <x:v>0.27</x:v>
      </x:c>
      <x:c r="I128" s="13" t="str">
        <x:v>Base controlada</x:v>
      </x:c>
      <x:c r="J128" s="17" t="n">
        <x:f>E128-D128</x:f>
        <x:v>0</x:v>
      </x:c>
      <x:c r="K128" s="19" t="n">
        <x:f>IFERROR(ABS(J128/D128),0)</x:f>
        <x:v>0</x:v>
      </x:c>
    </x:row>
    <x:row r="129">
      <x:c r="A129" s="13" t="str">
        <x:v>CON-000128</x:v>
      </x:c>
      <x:c r="B129" s="23" t="n">
        <x:v>45391</x:v>
      </x:c>
      <x:c r="C129" s="13" t="str">
        <x:v>Nubank Serviços</x:v>
      </x:c>
      <x:c r="D129" s="17" t="n">
        <x:v>22083.24</x:v>
      </x:c>
      <x:c r="E129" s="17" t="n">
        <x:v>22083.24</x:v>
      </x:c>
      <x:c r="F129" s="13" t="str">
        <x:v>Conciliado</x:v>
      </x:c>
      <x:c r="G129" s="13" t="str">
        <x:v>Sem divergência</x:v>
      </x:c>
      <x:c r="H129" s="13" t="n">
        <x:v>0.38</x:v>
      </x:c>
      <x:c r="I129" s="13" t="str">
        <x:v>Base controlada</x:v>
      </x:c>
      <x:c r="J129" s="17" t="n">
        <x:f>E129-D129</x:f>
        <x:v>0</x:v>
      </x:c>
      <x:c r="K129" s="19" t="n">
        <x:f>IFERROR(ABS(J129/D129),0)</x:f>
        <x:v>0</x:v>
      </x:c>
    </x:row>
    <x:row r="130">
      <x:c r="A130" s="13" t="str">
        <x:v>CON-000129</x:v>
      </x:c>
      <x:c r="B130" s="23" t="n">
        <x:v>45407</x:v>
      </x:c>
      <x:c r="C130" s="13" t="str">
        <x:v>Santander Recebimentos</x:v>
      </x:c>
      <x:c r="D130" s="17" t="n">
        <x:v>36159.39</x:v>
      </x:c>
      <x:c r="E130" s="17" t="n">
        <x:v>36159.39</x:v>
      </x:c>
      <x:c r="F130" s="13" t="str">
        <x:v>Conciliado</x:v>
      </x:c>
      <x:c r="G130" s="13" t="str">
        <x:v>Sem divergência</x:v>
      </x:c>
      <x:c r="H130" s="13" t="n">
        <x:v>0.28</x:v>
      </x:c>
      <x:c r="I130" s="13" t="str">
        <x:v>Base controlada</x:v>
      </x:c>
      <x:c r="J130" s="17" t="n">
        <x:f>E130-D130</x:f>
        <x:v>0</x:v>
      </x:c>
      <x:c r="K130" s="19" t="n">
        <x:f>IFERROR(ABS(J130/D130),0)</x:f>
        <x:v>0</x:v>
      </x:c>
    </x:row>
    <x:row r="131">
      <x:c r="A131" s="13" t="str">
        <x:v>CON-000130</x:v>
      </x:c>
      <x:c r="B131" s="23" t="n">
        <x:v>45401</x:v>
      </x:c>
      <x:c r="C131" s="13" t="str">
        <x:v>Nubank Serviços</x:v>
      </x:c>
      <x:c r="D131" s="17" t="n">
        <x:v>33829.44</x:v>
      </x:c>
      <x:c r="E131" s="17" t="n">
        <x:v>33829.44</x:v>
      </x:c>
      <x:c r="F131" s="13" t="str">
        <x:v>Conciliado</x:v>
      </x:c>
      <x:c r="G131" s="13" t="str">
        <x:v>Sem divergência</x:v>
      </x:c>
      <x:c r="H131" s="13" t="n">
        <x:v>0.16</x:v>
      </x:c>
      <x:c r="I131" s="13" t="str">
        <x:v>Base controlada</x:v>
      </x:c>
      <x:c r="J131" s="17" t="n">
        <x:f>E131-D131</x:f>
        <x:v>0</x:v>
      </x:c>
      <x:c r="K131" s="19" t="n">
        <x:f>IFERROR(ABS(J131/D131),0)</x:f>
        <x:v>0</x:v>
      </x:c>
    </x:row>
    <x:row r="132">
      <x:c r="A132" s="13" t="str">
        <x:v>CON-000131</x:v>
      </x:c>
      <x:c r="B132" s="23" t="n">
        <x:v>45387</x:v>
      </x:c>
      <x:c r="C132" s="13" t="str">
        <x:v>Santander Recebimentos</x:v>
      </x:c>
      <x:c r="D132" s="17" t="n">
        <x:v>30049.02</x:v>
      </x:c>
      <x:c r="E132" s="17" t="n">
        <x:v>30049.02</x:v>
      </x:c>
      <x:c r="F132" s="13" t="str">
        <x:v>Conciliado</x:v>
      </x:c>
      <x:c r="G132" s="13" t="str">
        <x:v>Sem divergência</x:v>
      </x:c>
      <x:c r="H132" s="13" t="n">
        <x:v>0.19</x:v>
      </x:c>
      <x:c r="I132" s="13" t="str">
        <x:v>Base controlada</x:v>
      </x:c>
      <x:c r="J132" s="17" t="n">
        <x:f>E132-D132</x:f>
        <x:v>0</x:v>
      </x:c>
      <x:c r="K132" s="19" t="n">
        <x:f>IFERROR(ABS(J132/D132),0)</x:f>
        <x:v>0</x:v>
      </x:c>
    </x:row>
    <x:row r="133">
      <x:c r="A133" s="13" t="str">
        <x:v>CON-000132</x:v>
      </x:c>
      <x:c r="B133" s="23" t="n">
        <x:v>45388</x:v>
      </x:c>
      <x:c r="C133" s="13" t="str">
        <x:v>Nubank Serviços</x:v>
      </x:c>
      <x:c r="D133" s="17" t="n">
        <x:v>42732.57</x:v>
      </x:c>
      <x:c r="E133" s="17" t="n">
        <x:v>42732.57</x:v>
      </x:c>
      <x:c r="F133" s="13" t="str">
        <x:v>Conciliado</x:v>
      </x:c>
      <x:c r="G133" s="13" t="str">
        <x:v>Sem divergência</x:v>
      </x:c>
      <x:c r="H133" s="13" t="n">
        <x:v>0.31</x:v>
      </x:c>
      <x:c r="I133" s="13" t="str">
        <x:v>Base controlada</x:v>
      </x:c>
      <x:c r="J133" s="17" t="n">
        <x:f>E133-D133</x:f>
        <x:v>0</x:v>
      </x:c>
      <x:c r="K133" s="19" t="n">
        <x:f>IFERROR(ABS(J133/D133),0)</x:f>
        <x:v>0</x:v>
      </x:c>
    </x:row>
    <x:row r="134">
      <x:c r="A134" s="13" t="str">
        <x:v>CON-000133</x:v>
      </x:c>
      <x:c r="B134" s="23" t="n">
        <x:v>45394</x:v>
      </x:c>
      <x:c r="C134" s="13" t="str">
        <x:v>Santander Recebimentos</x:v>
      </x:c>
      <x:c r="D134" s="17" t="n">
        <x:v>43122.66</x:v>
      </x:c>
      <x:c r="E134" s="17" t="n">
        <x:v>43122.66</x:v>
      </x:c>
      <x:c r="F134" s="13" t="str">
        <x:v>Conciliado</x:v>
      </x:c>
      <x:c r="G134" s="13" t="str">
        <x:v>Sem divergência</x:v>
      </x:c>
      <x:c r="H134" s="13" t="n">
        <x:v>0.27</x:v>
      </x:c>
      <x:c r="I134" s="13" t="str">
        <x:v>Base controlada</x:v>
      </x:c>
      <x:c r="J134" s="17" t="n">
        <x:f>E134-D134</x:f>
        <x:v>0</x:v>
      </x:c>
      <x:c r="K134" s="19" t="n">
        <x:f>IFERROR(ABS(J134/D134),0)</x:f>
        <x:v>0</x:v>
      </x:c>
    </x:row>
    <x:row r="135">
      <x:c r="A135" s="13" t="str">
        <x:v>CON-000134</x:v>
      </x:c>
      <x:c r="B135" s="23" t="n">
        <x:v>45399</x:v>
      </x:c>
      <x:c r="C135" s="13" t="str">
        <x:v>Itaú Operacional</x:v>
      </x:c>
      <x:c r="D135" s="17" t="n">
        <x:v>532.13</x:v>
      </x:c>
      <x:c r="E135" s="17" t="n">
        <x:v>532.13</x:v>
      </x:c>
      <x:c r="F135" s="13" t="str">
        <x:v>Conciliado</x:v>
      </x:c>
      <x:c r="G135" s="13" t="str">
        <x:v>Sem divergência</x:v>
      </x:c>
      <x:c r="H135" s="13" t="n">
        <x:v>0.37</x:v>
      </x:c>
      <x:c r="I135" s="13" t="str">
        <x:v>Base controlada</x:v>
      </x:c>
      <x:c r="J135" s="17" t="n">
        <x:f>E135-D135</x:f>
        <x:v>0</x:v>
      </x:c>
      <x:c r="K135" s="19" t="n">
        <x:f>IFERROR(ABS(J135/D135),0)</x:f>
        <x:v>0</x:v>
      </x:c>
    </x:row>
    <x:row r="136">
      <x:c r="A136" s="13" t="str">
        <x:v>CON-000135</x:v>
      </x:c>
      <x:c r="B136" s="23" t="n">
        <x:v>45389</x:v>
      </x:c>
      <x:c r="C136" s="13" t="str">
        <x:v>Santander Recebimentos</x:v>
      </x:c>
      <x:c r="D136" s="17" t="n">
        <x:v>1219.24</x:v>
      </x:c>
      <x:c r="E136" s="17" t="n">
        <x:v>1219.24</x:v>
      </x:c>
      <x:c r="F136" s="13" t="str">
        <x:v>Conciliado</x:v>
      </x:c>
      <x:c r="G136" s="13" t="str">
        <x:v>Sem divergência</x:v>
      </x:c>
      <x:c r="H136" s="13" t="n">
        <x:v>0.33</x:v>
      </x:c>
      <x:c r="I136" s="13" t="str">
        <x:v>Base controlada</x:v>
      </x:c>
      <x:c r="J136" s="17" t="n">
        <x:f>E136-D136</x:f>
        <x:v>0</x:v>
      </x:c>
      <x:c r="K136" s="19" t="n">
        <x:f>IFERROR(ABS(J136/D136),0)</x:f>
        <x:v>0</x:v>
      </x:c>
    </x:row>
    <x:row r="137">
      <x:c r="A137" s="13" t="str">
        <x:v>CON-000136</x:v>
      </x:c>
      <x:c r="B137" s="23" t="n">
        <x:v>45405</x:v>
      </x:c>
      <x:c r="C137" s="13" t="str">
        <x:v>Bradesco Pagamentos</x:v>
      </x:c>
      <x:c r="D137" s="17" t="n">
        <x:v>37596.21</x:v>
      </x:c>
      <x:c r="E137" s="17" t="n">
        <x:v>37596.21</x:v>
      </x:c>
      <x:c r="F137" s="13" t="str">
        <x:v>Conciliado</x:v>
      </x:c>
      <x:c r="G137" s="13" t="str">
        <x:v>Sem divergência</x:v>
      </x:c>
      <x:c r="H137" s="13" t="n">
        <x:v>0.27</x:v>
      </x:c>
      <x:c r="I137" s="13" t="str">
        <x:v>Base controlada</x:v>
      </x:c>
      <x:c r="J137" s="17" t="n">
        <x:f>E137-D137</x:f>
        <x:v>0</x:v>
      </x:c>
      <x:c r="K137" s="19" t="n">
        <x:f>IFERROR(ABS(J137/D137),0)</x:f>
        <x:v>0</x:v>
      </x:c>
    </x:row>
    <x:row r="138">
      <x:c r="A138" s="13" t="str">
        <x:v>CON-000137</x:v>
      </x:c>
      <x:c r="B138" s="23" t="n">
        <x:v>45384</x:v>
      </x:c>
      <x:c r="C138" s="13" t="str">
        <x:v>Nubank Serviços</x:v>
      </x:c>
      <x:c r="D138" s="17" t="n">
        <x:v>4709.78</x:v>
      </x:c>
      <x:c r="E138" s="17" t="n">
        <x:v>4709.78</x:v>
      </x:c>
      <x:c r="F138" s="13" t="str">
        <x:v>Conciliado</x:v>
      </x:c>
      <x:c r="G138" s="13" t="str">
        <x:v>Sem divergência</x:v>
      </x:c>
      <x:c r="H138" s="13" t="n">
        <x:v>0.37</x:v>
      </x:c>
      <x:c r="I138" s="13" t="str">
        <x:v>Base controlada</x:v>
      </x:c>
      <x:c r="J138" s="17" t="n">
        <x:f>E138-D138</x:f>
        <x:v>0</x:v>
      </x:c>
      <x:c r="K138" s="19" t="n">
        <x:f>IFERROR(ABS(J138/D138),0)</x:f>
        <x:v>0</x:v>
      </x:c>
    </x:row>
    <x:row r="139">
      <x:c r="A139" s="13" t="str">
        <x:v>CON-000138</x:v>
      </x:c>
      <x:c r="B139" s="23" t="n">
        <x:v>45391</x:v>
      </x:c>
      <x:c r="C139" s="13" t="str">
        <x:v>Santander Recebimentos</x:v>
      </x:c>
      <x:c r="D139" s="17" t="n">
        <x:v>40637.87</x:v>
      </x:c>
      <x:c r="E139" s="17" t="n">
        <x:v>40637.87</x:v>
      </x:c>
      <x:c r="F139" s="13" t="str">
        <x:v>Conciliado</x:v>
      </x:c>
      <x:c r="G139" s="13" t="str">
        <x:v>Sem divergência</x:v>
      </x:c>
      <x:c r="H139" s="13" t="n">
        <x:v>0.22</x:v>
      </x:c>
      <x:c r="I139" s="13" t="str">
        <x:v>Base controlada</x:v>
      </x:c>
      <x:c r="J139" s="17" t="n">
        <x:f>E139-D139</x:f>
        <x:v>0</x:v>
      </x:c>
      <x:c r="K139" s="19" t="n">
        <x:f>IFERROR(ABS(J139/D139),0)</x:f>
        <x:v>0</x:v>
      </x:c>
    </x:row>
    <x:row r="140">
      <x:c r="A140" s="13" t="str">
        <x:v>CON-000139</x:v>
      </x:c>
      <x:c r="B140" s="23" t="n">
        <x:v>45390</x:v>
      </x:c>
      <x:c r="C140" s="13" t="str">
        <x:v>Santander Recebimentos</x:v>
      </x:c>
      <x:c r="D140" s="17" t="n">
        <x:v>11990.71</x:v>
      </x:c>
      <x:c r="E140" s="17" t="n">
        <x:v>11990.71</x:v>
      </x:c>
      <x:c r="F140" s="13" t="str">
        <x:v>Conciliado</x:v>
      </x:c>
      <x:c r="G140" s="13" t="str">
        <x:v>Sem divergência</x:v>
      </x:c>
      <x:c r="H140" s="13" t="n">
        <x:v>0.44</x:v>
      </x:c>
      <x:c r="I140" s="13" t="str">
        <x:v>Base controlada</x:v>
      </x:c>
      <x:c r="J140" s="17" t="n">
        <x:f>E140-D140</x:f>
        <x:v>0</x:v>
      </x:c>
      <x:c r="K140" s="19" t="n">
        <x:f>IFERROR(ABS(J140/D140),0)</x:f>
        <x:v>0</x:v>
      </x:c>
    </x:row>
    <x:row r="141">
      <x:c r="A141" s="13" t="str">
        <x:v>CON-000140</x:v>
      </x:c>
      <x:c r="B141" s="23" t="n">
        <x:v>45391</x:v>
      </x:c>
      <x:c r="C141" s="13" t="str">
        <x:v>Bradesco Pagamentos</x:v>
      </x:c>
      <x:c r="D141" s="17" t="n">
        <x:v>18754.83</x:v>
      </x:c>
      <x:c r="E141" s="17" t="n">
        <x:v>18754.83</x:v>
      </x:c>
      <x:c r="F141" s="13" t="str">
        <x:v>Conciliado</x:v>
      </x:c>
      <x:c r="G141" s="13" t="str">
        <x:v>Sem divergência</x:v>
      </x:c>
      <x:c r="H141" s="13" t="n">
        <x:v>0.09</x:v>
      </x:c>
      <x:c r="I141" s="13" t="str">
        <x:v>Base controlada</x:v>
      </x:c>
      <x:c r="J141" s="17" t="n">
        <x:f>E141-D141</x:f>
        <x:v>0</x:v>
      </x:c>
      <x:c r="K141" s="19" t="n">
        <x:f>IFERROR(ABS(J141/D141),0)</x:f>
        <x:v>0</x:v>
      </x:c>
    </x:row>
    <x:row r="142">
      <x:c r="A142" s="13" t="str">
        <x:v>CON-000141</x:v>
      </x:c>
      <x:c r="B142" s="23" t="n">
        <x:v>45422</x:v>
      </x:c>
      <x:c r="C142" s="13" t="str">
        <x:v>Bradesco Pagamentos</x:v>
      </x:c>
      <x:c r="D142" s="17" t="n">
        <x:v>17007.63</x:v>
      </x:c>
      <x:c r="E142" s="17" t="n">
        <x:v>17007.63</x:v>
      </x:c>
      <x:c r="F142" s="13" t="str">
        <x:v>Conciliado</x:v>
      </x:c>
      <x:c r="G142" s="13" t="str">
        <x:v>Sem divergência</x:v>
      </x:c>
      <x:c r="H142" s="13" t="n">
        <x:v>0.39</x:v>
      </x:c>
      <x:c r="I142" s="13" t="str">
        <x:v>Base controlada</x:v>
      </x:c>
      <x:c r="J142" s="17" t="n">
        <x:f>E142-D142</x:f>
        <x:v>0</x:v>
      </x:c>
      <x:c r="K142" s="19" t="n">
        <x:f>IFERROR(ABS(J142/D142),0)</x:f>
        <x:v>0</x:v>
      </x:c>
    </x:row>
    <x:row r="143">
      <x:c r="A143" s="13" t="str">
        <x:v>CON-000142</x:v>
      </x:c>
      <x:c r="B143" s="23" t="n">
        <x:v>45432</x:v>
      </x:c>
      <x:c r="C143" s="13" t="str">
        <x:v>Santander Recebimentos</x:v>
      </x:c>
      <x:c r="D143" s="17" t="n">
        <x:v>29976.28</x:v>
      </x:c>
      <x:c r="E143" s="17" t="n">
        <x:v>29976.28</x:v>
      </x:c>
      <x:c r="F143" s="13" t="str">
        <x:v>Conciliado</x:v>
      </x:c>
      <x:c r="G143" s="13" t="str">
        <x:v>Sem divergência</x:v>
      </x:c>
      <x:c r="H143" s="13" t="n">
        <x:v>0.27</x:v>
      </x:c>
      <x:c r="I143" s="13" t="str">
        <x:v>Base controlada</x:v>
      </x:c>
      <x:c r="J143" s="17" t="n">
        <x:f>E143-D143</x:f>
        <x:v>0</x:v>
      </x:c>
      <x:c r="K143" s="19" t="n">
        <x:f>IFERROR(ABS(J143/D143),0)</x:f>
        <x:v>0</x:v>
      </x:c>
    </x:row>
    <x:row r="144">
      <x:c r="A144" s="13" t="str">
        <x:v>CON-000143</x:v>
      </x:c>
      <x:c r="B144" s="23" t="n">
        <x:v>45419</x:v>
      </x:c>
      <x:c r="C144" s="13" t="str">
        <x:v>Santander Recebimentos</x:v>
      </x:c>
      <x:c r="D144" s="17" t="n">
        <x:v>29780.89</x:v>
      </x:c>
      <x:c r="E144" s="17" t="n">
        <x:v>29780.89</x:v>
      </x:c>
      <x:c r="F144" s="13" t="str">
        <x:v>Conciliado</x:v>
      </x:c>
      <x:c r="G144" s="13" t="str">
        <x:v>Sem divergência</x:v>
      </x:c>
      <x:c r="H144" s="13" t="n">
        <x:v>0.32</x:v>
      </x:c>
      <x:c r="I144" s="13" t="str">
        <x:v>Base controlada</x:v>
      </x:c>
      <x:c r="J144" s="17" t="n">
        <x:f>E144-D144</x:f>
        <x:v>0</x:v>
      </x:c>
      <x:c r="K144" s="19" t="n">
        <x:f>IFERROR(ABS(J144/D144),0)</x:f>
        <x:v>0</x:v>
      </x:c>
    </x:row>
    <x:row r="145">
      <x:c r="A145" s="13" t="str">
        <x:v>CON-000144</x:v>
      </x:c>
      <x:c r="B145" s="23" t="n">
        <x:v>45436</x:v>
      </x:c>
      <x:c r="C145" s="13" t="str">
        <x:v>Santander Recebimentos</x:v>
      </x:c>
      <x:c r="D145" s="17" t="n">
        <x:v>41944.09</x:v>
      </x:c>
      <x:c r="E145" s="17" t="n">
        <x:v>41944.09</x:v>
      </x:c>
      <x:c r="F145" s="13" t="str">
        <x:v>Conciliado</x:v>
      </x:c>
      <x:c r="G145" s="13" t="str">
        <x:v>Sem divergência</x:v>
      </x:c>
      <x:c r="H145" s="13" t="n">
        <x:v>0.3</x:v>
      </x:c>
      <x:c r="I145" s="13" t="str">
        <x:v>Base controlada</x:v>
      </x:c>
      <x:c r="J145" s="17" t="n">
        <x:f>E145-D145</x:f>
        <x:v>0</x:v>
      </x:c>
      <x:c r="K145" s="19" t="n">
        <x:f>IFERROR(ABS(J145/D145),0)</x:f>
        <x:v>0</x:v>
      </x:c>
    </x:row>
    <x:row r="146">
      <x:c r="A146" s="13" t="str">
        <x:v>CON-000145</x:v>
      </x:c>
      <x:c r="B146" s="23" t="n">
        <x:v>45435</x:v>
      </x:c>
      <x:c r="C146" s="13" t="str">
        <x:v>Santander Recebimentos</x:v>
      </x:c>
      <x:c r="D146" s="17" t="n">
        <x:v>14779.59</x:v>
      </x:c>
      <x:c r="E146" s="17" t="n">
        <x:v>14779.59</x:v>
      </x:c>
      <x:c r="F146" s="13" t="str">
        <x:v>Conciliado</x:v>
      </x:c>
      <x:c r="G146" s="13" t="str">
        <x:v>Sem divergência</x:v>
      </x:c>
      <x:c r="H146" s="13" t="n">
        <x:v>0.21</x:v>
      </x:c>
      <x:c r="I146" s="13" t="str">
        <x:v>Base controlada</x:v>
      </x:c>
      <x:c r="J146" s="17" t="n">
        <x:f>E146-D146</x:f>
        <x:v>0</x:v>
      </x:c>
      <x:c r="K146" s="19" t="n">
        <x:f>IFERROR(ABS(J146/D146),0)</x:f>
        <x:v>0</x:v>
      </x:c>
    </x:row>
    <x:row r="147">
      <x:c r="A147" s="13" t="str">
        <x:v>CON-000146</x:v>
      </x:c>
      <x:c r="B147" s="23" t="n">
        <x:v>45418</x:v>
      </x:c>
      <x:c r="C147" s="13" t="str">
        <x:v>Santander Recebimentos</x:v>
      </x:c>
      <x:c r="D147" s="17" t="n">
        <x:v>21305.86</x:v>
      </x:c>
      <x:c r="E147" s="17" t="n">
        <x:v>21305.86</x:v>
      </x:c>
      <x:c r="F147" s="13" t="str">
        <x:v>Conciliado</x:v>
      </x:c>
      <x:c r="G147" s="13" t="str">
        <x:v>Sem divergência</x:v>
      </x:c>
      <x:c r="H147" s="13" t="n">
        <x:v>0.2</x:v>
      </x:c>
      <x:c r="I147" s="13" t="str">
        <x:v>Base controlada</x:v>
      </x:c>
      <x:c r="J147" s="17" t="n">
        <x:f>E147-D147</x:f>
        <x:v>0</x:v>
      </x:c>
      <x:c r="K147" s="19" t="n">
        <x:f>IFERROR(ABS(J147/D147),0)</x:f>
        <x:v>0</x:v>
      </x:c>
    </x:row>
    <x:row r="148">
      <x:c r="A148" s="13" t="str">
        <x:v>CON-000147</x:v>
      </x:c>
      <x:c r="B148" s="23" t="n">
        <x:v>45425</x:v>
      </x:c>
      <x:c r="C148" s="13" t="str">
        <x:v>Bradesco Pagamentos</x:v>
      </x:c>
      <x:c r="D148" s="17" t="n">
        <x:v>11205.93</x:v>
      </x:c>
      <x:c r="E148" s="17" t="n">
        <x:v>11205.93</x:v>
      </x:c>
      <x:c r="F148" s="13" t="str">
        <x:v>Conciliado</x:v>
      </x:c>
      <x:c r="G148" s="13" t="str">
        <x:v>Sem divergência</x:v>
      </x:c>
      <x:c r="H148" s="13" t="n">
        <x:v>0.36</x:v>
      </x:c>
      <x:c r="I148" s="13" t="str">
        <x:v>Base controlada</x:v>
      </x:c>
      <x:c r="J148" s="17" t="n">
        <x:f>E148-D148</x:f>
        <x:v>0</x:v>
      </x:c>
      <x:c r="K148" s="19" t="n">
        <x:f>IFERROR(ABS(J148/D148),0)</x:f>
        <x:v>0</x:v>
      </x:c>
    </x:row>
    <x:row r="149">
      <x:c r="A149" s="13" t="str">
        <x:v>CON-000148</x:v>
      </x:c>
      <x:c r="B149" s="23" t="n">
        <x:v>45413</x:v>
      </x:c>
      <x:c r="C149" s="13" t="str">
        <x:v>Itaú Operacional</x:v>
      </x:c>
      <x:c r="D149" s="17" t="n">
        <x:v>37627.83</x:v>
      </x:c>
      <x:c r="E149" s="17" t="n">
        <x:v>37627.83</x:v>
      </x:c>
      <x:c r="F149" s="13" t="str">
        <x:v>Conciliado</x:v>
      </x:c>
      <x:c r="G149" s="13" t="str">
        <x:v>Sem divergência</x:v>
      </x:c>
      <x:c r="H149" s="13" t="n">
        <x:v>0.16</x:v>
      </x:c>
      <x:c r="I149" s="13" t="str">
        <x:v>Base controlada</x:v>
      </x:c>
      <x:c r="J149" s="17" t="n">
        <x:f>E149-D149</x:f>
        <x:v>0</x:v>
      </x:c>
      <x:c r="K149" s="19" t="n">
        <x:f>IFERROR(ABS(J149/D149),0)</x:f>
        <x:v>0</x:v>
      </x:c>
    </x:row>
    <x:row r="150">
      <x:c r="A150" s="13" t="str">
        <x:v>CON-000149</x:v>
      </x:c>
      <x:c r="B150" s="23" t="n">
        <x:v>45417</x:v>
      </x:c>
      <x:c r="C150" s="13" t="str">
        <x:v>Nubank Serviços</x:v>
      </x:c>
      <x:c r="D150" s="17" t="n">
        <x:v>19050.62</x:v>
      </x:c>
      <x:c r="E150" s="17" t="n">
        <x:v>19050.62</x:v>
      </x:c>
      <x:c r="F150" s="13" t="str">
        <x:v>Conciliado</x:v>
      </x:c>
      <x:c r="G150" s="13" t="str">
        <x:v>Sem divergência</x:v>
      </x:c>
      <x:c r="H150" s="13" t="n">
        <x:v>0.05</x:v>
      </x:c>
      <x:c r="I150" s="13" t="str">
        <x:v>Base controlada</x:v>
      </x:c>
      <x:c r="J150" s="17" t="n">
        <x:f>E150-D150</x:f>
        <x:v>0</x:v>
      </x:c>
      <x:c r="K150" s="19" t="n">
        <x:f>IFERROR(ABS(J150/D150),0)</x:f>
        <x:v>0</x:v>
      </x:c>
    </x:row>
    <x:row r="151">
      <x:c r="A151" s="13" t="str">
        <x:v>CON-000150</x:v>
      </x:c>
      <x:c r="B151" s="23" t="n">
        <x:v>45436</x:v>
      </x:c>
      <x:c r="C151" s="13" t="str">
        <x:v>Bradesco Pagamentos</x:v>
      </x:c>
      <x:c r="D151" s="17" t="n">
        <x:v>30954.1</x:v>
      </x:c>
      <x:c r="E151" s="17" t="n">
        <x:v>30954.1</x:v>
      </x:c>
      <x:c r="F151" s="13" t="str">
        <x:v>Conciliado</x:v>
      </x:c>
      <x:c r="G151" s="13" t="str">
        <x:v>Sem divergência</x:v>
      </x:c>
      <x:c r="H151" s="13" t="n">
        <x:v>0.08</x:v>
      </x:c>
      <x:c r="I151" s="13" t="str">
        <x:v>Base controlada</x:v>
      </x:c>
      <x:c r="J151" s="17" t="n">
        <x:f>E151-D151</x:f>
        <x:v>0</x:v>
      </x:c>
      <x:c r="K151" s="19" t="n">
        <x:f>IFERROR(ABS(J151/D151),0)</x:f>
        <x:v>0</x:v>
      </x:c>
    </x:row>
    <x:row r="152">
      <x:c r="A152" s="13" t="str">
        <x:v>CON-000151</x:v>
      </x:c>
      <x:c r="B152" s="23" t="n">
        <x:v>45426</x:v>
      </x:c>
      <x:c r="C152" s="13" t="str">
        <x:v>Santander Recebimentos</x:v>
      </x:c>
      <x:c r="D152" s="17" t="n">
        <x:v>19265.46</x:v>
      </x:c>
      <x:c r="E152" s="17" t="n">
        <x:v>19265.46</x:v>
      </x:c>
      <x:c r="F152" s="13" t="str">
        <x:v>Conciliado</x:v>
      </x:c>
      <x:c r="G152" s="13" t="str">
        <x:v>Sem divergência</x:v>
      </x:c>
      <x:c r="H152" s="13" t="n">
        <x:v>0.05</x:v>
      </x:c>
      <x:c r="I152" s="13" t="str">
        <x:v>Base controlada</x:v>
      </x:c>
      <x:c r="J152" s="17" t="n">
        <x:f>E152-D152</x:f>
        <x:v>0</x:v>
      </x:c>
      <x:c r="K152" s="19" t="n">
        <x:f>IFERROR(ABS(J152/D152),0)</x:f>
        <x:v>0</x:v>
      </x:c>
    </x:row>
    <x:row r="153">
      <x:c r="A153" s="13" t="str">
        <x:v>CON-000152</x:v>
      </x:c>
      <x:c r="B153" s="23" t="n">
        <x:v>45415</x:v>
      </x:c>
      <x:c r="C153" s="13" t="str">
        <x:v>Bradesco Pagamentos</x:v>
      </x:c>
      <x:c r="D153" s="17" t="n">
        <x:v>39041.09</x:v>
      </x:c>
      <x:c r="E153" s="17" t="n">
        <x:v>39041.09</x:v>
      </x:c>
      <x:c r="F153" s="13" t="str">
        <x:v>Conciliado</x:v>
      </x:c>
      <x:c r="G153" s="13" t="str">
        <x:v>Sem divergência</x:v>
      </x:c>
      <x:c r="H153" s="13" t="n">
        <x:v>0.17</x:v>
      </x:c>
      <x:c r="I153" s="13" t="str">
        <x:v>Base controlada</x:v>
      </x:c>
      <x:c r="J153" s="17" t="n">
        <x:f>E153-D153</x:f>
        <x:v>0</x:v>
      </x:c>
      <x:c r="K153" s="19" t="n">
        <x:f>IFERROR(ABS(J153/D153),0)</x:f>
        <x:v>0</x:v>
      </x:c>
    </x:row>
    <x:row r="154">
      <x:c r="A154" s="13" t="str">
        <x:v>CON-000153</x:v>
      </x:c>
      <x:c r="B154" s="23" t="n">
        <x:v>45429</x:v>
      </x:c>
      <x:c r="C154" s="13" t="str">
        <x:v>Santander Recebimentos</x:v>
      </x:c>
      <x:c r="D154" s="17" t="n">
        <x:v>14486.8</x:v>
      </x:c>
      <x:c r="E154" s="17" t="n">
        <x:v>14486.8</x:v>
      </x:c>
      <x:c r="F154" s="13" t="str">
        <x:v>Conciliado</x:v>
      </x:c>
      <x:c r="G154" s="13" t="str">
        <x:v>Sem divergência</x:v>
      </x:c>
      <x:c r="H154" s="13" t="n">
        <x:v>0.25</x:v>
      </x:c>
      <x:c r="I154" s="13" t="str">
        <x:v>Base controlada</x:v>
      </x:c>
      <x:c r="J154" s="17" t="n">
        <x:f>E154-D154</x:f>
        <x:v>0</x:v>
      </x:c>
      <x:c r="K154" s="19" t="n">
        <x:f>IFERROR(ABS(J154/D154),0)</x:f>
        <x:v>0</x:v>
      </x:c>
    </x:row>
    <x:row r="155">
      <x:c r="A155" s="13" t="str">
        <x:v>CON-000154</x:v>
      </x:c>
      <x:c r="B155" s="23" t="n">
        <x:v>45414</x:v>
      </x:c>
      <x:c r="C155" s="13" t="str">
        <x:v>Itaú Operacional</x:v>
      </x:c>
      <x:c r="D155" s="17" t="n">
        <x:v>17970.35</x:v>
      </x:c>
      <x:c r="E155" s="17" t="n">
        <x:v>17970.35</x:v>
      </x:c>
      <x:c r="F155" s="13" t="str">
        <x:v>Conciliado</x:v>
      </x:c>
      <x:c r="G155" s="13" t="str">
        <x:v>Sem divergência</x:v>
      </x:c>
      <x:c r="H155" s="13" t="n">
        <x:v>0.43</x:v>
      </x:c>
      <x:c r="I155" s="13" t="str">
        <x:v>Base controlada</x:v>
      </x:c>
      <x:c r="J155" s="17" t="n">
        <x:f>E155-D155</x:f>
        <x:v>0</x:v>
      </x:c>
      <x:c r="K155" s="19" t="n">
        <x:f>IFERROR(ABS(J155/D155),0)</x:f>
        <x:v>0</x:v>
      </x:c>
    </x:row>
    <x:row r="156">
      <x:c r="A156" s="13" t="str">
        <x:v>CON-000155</x:v>
      </x:c>
      <x:c r="B156" s="23" t="n">
        <x:v>45435</x:v>
      </x:c>
      <x:c r="C156" s="13" t="str">
        <x:v>Nubank Serviços</x:v>
      </x:c>
      <x:c r="D156" s="17" t="n">
        <x:v>6115.55</x:v>
      </x:c>
      <x:c r="E156" s="17" t="n">
        <x:v>6115.55</x:v>
      </x:c>
      <x:c r="F156" s="13" t="str">
        <x:v>Conciliado</x:v>
      </x:c>
      <x:c r="G156" s="13" t="str">
        <x:v>Sem divergência</x:v>
      </x:c>
      <x:c r="H156" s="13" t="n">
        <x:v>0.38</x:v>
      </x:c>
      <x:c r="I156" s="13" t="str">
        <x:v>Base controlada</x:v>
      </x:c>
      <x:c r="J156" s="17" t="n">
        <x:f>E156-D156</x:f>
        <x:v>0</x:v>
      </x:c>
      <x:c r="K156" s="19" t="n">
        <x:f>IFERROR(ABS(J156/D156),0)</x:f>
        <x:v>0</x:v>
      </x:c>
    </x:row>
    <x:row r="157">
      <x:c r="A157" s="13" t="str">
        <x:v>CON-000156</x:v>
      </x:c>
      <x:c r="B157" s="23" t="n">
        <x:v>45436</x:v>
      </x:c>
      <x:c r="C157" s="13" t="str">
        <x:v>Nubank Serviços</x:v>
      </x:c>
      <x:c r="D157" s="17" t="n">
        <x:v>31205.59</x:v>
      </x:c>
      <x:c r="E157" s="17" t="n">
        <x:v>31974.48</x:v>
      </x:c>
      <x:c r="F157" s="13" t="str">
        <x:v>Resolvido</x:v>
      </x:c>
      <x:c r="G157" s="13" t="str">
        <x:v>Lançamento sem documento</x:v>
      </x:c>
      <x:c r="H157" s="13" t="n">
        <x:v>3.86</x:v>
      </x:c>
      <x:c r="I157" s="13" t="str">
        <x:v>Base controlada</x:v>
      </x:c>
      <x:c r="J157" s="17" t="n">
        <x:f>E157-D157</x:f>
        <x:v>768.8899999999994</x:v>
      </x:c>
      <x:c r="K157" s="19" t="n">
        <x:f>IFERROR(ABS(J157/D157),0)</x:f>
        <x:v>0.024639495680100886</x:v>
      </x:c>
    </x:row>
    <x:row r="158">
      <x:c r="A158" s="13" t="str">
        <x:v>CON-000157</x:v>
      </x:c>
      <x:c r="B158" s="23" t="n">
        <x:v>45440</x:v>
      </x:c>
      <x:c r="C158" s="13" t="str">
        <x:v>Nubank Serviços</x:v>
      </x:c>
      <x:c r="D158" s="17" t="n">
        <x:v>1719.72</x:v>
      </x:c>
      <x:c r="E158" s="17" t="n">
        <x:v>1719.72</x:v>
      </x:c>
      <x:c r="F158" s="13" t="str">
        <x:v>Conciliado</x:v>
      </x:c>
      <x:c r="G158" s="13" t="str">
        <x:v>Sem divergência</x:v>
      </x:c>
      <x:c r="H158" s="13" t="n">
        <x:v>0.38</x:v>
      </x:c>
      <x:c r="I158" s="13" t="str">
        <x:v>Base controlada</x:v>
      </x:c>
      <x:c r="J158" s="17" t="n">
        <x:f>E158-D158</x:f>
        <x:v>0</x:v>
      </x:c>
      <x:c r="K158" s="19" t="n">
        <x:f>IFERROR(ABS(J158/D158),0)</x:f>
        <x:v>0</x:v>
      </x:c>
    </x:row>
    <x:row r="159">
      <x:c r="A159" s="13" t="str">
        <x:v>CON-000158</x:v>
      </x:c>
      <x:c r="B159" s="23" t="n">
        <x:v>45430</x:v>
      </x:c>
      <x:c r="C159" s="13" t="str">
        <x:v>Nubank Serviços</x:v>
      </x:c>
      <x:c r="D159" s="17" t="n">
        <x:v>7311.87</x:v>
      </x:c>
      <x:c r="E159" s="17" t="n">
        <x:v>7311.87</x:v>
      </x:c>
      <x:c r="F159" s="13" t="str">
        <x:v>Conciliado</x:v>
      </x:c>
      <x:c r="G159" s="13" t="str">
        <x:v>Sem divergência</x:v>
      </x:c>
      <x:c r="H159" s="13" t="n">
        <x:v>0.34</x:v>
      </x:c>
      <x:c r="I159" s="13" t="str">
        <x:v>Base controlada</x:v>
      </x:c>
      <x:c r="J159" s="17" t="n">
        <x:f>E159-D159</x:f>
        <x:v>0</x:v>
      </x:c>
      <x:c r="K159" s="19" t="n">
        <x:f>IFERROR(ABS(J159/D159),0)</x:f>
        <x:v>0</x:v>
      </x:c>
    </x:row>
    <x:row r="160">
      <x:c r="A160" s="13" t="str">
        <x:v>CON-000159</x:v>
      </x:c>
      <x:c r="B160" s="23" t="n">
        <x:v>45436</x:v>
      </x:c>
      <x:c r="C160" s="13" t="str">
        <x:v>Santander Recebimentos</x:v>
      </x:c>
      <x:c r="D160" s="17" t="n">
        <x:v>40378.04</x:v>
      </x:c>
      <x:c r="E160" s="17" t="n">
        <x:v>40378.04</x:v>
      </x:c>
      <x:c r="F160" s="13" t="str">
        <x:v>Conciliado</x:v>
      </x:c>
      <x:c r="G160" s="13" t="str">
        <x:v>Sem divergência</x:v>
      </x:c>
      <x:c r="H160" s="13" t="n">
        <x:v>0.33</x:v>
      </x:c>
      <x:c r="I160" s="13" t="str">
        <x:v>Base controlada</x:v>
      </x:c>
      <x:c r="J160" s="17" t="n">
        <x:f>E160-D160</x:f>
        <x:v>0</x:v>
      </x:c>
      <x:c r="K160" s="19" t="n">
        <x:f>IFERROR(ABS(J160/D160),0)</x:f>
        <x:v>0</x:v>
      </x:c>
    </x:row>
    <x:row r="161">
      <x:c r="A161" s="13" t="str">
        <x:v>CON-000160</x:v>
      </x:c>
      <x:c r="B161" s="23" t="n">
        <x:v>45430</x:v>
      </x:c>
      <x:c r="C161" s="13" t="str">
        <x:v>Santander Recebimentos</x:v>
      </x:c>
      <x:c r="D161" s="17" t="n">
        <x:v>24153.21</x:v>
      </x:c>
      <x:c r="E161" s="17" t="n">
        <x:v>24153.21</x:v>
      </x:c>
      <x:c r="F161" s="13" t="str">
        <x:v>Conciliado</x:v>
      </x:c>
      <x:c r="G161" s="13" t="str">
        <x:v>Sem divergência</x:v>
      </x:c>
      <x:c r="H161" s="13" t="n">
        <x:v>0.3</x:v>
      </x:c>
      <x:c r="I161" s="13" t="str">
        <x:v>Base controlada</x:v>
      </x:c>
      <x:c r="J161" s="17" t="n">
        <x:f>E161-D161</x:f>
        <x:v>0</x:v>
      </x:c>
      <x:c r="K161" s="19" t="n">
        <x:f>IFERROR(ABS(J161/D161),0)</x:f>
        <x:v>0</x:v>
      </x:c>
    </x:row>
    <x:row r="162">
      <x:c r="A162" s="13" t="str">
        <x:v>CON-000161</x:v>
      </x:c>
      <x:c r="B162" s="23" t="n">
        <x:v>45431</x:v>
      </x:c>
      <x:c r="C162" s="13" t="str">
        <x:v>Bradesco Pagamentos</x:v>
      </x:c>
      <x:c r="D162" s="17" t="n">
        <x:v>18272.34</x:v>
      </x:c>
      <x:c r="E162" s="17" t="n">
        <x:v>18272.34</x:v>
      </x:c>
      <x:c r="F162" s="13" t="str">
        <x:v>Conciliado</x:v>
      </x:c>
      <x:c r="G162" s="13" t="str">
        <x:v>Sem divergência</x:v>
      </x:c>
      <x:c r="H162" s="13" t="n">
        <x:v>0.09</x:v>
      </x:c>
      <x:c r="I162" s="13" t="str">
        <x:v>Base controlada</x:v>
      </x:c>
      <x:c r="J162" s="17" t="n">
        <x:f>E162-D162</x:f>
        <x:v>0</x:v>
      </x:c>
      <x:c r="K162" s="19" t="n">
        <x:f>IFERROR(ABS(J162/D162),0)</x:f>
        <x:v>0</x:v>
      </x:c>
    </x:row>
    <x:row r="163">
      <x:c r="A163" s="13" t="str">
        <x:v>CON-000162</x:v>
      </x:c>
      <x:c r="B163" s="23" t="n">
        <x:v>45439</x:v>
      </x:c>
      <x:c r="C163" s="13" t="str">
        <x:v>Santander Recebimentos</x:v>
      </x:c>
      <x:c r="D163" s="17" t="n">
        <x:v>41988.65</x:v>
      </x:c>
      <x:c r="E163" s="17" t="n">
        <x:v>41988.65</x:v>
      </x:c>
      <x:c r="F163" s="13" t="str">
        <x:v>Conciliado</x:v>
      </x:c>
      <x:c r="G163" s="13" t="str">
        <x:v>Sem divergência</x:v>
      </x:c>
      <x:c r="H163" s="13" t="n">
        <x:v>0.29</x:v>
      </x:c>
      <x:c r="I163" s="13" t="str">
        <x:v>Base controlada</x:v>
      </x:c>
      <x:c r="J163" s="17" t="n">
        <x:f>E163-D163</x:f>
        <x:v>0</x:v>
      </x:c>
      <x:c r="K163" s="19" t="n">
        <x:f>IFERROR(ABS(J163/D163),0)</x:f>
        <x:v>0</x:v>
      </x:c>
    </x:row>
    <x:row r="164">
      <x:c r="A164" s="13" t="str">
        <x:v>CON-000163</x:v>
      </x:c>
      <x:c r="B164" s="23" t="n">
        <x:v>45439</x:v>
      </x:c>
      <x:c r="C164" s="13" t="str">
        <x:v>Santander Recebimentos</x:v>
      </x:c>
      <x:c r="D164" s="17" t="n">
        <x:v>33764.1</x:v>
      </x:c>
      <x:c r="E164" s="17" t="n">
        <x:v>33764.1</x:v>
      </x:c>
      <x:c r="F164" s="13" t="str">
        <x:v>Conciliado</x:v>
      </x:c>
      <x:c r="G164" s="13" t="str">
        <x:v>Sem divergência</x:v>
      </x:c>
      <x:c r="H164" s="13" t="n">
        <x:v>0.41</x:v>
      </x:c>
      <x:c r="I164" s="13" t="str">
        <x:v>Base controlada</x:v>
      </x:c>
      <x:c r="J164" s="17" t="n">
        <x:f>E164-D164</x:f>
        <x:v>0</x:v>
      </x:c>
      <x:c r="K164" s="19" t="n">
        <x:f>IFERROR(ABS(J164/D164),0)</x:f>
        <x:v>0</x:v>
      </x:c>
    </x:row>
    <x:row r="165">
      <x:c r="A165" s="13" t="str">
        <x:v>CON-000164</x:v>
      </x:c>
      <x:c r="B165" s="23" t="n">
        <x:v>45436</x:v>
      </x:c>
      <x:c r="C165" s="13" t="str">
        <x:v>Bradesco Pagamentos</x:v>
      </x:c>
      <x:c r="D165" s="17" t="n">
        <x:v>11030.58</x:v>
      </x:c>
      <x:c r="E165" s="17" t="n">
        <x:v>11030.58</x:v>
      </x:c>
      <x:c r="F165" s="13" t="str">
        <x:v>Conciliado</x:v>
      </x:c>
      <x:c r="G165" s="13" t="str">
        <x:v>Sem divergência</x:v>
      </x:c>
      <x:c r="H165" s="13" t="n">
        <x:v>0.19</x:v>
      </x:c>
      <x:c r="I165" s="13" t="str">
        <x:v>Base controlada</x:v>
      </x:c>
      <x:c r="J165" s="17" t="n">
        <x:f>E165-D165</x:f>
        <x:v>0</x:v>
      </x:c>
      <x:c r="K165" s="19" t="n">
        <x:f>IFERROR(ABS(J165/D165),0)</x:f>
        <x:v>0</x:v>
      </x:c>
    </x:row>
    <x:row r="166">
      <x:c r="A166" s="13" t="str">
        <x:v>CON-000165</x:v>
      </x:c>
      <x:c r="B166" s="23" t="n">
        <x:v>45414</x:v>
      </x:c>
      <x:c r="C166" s="13" t="str">
        <x:v>Bradesco Pagamentos</x:v>
      </x:c>
      <x:c r="D166" s="17" t="n">
        <x:v>28988.87</x:v>
      </x:c>
      <x:c r="E166" s="17" t="n">
        <x:v>28988.87</x:v>
      </x:c>
      <x:c r="F166" s="13" t="str">
        <x:v>Conciliado</x:v>
      </x:c>
      <x:c r="G166" s="13" t="str">
        <x:v>Sem divergência</x:v>
      </x:c>
      <x:c r="H166" s="13" t="n">
        <x:v>0.05</x:v>
      </x:c>
      <x:c r="I166" s="13" t="str">
        <x:v>Base controlada</x:v>
      </x:c>
      <x:c r="J166" s="17" t="n">
        <x:f>E166-D166</x:f>
        <x:v>0</x:v>
      </x:c>
      <x:c r="K166" s="19" t="n">
        <x:f>IFERROR(ABS(J166/D166),0)</x:f>
        <x:v>0</x:v>
      </x:c>
    </x:row>
    <x:row r="167">
      <x:c r="A167" s="13" t="str">
        <x:v>CON-000166</x:v>
      </x:c>
      <x:c r="B167" s="23" t="n">
        <x:v>45417</x:v>
      </x:c>
      <x:c r="C167" s="13" t="str">
        <x:v>Santander Recebimentos</x:v>
      </x:c>
      <x:c r="D167" s="17" t="n">
        <x:v>6464.63</x:v>
      </x:c>
      <x:c r="E167" s="17" t="n">
        <x:v>6464.63</x:v>
      </x:c>
      <x:c r="F167" s="13" t="str">
        <x:v>Conciliado</x:v>
      </x:c>
      <x:c r="G167" s="13" t="str">
        <x:v>Sem divergência</x:v>
      </x:c>
      <x:c r="H167" s="13" t="n">
        <x:v>0.09</x:v>
      </x:c>
      <x:c r="I167" s="13" t="str">
        <x:v>Base controlada</x:v>
      </x:c>
      <x:c r="J167" s="17" t="n">
        <x:f>E167-D167</x:f>
        <x:v>0</x:v>
      </x:c>
      <x:c r="K167" s="19" t="n">
        <x:f>IFERROR(ABS(J167/D167),0)</x:f>
        <x:v>0</x:v>
      </x:c>
    </x:row>
    <x:row r="168">
      <x:c r="A168" s="13" t="str">
        <x:v>CON-000167</x:v>
      </x:c>
      <x:c r="B168" s="23" t="n">
        <x:v>45424</x:v>
      </x:c>
      <x:c r="C168" s="13" t="str">
        <x:v>Santander Recebimentos</x:v>
      </x:c>
      <x:c r="D168" s="17" t="n">
        <x:v>43596.6</x:v>
      </x:c>
      <x:c r="E168" s="17" t="n">
        <x:v>43596.6</x:v>
      </x:c>
      <x:c r="F168" s="13" t="str">
        <x:v>Conciliado</x:v>
      </x:c>
      <x:c r="G168" s="13" t="str">
        <x:v>Sem divergência</x:v>
      </x:c>
      <x:c r="H168" s="13" t="n">
        <x:v>0.17</x:v>
      </x:c>
      <x:c r="I168" s="13" t="str">
        <x:v>Base controlada</x:v>
      </x:c>
      <x:c r="J168" s="17" t="n">
        <x:f>E168-D168</x:f>
        <x:v>0</x:v>
      </x:c>
      <x:c r="K168" s="19" t="n">
        <x:f>IFERROR(ABS(J168/D168),0)</x:f>
        <x:v>0</x:v>
      </x:c>
    </x:row>
    <x:row r="169">
      <x:c r="A169" s="13" t="str">
        <x:v>CON-000168</x:v>
      </x:c>
      <x:c r="B169" s="23" t="n">
        <x:v>45413</x:v>
      </x:c>
      <x:c r="C169" s="13" t="str">
        <x:v>Santander Recebimentos</x:v>
      </x:c>
      <x:c r="D169" s="17" t="n">
        <x:v>42920.16</x:v>
      </x:c>
      <x:c r="E169" s="17" t="n">
        <x:v>42920.16</x:v>
      </x:c>
      <x:c r="F169" s="13" t="str">
        <x:v>Conciliado</x:v>
      </x:c>
      <x:c r="G169" s="13" t="str">
        <x:v>Sem divergência</x:v>
      </x:c>
      <x:c r="H169" s="13" t="n">
        <x:v>0.3</x:v>
      </x:c>
      <x:c r="I169" s="13" t="str">
        <x:v>Base controlada</x:v>
      </x:c>
      <x:c r="J169" s="17" t="n">
        <x:f>E169-D169</x:f>
        <x:v>0</x:v>
      </x:c>
      <x:c r="K169" s="19" t="n">
        <x:f>IFERROR(ABS(J169/D169),0)</x:f>
        <x:v>0</x:v>
      </x:c>
    </x:row>
    <x:row r="170">
      <x:c r="A170" s="13" t="str">
        <x:v>CON-000169</x:v>
      </x:c>
      <x:c r="B170" s="23" t="n">
        <x:v>45413</x:v>
      </x:c>
      <x:c r="C170" s="13" t="str">
        <x:v>Bradesco Pagamentos</x:v>
      </x:c>
      <x:c r="D170" s="17" t="n">
        <x:v>2608.75</x:v>
      </x:c>
      <x:c r="E170" s="17" t="n">
        <x:v>2608.75</x:v>
      </x:c>
      <x:c r="F170" s="13" t="str">
        <x:v>Conciliado</x:v>
      </x:c>
      <x:c r="G170" s="13" t="str">
        <x:v>Sem divergência</x:v>
      </x:c>
      <x:c r="H170" s="13" t="n">
        <x:v>0.09</x:v>
      </x:c>
      <x:c r="I170" s="13" t="str">
        <x:v>Base controlada</x:v>
      </x:c>
      <x:c r="J170" s="17" t="n">
        <x:f>E170-D170</x:f>
        <x:v>0</x:v>
      </x:c>
      <x:c r="K170" s="19" t="n">
        <x:f>IFERROR(ABS(J170/D170),0)</x:f>
        <x:v>0</x:v>
      </x:c>
    </x:row>
    <x:row r="171">
      <x:c r="A171" s="13" t="str">
        <x:v>CON-000170</x:v>
      </x:c>
      <x:c r="B171" s="23" t="n">
        <x:v>45414</x:v>
      </x:c>
      <x:c r="C171" s="13" t="str">
        <x:v>Itaú Operacional</x:v>
      </x:c>
      <x:c r="D171" s="17" t="n">
        <x:v>31643.9</x:v>
      </x:c>
      <x:c r="E171" s="17" t="n">
        <x:v>31643.9</x:v>
      </x:c>
      <x:c r="F171" s="13" t="str">
        <x:v>Conciliado</x:v>
      </x:c>
      <x:c r="G171" s="13" t="str">
        <x:v>Sem divergência</x:v>
      </x:c>
      <x:c r="H171" s="13" t="n">
        <x:v>0.14</x:v>
      </x:c>
      <x:c r="I171" s="13" t="str">
        <x:v>Base controlada</x:v>
      </x:c>
      <x:c r="J171" s="17" t="n">
        <x:f>E171-D171</x:f>
        <x:v>0</x:v>
      </x:c>
      <x:c r="K171" s="19" t="n">
        <x:f>IFERROR(ABS(J171/D171),0)</x:f>
        <x:v>0</x:v>
      </x:c>
    </x:row>
    <x:row r="172">
      <x:c r="A172" s="13" t="str">
        <x:v>CON-000171</x:v>
      </x:c>
      <x:c r="B172" s="23" t="n">
        <x:v>45416</x:v>
      </x:c>
      <x:c r="C172" s="13" t="str">
        <x:v>Nubank Serviços</x:v>
      </x:c>
      <x:c r="D172" s="17" t="n">
        <x:v>44264.19</x:v>
      </x:c>
      <x:c r="E172" s="17" t="n">
        <x:v>44264.19</x:v>
      </x:c>
      <x:c r="F172" s="13" t="str">
        <x:v>Conciliado</x:v>
      </x:c>
      <x:c r="G172" s="13" t="str">
        <x:v>Sem divergência</x:v>
      </x:c>
      <x:c r="H172" s="13" t="n">
        <x:v>0.19</x:v>
      </x:c>
      <x:c r="I172" s="13" t="str">
        <x:v>Base controlada</x:v>
      </x:c>
      <x:c r="J172" s="17" t="n">
        <x:f>E172-D172</x:f>
        <x:v>0</x:v>
      </x:c>
      <x:c r="K172" s="19" t="n">
        <x:f>IFERROR(ABS(J172/D172),0)</x:f>
        <x:v>0</x:v>
      </x:c>
    </x:row>
    <x:row r="173">
      <x:c r="A173" s="13" t="str">
        <x:v>CON-000172</x:v>
      </x:c>
      <x:c r="B173" s="23" t="n">
        <x:v>45432</x:v>
      </x:c>
      <x:c r="C173" s="13" t="str">
        <x:v>Bradesco Pagamentos</x:v>
      </x:c>
      <x:c r="D173" s="17" t="n">
        <x:v>39142.95</x:v>
      </x:c>
      <x:c r="E173" s="17" t="n">
        <x:v>39142.95</x:v>
      </x:c>
      <x:c r="F173" s="13" t="str">
        <x:v>Conciliado</x:v>
      </x:c>
      <x:c r="G173" s="13" t="str">
        <x:v>Sem divergência</x:v>
      </x:c>
      <x:c r="H173" s="13" t="n">
        <x:v>0.34</x:v>
      </x:c>
      <x:c r="I173" s="13" t="str">
        <x:v>Base controlada</x:v>
      </x:c>
      <x:c r="J173" s="17" t="n">
        <x:f>E173-D173</x:f>
        <x:v>0</x:v>
      </x:c>
      <x:c r="K173" s="19" t="n">
        <x:f>IFERROR(ABS(J173/D173),0)</x:f>
        <x:v>0</x:v>
      </x:c>
    </x:row>
    <x:row r="174">
      <x:c r="A174" s="13" t="str">
        <x:v>CON-000173</x:v>
      </x:c>
      <x:c r="B174" s="23" t="n">
        <x:v>45436</x:v>
      </x:c>
      <x:c r="C174" s="13" t="str">
        <x:v>Itaú Operacional</x:v>
      </x:c>
      <x:c r="D174" s="17" t="n">
        <x:v>33056.4</x:v>
      </x:c>
      <x:c r="E174" s="17" t="n">
        <x:v>33056.4</x:v>
      </x:c>
      <x:c r="F174" s="13" t="str">
        <x:v>Conciliado</x:v>
      </x:c>
      <x:c r="G174" s="13" t="str">
        <x:v>Sem divergência</x:v>
      </x:c>
      <x:c r="H174" s="13" t="n">
        <x:v>0.27</x:v>
      </x:c>
      <x:c r="I174" s="13" t="str">
        <x:v>Base controlada</x:v>
      </x:c>
      <x:c r="J174" s="17" t="n">
        <x:f>E174-D174</x:f>
        <x:v>0</x:v>
      </x:c>
      <x:c r="K174" s="19" t="n">
        <x:f>IFERROR(ABS(J174/D174),0)</x:f>
        <x:v>0</x:v>
      </x:c>
    </x:row>
    <x:row r="175">
      <x:c r="A175" s="13" t="str">
        <x:v>CON-000174</x:v>
      </x:c>
      <x:c r="B175" s="23" t="n">
        <x:v>45415</x:v>
      </x:c>
      <x:c r="C175" s="13" t="str">
        <x:v>Bradesco Pagamentos</x:v>
      </x:c>
      <x:c r="D175" s="17" t="n">
        <x:v>31350.09</x:v>
      </x:c>
      <x:c r="E175" s="17" t="n">
        <x:v>31350.09</x:v>
      </x:c>
      <x:c r="F175" s="13" t="str">
        <x:v>Conciliado</x:v>
      </x:c>
      <x:c r="G175" s="13" t="str">
        <x:v>Sem divergência</x:v>
      </x:c>
      <x:c r="H175" s="13" t="n">
        <x:v>0.38</x:v>
      </x:c>
      <x:c r="I175" s="13" t="str">
        <x:v>Base controlada</x:v>
      </x:c>
      <x:c r="J175" s="17" t="n">
        <x:f>E175-D175</x:f>
        <x:v>0</x:v>
      </x:c>
      <x:c r="K175" s="19" t="n">
        <x:f>IFERROR(ABS(J175/D175),0)</x:f>
        <x:v>0</x:v>
      </x:c>
    </x:row>
    <x:row r="176">
      <x:c r="A176" s="13" t="str">
        <x:v>CON-000175</x:v>
      </x:c>
      <x:c r="B176" s="23" t="n">
        <x:v>45422</x:v>
      </x:c>
      <x:c r="C176" s="13" t="str">
        <x:v>Bradesco Pagamentos</x:v>
      </x:c>
      <x:c r="D176" s="17" t="n">
        <x:v>36533</x:v>
      </x:c>
      <x:c r="E176" s="17" t="n">
        <x:v>36533</x:v>
      </x:c>
      <x:c r="F176" s="13" t="str">
        <x:v>Conciliado</x:v>
      </x:c>
      <x:c r="G176" s="13" t="str">
        <x:v>Sem divergência</x:v>
      </x:c>
      <x:c r="H176" s="13" t="n">
        <x:v>0.37</x:v>
      </x:c>
      <x:c r="I176" s="13" t="str">
        <x:v>Base controlada</x:v>
      </x:c>
      <x:c r="J176" s="17" t="n">
        <x:f>E176-D176</x:f>
        <x:v>0</x:v>
      </x:c>
      <x:c r="K176" s="19" t="n">
        <x:f>IFERROR(ABS(J176/D176),0)</x:f>
        <x:v>0</x:v>
      </x:c>
    </x:row>
    <x:row r="177">
      <x:c r="A177" s="13" t="str">
        <x:v>CON-000176</x:v>
      </x:c>
      <x:c r="B177" s="23" t="n">
        <x:v>45451</x:v>
      </x:c>
      <x:c r="C177" s="13" t="str">
        <x:v>Nubank Serviços</x:v>
      </x:c>
      <x:c r="D177" s="17" t="n">
        <x:v>9199.09</x:v>
      </x:c>
      <x:c r="E177" s="17" t="n">
        <x:v>9199.09</x:v>
      </x:c>
      <x:c r="F177" s="13" t="str">
        <x:v>Conciliado</x:v>
      </x:c>
      <x:c r="G177" s="13" t="str">
        <x:v>Sem divergência</x:v>
      </x:c>
      <x:c r="H177" s="13" t="n">
        <x:v>0.45</x:v>
      </x:c>
      <x:c r="I177" s="13" t="str">
        <x:v>Base controlada</x:v>
      </x:c>
      <x:c r="J177" s="17" t="n">
        <x:f>E177-D177</x:f>
        <x:v>0</x:v>
      </x:c>
      <x:c r="K177" s="19" t="n">
        <x:f>IFERROR(ABS(J177/D177),0)</x:f>
        <x:v>0</x:v>
      </x:c>
    </x:row>
    <x:row r="178">
      <x:c r="A178" s="13" t="str">
        <x:v>CON-000177</x:v>
      </x:c>
      <x:c r="B178" s="23" t="n">
        <x:v>45459</x:v>
      </x:c>
      <x:c r="C178" s="13" t="str">
        <x:v>Bradesco Pagamentos</x:v>
      </x:c>
      <x:c r="D178" s="17" t="n">
        <x:v>11657.98</x:v>
      </x:c>
      <x:c r="E178" s="17" t="n">
        <x:v>11657.98</x:v>
      </x:c>
      <x:c r="F178" s="13" t="str">
        <x:v>Conciliado</x:v>
      </x:c>
      <x:c r="G178" s="13" t="str">
        <x:v>Sem divergência</x:v>
      </x:c>
      <x:c r="H178" s="13" t="n">
        <x:v>0.45</x:v>
      </x:c>
      <x:c r="I178" s="13" t="str">
        <x:v>Base controlada</x:v>
      </x:c>
      <x:c r="J178" s="17" t="n">
        <x:f>E178-D178</x:f>
        <x:v>0</x:v>
      </x:c>
      <x:c r="K178" s="19" t="n">
        <x:f>IFERROR(ABS(J178/D178),0)</x:f>
        <x:v>0</x:v>
      </x:c>
    </x:row>
    <x:row r="179">
      <x:c r="A179" s="13" t="str">
        <x:v>CON-000178</x:v>
      </x:c>
      <x:c r="B179" s="23" t="n">
        <x:v>45445</x:v>
      </x:c>
      <x:c r="C179" s="13" t="str">
        <x:v>Santander Recebimentos</x:v>
      </x:c>
      <x:c r="D179" s="17" t="n">
        <x:v>15571.14</x:v>
      </x:c>
      <x:c r="E179" s="17" t="n">
        <x:v>15571.14</x:v>
      </x:c>
      <x:c r="F179" s="13" t="str">
        <x:v>Conciliado</x:v>
      </x:c>
      <x:c r="G179" s="13" t="str">
        <x:v>Sem divergência</x:v>
      </x:c>
      <x:c r="H179" s="13" t="n">
        <x:v>0.1</x:v>
      </x:c>
      <x:c r="I179" s="13" t="str">
        <x:v>Base controlada</x:v>
      </x:c>
      <x:c r="J179" s="17" t="n">
        <x:f>E179-D179</x:f>
        <x:v>0</x:v>
      </x:c>
      <x:c r="K179" s="19" t="n">
        <x:f>IFERROR(ABS(J179/D179),0)</x:f>
        <x:v>0</x:v>
      </x:c>
    </x:row>
    <x:row r="180">
      <x:c r="A180" s="13" t="str">
        <x:v>CON-000179</x:v>
      </x:c>
      <x:c r="B180" s="23" t="n">
        <x:v>45460</x:v>
      </x:c>
      <x:c r="C180" s="13" t="str">
        <x:v>Nubank Serviços</x:v>
      </x:c>
      <x:c r="D180" s="17" t="n">
        <x:v>34432.28</x:v>
      </x:c>
      <x:c r="E180" s="17" t="n">
        <x:v>34432.28</x:v>
      </x:c>
      <x:c r="F180" s="13" t="str">
        <x:v>Conciliado</x:v>
      </x:c>
      <x:c r="G180" s="13" t="str">
        <x:v>Sem divergência</x:v>
      </x:c>
      <x:c r="H180" s="13" t="n">
        <x:v>0.08</x:v>
      </x:c>
      <x:c r="I180" s="13" t="str">
        <x:v>Base controlada</x:v>
      </x:c>
      <x:c r="J180" s="17" t="n">
        <x:f>E180-D180</x:f>
        <x:v>0</x:v>
      </x:c>
      <x:c r="K180" s="19" t="n">
        <x:f>IFERROR(ABS(J180/D180),0)</x:f>
        <x:v>0</x:v>
      </x:c>
    </x:row>
    <x:row r="181">
      <x:c r="A181" s="13" t="str">
        <x:v>CON-000180</x:v>
      </x:c>
      <x:c r="B181" s="23" t="n">
        <x:v>45450</x:v>
      </x:c>
      <x:c r="C181" s="13" t="str">
        <x:v>Nubank Serviços</x:v>
      </x:c>
      <x:c r="D181" s="17" t="n">
        <x:v>44473.69</x:v>
      </x:c>
      <x:c r="E181" s="17" t="n">
        <x:v>44473.69</x:v>
      </x:c>
      <x:c r="F181" s="13" t="str">
        <x:v>Conciliado</x:v>
      </x:c>
      <x:c r="G181" s="13" t="str">
        <x:v>Sem divergência</x:v>
      </x:c>
      <x:c r="H181" s="13" t="n">
        <x:v>0.4</x:v>
      </x:c>
      <x:c r="I181" s="13" t="str">
        <x:v>Base controlada</x:v>
      </x:c>
      <x:c r="J181" s="17" t="n">
        <x:f>E181-D181</x:f>
        <x:v>0</x:v>
      </x:c>
      <x:c r="K181" s="19" t="n">
        <x:f>IFERROR(ABS(J181/D181),0)</x:f>
        <x:v>0</x:v>
      </x:c>
    </x:row>
    <x:row r="182">
      <x:c r="A182" s="13" t="str">
        <x:v>CON-000181</x:v>
      </x:c>
      <x:c r="B182" s="23" t="n">
        <x:v>45458</x:v>
      </x:c>
      <x:c r="C182" s="13" t="str">
        <x:v>Itaú Operacional</x:v>
      </x:c>
      <x:c r="D182" s="17" t="n">
        <x:v>42694.11</x:v>
      </x:c>
      <x:c r="E182" s="17" t="n">
        <x:v>42694.11</x:v>
      </x:c>
      <x:c r="F182" s="13" t="str">
        <x:v>Conciliado</x:v>
      </x:c>
      <x:c r="G182" s="13" t="str">
        <x:v>Sem divergência</x:v>
      </x:c>
      <x:c r="H182" s="13" t="n">
        <x:v>0.42</x:v>
      </x:c>
      <x:c r="I182" s="13" t="str">
        <x:v>Base controlada</x:v>
      </x:c>
      <x:c r="J182" s="17" t="n">
        <x:f>E182-D182</x:f>
        <x:v>0</x:v>
      </x:c>
      <x:c r="K182" s="19" t="n">
        <x:f>IFERROR(ABS(J182/D182),0)</x:f>
        <x:v>0</x:v>
      </x:c>
    </x:row>
    <x:row r="183">
      <x:c r="A183" s="13" t="str">
        <x:v>CON-000182</x:v>
      </x:c>
      <x:c r="B183" s="23" t="n">
        <x:v>45454</x:v>
      </x:c>
      <x:c r="C183" s="13" t="str">
        <x:v>Nubank Serviços</x:v>
      </x:c>
      <x:c r="D183" s="17" t="n">
        <x:v>2123.56</x:v>
      </x:c>
      <x:c r="E183" s="17" t="n">
        <x:v>2123.56</x:v>
      </x:c>
      <x:c r="F183" s="13" t="str">
        <x:v>Conciliado</x:v>
      </x:c>
      <x:c r="G183" s="13" t="str">
        <x:v>Sem divergência</x:v>
      </x:c>
      <x:c r="H183" s="13" t="n">
        <x:v>0.07</x:v>
      </x:c>
      <x:c r="I183" s="13" t="str">
        <x:v>Base controlada</x:v>
      </x:c>
      <x:c r="J183" s="17" t="n">
        <x:f>E183-D183</x:f>
        <x:v>0</x:v>
      </x:c>
      <x:c r="K183" s="19" t="n">
        <x:f>IFERROR(ABS(J183/D183),0)</x:f>
        <x:v>0</x:v>
      </x:c>
    </x:row>
    <x:row r="184">
      <x:c r="A184" s="13" t="str">
        <x:v>CON-000183</x:v>
      </x:c>
      <x:c r="B184" s="23" t="n">
        <x:v>45459</x:v>
      </x:c>
      <x:c r="C184" s="13" t="str">
        <x:v>Nubank Serviços</x:v>
      </x:c>
      <x:c r="D184" s="17" t="n">
        <x:v>33272.54</x:v>
      </x:c>
      <x:c r="E184" s="17" t="n">
        <x:v>33272.54</x:v>
      </x:c>
      <x:c r="F184" s="13" t="str">
        <x:v>Conciliado</x:v>
      </x:c>
      <x:c r="G184" s="13" t="str">
        <x:v>Sem divergência</x:v>
      </x:c>
      <x:c r="H184" s="13" t="n">
        <x:v>0.09</x:v>
      </x:c>
      <x:c r="I184" s="13" t="str">
        <x:v>Base controlada</x:v>
      </x:c>
      <x:c r="J184" s="17" t="n">
        <x:f>E184-D184</x:f>
        <x:v>0</x:v>
      </x:c>
      <x:c r="K184" s="19" t="n">
        <x:f>IFERROR(ABS(J184/D184),0)</x:f>
        <x:v>0</x:v>
      </x:c>
    </x:row>
    <x:row r="185">
      <x:c r="A185" s="13" t="str">
        <x:v>CON-000184</x:v>
      </x:c>
      <x:c r="B185" s="23" t="n">
        <x:v>45457</x:v>
      </x:c>
      <x:c r="C185" s="13" t="str">
        <x:v>Itaú Operacional</x:v>
      </x:c>
      <x:c r="D185" s="17" t="n">
        <x:v>9148.56</x:v>
      </x:c>
      <x:c r="E185" s="17" t="n">
        <x:v>9148.56</x:v>
      </x:c>
      <x:c r="F185" s="13" t="str">
        <x:v>Conciliado</x:v>
      </x:c>
      <x:c r="G185" s="13" t="str">
        <x:v>Sem divergência</x:v>
      </x:c>
      <x:c r="H185" s="13" t="n">
        <x:v>0.29</x:v>
      </x:c>
      <x:c r="I185" s="13" t="str">
        <x:v>Base controlada</x:v>
      </x:c>
      <x:c r="J185" s="17" t="n">
        <x:f>E185-D185</x:f>
        <x:v>0</x:v>
      </x:c>
      <x:c r="K185" s="19" t="n">
        <x:f>IFERROR(ABS(J185/D185),0)</x:f>
        <x:v>0</x:v>
      </x:c>
    </x:row>
    <x:row r="186">
      <x:c r="A186" s="13" t="str">
        <x:v>CON-000185</x:v>
      </x:c>
      <x:c r="B186" s="23" t="n">
        <x:v>45469</x:v>
      </x:c>
      <x:c r="C186" s="13" t="str">
        <x:v>Itaú Operacional</x:v>
      </x:c>
      <x:c r="D186" s="17" t="n">
        <x:v>42850.62</x:v>
      </x:c>
      <x:c r="E186" s="17" t="n">
        <x:v>42850.62</x:v>
      </x:c>
      <x:c r="F186" s="13" t="str">
        <x:v>Conciliado</x:v>
      </x:c>
      <x:c r="G186" s="13" t="str">
        <x:v>Sem divergência</x:v>
      </x:c>
      <x:c r="H186" s="13" t="n">
        <x:v>0.38</x:v>
      </x:c>
      <x:c r="I186" s="13" t="str">
        <x:v>Base controlada</x:v>
      </x:c>
      <x:c r="J186" s="17" t="n">
        <x:f>E186-D186</x:f>
        <x:v>0</x:v>
      </x:c>
      <x:c r="K186" s="19" t="n">
        <x:f>IFERROR(ABS(J186/D186),0)</x:f>
        <x:v>0</x:v>
      </x:c>
    </x:row>
    <x:row r="187">
      <x:c r="A187" s="13" t="str">
        <x:v>CON-000186</x:v>
      </x:c>
      <x:c r="B187" s="23" t="n">
        <x:v>45452</x:v>
      </x:c>
      <x:c r="C187" s="13" t="str">
        <x:v>Bradesco Pagamentos</x:v>
      </x:c>
      <x:c r="D187" s="17" t="n">
        <x:v>8428.43</x:v>
      </x:c>
      <x:c r="E187" s="17" t="n">
        <x:v>8428.43</x:v>
      </x:c>
      <x:c r="F187" s="13" t="str">
        <x:v>Conciliado</x:v>
      </x:c>
      <x:c r="G187" s="13" t="str">
        <x:v>Sem divergência</x:v>
      </x:c>
      <x:c r="H187" s="13" t="n">
        <x:v>0.23</x:v>
      </x:c>
      <x:c r="I187" s="13" t="str">
        <x:v>Base controlada</x:v>
      </x:c>
      <x:c r="J187" s="17" t="n">
        <x:f>E187-D187</x:f>
        <x:v>0</x:v>
      </x:c>
      <x:c r="K187" s="19" t="n">
        <x:f>IFERROR(ABS(J187/D187),0)</x:f>
        <x:v>0</x:v>
      </x:c>
    </x:row>
    <x:row r="188">
      <x:c r="A188" s="13" t="str">
        <x:v>CON-000187</x:v>
      </x:c>
      <x:c r="B188" s="23" t="n">
        <x:v>45468</x:v>
      </x:c>
      <x:c r="C188" s="13" t="str">
        <x:v>Bradesco Pagamentos</x:v>
      </x:c>
      <x:c r="D188" s="17" t="n">
        <x:v>13054.07</x:v>
      </x:c>
      <x:c r="E188" s="17" t="n">
        <x:v>13054.07</x:v>
      </x:c>
      <x:c r="F188" s="13" t="str">
        <x:v>Conciliado</x:v>
      </x:c>
      <x:c r="G188" s="13" t="str">
        <x:v>Sem divergência</x:v>
      </x:c>
      <x:c r="H188" s="13" t="n">
        <x:v>0.3</x:v>
      </x:c>
      <x:c r="I188" s="13" t="str">
        <x:v>Base controlada</x:v>
      </x:c>
      <x:c r="J188" s="17" t="n">
        <x:f>E188-D188</x:f>
        <x:v>0</x:v>
      </x:c>
      <x:c r="K188" s="19" t="n">
        <x:f>IFERROR(ABS(J188/D188),0)</x:f>
        <x:v>0</x:v>
      </x:c>
    </x:row>
    <x:row r="189">
      <x:c r="A189" s="13" t="str">
        <x:v>CON-000188</x:v>
      </x:c>
      <x:c r="B189" s="23" t="n">
        <x:v>45449</x:v>
      </x:c>
      <x:c r="C189" s="13" t="str">
        <x:v>Itaú Operacional</x:v>
      </x:c>
      <x:c r="D189" s="17" t="n">
        <x:v>40040.18</x:v>
      </x:c>
      <x:c r="E189" s="17" t="n">
        <x:v>40040.18</x:v>
      </x:c>
      <x:c r="F189" s="13" t="str">
        <x:v>Conciliado</x:v>
      </x:c>
      <x:c r="G189" s="13" t="str">
        <x:v>Sem divergência</x:v>
      </x:c>
      <x:c r="H189" s="13" t="n">
        <x:v>0.29</x:v>
      </x:c>
      <x:c r="I189" s="13" t="str">
        <x:v>Base controlada</x:v>
      </x:c>
      <x:c r="J189" s="17" t="n">
        <x:f>E189-D189</x:f>
        <x:v>0</x:v>
      </x:c>
      <x:c r="K189" s="19" t="n">
        <x:f>IFERROR(ABS(J189/D189),0)</x:f>
        <x:v>0</x:v>
      </x:c>
    </x:row>
    <x:row r="190">
      <x:c r="A190" s="13" t="str">
        <x:v>CON-000189</x:v>
      </x:c>
      <x:c r="B190" s="23" t="n">
        <x:v>45449</x:v>
      </x:c>
      <x:c r="C190" s="13" t="str">
        <x:v>Bradesco Pagamentos</x:v>
      </x:c>
      <x:c r="D190" s="17" t="n">
        <x:v>20837.38</x:v>
      </x:c>
      <x:c r="E190" s="17" t="n">
        <x:v>20837.38</x:v>
      </x:c>
      <x:c r="F190" s="13" t="str">
        <x:v>Conciliado</x:v>
      </x:c>
      <x:c r="G190" s="13" t="str">
        <x:v>Sem divergência</x:v>
      </x:c>
      <x:c r="H190" s="13" t="n">
        <x:v>0.2</x:v>
      </x:c>
      <x:c r="I190" s="13" t="str">
        <x:v>Base controlada</x:v>
      </x:c>
      <x:c r="J190" s="17" t="n">
        <x:f>E190-D190</x:f>
        <x:v>0</x:v>
      </x:c>
      <x:c r="K190" s="19" t="n">
        <x:f>IFERROR(ABS(J190/D190),0)</x:f>
        <x:v>0</x:v>
      </x:c>
    </x:row>
    <x:row r="191">
      <x:c r="A191" s="13" t="str">
        <x:v>CON-000190</x:v>
      </x:c>
      <x:c r="B191" s="23" t="n">
        <x:v>45445</x:v>
      </x:c>
      <x:c r="C191" s="13" t="str">
        <x:v>Santander Recebimentos</x:v>
      </x:c>
      <x:c r="D191" s="17" t="n">
        <x:v>44222.98</x:v>
      </x:c>
      <x:c r="E191" s="17" t="n">
        <x:v>44222.98</x:v>
      </x:c>
      <x:c r="F191" s="13" t="str">
        <x:v>Conciliado</x:v>
      </x:c>
      <x:c r="G191" s="13" t="str">
        <x:v>Sem divergência</x:v>
      </x:c>
      <x:c r="H191" s="13" t="n">
        <x:v>0.07</x:v>
      </x:c>
      <x:c r="I191" s="13" t="str">
        <x:v>Base controlada</x:v>
      </x:c>
      <x:c r="J191" s="17" t="n">
        <x:f>E191-D191</x:f>
        <x:v>0</x:v>
      </x:c>
      <x:c r="K191" s="19" t="n">
        <x:f>IFERROR(ABS(J191/D191),0)</x:f>
        <x:v>0</x:v>
      </x:c>
    </x:row>
    <x:row r="192">
      <x:c r="A192" s="13" t="str">
        <x:v>CON-000191</x:v>
      </x:c>
      <x:c r="B192" s="23" t="n">
        <x:v>45463</x:v>
      </x:c>
      <x:c r="C192" s="13" t="str">
        <x:v>Bradesco Pagamentos</x:v>
      </x:c>
      <x:c r="D192" s="17" t="n">
        <x:v>1343.22</x:v>
      </x:c>
      <x:c r="E192" s="17" t="n">
        <x:v>1343.22</x:v>
      </x:c>
      <x:c r="F192" s="13" t="str">
        <x:v>Conciliado</x:v>
      </x:c>
      <x:c r="G192" s="13" t="str">
        <x:v>Sem divergência</x:v>
      </x:c>
      <x:c r="H192" s="13" t="n">
        <x:v>0.4</x:v>
      </x:c>
      <x:c r="I192" s="13" t="str">
        <x:v>Base controlada</x:v>
      </x:c>
      <x:c r="J192" s="17" t="n">
        <x:f>E192-D192</x:f>
        <x:v>0</x:v>
      </x:c>
      <x:c r="K192" s="19" t="n">
        <x:f>IFERROR(ABS(J192/D192),0)</x:f>
        <x:v>0</x:v>
      </x:c>
    </x:row>
    <x:row r="193">
      <x:c r="A193" s="13" t="str">
        <x:v>CON-000192</x:v>
      </x:c>
      <x:c r="B193" s="23" t="n">
        <x:v>45445</x:v>
      </x:c>
      <x:c r="C193" s="13" t="str">
        <x:v>Itaú Operacional</x:v>
      </x:c>
      <x:c r="D193" s="17" t="n">
        <x:v>23641.81</x:v>
      </x:c>
      <x:c r="E193" s="17" t="n">
        <x:v>23641.81</x:v>
      </x:c>
      <x:c r="F193" s="13" t="str">
        <x:v>Conciliado</x:v>
      </x:c>
      <x:c r="G193" s="13" t="str">
        <x:v>Sem divergência</x:v>
      </x:c>
      <x:c r="H193" s="13" t="n">
        <x:v>0.2</x:v>
      </x:c>
      <x:c r="I193" s="13" t="str">
        <x:v>Base controlada</x:v>
      </x:c>
      <x:c r="J193" s="17" t="n">
        <x:f>E193-D193</x:f>
        <x:v>0</x:v>
      </x:c>
      <x:c r="K193" s="19" t="n">
        <x:f>IFERROR(ABS(J193/D193),0)</x:f>
        <x:v>0</x:v>
      </x:c>
    </x:row>
    <x:row r="194">
      <x:c r="A194" s="13" t="str">
        <x:v>CON-000193</x:v>
      </x:c>
      <x:c r="B194" s="23" t="n">
        <x:v>45448</x:v>
      </x:c>
      <x:c r="C194" s="13" t="str">
        <x:v>Santander Recebimentos</x:v>
      </x:c>
      <x:c r="D194" s="17" t="n">
        <x:v>37590.68</x:v>
      </x:c>
      <x:c r="E194" s="17" t="n">
        <x:v>37590.68</x:v>
      </x:c>
      <x:c r="F194" s="13" t="str">
        <x:v>Conciliado</x:v>
      </x:c>
      <x:c r="G194" s="13" t="str">
        <x:v>Sem divergência</x:v>
      </x:c>
      <x:c r="H194" s="13" t="n">
        <x:v>0.33</x:v>
      </x:c>
      <x:c r="I194" s="13" t="str">
        <x:v>Base controlada</x:v>
      </x:c>
      <x:c r="J194" s="17" t="n">
        <x:f>E194-D194</x:f>
        <x:v>0</x:v>
      </x:c>
      <x:c r="K194" s="19" t="n">
        <x:f>IFERROR(ABS(J194/D194),0)</x:f>
        <x:v>0</x:v>
      </x:c>
    </x:row>
    <x:row r="195">
      <x:c r="A195" s="13" t="str">
        <x:v>CON-000194</x:v>
      </x:c>
      <x:c r="B195" s="23" t="n">
        <x:v>45466</x:v>
      </x:c>
      <x:c r="C195" s="13" t="str">
        <x:v>Bradesco Pagamentos</x:v>
      </x:c>
      <x:c r="D195" s="17" t="n">
        <x:v>9375.29</x:v>
      </x:c>
      <x:c r="E195" s="17" t="n">
        <x:v>9375.29</x:v>
      </x:c>
      <x:c r="F195" s="13" t="str">
        <x:v>Conciliado</x:v>
      </x:c>
      <x:c r="G195" s="13" t="str">
        <x:v>Sem divergência</x:v>
      </x:c>
      <x:c r="H195" s="13" t="n">
        <x:v>0.05</x:v>
      </x:c>
      <x:c r="I195" s="13" t="str">
        <x:v>Base controlada</x:v>
      </x:c>
      <x:c r="J195" s="17" t="n">
        <x:f>E195-D195</x:f>
        <x:v>0</x:v>
      </x:c>
      <x:c r="K195" s="19" t="n">
        <x:f>IFERROR(ABS(J195/D195),0)</x:f>
        <x:v>0</x:v>
      </x:c>
    </x:row>
    <x:row r="196">
      <x:c r="A196" s="13" t="str">
        <x:v>CON-000195</x:v>
      </x:c>
      <x:c r="B196" s="23" t="n">
        <x:v>45445</x:v>
      </x:c>
      <x:c r="C196" s="13" t="str">
        <x:v>Bradesco Pagamentos</x:v>
      </x:c>
      <x:c r="D196" s="17" t="n">
        <x:v>35935.53</x:v>
      </x:c>
      <x:c r="E196" s="17" t="n">
        <x:v>35935.53</x:v>
      </x:c>
      <x:c r="F196" s="13" t="str">
        <x:v>Conciliado</x:v>
      </x:c>
      <x:c r="G196" s="13" t="str">
        <x:v>Sem divergência</x:v>
      </x:c>
      <x:c r="H196" s="13" t="n">
        <x:v>0.04</x:v>
      </x:c>
      <x:c r="I196" s="13" t="str">
        <x:v>Base controlada</x:v>
      </x:c>
      <x:c r="J196" s="17" t="n">
        <x:f>E196-D196</x:f>
        <x:v>0</x:v>
      </x:c>
      <x:c r="K196" s="19" t="n">
        <x:f>IFERROR(ABS(J196/D196),0)</x:f>
        <x:v>0</x:v>
      </x:c>
    </x:row>
    <x:row r="197">
      <x:c r="A197" s="13" t="str">
        <x:v>CON-000196</x:v>
      </x:c>
      <x:c r="B197" s="23" t="n">
        <x:v>45470</x:v>
      </x:c>
      <x:c r="C197" s="13" t="str">
        <x:v>Itaú Operacional</x:v>
      </x:c>
      <x:c r="D197" s="17" t="n">
        <x:v>39025.88</x:v>
      </x:c>
      <x:c r="E197" s="17" t="n">
        <x:v>39025.88</x:v>
      </x:c>
      <x:c r="F197" s="13" t="str">
        <x:v>Conciliado</x:v>
      </x:c>
      <x:c r="G197" s="13" t="str">
        <x:v>Sem divergência</x:v>
      </x:c>
      <x:c r="H197" s="13" t="n">
        <x:v>0.15</x:v>
      </x:c>
      <x:c r="I197" s="13" t="str">
        <x:v>Base controlada</x:v>
      </x:c>
      <x:c r="J197" s="17" t="n">
        <x:f>E197-D197</x:f>
        <x:v>0</x:v>
      </x:c>
      <x:c r="K197" s="19" t="n">
        <x:f>IFERROR(ABS(J197/D197),0)</x:f>
        <x:v>0</x:v>
      </x:c>
    </x:row>
    <x:row r="198">
      <x:c r="A198" s="13" t="str">
        <x:v>CON-000197</x:v>
      </x:c>
      <x:c r="B198" s="23" t="n">
        <x:v>45469</x:v>
      </x:c>
      <x:c r="C198" s="13" t="str">
        <x:v>Santander Recebimentos</x:v>
      </x:c>
      <x:c r="D198" s="17" t="n">
        <x:v>21460.82</x:v>
      </x:c>
      <x:c r="E198" s="17" t="n">
        <x:v>21460.82</x:v>
      </x:c>
      <x:c r="F198" s="13" t="str">
        <x:v>Conciliado</x:v>
      </x:c>
      <x:c r="G198" s="13" t="str">
        <x:v>Sem divergência</x:v>
      </x:c>
      <x:c r="H198" s="13" t="n">
        <x:v>0.05</x:v>
      </x:c>
      <x:c r="I198" s="13" t="str">
        <x:v>Base controlada</x:v>
      </x:c>
      <x:c r="J198" s="17" t="n">
        <x:f>E198-D198</x:f>
        <x:v>0</x:v>
      </x:c>
      <x:c r="K198" s="19" t="n">
        <x:f>IFERROR(ABS(J198/D198),0)</x:f>
        <x:v>0</x:v>
      </x:c>
    </x:row>
    <x:row r="199">
      <x:c r="A199" s="13" t="str">
        <x:v>CON-000198</x:v>
      </x:c>
      <x:c r="B199" s="23" t="n">
        <x:v>45444</x:v>
      </x:c>
      <x:c r="C199" s="13" t="str">
        <x:v>Nubank Serviços</x:v>
      </x:c>
      <x:c r="D199" s="17" t="n">
        <x:v>38654.55</x:v>
      </x:c>
      <x:c r="E199" s="17" t="n">
        <x:v>38654.55</x:v>
      </x:c>
      <x:c r="F199" s="13" t="str">
        <x:v>Conciliado</x:v>
      </x:c>
      <x:c r="G199" s="13" t="str">
        <x:v>Sem divergência</x:v>
      </x:c>
      <x:c r="H199" s="13" t="n">
        <x:v>0.32</x:v>
      </x:c>
      <x:c r="I199" s="13" t="str">
        <x:v>Base controlada</x:v>
      </x:c>
      <x:c r="J199" s="17" t="n">
        <x:f>E199-D199</x:f>
        <x:v>0</x:v>
      </x:c>
      <x:c r="K199" s="19" t="n">
        <x:f>IFERROR(ABS(J199/D199),0)</x:f>
        <x:v>0</x:v>
      </x:c>
    </x:row>
    <x:row r="200">
      <x:c r="A200" s="13" t="str">
        <x:v>CON-000199</x:v>
      </x:c>
      <x:c r="B200" s="23" t="n">
        <x:v>45444</x:v>
      </x:c>
      <x:c r="C200" s="13" t="str">
        <x:v>Santander Recebimentos</x:v>
      </x:c>
      <x:c r="D200" s="17" t="n">
        <x:v>29586.4</x:v>
      </x:c>
      <x:c r="E200" s="17" t="n">
        <x:v>29586.4</x:v>
      </x:c>
      <x:c r="F200" s="13" t="str">
        <x:v>Conciliado</x:v>
      </x:c>
      <x:c r="G200" s="13" t="str">
        <x:v>Sem divergência</x:v>
      </x:c>
      <x:c r="H200" s="13" t="n">
        <x:v>0.4</x:v>
      </x:c>
      <x:c r="I200" s="13" t="str">
        <x:v>Base controlada</x:v>
      </x:c>
      <x:c r="J200" s="17" t="n">
        <x:f>E200-D200</x:f>
        <x:v>0</x:v>
      </x:c>
      <x:c r="K200" s="19" t="n">
        <x:f>IFERROR(ABS(J200/D200),0)</x:f>
        <x:v>0</x:v>
      </x:c>
    </x:row>
    <x:row r="201">
      <x:c r="A201" s="13" t="str">
        <x:v>CON-000200</x:v>
      </x:c>
      <x:c r="B201" s="23" t="n">
        <x:v>45470</x:v>
      </x:c>
      <x:c r="C201" s="13" t="str">
        <x:v>Nubank Serviços</x:v>
      </x:c>
      <x:c r="D201" s="17" t="n">
        <x:v>8181.25</x:v>
      </x:c>
      <x:c r="E201" s="17" t="n">
        <x:v>8181.25</x:v>
      </x:c>
      <x:c r="F201" s="13" t="str">
        <x:v>Conciliado</x:v>
      </x:c>
      <x:c r="G201" s="13" t="str">
        <x:v>Sem divergência</x:v>
      </x:c>
      <x:c r="H201" s="13" t="n">
        <x:v>0.37</x:v>
      </x:c>
      <x:c r="I201" s="13" t="str">
        <x:v>Base controlada</x:v>
      </x:c>
      <x:c r="J201" s="17" t="n">
        <x:f>E201-D201</x:f>
        <x:v>0</x:v>
      </x:c>
      <x:c r="K201" s="19" t="n">
        <x:f>IFERROR(ABS(J201/D201),0)</x:f>
        <x:v>0</x:v>
      </x:c>
    </x:row>
    <x:row r="202">
      <x:c r="A202" s="13" t="str">
        <x:v>CON-000201</x:v>
      </x:c>
      <x:c r="B202" s="23" t="n">
        <x:v>45471</x:v>
      </x:c>
      <x:c r="C202" s="13" t="str">
        <x:v>Bradesco Pagamentos</x:v>
      </x:c>
      <x:c r="D202" s="17" t="n">
        <x:v>19280.22</x:v>
      </x:c>
      <x:c r="E202" s="17" t="n">
        <x:v>19280.22</x:v>
      </x:c>
      <x:c r="F202" s="13" t="str">
        <x:v>Conciliado</x:v>
      </x:c>
      <x:c r="G202" s="13" t="str">
        <x:v>Sem divergência</x:v>
      </x:c>
      <x:c r="H202" s="13" t="n">
        <x:v>0.05</x:v>
      </x:c>
      <x:c r="I202" s="13" t="str">
        <x:v>Base controlada</x:v>
      </x:c>
      <x:c r="J202" s="17" t="n">
        <x:f>E202-D202</x:f>
        <x:v>0</x:v>
      </x:c>
      <x:c r="K202" s="19" t="n">
        <x:f>IFERROR(ABS(J202/D202),0)</x:f>
        <x:v>0</x:v>
      </x:c>
    </x:row>
    <x:row r="203">
      <x:c r="A203" s="13" t="str">
        <x:v>CON-000202</x:v>
      </x:c>
      <x:c r="B203" s="23" t="n">
        <x:v>45451</x:v>
      </x:c>
      <x:c r="C203" s="13" t="str">
        <x:v>Itaú Operacional</x:v>
      </x:c>
      <x:c r="D203" s="17" t="n">
        <x:v>28744.98</x:v>
      </x:c>
      <x:c r="E203" s="17" t="n">
        <x:v>28744.98</x:v>
      </x:c>
      <x:c r="F203" s="13" t="str">
        <x:v>Conciliado</x:v>
      </x:c>
      <x:c r="G203" s="13" t="str">
        <x:v>Sem divergência</x:v>
      </x:c>
      <x:c r="H203" s="13" t="n">
        <x:v>0.24</x:v>
      </x:c>
      <x:c r="I203" s="13" t="str">
        <x:v>Base controlada</x:v>
      </x:c>
      <x:c r="J203" s="17" t="n">
        <x:f>E203-D203</x:f>
        <x:v>0</x:v>
      </x:c>
      <x:c r="K203" s="19" t="n">
        <x:f>IFERROR(ABS(J203/D203),0)</x:f>
        <x:v>0</x:v>
      </x:c>
    </x:row>
    <x:row r="204">
      <x:c r="A204" s="13" t="str">
        <x:v>CON-000203</x:v>
      </x:c>
      <x:c r="B204" s="23" t="n">
        <x:v>45454</x:v>
      </x:c>
      <x:c r="C204" s="13" t="str">
        <x:v>Bradesco Pagamentos</x:v>
      </x:c>
      <x:c r="D204" s="17" t="n">
        <x:v>14076.5</x:v>
      </x:c>
      <x:c r="E204" s="17" t="n">
        <x:v>14076.5</x:v>
      </x:c>
      <x:c r="F204" s="13" t="str">
        <x:v>Conciliado</x:v>
      </x:c>
      <x:c r="G204" s="13" t="str">
        <x:v>Sem divergência</x:v>
      </x:c>
      <x:c r="H204" s="13" t="n">
        <x:v>0.16</x:v>
      </x:c>
      <x:c r="I204" s="13" t="str">
        <x:v>Base controlada</x:v>
      </x:c>
      <x:c r="J204" s="17" t="n">
        <x:f>E204-D204</x:f>
        <x:v>0</x:v>
      </x:c>
      <x:c r="K204" s="19" t="n">
        <x:f>IFERROR(ABS(J204/D204),0)</x:f>
        <x:v>0</x:v>
      </x:c>
    </x:row>
    <x:row r="205">
      <x:c r="A205" s="13" t="str">
        <x:v>CON-000204</x:v>
      </x:c>
      <x:c r="B205" s="23" t="n">
        <x:v>45454</x:v>
      </x:c>
      <x:c r="C205" s="13" t="str">
        <x:v>Santander Recebimentos</x:v>
      </x:c>
      <x:c r="D205" s="17" t="n">
        <x:v>26395.75</x:v>
      </x:c>
      <x:c r="E205" s="17" t="n">
        <x:v>26395.75</x:v>
      </x:c>
      <x:c r="F205" s="13" t="str">
        <x:v>Conciliado</x:v>
      </x:c>
      <x:c r="G205" s="13" t="str">
        <x:v>Sem divergência</x:v>
      </x:c>
      <x:c r="H205" s="13" t="n">
        <x:v>0.35</x:v>
      </x:c>
      <x:c r="I205" s="13" t="str">
        <x:v>Base controlada</x:v>
      </x:c>
      <x:c r="J205" s="17" t="n">
        <x:f>E205-D205</x:f>
        <x:v>0</x:v>
      </x:c>
      <x:c r="K205" s="19" t="n">
        <x:f>IFERROR(ABS(J205/D205),0)</x:f>
        <x:v>0</x:v>
      </x:c>
    </x:row>
    <x:row r="206">
      <x:c r="A206" s="13" t="str">
        <x:v>CON-000205</x:v>
      </x:c>
      <x:c r="B206" s="23" t="n">
        <x:v>45452</x:v>
      </x:c>
      <x:c r="C206" s="13" t="str">
        <x:v>Bradesco Pagamentos</x:v>
      </x:c>
      <x:c r="D206" s="17" t="n">
        <x:v>30818.52</x:v>
      </x:c>
      <x:c r="E206" s="17" t="n">
        <x:v>30818.52</x:v>
      </x:c>
      <x:c r="F206" s="13" t="str">
        <x:v>Conciliado</x:v>
      </x:c>
      <x:c r="G206" s="13" t="str">
        <x:v>Sem divergência</x:v>
      </x:c>
      <x:c r="H206" s="13" t="n">
        <x:v>0.44</x:v>
      </x:c>
      <x:c r="I206" s="13" t="str">
        <x:v>Base controlada</x:v>
      </x:c>
      <x:c r="J206" s="17" t="n">
        <x:f>E206-D206</x:f>
        <x:v>0</x:v>
      </x:c>
      <x:c r="K206" s="19" t="n">
        <x:f>IFERROR(ABS(J206/D206),0)</x:f>
        <x:v>0</x:v>
      </x:c>
    </x:row>
    <x:row r="207">
      <x:c r="A207" s="13" t="str">
        <x:v>CON-000206</x:v>
      </x:c>
      <x:c r="B207" s="23" t="n">
        <x:v>45456</x:v>
      </x:c>
      <x:c r="C207" s="13" t="str">
        <x:v>Itaú Operacional</x:v>
      </x:c>
      <x:c r="D207" s="17" t="n">
        <x:v>42177.15</x:v>
      </x:c>
      <x:c r="E207" s="17" t="n">
        <x:v>42177.15</x:v>
      </x:c>
      <x:c r="F207" s="13" t="str">
        <x:v>Conciliado</x:v>
      </x:c>
      <x:c r="G207" s="13" t="str">
        <x:v>Sem divergência</x:v>
      </x:c>
      <x:c r="H207" s="13" t="n">
        <x:v>0.45</x:v>
      </x:c>
      <x:c r="I207" s="13" t="str">
        <x:v>Base controlada</x:v>
      </x:c>
      <x:c r="J207" s="17" t="n">
        <x:f>E207-D207</x:f>
        <x:v>0</x:v>
      </x:c>
      <x:c r="K207" s="19" t="n">
        <x:f>IFERROR(ABS(J207/D207),0)</x:f>
        <x:v>0</x:v>
      </x:c>
    </x:row>
    <x:row r="208">
      <x:c r="A208" s="13" t="str">
        <x:v>CON-000207</x:v>
      </x:c>
      <x:c r="B208" s="23" t="n">
        <x:v>45470</x:v>
      </x:c>
      <x:c r="C208" s="13" t="str">
        <x:v>Bradesco Pagamentos</x:v>
      </x:c>
      <x:c r="D208" s="17" t="n">
        <x:v>15976.75</x:v>
      </x:c>
      <x:c r="E208" s="17" t="n">
        <x:v>15976.75</x:v>
      </x:c>
      <x:c r="F208" s="13" t="str">
        <x:v>Conciliado</x:v>
      </x:c>
      <x:c r="G208" s="13" t="str">
        <x:v>Sem divergência</x:v>
      </x:c>
      <x:c r="H208" s="13" t="n">
        <x:v>0.36</x:v>
      </x:c>
      <x:c r="I208" s="13" t="str">
        <x:v>Base controlada</x:v>
      </x:c>
      <x:c r="J208" s="17" t="n">
        <x:f>E208-D208</x:f>
        <x:v>0</x:v>
      </x:c>
      <x:c r="K208" s="19" t="n">
        <x:f>IFERROR(ABS(J208/D208),0)</x:f>
        <x:v>0</x:v>
      </x:c>
    </x:row>
    <x:row r="209">
      <x:c r="A209" s="13" t="str">
        <x:v>CON-000208</x:v>
      </x:c>
      <x:c r="B209" s="23" t="n">
        <x:v>45458</x:v>
      </x:c>
      <x:c r="C209" s="13" t="str">
        <x:v>Itaú Operacional</x:v>
      </x:c>
      <x:c r="D209" s="17" t="n">
        <x:v>14272.32</x:v>
      </x:c>
      <x:c r="E209" s="17" t="n">
        <x:v>14272.32</x:v>
      </x:c>
      <x:c r="F209" s="13" t="str">
        <x:v>Conciliado</x:v>
      </x:c>
      <x:c r="G209" s="13" t="str">
        <x:v>Sem divergência</x:v>
      </x:c>
      <x:c r="H209" s="13" t="n">
        <x:v>0.19</x:v>
      </x:c>
      <x:c r="I209" s="13" t="str">
        <x:v>Base controlada</x:v>
      </x:c>
      <x:c r="J209" s="17" t="n">
        <x:f>E209-D209</x:f>
        <x:v>0</x:v>
      </x:c>
      <x:c r="K209" s="19" t="n">
        <x:f>IFERROR(ABS(J209/D209),0)</x:f>
        <x:v>0</x:v>
      </x:c>
    </x:row>
    <x:row r="210">
      <x:c r="A210" s="13" t="str">
        <x:v>CON-000209</x:v>
      </x:c>
      <x:c r="B210" s="23" t="n">
        <x:v>45462</x:v>
      </x:c>
      <x:c r="C210" s="13" t="str">
        <x:v>Santander Recebimentos</x:v>
      </x:c>
      <x:c r="D210" s="17" t="n">
        <x:v>30997.34</x:v>
      </x:c>
      <x:c r="E210" s="17" t="n">
        <x:v>30997.34</x:v>
      </x:c>
      <x:c r="F210" s="13" t="str">
        <x:v>Conciliado</x:v>
      </x:c>
      <x:c r="G210" s="13" t="str">
        <x:v>Sem divergência</x:v>
      </x:c>
      <x:c r="H210" s="13" t="n">
        <x:v>0.04</x:v>
      </x:c>
      <x:c r="I210" s="13" t="str">
        <x:v>Base controlada</x:v>
      </x:c>
      <x:c r="J210" s="17" t="n">
        <x:f>E210-D210</x:f>
        <x:v>0</x:v>
      </x:c>
      <x:c r="K210" s="19" t="n">
        <x:f>IFERROR(ABS(J210/D210),0)</x:f>
        <x:v>0</x:v>
      </x:c>
    </x:row>
    <x:row r="211">
      <x:c r="A211" s="13" t="str">
        <x:v>CON-000210</x:v>
      </x:c>
      <x:c r="B211" s="23" t="n">
        <x:v>45444</x:v>
      </x:c>
      <x:c r="C211" s="13" t="str">
        <x:v>Santander Recebimentos</x:v>
      </x:c>
      <x:c r="D211" s="17" t="n">
        <x:v>18064.61</x:v>
      </x:c>
      <x:c r="E211" s="17" t="n">
        <x:v>18351.06</x:v>
      </x:c>
      <x:c r="F211" s="13" t="str">
        <x:v>Pendente</x:v>
      </x:c>
      <x:c r="G211" s="13" t="str">
        <x:v>Valor divergente</x:v>
      </x:c>
      <x:c r="H211" s="13" t="n">
        <x:v>8.34</x:v>
      </x:c>
      <x:c r="I211" s="13" t="str">
        <x:v>Base controlada</x:v>
      </x:c>
      <x:c r="J211" s="17" t="n">
        <x:f>E211-D211</x:f>
        <x:v>286.4500000000007</x:v>
      </x:c>
      <x:c r="K211" s="19" t="n">
        <x:f>IFERROR(ABS(J211/D211),0)</x:f>
        <x:v>0.015856971171810556</x:v>
      </x:c>
    </x:row>
    <x:row r="212">
      <x:c r="A212" s="13" t="str">
        <x:v>CON-000211</x:v>
      </x:c>
      <x:c r="B212" s="23" t="n">
        <x:v>45494</x:v>
      </x:c>
      <x:c r="C212" s="13" t="str">
        <x:v>Santander Recebimentos</x:v>
      </x:c>
      <x:c r="D212" s="17" t="n">
        <x:v>36175.31</x:v>
      </x:c>
      <x:c r="E212" s="17" t="n">
        <x:v>36175.31</x:v>
      </x:c>
      <x:c r="F212" s="13" t="str">
        <x:v>Conciliado</x:v>
      </x:c>
      <x:c r="G212" s="13" t="str">
        <x:v>Sem divergência</x:v>
      </x:c>
      <x:c r="H212" s="13" t="n">
        <x:v>0.22</x:v>
      </x:c>
      <x:c r="I212" s="13" t="str">
        <x:v>Crescimento sem escala</x:v>
      </x:c>
      <x:c r="J212" s="17" t="n">
        <x:f>E212-D212</x:f>
        <x:v>0</x:v>
      </x:c>
      <x:c r="K212" s="19" t="n">
        <x:f>IFERROR(ABS(J212/D212),0)</x:f>
        <x:v>0</x:v>
      </x:c>
    </x:row>
    <x:row r="213">
      <x:c r="A213" s="13" t="str">
        <x:v>CON-000212</x:v>
      </x:c>
      <x:c r="B213" s="23" t="n">
        <x:v>45475</x:v>
      </x:c>
      <x:c r="C213" s="13" t="str">
        <x:v>Itaú Operacional</x:v>
      </x:c>
      <x:c r="D213" s="17" t="n">
        <x:v>6017.73</x:v>
      </x:c>
      <x:c r="E213" s="17" t="n">
        <x:v>6017.73</x:v>
      </x:c>
      <x:c r="F213" s="13" t="str">
        <x:v>Conciliado</x:v>
      </x:c>
      <x:c r="G213" s="13" t="str">
        <x:v>Sem divergência</x:v>
      </x:c>
      <x:c r="H213" s="13" t="n">
        <x:v>0.23</x:v>
      </x:c>
      <x:c r="I213" s="13" t="str">
        <x:v>Crescimento sem escala</x:v>
      </x:c>
      <x:c r="J213" s="17" t="n">
        <x:f>E213-D213</x:f>
        <x:v>0</x:v>
      </x:c>
      <x:c r="K213" s="19" t="n">
        <x:f>IFERROR(ABS(J213/D213),0)</x:f>
        <x:v>0</x:v>
      </x:c>
    </x:row>
    <x:row r="214">
      <x:c r="A214" s="13" t="str">
        <x:v>CON-000213</x:v>
      </x:c>
      <x:c r="B214" s="23" t="n">
        <x:v>45476</x:v>
      </x:c>
      <x:c r="C214" s="13" t="str">
        <x:v>Bradesco Pagamentos</x:v>
      </x:c>
      <x:c r="D214" s="17" t="n">
        <x:v>4578.25</x:v>
      </x:c>
      <x:c r="E214" s="17" t="n">
        <x:v>4578.25</x:v>
      </x:c>
      <x:c r="F214" s="13" t="str">
        <x:v>Conciliado</x:v>
      </x:c>
      <x:c r="G214" s="13" t="str">
        <x:v>Sem divergência</x:v>
      </x:c>
      <x:c r="H214" s="13" t="n">
        <x:v>0.41</x:v>
      </x:c>
      <x:c r="I214" s="13" t="str">
        <x:v>Crescimento sem escala</x:v>
      </x:c>
      <x:c r="J214" s="17" t="n">
        <x:f>E214-D214</x:f>
        <x:v>0</x:v>
      </x:c>
      <x:c r="K214" s="19" t="n">
        <x:f>IFERROR(ABS(J214/D214),0)</x:f>
        <x:v>0</x:v>
      </x:c>
    </x:row>
    <x:row r="215">
      <x:c r="A215" s="13" t="str">
        <x:v>CON-000214</x:v>
      </x:c>
      <x:c r="B215" s="23" t="n">
        <x:v>45491</x:v>
      </x:c>
      <x:c r="C215" s="13" t="str">
        <x:v>Itaú Operacional</x:v>
      </x:c>
      <x:c r="D215" s="17" t="n">
        <x:v>18892.51</x:v>
      </x:c>
      <x:c r="E215" s="17" t="n">
        <x:v>18892.51</x:v>
      </x:c>
      <x:c r="F215" s="13" t="str">
        <x:v>Conciliado</x:v>
      </x:c>
      <x:c r="G215" s="13" t="str">
        <x:v>Sem divergência</x:v>
      </x:c>
      <x:c r="H215" s="13" t="n">
        <x:v>0.11</x:v>
      </x:c>
      <x:c r="I215" s="13" t="str">
        <x:v>Crescimento sem escala</x:v>
      </x:c>
      <x:c r="J215" s="17" t="n">
        <x:f>E215-D215</x:f>
        <x:v>0</x:v>
      </x:c>
      <x:c r="K215" s="19" t="n">
        <x:f>IFERROR(ABS(J215/D215),0)</x:f>
        <x:v>0</x:v>
      </x:c>
    </x:row>
    <x:row r="216">
      <x:c r="A216" s="13" t="str">
        <x:v>CON-000215</x:v>
      </x:c>
      <x:c r="B216" s="23" t="n">
        <x:v>45498</x:v>
      </x:c>
      <x:c r="C216" s="13" t="str">
        <x:v>Itaú Operacional</x:v>
      </x:c>
      <x:c r="D216" s="17" t="n">
        <x:v>11941.93</x:v>
      </x:c>
      <x:c r="E216" s="17" t="n">
        <x:v>11941.93</x:v>
      </x:c>
      <x:c r="F216" s="13" t="str">
        <x:v>Conciliado</x:v>
      </x:c>
      <x:c r="G216" s="13" t="str">
        <x:v>Sem divergência</x:v>
      </x:c>
      <x:c r="H216" s="13" t="n">
        <x:v>0.36</x:v>
      </x:c>
      <x:c r="I216" s="13" t="str">
        <x:v>Crescimento sem escala</x:v>
      </x:c>
      <x:c r="J216" s="17" t="n">
        <x:f>E216-D216</x:f>
        <x:v>0</x:v>
      </x:c>
      <x:c r="K216" s="19" t="n">
        <x:f>IFERROR(ABS(J216/D216),0)</x:f>
        <x:v>0</x:v>
      </x:c>
    </x:row>
    <x:row r="217">
      <x:c r="A217" s="13" t="str">
        <x:v>CON-000216</x:v>
      </x:c>
      <x:c r="B217" s="23" t="n">
        <x:v>45489</x:v>
      </x:c>
      <x:c r="C217" s="13" t="str">
        <x:v>Bradesco Pagamentos</x:v>
      </x:c>
      <x:c r="D217" s="17" t="n">
        <x:v>7786.9</x:v>
      </x:c>
      <x:c r="E217" s="17" t="n">
        <x:v>7786.9</x:v>
      </x:c>
      <x:c r="F217" s="13" t="str">
        <x:v>Conciliado</x:v>
      </x:c>
      <x:c r="G217" s="13" t="str">
        <x:v>Sem divergência</x:v>
      </x:c>
      <x:c r="H217" s="13" t="n">
        <x:v>0.31</x:v>
      </x:c>
      <x:c r="I217" s="13" t="str">
        <x:v>Crescimento sem escala</x:v>
      </x:c>
      <x:c r="J217" s="17" t="n">
        <x:f>E217-D217</x:f>
        <x:v>0</x:v>
      </x:c>
      <x:c r="K217" s="19" t="n">
        <x:f>IFERROR(ABS(J217/D217),0)</x:f>
        <x:v>0</x:v>
      </x:c>
    </x:row>
    <x:row r="218">
      <x:c r="A218" s="13" t="str">
        <x:v>CON-000217</x:v>
      </x:c>
      <x:c r="B218" s="23" t="n">
        <x:v>45486</x:v>
      </x:c>
      <x:c r="C218" s="13" t="str">
        <x:v>Nubank Serviços</x:v>
      </x:c>
      <x:c r="D218" s="17" t="n">
        <x:v>4089.05</x:v>
      </x:c>
      <x:c r="E218" s="17" t="n">
        <x:v>4089.05</x:v>
      </x:c>
      <x:c r="F218" s="13" t="str">
        <x:v>Conciliado</x:v>
      </x:c>
      <x:c r="G218" s="13" t="str">
        <x:v>Sem divergência</x:v>
      </x:c>
      <x:c r="H218" s="13" t="n">
        <x:v>0.24</x:v>
      </x:c>
      <x:c r="I218" s="13" t="str">
        <x:v>Crescimento sem escala</x:v>
      </x:c>
      <x:c r="J218" s="17" t="n">
        <x:f>E218-D218</x:f>
        <x:v>0</x:v>
      </x:c>
      <x:c r="K218" s="19" t="n">
        <x:f>IFERROR(ABS(J218/D218),0)</x:f>
        <x:v>0</x:v>
      </x:c>
    </x:row>
    <x:row r="219">
      <x:c r="A219" s="13" t="str">
        <x:v>CON-000218</x:v>
      </x:c>
      <x:c r="B219" s="23" t="n">
        <x:v>45499</x:v>
      </x:c>
      <x:c r="C219" s="13" t="str">
        <x:v>Santander Recebimentos</x:v>
      </x:c>
      <x:c r="D219" s="17" t="n">
        <x:v>275.51</x:v>
      </x:c>
      <x:c r="E219" s="17" t="n">
        <x:v>275.51</x:v>
      </x:c>
      <x:c r="F219" s="13" t="str">
        <x:v>Conciliado</x:v>
      </x:c>
      <x:c r="G219" s="13" t="str">
        <x:v>Sem divergência</x:v>
      </x:c>
      <x:c r="H219" s="13" t="n">
        <x:v>0.24</x:v>
      </x:c>
      <x:c r="I219" s="13" t="str">
        <x:v>Crescimento sem escala</x:v>
      </x:c>
      <x:c r="J219" s="17" t="n">
        <x:f>E219-D219</x:f>
        <x:v>0</x:v>
      </x:c>
      <x:c r="K219" s="19" t="n">
        <x:f>IFERROR(ABS(J219/D219),0)</x:f>
        <x:v>0</x:v>
      </x:c>
    </x:row>
    <x:row r="220">
      <x:c r="A220" s="13" t="str">
        <x:v>CON-000219</x:v>
      </x:c>
      <x:c r="B220" s="23" t="n">
        <x:v>45481</x:v>
      </x:c>
      <x:c r="C220" s="13" t="str">
        <x:v>Santander Recebimentos</x:v>
      </x:c>
      <x:c r="D220" s="17" t="n">
        <x:v>20980.78</x:v>
      </x:c>
      <x:c r="E220" s="17" t="n">
        <x:v>20980.78</x:v>
      </x:c>
      <x:c r="F220" s="13" t="str">
        <x:v>Conciliado</x:v>
      </x:c>
      <x:c r="G220" s="13" t="str">
        <x:v>Sem divergência</x:v>
      </x:c>
      <x:c r="H220" s="13" t="n">
        <x:v>0.07</x:v>
      </x:c>
      <x:c r="I220" s="13" t="str">
        <x:v>Crescimento sem escala</x:v>
      </x:c>
      <x:c r="J220" s="17" t="n">
        <x:f>E220-D220</x:f>
        <x:v>0</x:v>
      </x:c>
      <x:c r="K220" s="19" t="n">
        <x:f>IFERROR(ABS(J220/D220),0)</x:f>
        <x:v>0</x:v>
      </x:c>
    </x:row>
    <x:row r="221">
      <x:c r="A221" s="13" t="str">
        <x:v>CON-000220</x:v>
      </x:c>
      <x:c r="B221" s="23" t="n">
        <x:v>45492</x:v>
      </x:c>
      <x:c r="C221" s="13" t="str">
        <x:v>Santander Recebimentos</x:v>
      </x:c>
      <x:c r="D221" s="17" t="n">
        <x:v>24309.31</x:v>
      </x:c>
      <x:c r="E221" s="17" t="n">
        <x:v>24309.31</x:v>
      </x:c>
      <x:c r="F221" s="13" t="str">
        <x:v>Conciliado</x:v>
      </x:c>
      <x:c r="G221" s="13" t="str">
        <x:v>Sem divergência</x:v>
      </x:c>
      <x:c r="H221" s="13" t="n">
        <x:v>0.42</x:v>
      </x:c>
      <x:c r="I221" s="13" t="str">
        <x:v>Crescimento sem escala</x:v>
      </x:c>
      <x:c r="J221" s="17" t="n">
        <x:f>E221-D221</x:f>
        <x:v>0</x:v>
      </x:c>
      <x:c r="K221" s="19" t="n">
        <x:f>IFERROR(ABS(J221/D221),0)</x:f>
        <x:v>0</x:v>
      </x:c>
    </x:row>
    <x:row r="222">
      <x:c r="A222" s="13" t="str">
        <x:v>CON-000221</x:v>
      </x:c>
      <x:c r="B222" s="23" t="n">
        <x:v>45481</x:v>
      </x:c>
      <x:c r="C222" s="13" t="str">
        <x:v>Nubank Serviços</x:v>
      </x:c>
      <x:c r="D222" s="17" t="n">
        <x:v>3005.43</x:v>
      </x:c>
      <x:c r="E222" s="17" t="n">
        <x:v>3005.43</x:v>
      </x:c>
      <x:c r="F222" s="13" t="str">
        <x:v>Conciliado</x:v>
      </x:c>
      <x:c r="G222" s="13" t="str">
        <x:v>Sem divergência</x:v>
      </x:c>
      <x:c r="H222" s="13" t="n">
        <x:v>0.04</x:v>
      </x:c>
      <x:c r="I222" s="13" t="str">
        <x:v>Crescimento sem escala</x:v>
      </x:c>
      <x:c r="J222" s="17" t="n">
        <x:f>E222-D222</x:f>
        <x:v>0</x:v>
      </x:c>
      <x:c r="K222" s="19" t="n">
        <x:f>IFERROR(ABS(J222/D222),0)</x:f>
        <x:v>0</x:v>
      </x:c>
    </x:row>
    <x:row r="223">
      <x:c r="A223" s="13" t="str">
        <x:v>CON-000222</x:v>
      </x:c>
      <x:c r="B223" s="23" t="n">
        <x:v>45480</x:v>
      </x:c>
      <x:c r="C223" s="13" t="str">
        <x:v>Bradesco Pagamentos</x:v>
      </x:c>
      <x:c r="D223" s="17" t="n">
        <x:v>10337.68</x:v>
      </x:c>
      <x:c r="E223" s="17" t="n">
        <x:v>10337.68</x:v>
      </x:c>
      <x:c r="F223" s="13" t="str">
        <x:v>Conciliado</x:v>
      </x:c>
      <x:c r="G223" s="13" t="str">
        <x:v>Sem divergência</x:v>
      </x:c>
      <x:c r="H223" s="13" t="n">
        <x:v>0.39</x:v>
      </x:c>
      <x:c r="I223" s="13" t="str">
        <x:v>Crescimento sem escala</x:v>
      </x:c>
      <x:c r="J223" s="17" t="n">
        <x:f>E223-D223</x:f>
        <x:v>0</x:v>
      </x:c>
      <x:c r="K223" s="19" t="n">
        <x:f>IFERROR(ABS(J223/D223),0)</x:f>
        <x:v>0</x:v>
      </x:c>
    </x:row>
    <x:row r="224">
      <x:c r="A224" s="13" t="str">
        <x:v>CON-000223</x:v>
      </x:c>
      <x:c r="B224" s="23" t="n">
        <x:v>45491</x:v>
      </x:c>
      <x:c r="C224" s="13" t="str">
        <x:v>Santander Recebimentos</x:v>
      </x:c>
      <x:c r="D224" s="17" t="n">
        <x:v>21617.72</x:v>
      </x:c>
      <x:c r="E224" s="17" t="n">
        <x:v>21617.72</x:v>
      </x:c>
      <x:c r="F224" s="13" t="str">
        <x:v>Conciliado</x:v>
      </x:c>
      <x:c r="G224" s="13" t="str">
        <x:v>Sem divergência</x:v>
      </x:c>
      <x:c r="H224" s="13" t="n">
        <x:v>0.09</x:v>
      </x:c>
      <x:c r="I224" s="13" t="str">
        <x:v>Crescimento sem escala</x:v>
      </x:c>
      <x:c r="J224" s="17" t="n">
        <x:f>E224-D224</x:f>
        <x:v>0</x:v>
      </x:c>
      <x:c r="K224" s="19" t="n">
        <x:f>IFERROR(ABS(J224/D224),0)</x:f>
        <x:v>0</x:v>
      </x:c>
    </x:row>
    <x:row r="225">
      <x:c r="A225" s="13" t="str">
        <x:v>CON-000224</x:v>
      </x:c>
      <x:c r="B225" s="23" t="n">
        <x:v>45501</x:v>
      </x:c>
      <x:c r="C225" s="13" t="str">
        <x:v>Nubank Serviços</x:v>
      </x:c>
      <x:c r="D225" s="17" t="n">
        <x:v>7831.84</x:v>
      </x:c>
      <x:c r="E225" s="17" t="n">
        <x:v>7831.84</x:v>
      </x:c>
      <x:c r="F225" s="13" t="str">
        <x:v>Conciliado</x:v>
      </x:c>
      <x:c r="G225" s="13" t="str">
        <x:v>Sem divergência</x:v>
      </x:c>
      <x:c r="H225" s="13" t="n">
        <x:v>0.23</x:v>
      </x:c>
      <x:c r="I225" s="13" t="str">
        <x:v>Crescimento sem escala</x:v>
      </x:c>
      <x:c r="J225" s="17" t="n">
        <x:f>E225-D225</x:f>
        <x:v>0</x:v>
      </x:c>
      <x:c r="K225" s="19" t="n">
        <x:f>IFERROR(ABS(J225/D225),0)</x:f>
        <x:v>0</x:v>
      </x:c>
    </x:row>
    <x:row r="226">
      <x:c r="A226" s="13" t="str">
        <x:v>CON-000225</x:v>
      </x:c>
      <x:c r="B226" s="23" t="n">
        <x:v>45484</x:v>
      </x:c>
      <x:c r="C226" s="13" t="str">
        <x:v>Itaú Operacional</x:v>
      </x:c>
      <x:c r="D226" s="17" t="n">
        <x:v>14512.07</x:v>
      </x:c>
      <x:c r="E226" s="17" t="n">
        <x:v>14512.07</x:v>
      </x:c>
      <x:c r="F226" s="13" t="str">
        <x:v>Conciliado</x:v>
      </x:c>
      <x:c r="G226" s="13" t="str">
        <x:v>Sem divergência</x:v>
      </x:c>
      <x:c r="H226" s="13" t="n">
        <x:v>0.16</x:v>
      </x:c>
      <x:c r="I226" s="13" t="str">
        <x:v>Crescimento sem escala</x:v>
      </x:c>
      <x:c r="J226" s="17" t="n">
        <x:f>E226-D226</x:f>
        <x:v>0</x:v>
      </x:c>
      <x:c r="K226" s="19" t="n">
        <x:f>IFERROR(ABS(J226/D226),0)</x:f>
        <x:v>0</x:v>
      </x:c>
    </x:row>
    <x:row r="227">
      <x:c r="A227" s="13" t="str">
        <x:v>CON-000226</x:v>
      </x:c>
      <x:c r="B227" s="23" t="n">
        <x:v>45482</x:v>
      </x:c>
      <x:c r="C227" s="13" t="str">
        <x:v>Nubank Serviços</x:v>
      </x:c>
      <x:c r="D227" s="17" t="n">
        <x:v>27401.59</x:v>
      </x:c>
      <x:c r="E227" s="17" t="n">
        <x:v>27401.59</x:v>
      </x:c>
      <x:c r="F227" s="13" t="str">
        <x:v>Conciliado</x:v>
      </x:c>
      <x:c r="G227" s="13" t="str">
        <x:v>Sem divergência</x:v>
      </x:c>
      <x:c r="H227" s="13" t="n">
        <x:v>0.33</x:v>
      </x:c>
      <x:c r="I227" s="13" t="str">
        <x:v>Crescimento sem escala</x:v>
      </x:c>
      <x:c r="J227" s="17" t="n">
        <x:f>E227-D227</x:f>
        <x:v>0</x:v>
      </x:c>
      <x:c r="K227" s="19" t="n">
        <x:f>IFERROR(ABS(J227/D227),0)</x:f>
        <x:v>0</x:v>
      </x:c>
    </x:row>
    <x:row r="228">
      <x:c r="A228" s="13" t="str">
        <x:v>CON-000227</x:v>
      </x:c>
      <x:c r="B228" s="23" t="n">
        <x:v>45482</x:v>
      </x:c>
      <x:c r="C228" s="13" t="str">
        <x:v>Nubank Serviços</x:v>
      </x:c>
      <x:c r="D228" s="17" t="n">
        <x:v>604.68</x:v>
      </x:c>
      <x:c r="E228" s="17" t="n">
        <x:v>604.68</x:v>
      </x:c>
      <x:c r="F228" s="13" t="str">
        <x:v>Conciliado</x:v>
      </x:c>
      <x:c r="G228" s="13" t="str">
        <x:v>Sem divergência</x:v>
      </x:c>
      <x:c r="H228" s="13" t="n">
        <x:v>0.35</x:v>
      </x:c>
      <x:c r="I228" s="13" t="str">
        <x:v>Crescimento sem escala</x:v>
      </x:c>
      <x:c r="J228" s="17" t="n">
        <x:f>E228-D228</x:f>
        <x:v>0</x:v>
      </x:c>
      <x:c r="K228" s="19" t="n">
        <x:f>IFERROR(ABS(J228/D228),0)</x:f>
        <x:v>0</x:v>
      </x:c>
    </x:row>
    <x:row r="229">
      <x:c r="A229" s="13" t="str">
        <x:v>CON-000228</x:v>
      </x:c>
      <x:c r="B229" s="23" t="n">
        <x:v>45476</x:v>
      </x:c>
      <x:c r="C229" s="13" t="str">
        <x:v>Bradesco Pagamentos</x:v>
      </x:c>
      <x:c r="D229" s="17" t="n">
        <x:v>42305.19</x:v>
      </x:c>
      <x:c r="E229" s="17" t="n">
        <x:v>42305.19</x:v>
      </x:c>
      <x:c r="F229" s="13" t="str">
        <x:v>Conciliado</x:v>
      </x:c>
      <x:c r="G229" s="13" t="str">
        <x:v>Sem divergência</x:v>
      </x:c>
      <x:c r="H229" s="13" t="n">
        <x:v>0.32</x:v>
      </x:c>
      <x:c r="I229" s="13" t="str">
        <x:v>Crescimento sem escala</x:v>
      </x:c>
      <x:c r="J229" s="17" t="n">
        <x:f>E229-D229</x:f>
        <x:v>0</x:v>
      </x:c>
      <x:c r="K229" s="19" t="n">
        <x:f>IFERROR(ABS(J229/D229),0)</x:f>
        <x:v>0</x:v>
      </x:c>
    </x:row>
    <x:row r="230">
      <x:c r="A230" s="13" t="str">
        <x:v>CON-000229</x:v>
      </x:c>
      <x:c r="B230" s="23" t="n">
        <x:v>45495</x:v>
      </x:c>
      <x:c r="C230" s="13" t="str">
        <x:v>Nubank Serviços</x:v>
      </x:c>
      <x:c r="D230" s="17" t="n">
        <x:v>4648.81</x:v>
      </x:c>
      <x:c r="E230" s="17" t="n">
        <x:v>4648.81</x:v>
      </x:c>
      <x:c r="F230" s="13" t="str">
        <x:v>Conciliado</x:v>
      </x:c>
      <x:c r="G230" s="13" t="str">
        <x:v>Sem divergência</x:v>
      </x:c>
      <x:c r="H230" s="13" t="n">
        <x:v>0.07</x:v>
      </x:c>
      <x:c r="I230" s="13" t="str">
        <x:v>Crescimento sem escala</x:v>
      </x:c>
      <x:c r="J230" s="17" t="n">
        <x:f>E230-D230</x:f>
        <x:v>0</x:v>
      </x:c>
      <x:c r="K230" s="19" t="n">
        <x:f>IFERROR(ABS(J230/D230),0)</x:f>
        <x:v>0</x:v>
      </x:c>
    </x:row>
    <x:row r="231">
      <x:c r="A231" s="13" t="str">
        <x:v>CON-000230</x:v>
      </x:c>
      <x:c r="B231" s="23" t="n">
        <x:v>45487</x:v>
      </x:c>
      <x:c r="C231" s="13" t="str">
        <x:v>Nubank Serviços</x:v>
      </x:c>
      <x:c r="D231" s="17" t="n">
        <x:v>958.17</x:v>
      </x:c>
      <x:c r="E231" s="17" t="n">
        <x:v>958.17</x:v>
      </x:c>
      <x:c r="F231" s="13" t="str">
        <x:v>Conciliado</x:v>
      </x:c>
      <x:c r="G231" s="13" t="str">
        <x:v>Sem divergência</x:v>
      </x:c>
      <x:c r="H231" s="13" t="n">
        <x:v>0.23</x:v>
      </x:c>
      <x:c r="I231" s="13" t="str">
        <x:v>Crescimento sem escala</x:v>
      </x:c>
      <x:c r="J231" s="17" t="n">
        <x:f>E231-D231</x:f>
        <x:v>0</x:v>
      </x:c>
      <x:c r="K231" s="19" t="n">
        <x:f>IFERROR(ABS(J231/D231),0)</x:f>
        <x:v>0</x:v>
      </x:c>
    </x:row>
    <x:row r="232">
      <x:c r="A232" s="13" t="str">
        <x:v>CON-000231</x:v>
      </x:c>
      <x:c r="B232" s="23" t="n">
        <x:v>45479</x:v>
      </x:c>
      <x:c r="C232" s="13" t="str">
        <x:v>Santander Recebimentos</x:v>
      </x:c>
      <x:c r="D232" s="17" t="n">
        <x:v>20670.56</x:v>
      </x:c>
      <x:c r="E232" s="17" t="n">
        <x:v>20670.56</x:v>
      </x:c>
      <x:c r="F232" s="13" t="str">
        <x:v>Conciliado</x:v>
      </x:c>
      <x:c r="G232" s="13" t="str">
        <x:v>Sem divergência</x:v>
      </x:c>
      <x:c r="H232" s="13" t="n">
        <x:v>0.16</x:v>
      </x:c>
      <x:c r="I232" s="13" t="str">
        <x:v>Crescimento sem escala</x:v>
      </x:c>
      <x:c r="J232" s="17" t="n">
        <x:f>E232-D232</x:f>
        <x:v>0</x:v>
      </x:c>
      <x:c r="K232" s="19" t="n">
        <x:f>IFERROR(ABS(J232/D232),0)</x:f>
        <x:v>0</x:v>
      </x:c>
    </x:row>
    <x:row r="233">
      <x:c r="A233" s="13" t="str">
        <x:v>CON-000232</x:v>
      </x:c>
      <x:c r="B233" s="23" t="n">
        <x:v>45490</x:v>
      </x:c>
      <x:c r="C233" s="13" t="str">
        <x:v>Bradesco Pagamentos</x:v>
      </x:c>
      <x:c r="D233" s="17" t="n">
        <x:v>19198.83</x:v>
      </x:c>
      <x:c r="E233" s="17" t="n">
        <x:v>19198.83</x:v>
      </x:c>
      <x:c r="F233" s="13" t="str">
        <x:v>Conciliado</x:v>
      </x:c>
      <x:c r="G233" s="13" t="str">
        <x:v>Sem divergência</x:v>
      </x:c>
      <x:c r="H233" s="13" t="n">
        <x:v>0.23</x:v>
      </x:c>
      <x:c r="I233" s="13" t="str">
        <x:v>Crescimento sem escala</x:v>
      </x:c>
      <x:c r="J233" s="17" t="n">
        <x:f>E233-D233</x:f>
        <x:v>0</x:v>
      </x:c>
      <x:c r="K233" s="19" t="n">
        <x:f>IFERROR(ABS(J233/D233),0)</x:f>
        <x:v>0</x:v>
      </x:c>
    </x:row>
    <x:row r="234">
      <x:c r="A234" s="13" t="str">
        <x:v>CON-000233</x:v>
      </x:c>
      <x:c r="B234" s="23" t="n">
        <x:v>45483</x:v>
      </x:c>
      <x:c r="C234" s="13" t="str">
        <x:v>Bradesco Pagamentos</x:v>
      </x:c>
      <x:c r="D234" s="17" t="n">
        <x:v>17680.34</x:v>
      </x:c>
      <x:c r="E234" s="17" t="n">
        <x:v>17680.34</x:v>
      </x:c>
      <x:c r="F234" s="13" t="str">
        <x:v>Conciliado</x:v>
      </x:c>
      <x:c r="G234" s="13" t="str">
        <x:v>Sem divergência</x:v>
      </x:c>
      <x:c r="H234" s="13" t="n">
        <x:v>0.2</x:v>
      </x:c>
      <x:c r="I234" s="13" t="str">
        <x:v>Crescimento sem escala</x:v>
      </x:c>
      <x:c r="J234" s="17" t="n">
        <x:f>E234-D234</x:f>
        <x:v>0</x:v>
      </x:c>
      <x:c r="K234" s="19" t="n">
        <x:f>IFERROR(ABS(J234/D234),0)</x:f>
        <x:v>0</x:v>
      </x:c>
    </x:row>
    <x:row r="235">
      <x:c r="A235" s="13" t="str">
        <x:v>CON-000234</x:v>
      </x:c>
      <x:c r="B235" s="23" t="n">
        <x:v>45481</x:v>
      </x:c>
      <x:c r="C235" s="13" t="str">
        <x:v>Itaú Operacional</x:v>
      </x:c>
      <x:c r="D235" s="17" t="n">
        <x:v>35969.45</x:v>
      </x:c>
      <x:c r="E235" s="17" t="n">
        <x:v>35969.45</x:v>
      </x:c>
      <x:c r="F235" s="13" t="str">
        <x:v>Conciliado</x:v>
      </x:c>
      <x:c r="G235" s="13" t="str">
        <x:v>Sem divergência</x:v>
      </x:c>
      <x:c r="H235" s="13" t="n">
        <x:v>0.1</x:v>
      </x:c>
      <x:c r="I235" s="13" t="str">
        <x:v>Crescimento sem escala</x:v>
      </x:c>
      <x:c r="J235" s="17" t="n">
        <x:f>E235-D235</x:f>
        <x:v>0</x:v>
      </x:c>
      <x:c r="K235" s="19" t="n">
        <x:f>IFERROR(ABS(J235/D235),0)</x:f>
        <x:v>0</x:v>
      </x:c>
    </x:row>
    <x:row r="236">
      <x:c r="A236" s="13" t="str">
        <x:v>CON-000235</x:v>
      </x:c>
      <x:c r="B236" s="23" t="n">
        <x:v>45499</x:v>
      </x:c>
      <x:c r="C236" s="13" t="str">
        <x:v>Itaú Operacional</x:v>
      </x:c>
      <x:c r="D236" s="17" t="n">
        <x:v>28600.91</x:v>
      </x:c>
      <x:c r="E236" s="17" t="n">
        <x:v>28600.91</x:v>
      </x:c>
      <x:c r="F236" s="13" t="str">
        <x:v>Conciliado</x:v>
      </x:c>
      <x:c r="G236" s="13" t="str">
        <x:v>Sem divergência</x:v>
      </x:c>
      <x:c r="H236" s="13" t="n">
        <x:v>0.05</x:v>
      </x:c>
      <x:c r="I236" s="13" t="str">
        <x:v>Crescimento sem escala</x:v>
      </x:c>
      <x:c r="J236" s="17" t="n">
        <x:f>E236-D236</x:f>
        <x:v>0</x:v>
      </x:c>
      <x:c r="K236" s="19" t="n">
        <x:f>IFERROR(ABS(J236/D236),0)</x:f>
        <x:v>0</x:v>
      </x:c>
    </x:row>
    <x:row r="237">
      <x:c r="A237" s="13" t="str">
        <x:v>CON-000236</x:v>
      </x:c>
      <x:c r="B237" s="23" t="n">
        <x:v>45488</x:v>
      </x:c>
      <x:c r="C237" s="13" t="str">
        <x:v>Itaú Operacional</x:v>
      </x:c>
      <x:c r="D237" s="17" t="n">
        <x:v>12701.8</x:v>
      </x:c>
      <x:c r="E237" s="17" t="n">
        <x:v>12701.8</x:v>
      </x:c>
      <x:c r="F237" s="13" t="str">
        <x:v>Conciliado</x:v>
      </x:c>
      <x:c r="G237" s="13" t="str">
        <x:v>Sem divergência</x:v>
      </x:c>
      <x:c r="H237" s="13" t="n">
        <x:v>0.09</x:v>
      </x:c>
      <x:c r="I237" s="13" t="str">
        <x:v>Crescimento sem escala</x:v>
      </x:c>
      <x:c r="J237" s="17" t="n">
        <x:f>E237-D237</x:f>
        <x:v>0</x:v>
      </x:c>
      <x:c r="K237" s="19" t="n">
        <x:f>IFERROR(ABS(J237/D237),0)</x:f>
        <x:v>0</x:v>
      </x:c>
    </x:row>
    <x:row r="238">
      <x:c r="A238" s="13" t="str">
        <x:v>CON-000237</x:v>
      </x:c>
      <x:c r="B238" s="23" t="n">
        <x:v>45492</x:v>
      </x:c>
      <x:c r="C238" s="13" t="str">
        <x:v>Nubank Serviços</x:v>
      </x:c>
      <x:c r="D238" s="17" t="n">
        <x:v>22427.09</x:v>
      </x:c>
      <x:c r="E238" s="17" t="n">
        <x:v>22427.09</x:v>
      </x:c>
      <x:c r="F238" s="13" t="str">
        <x:v>Conciliado</x:v>
      </x:c>
      <x:c r="G238" s="13" t="str">
        <x:v>Sem divergência</x:v>
      </x:c>
      <x:c r="H238" s="13" t="n">
        <x:v>0.14</x:v>
      </x:c>
      <x:c r="I238" s="13" t="str">
        <x:v>Crescimento sem escala</x:v>
      </x:c>
      <x:c r="J238" s="17" t="n">
        <x:f>E238-D238</x:f>
        <x:v>0</x:v>
      </x:c>
      <x:c r="K238" s="19" t="n">
        <x:f>IFERROR(ABS(J238/D238),0)</x:f>
        <x:v>0</x:v>
      </x:c>
    </x:row>
    <x:row r="239">
      <x:c r="A239" s="13" t="str">
        <x:v>CON-000238</x:v>
      </x:c>
      <x:c r="B239" s="23" t="n">
        <x:v>45475</x:v>
      </x:c>
      <x:c r="C239" s="13" t="str">
        <x:v>Bradesco Pagamentos</x:v>
      </x:c>
      <x:c r="D239" s="17" t="n">
        <x:v>43744.17</x:v>
      </x:c>
      <x:c r="E239" s="17" t="n">
        <x:v>43744.17</x:v>
      </x:c>
      <x:c r="F239" s="13" t="str">
        <x:v>Conciliado</x:v>
      </x:c>
      <x:c r="G239" s="13" t="str">
        <x:v>Sem divergência</x:v>
      </x:c>
      <x:c r="H239" s="13" t="n">
        <x:v>0.14</x:v>
      </x:c>
      <x:c r="I239" s="13" t="str">
        <x:v>Crescimento sem escala</x:v>
      </x:c>
      <x:c r="J239" s="17" t="n">
        <x:f>E239-D239</x:f>
        <x:v>0</x:v>
      </x:c>
      <x:c r="K239" s="19" t="n">
        <x:f>IFERROR(ABS(J239/D239),0)</x:f>
        <x:v>0</x:v>
      </x:c>
    </x:row>
    <x:row r="240">
      <x:c r="A240" s="13" t="str">
        <x:v>CON-000239</x:v>
      </x:c>
      <x:c r="B240" s="23" t="n">
        <x:v>45481</x:v>
      </x:c>
      <x:c r="C240" s="13" t="str">
        <x:v>Nubank Serviços</x:v>
      </x:c>
      <x:c r="D240" s="17" t="n">
        <x:v>29558.71</x:v>
      </x:c>
      <x:c r="E240" s="17" t="n">
        <x:v>29558.71</x:v>
      </x:c>
      <x:c r="F240" s="13" t="str">
        <x:v>Conciliado</x:v>
      </x:c>
      <x:c r="G240" s="13" t="str">
        <x:v>Sem divergência</x:v>
      </x:c>
      <x:c r="H240" s="13" t="n">
        <x:v>0.43</x:v>
      </x:c>
      <x:c r="I240" s="13" t="str">
        <x:v>Crescimento sem escala</x:v>
      </x:c>
      <x:c r="J240" s="17" t="n">
        <x:f>E240-D240</x:f>
        <x:v>0</x:v>
      </x:c>
      <x:c r="K240" s="19" t="n">
        <x:f>IFERROR(ABS(J240/D240),0)</x:f>
        <x:v>0</x:v>
      </x:c>
    </x:row>
    <x:row r="241">
      <x:c r="A241" s="13" t="str">
        <x:v>CON-000240</x:v>
      </x:c>
      <x:c r="B241" s="23" t="n">
        <x:v>45481</x:v>
      </x:c>
      <x:c r="C241" s="13" t="str">
        <x:v>Nubank Serviços</x:v>
      </x:c>
      <x:c r="D241" s="17" t="n">
        <x:v>25841.26</x:v>
      </x:c>
      <x:c r="E241" s="17" t="n">
        <x:v>25841.26</x:v>
      </x:c>
      <x:c r="F241" s="13" t="str">
        <x:v>Conciliado</x:v>
      </x:c>
      <x:c r="G241" s="13" t="str">
        <x:v>Sem divergência</x:v>
      </x:c>
      <x:c r="H241" s="13" t="n">
        <x:v>0.3</x:v>
      </x:c>
      <x:c r="I241" s="13" t="str">
        <x:v>Crescimento sem escala</x:v>
      </x:c>
      <x:c r="J241" s="17" t="n">
        <x:f>E241-D241</x:f>
        <x:v>0</x:v>
      </x:c>
      <x:c r="K241" s="19" t="n">
        <x:f>IFERROR(ABS(J241/D241),0)</x:f>
        <x:v>0</x:v>
      </x:c>
    </x:row>
    <x:row r="242">
      <x:c r="A242" s="13" t="str">
        <x:v>CON-000241</x:v>
      </x:c>
      <x:c r="B242" s="23" t="n">
        <x:v>45496</x:v>
      </x:c>
      <x:c r="C242" s="13" t="str">
        <x:v>Itaú Operacional</x:v>
      </x:c>
      <x:c r="D242" s="17" t="n">
        <x:v>1035.97</x:v>
      </x:c>
      <x:c r="E242" s="17" t="n">
        <x:v>1035.97</x:v>
      </x:c>
      <x:c r="F242" s="13" t="str">
        <x:v>Conciliado</x:v>
      </x:c>
      <x:c r="G242" s="13" t="str">
        <x:v>Sem divergência</x:v>
      </x:c>
      <x:c r="H242" s="13" t="n">
        <x:v>0.26</x:v>
      </x:c>
      <x:c r="I242" s="13" t="str">
        <x:v>Crescimento sem escala</x:v>
      </x:c>
      <x:c r="J242" s="17" t="n">
        <x:f>E242-D242</x:f>
        <x:v>0</x:v>
      </x:c>
      <x:c r="K242" s="19" t="n">
        <x:f>IFERROR(ABS(J242/D242),0)</x:f>
        <x:v>0</x:v>
      </x:c>
    </x:row>
    <x:row r="243">
      <x:c r="A243" s="13" t="str">
        <x:v>CON-000242</x:v>
      </x:c>
      <x:c r="B243" s="23" t="n">
        <x:v>45487</x:v>
      </x:c>
      <x:c r="C243" s="13" t="str">
        <x:v>Bradesco Pagamentos</x:v>
      </x:c>
      <x:c r="D243" s="17" t="n">
        <x:v>43862.28</x:v>
      </x:c>
      <x:c r="E243" s="17" t="n">
        <x:v>43862.28</x:v>
      </x:c>
      <x:c r="F243" s="13" t="str">
        <x:v>Conciliado</x:v>
      </x:c>
      <x:c r="G243" s="13" t="str">
        <x:v>Sem divergência</x:v>
      </x:c>
      <x:c r="H243" s="13" t="n">
        <x:v>0.23</x:v>
      </x:c>
      <x:c r="I243" s="13" t="str">
        <x:v>Crescimento sem escala</x:v>
      </x:c>
      <x:c r="J243" s="17" t="n">
        <x:f>E243-D243</x:f>
        <x:v>0</x:v>
      </x:c>
      <x:c r="K243" s="19" t="n">
        <x:f>IFERROR(ABS(J243/D243),0)</x:f>
        <x:v>0</x:v>
      </x:c>
    </x:row>
    <x:row r="244">
      <x:c r="A244" s="13" t="str">
        <x:v>CON-000243</x:v>
      </x:c>
      <x:c r="B244" s="23" t="n">
        <x:v>45498</x:v>
      </x:c>
      <x:c r="C244" s="13" t="str">
        <x:v>Itaú Operacional</x:v>
      </x:c>
      <x:c r="D244" s="17" t="n">
        <x:v>11314.36</x:v>
      </x:c>
      <x:c r="E244" s="17" t="n">
        <x:v>11314.36</x:v>
      </x:c>
      <x:c r="F244" s="13" t="str">
        <x:v>Conciliado</x:v>
      </x:c>
      <x:c r="G244" s="13" t="str">
        <x:v>Sem divergência</x:v>
      </x:c>
      <x:c r="H244" s="13" t="n">
        <x:v>0.06</x:v>
      </x:c>
      <x:c r="I244" s="13" t="str">
        <x:v>Crescimento sem escala</x:v>
      </x:c>
      <x:c r="J244" s="17" t="n">
        <x:f>E244-D244</x:f>
        <x:v>0</x:v>
      </x:c>
      <x:c r="K244" s="19" t="n">
        <x:f>IFERROR(ABS(J244/D244),0)</x:f>
        <x:v>0</x:v>
      </x:c>
    </x:row>
    <x:row r="245">
      <x:c r="A245" s="13" t="str">
        <x:v>CON-000244</x:v>
      </x:c>
      <x:c r="B245" s="23" t="n">
        <x:v>45501</x:v>
      </x:c>
      <x:c r="C245" s="13" t="str">
        <x:v>Bradesco Pagamentos</x:v>
      </x:c>
      <x:c r="D245" s="17" t="n">
        <x:v>18476.52</x:v>
      </x:c>
      <x:c r="E245" s="17" t="n">
        <x:v>18476.52</x:v>
      </x:c>
      <x:c r="F245" s="13" t="str">
        <x:v>Conciliado</x:v>
      </x:c>
      <x:c r="G245" s="13" t="str">
        <x:v>Sem divergência</x:v>
      </x:c>
      <x:c r="H245" s="13" t="n">
        <x:v>0.29</x:v>
      </x:c>
      <x:c r="I245" s="13" t="str">
        <x:v>Crescimento sem escala</x:v>
      </x:c>
      <x:c r="J245" s="17" t="n">
        <x:f>E245-D245</x:f>
        <x:v>0</x:v>
      </x:c>
      <x:c r="K245" s="19" t="n">
        <x:f>IFERROR(ABS(J245/D245),0)</x:f>
        <x:v>0</x:v>
      </x:c>
    </x:row>
    <x:row r="246">
      <x:c r="A246" s="13" t="str">
        <x:v>CON-000245</x:v>
      </x:c>
      <x:c r="B246" s="23" t="n">
        <x:v>45488</x:v>
      </x:c>
      <x:c r="C246" s="13" t="str">
        <x:v>Santander Recebimentos</x:v>
      </x:c>
      <x:c r="D246" s="17" t="n">
        <x:v>946.76</x:v>
      </x:c>
      <x:c r="E246" s="17" t="n">
        <x:v>946.76</x:v>
      </x:c>
      <x:c r="F246" s="13" t="str">
        <x:v>Conciliado</x:v>
      </x:c>
      <x:c r="G246" s="13" t="str">
        <x:v>Sem divergência</x:v>
      </x:c>
      <x:c r="H246" s="13" t="n">
        <x:v>0.06</x:v>
      </x:c>
      <x:c r="I246" s="13" t="str">
        <x:v>Crescimento sem escala</x:v>
      </x:c>
      <x:c r="J246" s="17" t="n">
        <x:f>E246-D246</x:f>
        <x:v>0</x:v>
      </x:c>
      <x:c r="K246" s="19" t="n">
        <x:f>IFERROR(ABS(J246/D246),0)</x:f>
        <x:v>0</x:v>
      </x:c>
    </x:row>
    <x:row r="247">
      <x:c r="A247" s="13" t="str">
        <x:v>CON-000246</x:v>
      </x:c>
      <x:c r="B247" s="23" t="n">
        <x:v>45521</x:v>
      </x:c>
      <x:c r="C247" s="13" t="str">
        <x:v>Santander Recebimentos</x:v>
      </x:c>
      <x:c r="D247" s="17" t="n">
        <x:v>26170.89</x:v>
      </x:c>
      <x:c r="E247" s="17" t="n">
        <x:v>26170.89</x:v>
      </x:c>
      <x:c r="F247" s="13" t="str">
        <x:v>Conciliado</x:v>
      </x:c>
      <x:c r="G247" s="13" t="str">
        <x:v>Sem divergência</x:v>
      </x:c>
      <x:c r="H247" s="13" t="n">
        <x:v>0.18</x:v>
      </x:c>
      <x:c r="I247" s="13" t="str">
        <x:v>Crescimento sem escala</x:v>
      </x:c>
      <x:c r="J247" s="17" t="n">
        <x:f>E247-D247</x:f>
        <x:v>0</x:v>
      </x:c>
      <x:c r="K247" s="19" t="n">
        <x:f>IFERROR(ABS(J247/D247),0)</x:f>
        <x:v>0</x:v>
      </x:c>
    </x:row>
    <x:row r="248">
      <x:c r="A248" s="13" t="str">
        <x:v>CON-000247</x:v>
      </x:c>
      <x:c r="B248" s="23" t="n">
        <x:v>45530</x:v>
      </x:c>
      <x:c r="C248" s="13" t="str">
        <x:v>Bradesco Pagamentos</x:v>
      </x:c>
      <x:c r="D248" s="17" t="n">
        <x:v>31821.19</x:v>
      </x:c>
      <x:c r="E248" s="17" t="n">
        <x:v>31821.19</x:v>
      </x:c>
      <x:c r="F248" s="13" t="str">
        <x:v>Conciliado</x:v>
      </x:c>
      <x:c r="G248" s="13" t="str">
        <x:v>Sem divergência</x:v>
      </x:c>
      <x:c r="H248" s="13" t="n">
        <x:v>0.38</x:v>
      </x:c>
      <x:c r="I248" s="13" t="str">
        <x:v>Crescimento sem escala</x:v>
      </x:c>
      <x:c r="J248" s="17" t="n">
        <x:f>E248-D248</x:f>
        <x:v>0</x:v>
      </x:c>
      <x:c r="K248" s="19" t="n">
        <x:f>IFERROR(ABS(J248/D248),0)</x:f>
        <x:v>0</x:v>
      </x:c>
    </x:row>
    <x:row r="249">
      <x:c r="A249" s="13" t="str">
        <x:v>CON-000248</x:v>
      </x:c>
      <x:c r="B249" s="23" t="n">
        <x:v>45523</x:v>
      </x:c>
      <x:c r="C249" s="13" t="str">
        <x:v>Itaú Operacional</x:v>
      </x:c>
      <x:c r="D249" s="17" t="n">
        <x:v>20775.26</x:v>
      </x:c>
      <x:c r="E249" s="17" t="n">
        <x:v>20578.51</x:v>
      </x:c>
      <x:c r="F249" s="13" t="str">
        <x:v>Pendente</x:v>
      </x:c>
      <x:c r="G249" s="13" t="str">
        <x:v>Baixa incorreta</x:v>
      </x:c>
      <x:c r="H249" s="13" t="n">
        <x:v>12.93</x:v>
      </x:c>
      <x:c r="I249" s="13" t="str">
        <x:v>Crescimento sem escala</x:v>
      </x:c>
      <x:c r="J249" s="17" t="n">
        <x:f>E249-D249</x:f>
        <x:v>-196.75</x:v>
      </x:c>
      <x:c r="K249" s="19" t="n">
        <x:f>IFERROR(ABS(J249/D249),0)</x:f>
        <x:v>0.009470398926415362</x:v>
      </x:c>
    </x:row>
    <x:row r="250">
      <x:c r="A250" s="13" t="str">
        <x:v>CON-000249</x:v>
      </x:c>
      <x:c r="B250" s="23" t="n">
        <x:v>45516</x:v>
      </x:c>
      <x:c r="C250" s="13" t="str">
        <x:v>Santander Recebimentos</x:v>
      </x:c>
      <x:c r="D250" s="17" t="n">
        <x:v>24710.15</x:v>
      </x:c>
      <x:c r="E250" s="17" t="n">
        <x:v>24710.15</x:v>
      </x:c>
      <x:c r="F250" s="13" t="str">
        <x:v>Conciliado</x:v>
      </x:c>
      <x:c r="G250" s="13" t="str">
        <x:v>Sem divergência</x:v>
      </x:c>
      <x:c r="H250" s="13" t="n">
        <x:v>0.09</x:v>
      </x:c>
      <x:c r="I250" s="13" t="str">
        <x:v>Crescimento sem escala</x:v>
      </x:c>
      <x:c r="J250" s="17" t="n">
        <x:f>E250-D250</x:f>
        <x:v>0</x:v>
      </x:c>
      <x:c r="K250" s="19" t="n">
        <x:f>IFERROR(ABS(J250/D250),0)</x:f>
        <x:v>0</x:v>
      </x:c>
    </x:row>
    <x:row r="251">
      <x:c r="A251" s="13" t="str">
        <x:v>CON-000250</x:v>
      </x:c>
      <x:c r="B251" s="23" t="n">
        <x:v>45523</x:v>
      </x:c>
      <x:c r="C251" s="13" t="str">
        <x:v>Santander Recebimentos</x:v>
      </x:c>
      <x:c r="D251" s="17" t="n">
        <x:v>16161.69</x:v>
      </x:c>
      <x:c r="E251" s="17" t="n">
        <x:v>16161.69</x:v>
      </x:c>
      <x:c r="F251" s="13" t="str">
        <x:v>Conciliado</x:v>
      </x:c>
      <x:c r="G251" s="13" t="str">
        <x:v>Sem divergência</x:v>
      </x:c>
      <x:c r="H251" s="13" t="n">
        <x:v>0.28</x:v>
      </x:c>
      <x:c r="I251" s="13" t="str">
        <x:v>Crescimento sem escala</x:v>
      </x:c>
      <x:c r="J251" s="17" t="n">
        <x:f>E251-D251</x:f>
        <x:v>0</x:v>
      </x:c>
      <x:c r="K251" s="19" t="n">
        <x:f>IFERROR(ABS(J251/D251),0)</x:f>
        <x:v>0</x:v>
      </x:c>
    </x:row>
    <x:row r="252">
      <x:c r="A252" s="13" t="str">
        <x:v>CON-000251</x:v>
      </x:c>
      <x:c r="B252" s="23" t="n">
        <x:v>45506</x:v>
      </x:c>
      <x:c r="C252" s="13" t="str">
        <x:v>Bradesco Pagamentos</x:v>
      </x:c>
      <x:c r="D252" s="17" t="n">
        <x:v>29418.35</x:v>
      </x:c>
      <x:c r="E252" s="17" t="n">
        <x:v>29418.35</x:v>
      </x:c>
      <x:c r="F252" s="13" t="str">
        <x:v>Conciliado</x:v>
      </x:c>
      <x:c r="G252" s="13" t="str">
        <x:v>Sem divergência</x:v>
      </x:c>
      <x:c r="H252" s="13" t="n">
        <x:v>0.13</x:v>
      </x:c>
      <x:c r="I252" s="13" t="str">
        <x:v>Crescimento sem escala</x:v>
      </x:c>
      <x:c r="J252" s="17" t="n">
        <x:f>E252-D252</x:f>
        <x:v>0</x:v>
      </x:c>
      <x:c r="K252" s="19" t="n">
        <x:f>IFERROR(ABS(J252/D252),0)</x:f>
        <x:v>0</x:v>
      </x:c>
    </x:row>
    <x:row r="253">
      <x:c r="A253" s="13" t="str">
        <x:v>CON-000252</x:v>
      </x:c>
      <x:c r="B253" s="23" t="n">
        <x:v>45516</x:v>
      </x:c>
      <x:c r="C253" s="13" t="str">
        <x:v>Bradesco Pagamentos</x:v>
      </x:c>
      <x:c r="D253" s="17" t="n">
        <x:v>26805.26</x:v>
      </x:c>
      <x:c r="E253" s="17" t="n">
        <x:v>26805.26</x:v>
      </x:c>
      <x:c r="F253" s="13" t="str">
        <x:v>Conciliado</x:v>
      </x:c>
      <x:c r="G253" s="13" t="str">
        <x:v>Sem divergência</x:v>
      </x:c>
      <x:c r="H253" s="13" t="n">
        <x:v>0.09</x:v>
      </x:c>
      <x:c r="I253" s="13" t="str">
        <x:v>Crescimento sem escala</x:v>
      </x:c>
      <x:c r="J253" s="17" t="n">
        <x:f>E253-D253</x:f>
        <x:v>0</x:v>
      </x:c>
      <x:c r="K253" s="19" t="n">
        <x:f>IFERROR(ABS(J253/D253),0)</x:f>
        <x:v>0</x:v>
      </x:c>
    </x:row>
    <x:row r="254">
      <x:c r="A254" s="13" t="str">
        <x:v>CON-000253</x:v>
      </x:c>
      <x:c r="B254" s="23" t="n">
        <x:v>45526</x:v>
      </x:c>
      <x:c r="C254" s="13" t="str">
        <x:v>Itaú Operacional</x:v>
      </x:c>
      <x:c r="D254" s="17" t="n">
        <x:v>19290</x:v>
      </x:c>
      <x:c r="E254" s="17" t="n">
        <x:v>19290</x:v>
      </x:c>
      <x:c r="F254" s="13" t="str">
        <x:v>Conciliado</x:v>
      </x:c>
      <x:c r="G254" s="13" t="str">
        <x:v>Sem divergência</x:v>
      </x:c>
      <x:c r="H254" s="13" t="n">
        <x:v>0.19</x:v>
      </x:c>
      <x:c r="I254" s="13" t="str">
        <x:v>Crescimento sem escala</x:v>
      </x:c>
      <x:c r="J254" s="17" t="n">
        <x:f>E254-D254</x:f>
        <x:v>0</x:v>
      </x:c>
      <x:c r="K254" s="19" t="n">
        <x:f>IFERROR(ABS(J254/D254),0)</x:f>
        <x:v>0</x:v>
      </x:c>
    </x:row>
    <x:row r="255">
      <x:c r="A255" s="13" t="str">
        <x:v>CON-000254</x:v>
      </x:c>
      <x:c r="B255" s="23" t="n">
        <x:v>45522</x:v>
      </x:c>
      <x:c r="C255" s="13" t="str">
        <x:v>Itaú Operacional</x:v>
      </x:c>
      <x:c r="D255" s="17" t="n">
        <x:v>31548.6</x:v>
      </x:c>
      <x:c r="E255" s="17" t="n">
        <x:v>31548.6</x:v>
      </x:c>
      <x:c r="F255" s="13" t="str">
        <x:v>Conciliado</x:v>
      </x:c>
      <x:c r="G255" s="13" t="str">
        <x:v>Sem divergência</x:v>
      </x:c>
      <x:c r="H255" s="13" t="n">
        <x:v>0.16</x:v>
      </x:c>
      <x:c r="I255" s="13" t="str">
        <x:v>Crescimento sem escala</x:v>
      </x:c>
      <x:c r="J255" s="17" t="n">
        <x:f>E255-D255</x:f>
        <x:v>0</x:v>
      </x:c>
      <x:c r="K255" s="19" t="n">
        <x:f>IFERROR(ABS(J255/D255),0)</x:f>
        <x:v>0</x:v>
      </x:c>
    </x:row>
    <x:row r="256">
      <x:c r="A256" s="13" t="str">
        <x:v>CON-000255</x:v>
      </x:c>
      <x:c r="B256" s="23" t="n">
        <x:v>45531</x:v>
      </x:c>
      <x:c r="C256" s="13" t="str">
        <x:v>Santander Recebimentos</x:v>
      </x:c>
      <x:c r="D256" s="17" t="n">
        <x:v>13186.96</x:v>
      </x:c>
      <x:c r="E256" s="17" t="n">
        <x:v>13186.96</x:v>
      </x:c>
      <x:c r="F256" s="13" t="str">
        <x:v>Conciliado</x:v>
      </x:c>
      <x:c r="G256" s="13" t="str">
        <x:v>Sem divergência</x:v>
      </x:c>
      <x:c r="H256" s="13" t="n">
        <x:v>0.33</x:v>
      </x:c>
      <x:c r="I256" s="13" t="str">
        <x:v>Crescimento sem escala</x:v>
      </x:c>
      <x:c r="J256" s="17" t="n">
        <x:f>E256-D256</x:f>
        <x:v>0</x:v>
      </x:c>
      <x:c r="K256" s="19" t="n">
        <x:f>IFERROR(ABS(J256/D256),0)</x:f>
        <x:v>0</x:v>
      </x:c>
    </x:row>
    <x:row r="257">
      <x:c r="A257" s="13" t="str">
        <x:v>CON-000256</x:v>
      </x:c>
      <x:c r="B257" s="23" t="n">
        <x:v>45524</x:v>
      </x:c>
      <x:c r="C257" s="13" t="str">
        <x:v>Bradesco Pagamentos</x:v>
      </x:c>
      <x:c r="D257" s="17" t="n">
        <x:v>16776.63</x:v>
      </x:c>
      <x:c r="E257" s="17" t="n">
        <x:v>16776.63</x:v>
      </x:c>
      <x:c r="F257" s="13" t="str">
        <x:v>Conciliado</x:v>
      </x:c>
      <x:c r="G257" s="13" t="str">
        <x:v>Sem divergência</x:v>
      </x:c>
      <x:c r="H257" s="13" t="n">
        <x:v>0.27</x:v>
      </x:c>
      <x:c r="I257" s="13" t="str">
        <x:v>Crescimento sem escala</x:v>
      </x:c>
      <x:c r="J257" s="17" t="n">
        <x:f>E257-D257</x:f>
        <x:v>0</x:v>
      </x:c>
      <x:c r="K257" s="19" t="n">
        <x:f>IFERROR(ABS(J257/D257),0)</x:f>
        <x:v>0</x:v>
      </x:c>
    </x:row>
    <x:row r="258">
      <x:c r="A258" s="13" t="str">
        <x:v>CON-000257</x:v>
      </x:c>
      <x:c r="B258" s="23" t="n">
        <x:v>45516</x:v>
      </x:c>
      <x:c r="C258" s="13" t="str">
        <x:v>Nubank Serviços</x:v>
      </x:c>
      <x:c r="D258" s="17" t="n">
        <x:v>17404.26</x:v>
      </x:c>
      <x:c r="E258" s="17" t="n">
        <x:v>18165.05</x:v>
      </x:c>
      <x:c r="F258" s="13" t="str">
        <x:v>Resolvido</x:v>
      </x:c>
      <x:c r="G258" s="13" t="str">
        <x:v>Tarifa não cadastrada</x:v>
      </x:c>
      <x:c r="H258" s="13" t="n">
        <x:v>3.14</x:v>
      </x:c>
      <x:c r="I258" s="13" t="str">
        <x:v>Crescimento sem escala</x:v>
      </x:c>
      <x:c r="J258" s="17" t="n">
        <x:f>E258-D258</x:f>
        <x:v>760.7900000000009</x:v>
      </x:c>
      <x:c r="K258" s="19" t="n">
        <x:f>IFERROR(ABS(J258/D258),0)</x:f>
        <x:v>0.04371286110412054</x:v>
      </x:c>
    </x:row>
    <x:row r="259">
      <x:c r="A259" s="13" t="str">
        <x:v>CON-000258</x:v>
      </x:c>
      <x:c r="B259" s="23" t="n">
        <x:v>45531</x:v>
      </x:c>
      <x:c r="C259" s="13" t="str">
        <x:v>Santander Recebimentos</x:v>
      </x:c>
      <x:c r="D259" s="17" t="n">
        <x:v>3293.85</x:v>
      </x:c>
      <x:c r="E259" s="17" t="n">
        <x:v>3293.85</x:v>
      </x:c>
      <x:c r="F259" s="13" t="str">
        <x:v>Conciliado</x:v>
      </x:c>
      <x:c r="G259" s="13" t="str">
        <x:v>Sem divergência</x:v>
      </x:c>
      <x:c r="H259" s="13" t="n">
        <x:v>0.33</x:v>
      </x:c>
      <x:c r="I259" s="13" t="str">
        <x:v>Crescimento sem escala</x:v>
      </x:c>
      <x:c r="J259" s="17" t="n">
        <x:f>E259-D259</x:f>
        <x:v>0</x:v>
      </x:c>
      <x:c r="K259" s="19" t="n">
        <x:f>IFERROR(ABS(J259/D259),0)</x:f>
        <x:v>0</x:v>
      </x:c>
    </x:row>
    <x:row r="260">
      <x:c r="A260" s="13" t="str">
        <x:v>CON-000259</x:v>
      </x:c>
      <x:c r="B260" s="23" t="n">
        <x:v>45528</x:v>
      </x:c>
      <x:c r="C260" s="13" t="str">
        <x:v>Bradesco Pagamentos</x:v>
      </x:c>
      <x:c r="D260" s="17" t="n">
        <x:v>26733.97</x:v>
      </x:c>
      <x:c r="E260" s="17" t="n">
        <x:v>26733.97</x:v>
      </x:c>
      <x:c r="F260" s="13" t="str">
        <x:v>Conciliado</x:v>
      </x:c>
      <x:c r="G260" s="13" t="str">
        <x:v>Sem divergência</x:v>
      </x:c>
      <x:c r="H260" s="13" t="n">
        <x:v>0.27</x:v>
      </x:c>
      <x:c r="I260" s="13" t="str">
        <x:v>Crescimento sem escala</x:v>
      </x:c>
      <x:c r="J260" s="17" t="n">
        <x:f>E260-D260</x:f>
        <x:v>0</x:v>
      </x:c>
      <x:c r="K260" s="19" t="n">
        <x:f>IFERROR(ABS(J260/D260),0)</x:f>
        <x:v>0</x:v>
      </x:c>
    </x:row>
    <x:row r="261">
      <x:c r="A261" s="13" t="str">
        <x:v>CON-000260</x:v>
      </x:c>
      <x:c r="B261" s="23" t="n">
        <x:v>45522</x:v>
      </x:c>
      <x:c r="C261" s="13" t="str">
        <x:v>Santander Recebimentos</x:v>
      </x:c>
      <x:c r="D261" s="17" t="n">
        <x:v>28792.64</x:v>
      </x:c>
      <x:c r="E261" s="17" t="n">
        <x:v>28792.64</x:v>
      </x:c>
      <x:c r="F261" s="13" t="str">
        <x:v>Conciliado</x:v>
      </x:c>
      <x:c r="G261" s="13" t="str">
        <x:v>Sem divergência</x:v>
      </x:c>
      <x:c r="H261" s="13" t="n">
        <x:v>0.09</x:v>
      </x:c>
      <x:c r="I261" s="13" t="str">
        <x:v>Crescimento sem escala</x:v>
      </x:c>
      <x:c r="J261" s="17" t="n">
        <x:f>E261-D261</x:f>
        <x:v>0</x:v>
      </x:c>
      <x:c r="K261" s="19" t="n">
        <x:f>IFERROR(ABS(J261/D261),0)</x:f>
        <x:v>0</x:v>
      </x:c>
    </x:row>
    <x:row r="262">
      <x:c r="A262" s="13" t="str">
        <x:v>CON-000261</x:v>
      </x:c>
      <x:c r="B262" s="23" t="n">
        <x:v>45514</x:v>
      </x:c>
      <x:c r="C262" s="13" t="str">
        <x:v>Bradesco Pagamentos</x:v>
      </x:c>
      <x:c r="D262" s="17" t="n">
        <x:v>40813.36</x:v>
      </x:c>
      <x:c r="E262" s="17" t="n">
        <x:v>40813.36</x:v>
      </x:c>
      <x:c r="F262" s="13" t="str">
        <x:v>Conciliado</x:v>
      </x:c>
      <x:c r="G262" s="13" t="str">
        <x:v>Sem divergência</x:v>
      </x:c>
      <x:c r="H262" s="13" t="n">
        <x:v>0.36</x:v>
      </x:c>
      <x:c r="I262" s="13" t="str">
        <x:v>Crescimento sem escala</x:v>
      </x:c>
      <x:c r="J262" s="17" t="n">
        <x:f>E262-D262</x:f>
        <x:v>0</x:v>
      </x:c>
      <x:c r="K262" s="19" t="n">
        <x:f>IFERROR(ABS(J262/D262),0)</x:f>
        <x:v>0</x:v>
      </x:c>
    </x:row>
    <x:row r="263">
      <x:c r="A263" s="13" t="str">
        <x:v>CON-000262</x:v>
      </x:c>
      <x:c r="B263" s="23" t="n">
        <x:v>45510</x:v>
      </x:c>
      <x:c r="C263" s="13" t="str">
        <x:v>Santander Recebimentos</x:v>
      </x:c>
      <x:c r="D263" s="17" t="n">
        <x:v>7864.35</x:v>
      </x:c>
      <x:c r="E263" s="17" t="n">
        <x:v>7864.35</x:v>
      </x:c>
      <x:c r="F263" s="13" t="str">
        <x:v>Conciliado</x:v>
      </x:c>
      <x:c r="G263" s="13" t="str">
        <x:v>Sem divergência</x:v>
      </x:c>
      <x:c r="H263" s="13" t="n">
        <x:v>0.44</x:v>
      </x:c>
      <x:c r="I263" s="13" t="str">
        <x:v>Crescimento sem escala</x:v>
      </x:c>
      <x:c r="J263" s="17" t="n">
        <x:f>E263-D263</x:f>
        <x:v>0</x:v>
      </x:c>
      <x:c r="K263" s="19" t="n">
        <x:f>IFERROR(ABS(J263/D263),0)</x:f>
        <x:v>0</x:v>
      </x:c>
    </x:row>
    <x:row r="264">
      <x:c r="A264" s="13" t="str">
        <x:v>CON-000263</x:v>
      </x:c>
      <x:c r="B264" s="23" t="n">
        <x:v>45528</x:v>
      </x:c>
      <x:c r="C264" s="13" t="str">
        <x:v>Santander Recebimentos</x:v>
      </x:c>
      <x:c r="D264" s="17" t="n">
        <x:v>24625.55</x:v>
      </x:c>
      <x:c r="E264" s="17" t="n">
        <x:v>24625.55</x:v>
      </x:c>
      <x:c r="F264" s="13" t="str">
        <x:v>Conciliado</x:v>
      </x:c>
      <x:c r="G264" s="13" t="str">
        <x:v>Sem divergência</x:v>
      </x:c>
      <x:c r="H264" s="13" t="n">
        <x:v>0.1</x:v>
      </x:c>
      <x:c r="I264" s="13" t="str">
        <x:v>Crescimento sem escala</x:v>
      </x:c>
      <x:c r="J264" s="17" t="n">
        <x:f>E264-D264</x:f>
        <x:v>0</x:v>
      </x:c>
      <x:c r="K264" s="19" t="n">
        <x:f>IFERROR(ABS(J264/D264),0)</x:f>
        <x:v>0</x:v>
      </x:c>
    </x:row>
    <x:row r="265">
      <x:c r="A265" s="13" t="str">
        <x:v>CON-000264</x:v>
      </x:c>
      <x:c r="B265" s="23" t="n">
        <x:v>45520</x:v>
      </x:c>
      <x:c r="C265" s="13" t="str">
        <x:v>Nubank Serviços</x:v>
      </x:c>
      <x:c r="D265" s="17" t="n">
        <x:v>31259.44</x:v>
      </x:c>
      <x:c r="E265" s="17" t="n">
        <x:v>31259.44</x:v>
      </x:c>
      <x:c r="F265" s="13" t="str">
        <x:v>Conciliado</x:v>
      </x:c>
      <x:c r="G265" s="13" t="str">
        <x:v>Sem divergência</x:v>
      </x:c>
      <x:c r="H265" s="13" t="n">
        <x:v>0.32</x:v>
      </x:c>
      <x:c r="I265" s="13" t="str">
        <x:v>Crescimento sem escala</x:v>
      </x:c>
      <x:c r="J265" s="17" t="n">
        <x:f>E265-D265</x:f>
        <x:v>0</x:v>
      </x:c>
      <x:c r="K265" s="19" t="n">
        <x:f>IFERROR(ABS(J265/D265),0)</x:f>
        <x:v>0</x:v>
      </x:c>
    </x:row>
    <x:row r="266">
      <x:c r="A266" s="13" t="str">
        <x:v>CON-000265</x:v>
      </x:c>
      <x:c r="B266" s="23" t="n">
        <x:v>45531</x:v>
      </x:c>
      <x:c r="C266" s="13" t="str">
        <x:v>Itaú Operacional</x:v>
      </x:c>
      <x:c r="D266" s="17" t="n">
        <x:v>26309.85</x:v>
      </x:c>
      <x:c r="E266" s="17" t="n">
        <x:v>26309.85</x:v>
      </x:c>
      <x:c r="F266" s="13" t="str">
        <x:v>Conciliado</x:v>
      </x:c>
      <x:c r="G266" s="13" t="str">
        <x:v>Sem divergência</x:v>
      </x:c>
      <x:c r="H266" s="13" t="n">
        <x:v>0.04</x:v>
      </x:c>
      <x:c r="I266" s="13" t="str">
        <x:v>Crescimento sem escala</x:v>
      </x:c>
      <x:c r="J266" s="17" t="n">
        <x:f>E266-D266</x:f>
        <x:v>0</x:v>
      </x:c>
      <x:c r="K266" s="19" t="n">
        <x:f>IFERROR(ABS(J266/D266),0)</x:f>
        <x:v>0</x:v>
      </x:c>
    </x:row>
    <x:row r="267">
      <x:c r="A267" s="13" t="str">
        <x:v>CON-000266</x:v>
      </x:c>
      <x:c r="B267" s="23" t="n">
        <x:v>45526</x:v>
      </x:c>
      <x:c r="C267" s="13" t="str">
        <x:v>Santander Recebimentos</x:v>
      </x:c>
      <x:c r="D267" s="17" t="n">
        <x:v>1156.01</x:v>
      </x:c>
      <x:c r="E267" s="17" t="n">
        <x:v>1156.01</x:v>
      </x:c>
      <x:c r="F267" s="13" t="str">
        <x:v>Conciliado</x:v>
      </x:c>
      <x:c r="G267" s="13" t="str">
        <x:v>Sem divergência</x:v>
      </x:c>
      <x:c r="H267" s="13" t="n">
        <x:v>0.31</x:v>
      </x:c>
      <x:c r="I267" s="13" t="str">
        <x:v>Crescimento sem escala</x:v>
      </x:c>
      <x:c r="J267" s="17" t="n">
        <x:f>E267-D267</x:f>
        <x:v>0</x:v>
      </x:c>
      <x:c r="K267" s="19" t="n">
        <x:f>IFERROR(ABS(J267/D267),0)</x:f>
        <x:v>0</x:v>
      </x:c>
    </x:row>
    <x:row r="268">
      <x:c r="A268" s="13" t="str">
        <x:v>CON-000267</x:v>
      </x:c>
      <x:c r="B268" s="23" t="n">
        <x:v>45518</x:v>
      </x:c>
      <x:c r="C268" s="13" t="str">
        <x:v>Nubank Serviços</x:v>
      </x:c>
      <x:c r="D268" s="17" t="n">
        <x:v>17594.46</x:v>
      </x:c>
      <x:c r="E268" s="17" t="n">
        <x:v>18395.53</x:v>
      </x:c>
      <x:c r="F268" s="13" t="str">
        <x:v>Pendente</x:v>
      </x:c>
      <x:c r="G268" s="13" t="str">
        <x:v>Tarifa não cadastrada</x:v>
      </x:c>
      <x:c r="H268" s="13" t="n">
        <x:v>3.27</x:v>
      </x:c>
      <x:c r="I268" s="13" t="str">
        <x:v>Crescimento sem escala</x:v>
      </x:c>
      <x:c r="J268" s="17" t="n">
        <x:f>E268-D268</x:f>
        <x:v>801.0699999999997</x:v>
      </x:c>
      <x:c r="K268" s="19" t="n">
        <x:f>IFERROR(ABS(J268/D268),0)</x:f>
        <x:v>0.04552967240824667</x:v>
      </x:c>
    </x:row>
    <x:row r="269">
      <x:c r="A269" s="13" t="str">
        <x:v>CON-000268</x:v>
      </x:c>
      <x:c r="B269" s="23" t="n">
        <x:v>45509</x:v>
      </x:c>
      <x:c r="C269" s="13" t="str">
        <x:v>Bradesco Pagamentos</x:v>
      </x:c>
      <x:c r="D269" s="17" t="n">
        <x:v>42380.38</x:v>
      </x:c>
      <x:c r="E269" s="17" t="n">
        <x:v>42380.38</x:v>
      </x:c>
      <x:c r="F269" s="13" t="str">
        <x:v>Conciliado</x:v>
      </x:c>
      <x:c r="G269" s="13" t="str">
        <x:v>Sem divergência</x:v>
      </x:c>
      <x:c r="H269" s="13" t="n">
        <x:v>0.35</x:v>
      </x:c>
      <x:c r="I269" s="13" t="str">
        <x:v>Crescimento sem escala</x:v>
      </x:c>
      <x:c r="J269" s="17" t="n">
        <x:f>E269-D269</x:f>
        <x:v>0</x:v>
      </x:c>
      <x:c r="K269" s="19" t="n">
        <x:f>IFERROR(ABS(J269/D269),0)</x:f>
        <x:v>0</x:v>
      </x:c>
    </x:row>
    <x:row r="270">
      <x:c r="A270" s="13" t="str">
        <x:v>CON-000269</x:v>
      </x:c>
      <x:c r="B270" s="23" t="n">
        <x:v>45532</x:v>
      </x:c>
      <x:c r="C270" s="13" t="str">
        <x:v>Bradesco Pagamentos</x:v>
      </x:c>
      <x:c r="D270" s="17" t="n">
        <x:v>38791.23</x:v>
      </x:c>
      <x:c r="E270" s="17" t="n">
        <x:v>38791.23</x:v>
      </x:c>
      <x:c r="F270" s="13" t="str">
        <x:v>Conciliado</x:v>
      </x:c>
      <x:c r="G270" s="13" t="str">
        <x:v>Sem divergência</x:v>
      </x:c>
      <x:c r="H270" s="13" t="n">
        <x:v>0.43</x:v>
      </x:c>
      <x:c r="I270" s="13" t="str">
        <x:v>Crescimento sem escala</x:v>
      </x:c>
      <x:c r="J270" s="17" t="n">
        <x:f>E270-D270</x:f>
        <x:v>0</x:v>
      </x:c>
      <x:c r="K270" s="19" t="n">
        <x:f>IFERROR(ABS(J270/D270),0)</x:f>
        <x:v>0</x:v>
      </x:c>
    </x:row>
    <x:row r="271">
      <x:c r="A271" s="13" t="str">
        <x:v>CON-000270</x:v>
      </x:c>
      <x:c r="B271" s="23" t="n">
        <x:v>45526</x:v>
      </x:c>
      <x:c r="C271" s="13" t="str">
        <x:v>Nubank Serviços</x:v>
      </x:c>
      <x:c r="D271" s="17" t="n">
        <x:v>5608.29</x:v>
      </x:c>
      <x:c r="E271" s="17" t="n">
        <x:v>5608.29</x:v>
      </x:c>
      <x:c r="F271" s="13" t="str">
        <x:v>Conciliado</x:v>
      </x:c>
      <x:c r="G271" s="13" t="str">
        <x:v>Sem divergência</x:v>
      </x:c>
      <x:c r="H271" s="13" t="n">
        <x:v>0.05</x:v>
      </x:c>
      <x:c r="I271" s="13" t="str">
        <x:v>Crescimento sem escala</x:v>
      </x:c>
      <x:c r="J271" s="17" t="n">
        <x:f>E271-D271</x:f>
        <x:v>0</x:v>
      </x:c>
      <x:c r="K271" s="19" t="n">
        <x:f>IFERROR(ABS(J271/D271),0)</x:f>
        <x:v>0</x:v>
      </x:c>
    </x:row>
    <x:row r="272">
      <x:c r="A272" s="13" t="str">
        <x:v>CON-000271</x:v>
      </x:c>
      <x:c r="B272" s="23" t="n">
        <x:v>45527</x:v>
      </x:c>
      <x:c r="C272" s="13" t="str">
        <x:v>Itaú Operacional</x:v>
      </x:c>
      <x:c r="D272" s="17" t="n">
        <x:v>26744.93</x:v>
      </x:c>
      <x:c r="E272" s="17" t="n">
        <x:v>26744.93</x:v>
      </x:c>
      <x:c r="F272" s="13" t="str">
        <x:v>Conciliado</x:v>
      </x:c>
      <x:c r="G272" s="13" t="str">
        <x:v>Sem divergência</x:v>
      </x:c>
      <x:c r="H272" s="13" t="n">
        <x:v>0.34</x:v>
      </x:c>
      <x:c r="I272" s="13" t="str">
        <x:v>Crescimento sem escala</x:v>
      </x:c>
      <x:c r="J272" s="17" t="n">
        <x:f>E272-D272</x:f>
        <x:v>0</x:v>
      </x:c>
      <x:c r="K272" s="19" t="n">
        <x:f>IFERROR(ABS(J272/D272),0)</x:f>
        <x:v>0</x:v>
      </x:c>
    </x:row>
    <x:row r="273">
      <x:c r="A273" s="13" t="str">
        <x:v>CON-000272</x:v>
      </x:c>
      <x:c r="B273" s="23" t="n">
        <x:v>45506</x:v>
      </x:c>
      <x:c r="C273" s="13" t="str">
        <x:v>Bradesco Pagamentos</x:v>
      </x:c>
      <x:c r="D273" s="17" t="n">
        <x:v>37176.36</x:v>
      </x:c>
      <x:c r="E273" s="17" t="n">
        <x:v>37176.36</x:v>
      </x:c>
      <x:c r="F273" s="13" t="str">
        <x:v>Conciliado</x:v>
      </x:c>
      <x:c r="G273" s="13" t="str">
        <x:v>Sem divergência</x:v>
      </x:c>
      <x:c r="H273" s="13" t="n">
        <x:v>0.36</x:v>
      </x:c>
      <x:c r="I273" s="13" t="str">
        <x:v>Crescimento sem escala</x:v>
      </x:c>
      <x:c r="J273" s="17" t="n">
        <x:f>E273-D273</x:f>
        <x:v>0</x:v>
      </x:c>
      <x:c r="K273" s="19" t="n">
        <x:f>IFERROR(ABS(J273/D273),0)</x:f>
        <x:v>0</x:v>
      </x:c>
    </x:row>
    <x:row r="274">
      <x:c r="A274" s="13" t="str">
        <x:v>CON-000273</x:v>
      </x:c>
      <x:c r="B274" s="23" t="n">
        <x:v>45511</x:v>
      </x:c>
      <x:c r="C274" s="13" t="str">
        <x:v>Santander Recebimentos</x:v>
      </x:c>
      <x:c r="D274" s="17" t="n">
        <x:v>33945.9</x:v>
      </x:c>
      <x:c r="E274" s="17" t="n">
        <x:v>33945.9</x:v>
      </x:c>
      <x:c r="F274" s="13" t="str">
        <x:v>Conciliado</x:v>
      </x:c>
      <x:c r="G274" s="13" t="str">
        <x:v>Sem divergência</x:v>
      </x:c>
      <x:c r="H274" s="13" t="n">
        <x:v>0.32</x:v>
      </x:c>
      <x:c r="I274" s="13" t="str">
        <x:v>Crescimento sem escala</x:v>
      </x:c>
      <x:c r="J274" s="17" t="n">
        <x:f>E274-D274</x:f>
        <x:v>0</x:v>
      </x:c>
      <x:c r="K274" s="19" t="n">
        <x:f>IFERROR(ABS(J274/D274),0)</x:f>
        <x:v>0</x:v>
      </x:c>
    </x:row>
    <x:row r="275">
      <x:c r="A275" s="13" t="str">
        <x:v>CON-000274</x:v>
      </x:c>
      <x:c r="B275" s="23" t="n">
        <x:v>45509</x:v>
      </x:c>
      <x:c r="C275" s="13" t="str">
        <x:v>Santander Recebimentos</x:v>
      </x:c>
      <x:c r="D275" s="17" t="n">
        <x:v>7399.18</x:v>
      </x:c>
      <x:c r="E275" s="17" t="n">
        <x:v>7399.18</x:v>
      </x:c>
      <x:c r="F275" s="13" t="str">
        <x:v>Conciliado</x:v>
      </x:c>
      <x:c r="G275" s="13" t="str">
        <x:v>Sem divergência</x:v>
      </x:c>
      <x:c r="H275" s="13" t="n">
        <x:v>0.33</x:v>
      </x:c>
      <x:c r="I275" s="13" t="str">
        <x:v>Crescimento sem escala</x:v>
      </x:c>
      <x:c r="J275" s="17" t="n">
        <x:f>E275-D275</x:f>
        <x:v>0</x:v>
      </x:c>
      <x:c r="K275" s="19" t="n">
        <x:f>IFERROR(ABS(J275/D275),0)</x:f>
        <x:v>0</x:v>
      </x:c>
    </x:row>
    <x:row r="276">
      <x:c r="A276" s="13" t="str">
        <x:v>CON-000275</x:v>
      </x:c>
      <x:c r="B276" s="23" t="n">
        <x:v>45532</x:v>
      </x:c>
      <x:c r="C276" s="13" t="str">
        <x:v>Itaú Operacional</x:v>
      </x:c>
      <x:c r="D276" s="17" t="n">
        <x:v>31445.63</x:v>
      </x:c>
      <x:c r="E276" s="17" t="n">
        <x:v>31445.63</x:v>
      </x:c>
      <x:c r="F276" s="13" t="str">
        <x:v>Conciliado</x:v>
      </x:c>
      <x:c r="G276" s="13" t="str">
        <x:v>Sem divergência</x:v>
      </x:c>
      <x:c r="H276" s="13" t="n">
        <x:v>0.43</x:v>
      </x:c>
      <x:c r="I276" s="13" t="str">
        <x:v>Crescimento sem escala</x:v>
      </x:c>
      <x:c r="J276" s="17" t="n">
        <x:f>E276-D276</x:f>
        <x:v>0</x:v>
      </x:c>
      <x:c r="K276" s="19" t="n">
        <x:f>IFERROR(ABS(J276/D276),0)</x:f>
        <x:v>0</x:v>
      </x:c>
    </x:row>
    <x:row r="277">
      <x:c r="A277" s="13" t="str">
        <x:v>CON-000276</x:v>
      </x:c>
      <x:c r="B277" s="23" t="n">
        <x:v>45528</x:v>
      </x:c>
      <x:c r="C277" s="13" t="str">
        <x:v>Santander Recebimentos</x:v>
      </x:c>
      <x:c r="D277" s="17" t="n">
        <x:v>32033.09</x:v>
      </x:c>
      <x:c r="E277" s="17" t="n">
        <x:v>32033.09</x:v>
      </x:c>
      <x:c r="F277" s="13" t="str">
        <x:v>Conciliado</x:v>
      </x:c>
      <x:c r="G277" s="13" t="str">
        <x:v>Sem divergência</x:v>
      </x:c>
      <x:c r="H277" s="13" t="n">
        <x:v>0.1</x:v>
      </x:c>
      <x:c r="I277" s="13" t="str">
        <x:v>Crescimento sem escala</x:v>
      </x:c>
      <x:c r="J277" s="17" t="n">
        <x:f>E277-D277</x:f>
        <x:v>0</x:v>
      </x:c>
      <x:c r="K277" s="19" t="n">
        <x:f>IFERROR(ABS(J277/D277),0)</x:f>
        <x:v>0</x:v>
      </x:c>
    </x:row>
    <x:row r="278">
      <x:c r="A278" s="13" t="str">
        <x:v>CON-000277</x:v>
      </x:c>
      <x:c r="B278" s="23" t="n">
        <x:v>45522</x:v>
      </x:c>
      <x:c r="C278" s="13" t="str">
        <x:v>Bradesco Pagamentos</x:v>
      </x:c>
      <x:c r="D278" s="17" t="n">
        <x:v>30420.89</x:v>
      </x:c>
      <x:c r="E278" s="17" t="n">
        <x:v>30420.89</x:v>
      </x:c>
      <x:c r="F278" s="13" t="str">
        <x:v>Conciliado</x:v>
      </x:c>
      <x:c r="G278" s="13" t="str">
        <x:v>Sem divergência</x:v>
      </x:c>
      <x:c r="H278" s="13" t="n">
        <x:v>0.32</x:v>
      </x:c>
      <x:c r="I278" s="13" t="str">
        <x:v>Crescimento sem escala</x:v>
      </x:c>
      <x:c r="J278" s="17" t="n">
        <x:f>E278-D278</x:f>
        <x:v>0</x:v>
      </x:c>
      <x:c r="K278" s="19" t="n">
        <x:f>IFERROR(ABS(J278/D278),0)</x:f>
        <x:v>0</x:v>
      </x:c>
    </x:row>
    <x:row r="279">
      <x:c r="A279" s="13" t="str">
        <x:v>CON-000278</x:v>
      </x:c>
      <x:c r="B279" s="23" t="n">
        <x:v>45513</x:v>
      </x:c>
      <x:c r="C279" s="13" t="str">
        <x:v>Itaú Operacional</x:v>
      </x:c>
      <x:c r="D279" s="17" t="n">
        <x:v>2060.54</x:v>
      </x:c>
      <x:c r="E279" s="17" t="n">
        <x:v>2060.54</x:v>
      </x:c>
      <x:c r="F279" s="13" t="str">
        <x:v>Conciliado</x:v>
      </x:c>
      <x:c r="G279" s="13" t="str">
        <x:v>Sem divergência</x:v>
      </x:c>
      <x:c r="H279" s="13" t="n">
        <x:v>0.25</x:v>
      </x:c>
      <x:c r="I279" s="13" t="str">
        <x:v>Crescimento sem escala</x:v>
      </x:c>
      <x:c r="J279" s="17" t="n">
        <x:f>E279-D279</x:f>
        <x:v>0</x:v>
      </x:c>
      <x:c r="K279" s="19" t="n">
        <x:f>IFERROR(ABS(J279/D279),0)</x:f>
        <x:v>0</x:v>
      </x:c>
    </x:row>
    <x:row r="280">
      <x:c r="A280" s="13" t="str">
        <x:v>CON-000279</x:v>
      </x:c>
      <x:c r="B280" s="23" t="n">
        <x:v>45517</x:v>
      </x:c>
      <x:c r="C280" s="13" t="str">
        <x:v>Nubank Serviços</x:v>
      </x:c>
      <x:c r="D280" s="17" t="n">
        <x:v>18561.06</x:v>
      </x:c>
      <x:c r="E280" s="17" t="n">
        <x:v>18561.06</x:v>
      </x:c>
      <x:c r="F280" s="13" t="str">
        <x:v>Conciliado</x:v>
      </x:c>
      <x:c r="G280" s="13" t="str">
        <x:v>Sem divergência</x:v>
      </x:c>
      <x:c r="H280" s="13" t="n">
        <x:v>0.29</x:v>
      </x:c>
      <x:c r="I280" s="13" t="str">
        <x:v>Crescimento sem escala</x:v>
      </x:c>
      <x:c r="J280" s="17" t="n">
        <x:f>E280-D280</x:f>
        <x:v>0</x:v>
      </x:c>
      <x:c r="K280" s="19" t="n">
        <x:f>IFERROR(ABS(J280/D280),0)</x:f>
        <x:v>0</x:v>
      </x:c>
    </x:row>
    <x:row r="281">
      <x:c r="A281" s="13" t="str">
        <x:v>CON-000280</x:v>
      </x:c>
      <x:c r="B281" s="23" t="n">
        <x:v>45513</x:v>
      </x:c>
      <x:c r="C281" s="13" t="str">
        <x:v>Itaú Operacional</x:v>
      </x:c>
      <x:c r="D281" s="17" t="n">
        <x:v>28409.25</x:v>
      </x:c>
      <x:c r="E281" s="17" t="n">
        <x:v>28409.25</x:v>
      </x:c>
      <x:c r="F281" s="13" t="str">
        <x:v>Conciliado</x:v>
      </x:c>
      <x:c r="G281" s="13" t="str">
        <x:v>Sem divergência</x:v>
      </x:c>
      <x:c r="H281" s="13" t="n">
        <x:v>0.16</x:v>
      </x:c>
      <x:c r="I281" s="13" t="str">
        <x:v>Crescimento sem escala</x:v>
      </x:c>
      <x:c r="J281" s="17" t="n">
        <x:f>E281-D281</x:f>
        <x:v>0</x:v>
      </x:c>
      <x:c r="K281" s="19" t="n">
        <x:f>IFERROR(ABS(J281/D281),0)</x:f>
        <x:v>0</x:v>
      </x:c>
    </x:row>
    <x:row r="282">
      <x:c r="A282" s="13" t="str">
        <x:v>CON-000281</x:v>
      </x:c>
      <x:c r="B282" s="23" t="n">
        <x:v>45537</x:v>
      </x:c>
      <x:c r="C282" s="13" t="str">
        <x:v>Bradesco Pagamentos</x:v>
      </x:c>
      <x:c r="D282" s="17" t="n">
        <x:v>19800.44</x:v>
      </x:c>
      <x:c r="E282" s="17" t="n">
        <x:v>19800.44</x:v>
      </x:c>
      <x:c r="F282" s="13" t="str">
        <x:v>Conciliado</x:v>
      </x:c>
      <x:c r="G282" s="13" t="str">
        <x:v>Sem divergência</x:v>
      </x:c>
      <x:c r="H282" s="13" t="n">
        <x:v>0.12</x:v>
      </x:c>
      <x:c r="I282" s="13" t="str">
        <x:v>Crescimento sem escala</x:v>
      </x:c>
      <x:c r="J282" s="17" t="n">
        <x:f>E282-D282</x:f>
        <x:v>0</x:v>
      </x:c>
      <x:c r="K282" s="19" t="n">
        <x:f>IFERROR(ABS(J282/D282),0)</x:f>
        <x:v>0</x:v>
      </x:c>
    </x:row>
    <x:row r="283">
      <x:c r="A283" s="13" t="str">
        <x:v>CON-000282</x:v>
      </x:c>
      <x:c r="B283" s="23" t="n">
        <x:v>45561</x:v>
      </x:c>
      <x:c r="C283" s="13" t="str">
        <x:v>Santander Recebimentos</x:v>
      </x:c>
      <x:c r="D283" s="17" t="n">
        <x:v>39804.21</x:v>
      </x:c>
      <x:c r="E283" s="17" t="n">
        <x:v>39899.55</x:v>
      </x:c>
      <x:c r="F283" s="13" t="str">
        <x:v>Resolvido</x:v>
      </x:c>
      <x:c r="G283" s="13" t="str">
        <x:v>Lançamento sem documento</x:v>
      </x:c>
      <x:c r="H283" s="13" t="n">
        <x:v>6.54</x:v>
      </x:c>
      <x:c r="I283" s="13" t="str">
        <x:v>Crescimento sem escala</x:v>
      </x:c>
      <x:c r="J283" s="17" t="n">
        <x:f>E283-D283</x:f>
        <x:v>95.34000000000378</x:v>
      </x:c>
      <x:c r="K283" s="19" t="n">
        <x:f>IFERROR(ABS(J283/D283),0)</x:f>
        <x:v>0.0023952240227856246</x:v>
      </x:c>
    </x:row>
    <x:row r="284">
      <x:c r="A284" s="13" t="str">
        <x:v>CON-000283</x:v>
      </x:c>
      <x:c r="B284" s="23" t="n">
        <x:v>45554</x:v>
      </x:c>
      <x:c r="C284" s="13" t="str">
        <x:v>Itaú Operacional</x:v>
      </x:c>
      <x:c r="D284" s="17" t="n">
        <x:v>23083.75</x:v>
      </x:c>
      <x:c r="E284" s="17" t="n">
        <x:v>23083.75</x:v>
      </x:c>
      <x:c r="F284" s="13" t="str">
        <x:v>Conciliado</x:v>
      </x:c>
      <x:c r="G284" s="13" t="str">
        <x:v>Sem divergência</x:v>
      </x:c>
      <x:c r="H284" s="13" t="n">
        <x:v>0.41</x:v>
      </x:c>
      <x:c r="I284" s="13" t="str">
        <x:v>Crescimento sem escala</x:v>
      </x:c>
      <x:c r="J284" s="17" t="n">
        <x:f>E284-D284</x:f>
        <x:v>0</x:v>
      </x:c>
      <x:c r="K284" s="19" t="n">
        <x:f>IFERROR(ABS(J284/D284),0)</x:f>
        <x:v>0</x:v>
      </x:c>
    </x:row>
    <x:row r="285">
      <x:c r="A285" s="13" t="str">
        <x:v>CON-000284</x:v>
      </x:c>
      <x:c r="B285" s="23" t="n">
        <x:v>45544</x:v>
      </x:c>
      <x:c r="C285" s="13" t="str">
        <x:v>Bradesco Pagamentos</x:v>
      </x:c>
      <x:c r="D285" s="17" t="n">
        <x:v>32613.79</x:v>
      </x:c>
      <x:c r="E285" s="17" t="n">
        <x:v>32613.79</x:v>
      </x:c>
      <x:c r="F285" s="13" t="str">
        <x:v>Conciliado</x:v>
      </x:c>
      <x:c r="G285" s="13" t="str">
        <x:v>Sem divergência</x:v>
      </x:c>
      <x:c r="H285" s="13" t="n">
        <x:v>0.11</x:v>
      </x:c>
      <x:c r="I285" s="13" t="str">
        <x:v>Crescimento sem escala</x:v>
      </x:c>
      <x:c r="J285" s="17" t="n">
        <x:f>E285-D285</x:f>
        <x:v>0</x:v>
      </x:c>
      <x:c r="K285" s="19" t="n">
        <x:f>IFERROR(ABS(J285/D285),0)</x:f>
        <x:v>0</x:v>
      </x:c>
    </x:row>
    <x:row r="286">
      <x:c r="A286" s="13" t="str">
        <x:v>CON-000285</x:v>
      </x:c>
      <x:c r="B286" s="23" t="n">
        <x:v>45546</x:v>
      </x:c>
      <x:c r="C286" s="13" t="str">
        <x:v>Bradesco Pagamentos</x:v>
      </x:c>
      <x:c r="D286" s="17" t="n">
        <x:v>11610.33</x:v>
      </x:c>
      <x:c r="E286" s="17" t="n">
        <x:v>11610.33</x:v>
      </x:c>
      <x:c r="F286" s="13" t="str">
        <x:v>Conciliado</x:v>
      </x:c>
      <x:c r="G286" s="13" t="str">
        <x:v>Sem divergência</x:v>
      </x:c>
      <x:c r="H286" s="13" t="n">
        <x:v>0.45</x:v>
      </x:c>
      <x:c r="I286" s="13" t="str">
        <x:v>Crescimento sem escala</x:v>
      </x:c>
      <x:c r="J286" s="17" t="n">
        <x:f>E286-D286</x:f>
        <x:v>0</x:v>
      </x:c>
      <x:c r="K286" s="19" t="n">
        <x:f>IFERROR(ABS(J286/D286),0)</x:f>
        <x:v>0</x:v>
      </x:c>
    </x:row>
    <x:row r="287">
      <x:c r="A287" s="13" t="str">
        <x:v>CON-000286</x:v>
      </x:c>
      <x:c r="B287" s="23" t="n">
        <x:v>45552</x:v>
      </x:c>
      <x:c r="C287" s="13" t="str">
        <x:v>Itaú Operacional</x:v>
      </x:c>
      <x:c r="D287" s="17" t="n">
        <x:v>9609.62</x:v>
      </x:c>
      <x:c r="E287" s="17" t="n">
        <x:v>9609.62</x:v>
      </x:c>
      <x:c r="F287" s="13" t="str">
        <x:v>Conciliado</x:v>
      </x:c>
      <x:c r="G287" s="13" t="str">
        <x:v>Sem divergência</x:v>
      </x:c>
      <x:c r="H287" s="13" t="n">
        <x:v>0.22</x:v>
      </x:c>
      <x:c r="I287" s="13" t="str">
        <x:v>Crescimento sem escala</x:v>
      </x:c>
      <x:c r="J287" s="17" t="n">
        <x:f>E287-D287</x:f>
        <x:v>0</x:v>
      </x:c>
      <x:c r="K287" s="19" t="n">
        <x:f>IFERROR(ABS(J287/D287),0)</x:f>
        <x:v>0</x:v>
      </x:c>
    </x:row>
    <x:row r="288">
      <x:c r="A288" s="13" t="str">
        <x:v>CON-000287</x:v>
      </x:c>
      <x:c r="B288" s="23" t="n">
        <x:v>45548</x:v>
      </x:c>
      <x:c r="C288" s="13" t="str">
        <x:v>Bradesco Pagamentos</x:v>
      </x:c>
      <x:c r="D288" s="17" t="n">
        <x:v>13897.92</x:v>
      </x:c>
      <x:c r="E288" s="17" t="n">
        <x:v>13897.92</x:v>
      </x:c>
      <x:c r="F288" s="13" t="str">
        <x:v>Conciliado</x:v>
      </x:c>
      <x:c r="G288" s="13" t="str">
        <x:v>Sem divergência</x:v>
      </x:c>
      <x:c r="H288" s="13" t="n">
        <x:v>0.4</x:v>
      </x:c>
      <x:c r="I288" s="13" t="str">
        <x:v>Crescimento sem escala</x:v>
      </x:c>
      <x:c r="J288" s="17" t="n">
        <x:f>E288-D288</x:f>
        <x:v>0</x:v>
      </x:c>
      <x:c r="K288" s="19" t="n">
        <x:f>IFERROR(ABS(J288/D288),0)</x:f>
        <x:v>0</x:v>
      </x:c>
    </x:row>
    <x:row r="289">
      <x:c r="A289" s="13" t="str">
        <x:v>CON-000288</x:v>
      </x:c>
      <x:c r="B289" s="23" t="n">
        <x:v>45553</x:v>
      </x:c>
      <x:c r="C289" s="13" t="str">
        <x:v>Itaú Operacional</x:v>
      </x:c>
      <x:c r="D289" s="17" t="n">
        <x:v>14922.99</x:v>
      </x:c>
      <x:c r="E289" s="17" t="n">
        <x:v>14922.99</x:v>
      </x:c>
      <x:c r="F289" s="13" t="str">
        <x:v>Conciliado</x:v>
      </x:c>
      <x:c r="G289" s="13" t="str">
        <x:v>Sem divergência</x:v>
      </x:c>
      <x:c r="H289" s="13" t="n">
        <x:v>0.05</x:v>
      </x:c>
      <x:c r="I289" s="13" t="str">
        <x:v>Crescimento sem escala</x:v>
      </x:c>
      <x:c r="J289" s="17" t="n">
        <x:f>E289-D289</x:f>
        <x:v>0</x:v>
      </x:c>
      <x:c r="K289" s="19" t="n">
        <x:f>IFERROR(ABS(J289/D289),0)</x:f>
        <x:v>0</x:v>
      </x:c>
    </x:row>
    <x:row r="290">
      <x:c r="A290" s="13" t="str">
        <x:v>CON-000289</x:v>
      </x:c>
      <x:c r="B290" s="23" t="n">
        <x:v>45537</x:v>
      </x:c>
      <x:c r="C290" s="13" t="str">
        <x:v>Nubank Serviços</x:v>
      </x:c>
      <x:c r="D290" s="17" t="n">
        <x:v>26359.34</x:v>
      </x:c>
      <x:c r="E290" s="17" t="n">
        <x:v>26359.34</x:v>
      </x:c>
      <x:c r="F290" s="13" t="str">
        <x:v>Conciliado</x:v>
      </x:c>
      <x:c r="G290" s="13" t="str">
        <x:v>Sem divergência</x:v>
      </x:c>
      <x:c r="H290" s="13" t="n">
        <x:v>0.28</x:v>
      </x:c>
      <x:c r="I290" s="13" t="str">
        <x:v>Crescimento sem escala</x:v>
      </x:c>
      <x:c r="J290" s="17" t="n">
        <x:f>E290-D290</x:f>
        <x:v>0</x:v>
      </x:c>
      <x:c r="K290" s="19" t="n">
        <x:f>IFERROR(ABS(J290/D290),0)</x:f>
        <x:v>0</x:v>
      </x:c>
    </x:row>
    <x:row r="291">
      <x:c r="A291" s="13" t="str">
        <x:v>CON-000290</x:v>
      </x:c>
      <x:c r="B291" s="23" t="n">
        <x:v>45550</x:v>
      </x:c>
      <x:c r="C291" s="13" t="str">
        <x:v>Bradesco Pagamentos</x:v>
      </x:c>
      <x:c r="D291" s="17" t="n">
        <x:v>8459.74</x:v>
      </x:c>
      <x:c r="E291" s="17" t="n">
        <x:v>7831.55</x:v>
      </x:c>
      <x:c r="F291" s="13" t="str">
        <x:v>Resolvido</x:v>
      </x:c>
      <x:c r="G291" s="13" t="str">
        <x:v>Baixa incorreta</x:v>
      </x:c>
      <x:c r="H291" s="13" t="n">
        <x:v>8.74</x:v>
      </x:c>
      <x:c r="I291" s="13" t="str">
        <x:v>Crescimento sem escala</x:v>
      </x:c>
      <x:c r="J291" s="17" t="n">
        <x:f>E291-D291</x:f>
        <x:v>-628.1899999999996</x:v>
      </x:c>
      <x:c r="K291" s="19" t="n">
        <x:f>IFERROR(ABS(J291/D291),0)</x:f>
        <x:v>0.07425641922801406</x:v>
      </x:c>
    </x:row>
    <x:row r="292">
      <x:c r="A292" s="13" t="str">
        <x:v>CON-000291</x:v>
      </x:c>
      <x:c r="B292" s="23" t="n">
        <x:v>45556</x:v>
      </x:c>
      <x:c r="C292" s="13" t="str">
        <x:v>Itaú Operacional</x:v>
      </x:c>
      <x:c r="D292" s="17" t="n">
        <x:v>19066.43</x:v>
      </x:c>
      <x:c r="E292" s="17" t="n">
        <x:v>19066.43</x:v>
      </x:c>
      <x:c r="F292" s="13" t="str">
        <x:v>Conciliado</x:v>
      </x:c>
      <x:c r="G292" s="13" t="str">
        <x:v>Sem divergência</x:v>
      </x:c>
      <x:c r="H292" s="13" t="n">
        <x:v>0.35</x:v>
      </x:c>
      <x:c r="I292" s="13" t="str">
        <x:v>Crescimento sem escala</x:v>
      </x:c>
      <x:c r="J292" s="17" t="n">
        <x:f>E292-D292</x:f>
        <x:v>0</x:v>
      </x:c>
      <x:c r="K292" s="19" t="n">
        <x:f>IFERROR(ABS(J292/D292),0)</x:f>
        <x:v>0</x:v>
      </x:c>
    </x:row>
    <x:row r="293">
      <x:c r="A293" s="13" t="str">
        <x:v>CON-000292</x:v>
      </x:c>
      <x:c r="B293" s="23" t="n">
        <x:v>45557</x:v>
      </x:c>
      <x:c r="C293" s="13" t="str">
        <x:v>Bradesco Pagamentos</x:v>
      </x:c>
      <x:c r="D293" s="17" t="n">
        <x:v>43595.22</x:v>
      </x:c>
      <x:c r="E293" s="17" t="n">
        <x:v>43595.22</x:v>
      </x:c>
      <x:c r="F293" s="13" t="str">
        <x:v>Conciliado</x:v>
      </x:c>
      <x:c r="G293" s="13" t="str">
        <x:v>Sem divergência</x:v>
      </x:c>
      <x:c r="H293" s="13" t="n">
        <x:v>0.36</x:v>
      </x:c>
      <x:c r="I293" s="13" t="str">
        <x:v>Crescimento sem escala</x:v>
      </x:c>
      <x:c r="J293" s="17" t="n">
        <x:f>E293-D293</x:f>
        <x:v>0</x:v>
      </x:c>
      <x:c r="K293" s="19" t="n">
        <x:f>IFERROR(ABS(J293/D293),0)</x:f>
        <x:v>0</x:v>
      </x:c>
    </x:row>
    <x:row r="294">
      <x:c r="A294" s="13" t="str">
        <x:v>CON-000293</x:v>
      </x:c>
      <x:c r="B294" s="23" t="n">
        <x:v>45546</x:v>
      </x:c>
      <x:c r="C294" s="13" t="str">
        <x:v>Itaú Operacional</x:v>
      </x:c>
      <x:c r="D294" s="17" t="n">
        <x:v>25906.17</x:v>
      </x:c>
      <x:c r="E294" s="17" t="n">
        <x:v>25906.17</x:v>
      </x:c>
      <x:c r="F294" s="13" t="str">
        <x:v>Conciliado</x:v>
      </x:c>
      <x:c r="G294" s="13" t="str">
        <x:v>Sem divergência</x:v>
      </x:c>
      <x:c r="H294" s="13" t="n">
        <x:v>0.04</x:v>
      </x:c>
      <x:c r="I294" s="13" t="str">
        <x:v>Crescimento sem escala</x:v>
      </x:c>
      <x:c r="J294" s="17" t="n">
        <x:f>E294-D294</x:f>
        <x:v>0</x:v>
      </x:c>
      <x:c r="K294" s="19" t="n">
        <x:f>IFERROR(ABS(J294/D294),0)</x:f>
        <x:v>0</x:v>
      </x:c>
    </x:row>
    <x:row r="295">
      <x:c r="A295" s="13" t="str">
        <x:v>CON-000294</x:v>
      </x:c>
      <x:c r="B295" s="23" t="n">
        <x:v>45554</x:v>
      </x:c>
      <x:c r="C295" s="13" t="str">
        <x:v>Santander Recebimentos</x:v>
      </x:c>
      <x:c r="D295" s="17" t="n">
        <x:v>30839.38</x:v>
      </x:c>
      <x:c r="E295" s="17" t="n">
        <x:v>30839.38</x:v>
      </x:c>
      <x:c r="F295" s="13" t="str">
        <x:v>Conciliado</x:v>
      </x:c>
      <x:c r="G295" s="13" t="str">
        <x:v>Sem divergência</x:v>
      </x:c>
      <x:c r="H295" s="13" t="n">
        <x:v>0.16</x:v>
      </x:c>
      <x:c r="I295" s="13" t="str">
        <x:v>Crescimento sem escala</x:v>
      </x:c>
      <x:c r="J295" s="17" t="n">
        <x:f>E295-D295</x:f>
        <x:v>0</x:v>
      </x:c>
      <x:c r="K295" s="19" t="n">
        <x:f>IFERROR(ABS(J295/D295),0)</x:f>
        <x:v>0</x:v>
      </x:c>
    </x:row>
    <x:row r="296">
      <x:c r="A296" s="13" t="str">
        <x:v>CON-000295</x:v>
      </x:c>
      <x:c r="B296" s="23" t="n">
        <x:v>45551</x:v>
      </x:c>
      <x:c r="C296" s="13" t="str">
        <x:v>Santander Recebimentos</x:v>
      </x:c>
      <x:c r="D296" s="17" t="n">
        <x:v>33087.03</x:v>
      </x:c>
      <x:c r="E296" s="17" t="n">
        <x:v>33087.03</x:v>
      </x:c>
      <x:c r="F296" s="13" t="str">
        <x:v>Conciliado</x:v>
      </x:c>
      <x:c r="G296" s="13" t="str">
        <x:v>Sem divergência</x:v>
      </x:c>
      <x:c r="H296" s="13" t="n">
        <x:v>0.15</x:v>
      </x:c>
      <x:c r="I296" s="13" t="str">
        <x:v>Crescimento sem escala</x:v>
      </x:c>
      <x:c r="J296" s="17" t="n">
        <x:f>E296-D296</x:f>
        <x:v>0</x:v>
      </x:c>
      <x:c r="K296" s="19" t="n">
        <x:f>IFERROR(ABS(J296/D296),0)</x:f>
        <x:v>0</x:v>
      </x:c>
    </x:row>
    <x:row r="297">
      <x:c r="A297" s="13" t="str">
        <x:v>CON-000296</x:v>
      </x:c>
      <x:c r="B297" s="23" t="n">
        <x:v>45538</x:v>
      </x:c>
      <x:c r="C297" s="13" t="str">
        <x:v>Bradesco Pagamentos</x:v>
      </x:c>
      <x:c r="D297" s="17" t="n">
        <x:v>29664.47</x:v>
      </x:c>
      <x:c r="E297" s="17" t="n">
        <x:v>29664.47</x:v>
      </x:c>
      <x:c r="F297" s="13" t="str">
        <x:v>Conciliado</x:v>
      </x:c>
      <x:c r="G297" s="13" t="str">
        <x:v>Sem divergência</x:v>
      </x:c>
      <x:c r="H297" s="13" t="n">
        <x:v>0.18</x:v>
      </x:c>
      <x:c r="I297" s="13" t="str">
        <x:v>Crescimento sem escala</x:v>
      </x:c>
      <x:c r="J297" s="17" t="n">
        <x:f>E297-D297</x:f>
        <x:v>0</x:v>
      </x:c>
      <x:c r="K297" s="19" t="n">
        <x:f>IFERROR(ABS(J297/D297),0)</x:f>
        <x:v>0</x:v>
      </x:c>
    </x:row>
    <x:row r="298">
      <x:c r="A298" s="13" t="str">
        <x:v>CON-000297</x:v>
      </x:c>
      <x:c r="B298" s="23" t="n">
        <x:v>45559</x:v>
      </x:c>
      <x:c r="C298" s="13" t="str">
        <x:v>Itaú Operacional</x:v>
      </x:c>
      <x:c r="D298" s="17" t="n">
        <x:v>2164.92</x:v>
      </x:c>
      <x:c r="E298" s="17" t="n">
        <x:v>2164.92</x:v>
      </x:c>
      <x:c r="F298" s="13" t="str">
        <x:v>Conciliado</x:v>
      </x:c>
      <x:c r="G298" s="13" t="str">
        <x:v>Sem divergência</x:v>
      </x:c>
      <x:c r="H298" s="13" t="n">
        <x:v>0.22</x:v>
      </x:c>
      <x:c r="I298" s="13" t="str">
        <x:v>Crescimento sem escala</x:v>
      </x:c>
      <x:c r="J298" s="17" t="n">
        <x:f>E298-D298</x:f>
        <x:v>0</x:v>
      </x:c>
      <x:c r="K298" s="19" t="n">
        <x:f>IFERROR(ABS(J298/D298),0)</x:f>
        <x:v>0</x:v>
      </x:c>
    </x:row>
    <x:row r="299">
      <x:c r="A299" s="13" t="str">
        <x:v>CON-000298</x:v>
      </x:c>
      <x:c r="B299" s="23" t="n">
        <x:v>45547</x:v>
      </x:c>
      <x:c r="C299" s="13" t="str">
        <x:v>Santander Recebimentos</x:v>
      </x:c>
      <x:c r="D299" s="17" t="n">
        <x:v>30922.71</x:v>
      </x:c>
      <x:c r="E299" s="17" t="n">
        <x:v>30922.71</x:v>
      </x:c>
      <x:c r="F299" s="13" t="str">
        <x:v>Conciliado</x:v>
      </x:c>
      <x:c r="G299" s="13" t="str">
        <x:v>Sem divergência</x:v>
      </x:c>
      <x:c r="H299" s="13" t="n">
        <x:v>0.05</x:v>
      </x:c>
      <x:c r="I299" s="13" t="str">
        <x:v>Crescimento sem escala</x:v>
      </x:c>
      <x:c r="J299" s="17" t="n">
        <x:f>E299-D299</x:f>
        <x:v>0</x:v>
      </x:c>
      <x:c r="K299" s="19" t="n">
        <x:f>IFERROR(ABS(J299/D299),0)</x:f>
        <x:v>0</x:v>
      </x:c>
    </x:row>
    <x:row r="300">
      <x:c r="A300" s="13" t="str">
        <x:v>CON-000299</x:v>
      </x:c>
      <x:c r="B300" s="23" t="n">
        <x:v>45553</x:v>
      </x:c>
      <x:c r="C300" s="13" t="str">
        <x:v>Santander Recebimentos</x:v>
      </x:c>
      <x:c r="D300" s="17" t="n">
        <x:v>20482.69</x:v>
      </x:c>
      <x:c r="E300" s="17" t="n">
        <x:v>20482.69</x:v>
      </x:c>
      <x:c r="F300" s="13" t="str">
        <x:v>Conciliado</x:v>
      </x:c>
      <x:c r="G300" s="13" t="str">
        <x:v>Sem divergência</x:v>
      </x:c>
      <x:c r="H300" s="13" t="n">
        <x:v>0.18</x:v>
      </x:c>
      <x:c r="I300" s="13" t="str">
        <x:v>Crescimento sem escala</x:v>
      </x:c>
      <x:c r="J300" s="17" t="n">
        <x:f>E300-D300</x:f>
        <x:v>0</x:v>
      </x:c>
      <x:c r="K300" s="19" t="n">
        <x:f>IFERROR(ABS(J300/D300),0)</x:f>
        <x:v>0</x:v>
      </x:c>
    </x:row>
    <x:row r="301">
      <x:c r="A301" s="13" t="str">
        <x:v>CON-000300</x:v>
      </x:c>
      <x:c r="B301" s="23" t="n">
        <x:v>45562</x:v>
      </x:c>
      <x:c r="C301" s="13" t="str">
        <x:v>Santander Recebimentos</x:v>
      </x:c>
      <x:c r="D301" s="17" t="n">
        <x:v>13490.06</x:v>
      </x:c>
      <x:c r="E301" s="17" t="n">
        <x:v>13490.06</x:v>
      </x:c>
      <x:c r="F301" s="13" t="str">
        <x:v>Conciliado</x:v>
      </x:c>
      <x:c r="G301" s="13" t="str">
        <x:v>Sem divergência</x:v>
      </x:c>
      <x:c r="H301" s="13" t="n">
        <x:v>0.31</x:v>
      </x:c>
      <x:c r="I301" s="13" t="str">
        <x:v>Crescimento sem escala</x:v>
      </x:c>
      <x:c r="J301" s="17" t="n">
        <x:f>E301-D301</x:f>
        <x:v>0</x:v>
      </x:c>
      <x:c r="K301" s="19" t="n">
        <x:f>IFERROR(ABS(J301/D301),0)</x:f>
        <x:v>0</x:v>
      </x:c>
    </x:row>
    <x:row r="302">
      <x:c r="A302" s="13" t="str">
        <x:v>CON-000301</x:v>
      </x:c>
      <x:c r="B302" s="23" t="n">
        <x:v>45550</x:v>
      </x:c>
      <x:c r="C302" s="13" t="str">
        <x:v>Nubank Serviços</x:v>
      </x:c>
      <x:c r="D302" s="17" t="n">
        <x:v>40657.88</x:v>
      </x:c>
      <x:c r="E302" s="17" t="n">
        <x:v>40657.88</x:v>
      </x:c>
      <x:c r="F302" s="13" t="str">
        <x:v>Conciliado</x:v>
      </x:c>
      <x:c r="G302" s="13" t="str">
        <x:v>Sem divergência</x:v>
      </x:c>
      <x:c r="H302" s="13" t="n">
        <x:v>0.05</x:v>
      </x:c>
      <x:c r="I302" s="13" t="str">
        <x:v>Crescimento sem escala</x:v>
      </x:c>
      <x:c r="J302" s="17" t="n">
        <x:f>E302-D302</x:f>
        <x:v>0</x:v>
      </x:c>
      <x:c r="K302" s="19" t="n">
        <x:f>IFERROR(ABS(J302/D302),0)</x:f>
        <x:v>0</x:v>
      </x:c>
    </x:row>
    <x:row r="303">
      <x:c r="A303" s="13" t="str">
        <x:v>CON-000302</x:v>
      </x:c>
      <x:c r="B303" s="23" t="n">
        <x:v>45563</x:v>
      </x:c>
      <x:c r="C303" s="13" t="str">
        <x:v>Bradesco Pagamentos</x:v>
      </x:c>
      <x:c r="D303" s="17" t="n">
        <x:v>18649.14</x:v>
      </x:c>
      <x:c r="E303" s="17" t="n">
        <x:v>18649.14</x:v>
      </x:c>
      <x:c r="F303" s="13" t="str">
        <x:v>Conciliado</x:v>
      </x:c>
      <x:c r="G303" s="13" t="str">
        <x:v>Sem divergência</x:v>
      </x:c>
      <x:c r="H303" s="13" t="n">
        <x:v>0.39</x:v>
      </x:c>
      <x:c r="I303" s="13" t="str">
        <x:v>Crescimento sem escala</x:v>
      </x:c>
      <x:c r="J303" s="17" t="n">
        <x:f>E303-D303</x:f>
        <x:v>0</x:v>
      </x:c>
      <x:c r="K303" s="19" t="n">
        <x:f>IFERROR(ABS(J303/D303),0)</x:f>
        <x:v>0</x:v>
      </x:c>
    </x:row>
    <x:row r="304">
      <x:c r="A304" s="13" t="str">
        <x:v>CON-000303</x:v>
      </x:c>
      <x:c r="B304" s="23" t="n">
        <x:v>45547</x:v>
      </x:c>
      <x:c r="C304" s="13" t="str">
        <x:v>Itaú Operacional</x:v>
      </x:c>
      <x:c r="D304" s="17" t="n">
        <x:v>34470.44</x:v>
      </x:c>
      <x:c r="E304" s="17" t="n">
        <x:v>34470.44</x:v>
      </x:c>
      <x:c r="F304" s="13" t="str">
        <x:v>Conciliado</x:v>
      </x:c>
      <x:c r="G304" s="13" t="str">
        <x:v>Sem divergência</x:v>
      </x:c>
      <x:c r="H304" s="13" t="n">
        <x:v>0.15</x:v>
      </x:c>
      <x:c r="I304" s="13" t="str">
        <x:v>Crescimento sem escala</x:v>
      </x:c>
      <x:c r="J304" s="17" t="n">
        <x:f>E304-D304</x:f>
        <x:v>0</x:v>
      </x:c>
      <x:c r="K304" s="19" t="n">
        <x:f>IFERROR(ABS(J304/D304),0)</x:f>
        <x:v>0</x:v>
      </x:c>
    </x:row>
    <x:row r="305">
      <x:c r="A305" s="13" t="str">
        <x:v>CON-000304</x:v>
      </x:c>
      <x:c r="B305" s="23" t="n">
        <x:v>45556</x:v>
      </x:c>
      <x:c r="C305" s="13" t="str">
        <x:v>Santander Recebimentos</x:v>
      </x:c>
      <x:c r="D305" s="17" t="n">
        <x:v>1206.23</x:v>
      </x:c>
      <x:c r="E305" s="17" t="n">
        <x:v>1206.23</x:v>
      </x:c>
      <x:c r="F305" s="13" t="str">
        <x:v>Conciliado</x:v>
      </x:c>
      <x:c r="G305" s="13" t="str">
        <x:v>Sem divergência</x:v>
      </x:c>
      <x:c r="H305" s="13" t="n">
        <x:v>0.17</x:v>
      </x:c>
      <x:c r="I305" s="13" t="str">
        <x:v>Crescimento sem escala</x:v>
      </x:c>
      <x:c r="J305" s="17" t="n">
        <x:f>E305-D305</x:f>
        <x:v>0</x:v>
      </x:c>
      <x:c r="K305" s="19" t="n">
        <x:f>IFERROR(ABS(J305/D305),0)</x:f>
        <x:v>0</x:v>
      </x:c>
    </x:row>
    <x:row r="306">
      <x:c r="A306" s="13" t="str">
        <x:v>CON-000305</x:v>
      </x:c>
      <x:c r="B306" s="23" t="n">
        <x:v>45549</x:v>
      </x:c>
      <x:c r="C306" s="13" t="str">
        <x:v>Nubank Serviços</x:v>
      </x:c>
      <x:c r="D306" s="17" t="n">
        <x:v>18015.62</x:v>
      </x:c>
      <x:c r="E306" s="17" t="n">
        <x:v>18015.62</x:v>
      </x:c>
      <x:c r="F306" s="13" t="str">
        <x:v>Conciliado</x:v>
      </x:c>
      <x:c r="G306" s="13" t="str">
        <x:v>Sem divergência</x:v>
      </x:c>
      <x:c r="H306" s="13" t="n">
        <x:v>0.26</x:v>
      </x:c>
      <x:c r="I306" s="13" t="str">
        <x:v>Crescimento sem escala</x:v>
      </x:c>
      <x:c r="J306" s="17" t="n">
        <x:f>E306-D306</x:f>
        <x:v>0</x:v>
      </x:c>
      <x:c r="K306" s="19" t="n">
        <x:f>IFERROR(ABS(J306/D306),0)</x:f>
        <x:v>0</x:v>
      </x:c>
    </x:row>
    <x:row r="307">
      <x:c r="A307" s="13" t="str">
        <x:v>CON-000306</x:v>
      </x:c>
      <x:c r="B307" s="23" t="n">
        <x:v>45542</x:v>
      </x:c>
      <x:c r="C307" s="13" t="str">
        <x:v>Nubank Serviços</x:v>
      </x:c>
      <x:c r="D307" s="17" t="n">
        <x:v>38995.18</x:v>
      </x:c>
      <x:c r="E307" s="17" t="n">
        <x:v>39736.05</x:v>
      </x:c>
      <x:c r="F307" s="13" t="str">
        <x:v>Pendente</x:v>
      </x:c>
      <x:c r="G307" s="13" t="str">
        <x:v>Data de compensação</x:v>
      </x:c>
      <x:c r="H307" s="13" t="n">
        <x:v>8.13</x:v>
      </x:c>
      <x:c r="I307" s="13" t="str">
        <x:v>Crescimento sem escala</x:v>
      </x:c>
      <x:c r="J307" s="17" t="n">
        <x:f>E307-D307</x:f>
        <x:v>740.8700000000026</x:v>
      </x:c>
      <x:c r="K307" s="19" t="n">
        <x:f>IFERROR(ABS(J307/D307),0)</x:f>
        <x:v>0.01899901475002815</x:v>
      </x:c>
    </x:row>
    <x:row r="308">
      <x:c r="A308" s="13" t="str">
        <x:v>CON-000307</x:v>
      </x:c>
      <x:c r="B308" s="23" t="n">
        <x:v>45539</x:v>
      </x:c>
      <x:c r="C308" s="13" t="str">
        <x:v>Nubank Serviços</x:v>
      </x:c>
      <x:c r="D308" s="17" t="n">
        <x:v>19693.42</x:v>
      </x:c>
      <x:c r="E308" s="17" t="n">
        <x:v>19693.42</x:v>
      </x:c>
      <x:c r="F308" s="13" t="str">
        <x:v>Conciliado</x:v>
      </x:c>
      <x:c r="G308" s="13" t="str">
        <x:v>Sem divergência</x:v>
      </x:c>
      <x:c r="H308" s="13" t="n">
        <x:v>0.08</x:v>
      </x:c>
      <x:c r="I308" s="13" t="str">
        <x:v>Crescimento sem escala</x:v>
      </x:c>
      <x:c r="J308" s="17" t="n">
        <x:f>E308-D308</x:f>
        <x:v>0</x:v>
      </x:c>
      <x:c r="K308" s="19" t="n">
        <x:f>IFERROR(ABS(J308/D308),0)</x:f>
        <x:v>0</x:v>
      </x:c>
    </x:row>
    <x:row r="309">
      <x:c r="A309" s="13" t="str">
        <x:v>CON-000308</x:v>
      </x:c>
      <x:c r="B309" s="23" t="n">
        <x:v>45547</x:v>
      </x:c>
      <x:c r="C309" s="13" t="str">
        <x:v>Bradesco Pagamentos</x:v>
      </x:c>
      <x:c r="D309" s="17" t="n">
        <x:v>42592.76</x:v>
      </x:c>
      <x:c r="E309" s="17" t="n">
        <x:v>42592.76</x:v>
      </x:c>
      <x:c r="F309" s="13" t="str">
        <x:v>Conciliado</x:v>
      </x:c>
      <x:c r="G309" s="13" t="str">
        <x:v>Sem divergência</x:v>
      </x:c>
      <x:c r="H309" s="13" t="n">
        <x:v>0.32</x:v>
      </x:c>
      <x:c r="I309" s="13" t="str">
        <x:v>Crescimento sem escala</x:v>
      </x:c>
      <x:c r="J309" s="17" t="n">
        <x:f>E309-D309</x:f>
        <x:v>0</x:v>
      </x:c>
      <x:c r="K309" s="19" t="n">
        <x:f>IFERROR(ABS(J309/D309),0)</x:f>
        <x:v>0</x:v>
      </x:c>
    </x:row>
    <x:row r="310">
      <x:c r="A310" s="13" t="str">
        <x:v>CON-000309</x:v>
      </x:c>
      <x:c r="B310" s="23" t="n">
        <x:v>45559</x:v>
      </x:c>
      <x:c r="C310" s="13" t="str">
        <x:v>Nubank Serviços</x:v>
      </x:c>
      <x:c r="D310" s="17" t="n">
        <x:v>31152.95</x:v>
      </x:c>
      <x:c r="E310" s="17" t="n">
        <x:v>31152.95</x:v>
      </x:c>
      <x:c r="F310" s="13" t="str">
        <x:v>Conciliado</x:v>
      </x:c>
      <x:c r="G310" s="13" t="str">
        <x:v>Sem divergência</x:v>
      </x:c>
      <x:c r="H310" s="13" t="n">
        <x:v>0.34</x:v>
      </x:c>
      <x:c r="I310" s="13" t="str">
        <x:v>Crescimento sem escala</x:v>
      </x:c>
      <x:c r="J310" s="17" t="n">
        <x:f>E310-D310</x:f>
        <x:v>0</x:v>
      </x:c>
      <x:c r="K310" s="19" t="n">
        <x:f>IFERROR(ABS(J310/D310),0)</x:f>
        <x:v>0</x:v>
      </x:c>
    </x:row>
    <x:row r="311">
      <x:c r="A311" s="13" t="str">
        <x:v>CON-000310</x:v>
      </x:c>
      <x:c r="B311" s="23" t="n">
        <x:v>45562</x:v>
      </x:c>
      <x:c r="C311" s="13" t="str">
        <x:v>Nubank Serviços</x:v>
      </x:c>
      <x:c r="D311" s="17" t="n">
        <x:v>9212.4</x:v>
      </x:c>
      <x:c r="E311" s="17" t="n">
        <x:v>9212.4</x:v>
      </x:c>
      <x:c r="F311" s="13" t="str">
        <x:v>Conciliado</x:v>
      </x:c>
      <x:c r="G311" s="13" t="str">
        <x:v>Sem divergência</x:v>
      </x:c>
      <x:c r="H311" s="13" t="n">
        <x:v>0.28</x:v>
      </x:c>
      <x:c r="I311" s="13" t="str">
        <x:v>Crescimento sem escala</x:v>
      </x:c>
      <x:c r="J311" s="17" t="n">
        <x:f>E311-D311</x:f>
        <x:v>0</x:v>
      </x:c>
      <x:c r="K311" s="19" t="n">
        <x:f>IFERROR(ABS(J311/D311),0)</x:f>
        <x:v>0</x:v>
      </x:c>
    </x:row>
    <x:row r="312">
      <x:c r="A312" s="13" t="str">
        <x:v>CON-000311</x:v>
      </x:c>
      <x:c r="B312" s="23" t="n">
        <x:v>45553</x:v>
      </x:c>
      <x:c r="C312" s="13" t="str">
        <x:v>Santander Recebimentos</x:v>
      </x:c>
      <x:c r="D312" s="17" t="n">
        <x:v>6143.62</x:v>
      </x:c>
      <x:c r="E312" s="17" t="n">
        <x:v>6188.5</x:v>
      </x:c>
      <x:c r="F312" s="13" t="str">
        <x:v>Pendente</x:v>
      </x:c>
      <x:c r="G312" s="13" t="str">
        <x:v>Duplicidade</x:v>
      </x:c>
      <x:c r="H312" s="13" t="n">
        <x:v>3.51</x:v>
      </x:c>
      <x:c r="I312" s="13" t="str">
        <x:v>Crescimento sem escala</x:v>
      </x:c>
      <x:c r="J312" s="17" t="n">
        <x:f>E312-D312</x:f>
        <x:v>44.88000000000011</x:v>
      </x:c>
      <x:c r="K312" s="19" t="n">
        <x:f>IFERROR(ABS(J312/D312),0)</x:f>
        <x:v>0.007305139315257146</x:v>
      </x:c>
    </x:row>
    <x:row r="313">
      <x:c r="A313" s="13" t="str">
        <x:v>CON-000312</x:v>
      </x:c>
      <x:c r="B313" s="23" t="n">
        <x:v>45542</x:v>
      </x:c>
      <x:c r="C313" s="13" t="str">
        <x:v>Santander Recebimentos</x:v>
      </x:c>
      <x:c r="D313" s="17" t="n">
        <x:v>7719.8</x:v>
      </x:c>
      <x:c r="E313" s="17" t="n">
        <x:v>7719.8</x:v>
      </x:c>
      <x:c r="F313" s="13" t="str">
        <x:v>Conciliado</x:v>
      </x:c>
      <x:c r="G313" s="13" t="str">
        <x:v>Sem divergência</x:v>
      </x:c>
      <x:c r="H313" s="13" t="n">
        <x:v>0.08</x:v>
      </x:c>
      <x:c r="I313" s="13" t="str">
        <x:v>Crescimento sem escala</x:v>
      </x:c>
      <x:c r="J313" s="17" t="n">
        <x:f>E313-D313</x:f>
        <x:v>0</x:v>
      </x:c>
      <x:c r="K313" s="19" t="n">
        <x:f>IFERROR(ABS(J313/D313),0)</x:f>
        <x:v>0</x:v>
      </x:c>
    </x:row>
    <x:row r="314">
      <x:c r="A314" s="13" t="str">
        <x:v>CON-000313</x:v>
      </x:c>
      <x:c r="B314" s="23" t="n">
        <x:v>45541</x:v>
      </x:c>
      <x:c r="C314" s="13" t="str">
        <x:v>Itaú Operacional</x:v>
      </x:c>
      <x:c r="D314" s="17" t="n">
        <x:v>29608.87</x:v>
      </x:c>
      <x:c r="E314" s="17" t="n">
        <x:v>30274.2</x:v>
      </x:c>
      <x:c r="F314" s="13" t="str">
        <x:v>Resolvido</x:v>
      </x:c>
      <x:c r="G314" s="13" t="str">
        <x:v>Baixa incorreta</x:v>
      </x:c>
      <x:c r="H314" s="13" t="n">
        <x:v>5.7</x:v>
      </x:c>
      <x:c r="I314" s="13" t="str">
        <x:v>Crescimento sem escala</x:v>
      </x:c>
      <x:c r="J314" s="17" t="n">
        <x:f>E314-D314</x:f>
        <x:v>665.3300000000017</x:v>
      </x:c>
      <x:c r="K314" s="19" t="n">
        <x:f>IFERROR(ABS(J314/D314),0)</x:f>
        <x:v>0.022470631266914332</x:v>
      </x:c>
    </x:row>
    <x:row r="315">
      <x:c r="A315" s="13" t="str">
        <x:v>CON-000314</x:v>
      </x:c>
      <x:c r="B315" s="23" t="n">
        <x:v>45559</x:v>
      </x:c>
      <x:c r="C315" s="13" t="str">
        <x:v>Bradesco Pagamentos</x:v>
      </x:c>
      <x:c r="D315" s="17" t="n">
        <x:v>2880.62</x:v>
      </x:c>
      <x:c r="E315" s="17" t="n">
        <x:v>2880.62</x:v>
      </x:c>
      <x:c r="F315" s="13" t="str">
        <x:v>Conciliado</x:v>
      </x:c>
      <x:c r="G315" s="13" t="str">
        <x:v>Sem divergência</x:v>
      </x:c>
      <x:c r="H315" s="13" t="n">
        <x:v>0.22</x:v>
      </x:c>
      <x:c r="I315" s="13" t="str">
        <x:v>Crescimento sem escala</x:v>
      </x:c>
      <x:c r="J315" s="17" t="n">
        <x:f>E315-D315</x:f>
        <x:v>0</x:v>
      </x:c>
      <x:c r="K315" s="19" t="n">
        <x:f>IFERROR(ABS(J315/D315),0)</x:f>
        <x:v>0</x:v>
      </x:c>
    </x:row>
    <x:row r="316">
      <x:c r="A316" s="13" t="str">
        <x:v>CON-000315</x:v>
      </x:c>
      <x:c r="B316" s="23" t="n">
        <x:v>45546</x:v>
      </x:c>
      <x:c r="C316" s="13" t="str">
        <x:v>Nubank Serviços</x:v>
      </x:c>
      <x:c r="D316" s="17" t="n">
        <x:v>33298.6</x:v>
      </x:c>
      <x:c r="E316" s="17" t="n">
        <x:v>33298.6</x:v>
      </x:c>
      <x:c r="F316" s="13" t="str">
        <x:v>Conciliado</x:v>
      </x:c>
      <x:c r="G316" s="13" t="str">
        <x:v>Sem divergência</x:v>
      </x:c>
      <x:c r="H316" s="13" t="n">
        <x:v>0.29</x:v>
      </x:c>
      <x:c r="I316" s="13" t="str">
        <x:v>Crescimento sem escala</x:v>
      </x:c>
      <x:c r="J316" s="17" t="n">
        <x:f>E316-D316</x:f>
        <x:v>0</x:v>
      </x:c>
      <x:c r="K316" s="19" t="n">
        <x:f>IFERROR(ABS(J316/D316),0)</x:f>
        <x:v>0</x:v>
      </x:c>
    </x:row>
    <x:row r="317">
      <x:c r="A317" s="13" t="str">
        <x:v>CON-000316</x:v>
      </x:c>
      <x:c r="B317" s="23" t="n">
        <x:v>45567</x:v>
      </x:c>
      <x:c r="C317" s="13" t="str">
        <x:v>Itaú Operacional</x:v>
      </x:c>
      <x:c r="D317" s="17" t="n">
        <x:v>21967.47</x:v>
      </x:c>
      <x:c r="E317" s="17" t="n">
        <x:v>21967.47</x:v>
      </x:c>
      <x:c r="F317" s="13" t="str">
        <x:v>Conciliado</x:v>
      </x:c>
      <x:c r="G317" s="13" t="str">
        <x:v>Sem divergência</x:v>
      </x:c>
      <x:c r="H317" s="13" t="n">
        <x:v>0.1</x:v>
      </x:c>
      <x:c r="I317" s="13" t="str">
        <x:v>Crescimento sem escala</x:v>
      </x:c>
      <x:c r="J317" s="17" t="n">
        <x:f>E317-D317</x:f>
        <x:v>0</x:v>
      </x:c>
      <x:c r="K317" s="19" t="n">
        <x:f>IFERROR(ABS(J317/D317),0)</x:f>
        <x:v>0</x:v>
      </x:c>
    </x:row>
    <x:row r="318">
      <x:c r="A318" s="13" t="str">
        <x:v>CON-000317</x:v>
      </x:c>
      <x:c r="B318" s="23" t="n">
        <x:v>45588</x:v>
      </x:c>
      <x:c r="C318" s="13" t="str">
        <x:v>Nubank Serviços</x:v>
      </x:c>
      <x:c r="D318" s="17" t="n">
        <x:v>19858.5</x:v>
      </x:c>
      <x:c r="E318" s="17" t="n">
        <x:v>19858.5</x:v>
      </x:c>
      <x:c r="F318" s="13" t="str">
        <x:v>Conciliado</x:v>
      </x:c>
      <x:c r="G318" s="13" t="str">
        <x:v>Sem divergência</x:v>
      </x:c>
      <x:c r="H318" s="13" t="n">
        <x:v>0.25</x:v>
      </x:c>
      <x:c r="I318" s="13" t="str">
        <x:v>Crescimento sem escala</x:v>
      </x:c>
      <x:c r="J318" s="17" t="n">
        <x:f>E318-D318</x:f>
        <x:v>0</x:v>
      </x:c>
      <x:c r="K318" s="19" t="n">
        <x:f>IFERROR(ABS(J318/D318),0)</x:f>
        <x:v>0</x:v>
      </x:c>
    </x:row>
    <x:row r="319">
      <x:c r="A319" s="13" t="str">
        <x:v>CON-000318</x:v>
      </x:c>
      <x:c r="B319" s="23" t="n">
        <x:v>45585</x:v>
      </x:c>
      <x:c r="C319" s="13" t="str">
        <x:v>Nubank Serviços</x:v>
      </x:c>
      <x:c r="D319" s="17" t="n">
        <x:v>33593.72</x:v>
      </x:c>
      <x:c r="E319" s="17" t="n">
        <x:v>33593.72</x:v>
      </x:c>
      <x:c r="F319" s="13" t="str">
        <x:v>Conciliado</x:v>
      </x:c>
      <x:c r="G319" s="13" t="str">
        <x:v>Sem divergência</x:v>
      </x:c>
      <x:c r="H319" s="13" t="n">
        <x:v>0.29</x:v>
      </x:c>
      <x:c r="I319" s="13" t="str">
        <x:v>Crescimento sem escala</x:v>
      </x:c>
      <x:c r="J319" s="17" t="n">
        <x:f>E319-D319</x:f>
        <x:v>0</x:v>
      </x:c>
      <x:c r="K319" s="19" t="n">
        <x:f>IFERROR(ABS(J319/D319),0)</x:f>
        <x:v>0</x:v>
      </x:c>
    </x:row>
    <x:row r="320">
      <x:c r="A320" s="13" t="str">
        <x:v>CON-000319</x:v>
      </x:c>
      <x:c r="B320" s="23" t="n">
        <x:v>45582</x:v>
      </x:c>
      <x:c r="C320" s="13" t="str">
        <x:v>Bradesco Pagamentos</x:v>
      </x:c>
      <x:c r="D320" s="17" t="n">
        <x:v>43732.16</x:v>
      </x:c>
      <x:c r="E320" s="17" t="n">
        <x:v>43732.16</x:v>
      </x:c>
      <x:c r="F320" s="13" t="str">
        <x:v>Conciliado</x:v>
      </x:c>
      <x:c r="G320" s="13" t="str">
        <x:v>Sem divergência</x:v>
      </x:c>
      <x:c r="H320" s="13" t="n">
        <x:v>0.44</x:v>
      </x:c>
      <x:c r="I320" s="13" t="str">
        <x:v>Crescimento sem escala</x:v>
      </x:c>
      <x:c r="J320" s="17" t="n">
        <x:f>E320-D320</x:f>
        <x:v>0</x:v>
      </x:c>
      <x:c r="K320" s="19" t="n">
        <x:f>IFERROR(ABS(J320/D320),0)</x:f>
        <x:v>0</x:v>
      </x:c>
    </x:row>
    <x:row r="321">
      <x:c r="A321" s="13" t="str">
        <x:v>CON-000320</x:v>
      </x:c>
      <x:c r="B321" s="23" t="n">
        <x:v>45590</x:v>
      </x:c>
      <x:c r="C321" s="13" t="str">
        <x:v>Santander Recebimentos</x:v>
      </x:c>
      <x:c r="D321" s="17" t="n">
        <x:v>20291.36</x:v>
      </x:c>
      <x:c r="E321" s="17" t="n">
        <x:v>20291.36</x:v>
      </x:c>
      <x:c r="F321" s="13" t="str">
        <x:v>Conciliado</x:v>
      </x:c>
      <x:c r="G321" s="13" t="str">
        <x:v>Sem divergência</x:v>
      </x:c>
      <x:c r="H321" s="13" t="n">
        <x:v>0.26</x:v>
      </x:c>
      <x:c r="I321" s="13" t="str">
        <x:v>Crescimento sem escala</x:v>
      </x:c>
      <x:c r="J321" s="17" t="n">
        <x:f>E321-D321</x:f>
        <x:v>0</x:v>
      </x:c>
      <x:c r="K321" s="19" t="n">
        <x:f>IFERROR(ABS(J321/D321),0)</x:f>
        <x:v>0</x:v>
      </x:c>
    </x:row>
    <x:row r="322">
      <x:c r="A322" s="13" t="str">
        <x:v>CON-000321</x:v>
      </x:c>
      <x:c r="B322" s="23" t="n">
        <x:v>45570</x:v>
      </x:c>
      <x:c r="C322" s="13" t="str">
        <x:v>Nubank Serviços</x:v>
      </x:c>
      <x:c r="D322" s="17" t="n">
        <x:v>26521.77</x:v>
      </x:c>
      <x:c r="E322" s="17" t="n">
        <x:v>27334.39</x:v>
      </x:c>
      <x:c r="F322" s="13" t="str">
        <x:v>Pendente</x:v>
      </x:c>
      <x:c r="G322" s="13" t="str">
        <x:v>Duplicidade</x:v>
      </x:c>
      <x:c r="H322" s="13" t="n">
        <x:v>15.22</x:v>
      </x:c>
      <x:c r="I322" s="13" t="str">
        <x:v>Crescimento sem escala</x:v>
      </x:c>
      <x:c r="J322" s="17" t="n">
        <x:f>E322-D322</x:f>
        <x:v>812.619999999999</x:v>
      </x:c>
      <x:c r="K322" s="19" t="n">
        <x:f>IFERROR(ABS(J322/D322),0)</x:f>
        <x:v>0.03063973482916106</x:v>
      </x:c>
    </x:row>
    <x:row r="323">
      <x:c r="A323" s="13" t="str">
        <x:v>CON-000322</x:v>
      </x:c>
      <x:c r="B323" s="23" t="n">
        <x:v>45592</x:v>
      </x:c>
      <x:c r="C323" s="13" t="str">
        <x:v>Santander Recebimentos</x:v>
      </x:c>
      <x:c r="D323" s="17" t="n">
        <x:v>6104.61</x:v>
      </x:c>
      <x:c r="E323" s="17" t="n">
        <x:v>6104.61</x:v>
      </x:c>
      <x:c r="F323" s="13" t="str">
        <x:v>Conciliado</x:v>
      </x:c>
      <x:c r="G323" s="13" t="str">
        <x:v>Sem divergência</x:v>
      </x:c>
      <x:c r="H323" s="13" t="n">
        <x:v>0.23</x:v>
      </x:c>
      <x:c r="I323" s="13" t="str">
        <x:v>Crescimento sem escala</x:v>
      </x:c>
      <x:c r="J323" s="17" t="n">
        <x:f>E323-D323</x:f>
        <x:v>0</x:v>
      </x:c>
      <x:c r="K323" s="19" t="n">
        <x:f>IFERROR(ABS(J323/D323),0)</x:f>
        <x:v>0</x:v>
      </x:c>
    </x:row>
    <x:row r="324">
      <x:c r="A324" s="13" t="str">
        <x:v>CON-000323</x:v>
      </x:c>
      <x:c r="B324" s="23" t="n">
        <x:v>45582</x:v>
      </x:c>
      <x:c r="C324" s="13" t="str">
        <x:v>Santander Recebimentos</x:v>
      </x:c>
      <x:c r="D324" s="17" t="n">
        <x:v>34497.04</x:v>
      </x:c>
      <x:c r="E324" s="17" t="n">
        <x:v>33870.5</x:v>
      </x:c>
      <x:c r="F324" s="13" t="str">
        <x:v>Resolvido</x:v>
      </x:c>
      <x:c r="G324" s="13" t="str">
        <x:v>Valor divergente</x:v>
      </x:c>
      <x:c r="H324" s="13" t="n">
        <x:v>13.21</x:v>
      </x:c>
      <x:c r="I324" s="13" t="str">
        <x:v>Crescimento sem escala</x:v>
      </x:c>
      <x:c r="J324" s="17" t="n">
        <x:f>E324-D324</x:f>
        <x:v>-626.5400000000009</x:v>
      </x:c>
      <x:c r="K324" s="19" t="n">
        <x:f>IFERROR(ABS(J324/D324),0)</x:f>
        <x:v>0.01816213796893881</x:v>
      </x:c>
    </x:row>
    <x:row r="325">
      <x:c r="A325" s="13" t="str">
        <x:v>CON-000324</x:v>
      </x:c>
      <x:c r="B325" s="23" t="n">
        <x:v>45580</x:v>
      </x:c>
      <x:c r="C325" s="13" t="str">
        <x:v>Santander Recebimentos</x:v>
      </x:c>
      <x:c r="D325" s="17" t="n">
        <x:v>26610.15</x:v>
      </x:c>
      <x:c r="E325" s="17" t="n">
        <x:v>26610.15</x:v>
      </x:c>
      <x:c r="F325" s="13" t="str">
        <x:v>Conciliado</x:v>
      </x:c>
      <x:c r="G325" s="13" t="str">
        <x:v>Sem divergência</x:v>
      </x:c>
      <x:c r="H325" s="13" t="n">
        <x:v>0.22</x:v>
      </x:c>
      <x:c r="I325" s="13" t="str">
        <x:v>Crescimento sem escala</x:v>
      </x:c>
      <x:c r="J325" s="17" t="n">
        <x:f>E325-D325</x:f>
        <x:v>0</x:v>
      </x:c>
      <x:c r="K325" s="19" t="n">
        <x:f>IFERROR(ABS(J325/D325),0)</x:f>
        <x:v>0</x:v>
      </x:c>
    </x:row>
    <x:row r="326">
      <x:c r="A326" s="13" t="str">
        <x:v>CON-000325</x:v>
      </x:c>
      <x:c r="B326" s="23" t="n">
        <x:v>45586</x:v>
      </x:c>
      <x:c r="C326" s="13" t="str">
        <x:v>Itaú Operacional</x:v>
      </x:c>
      <x:c r="D326" s="17" t="n">
        <x:v>34692.3</x:v>
      </x:c>
      <x:c r="E326" s="17" t="n">
        <x:v>34692.3</x:v>
      </x:c>
      <x:c r="F326" s="13" t="str">
        <x:v>Conciliado</x:v>
      </x:c>
      <x:c r="G326" s="13" t="str">
        <x:v>Sem divergência</x:v>
      </x:c>
      <x:c r="H326" s="13" t="n">
        <x:v>0.21</x:v>
      </x:c>
      <x:c r="I326" s="13" t="str">
        <x:v>Crescimento sem escala</x:v>
      </x:c>
      <x:c r="J326" s="17" t="n">
        <x:f>E326-D326</x:f>
        <x:v>0</x:v>
      </x:c>
      <x:c r="K326" s="19" t="n">
        <x:f>IFERROR(ABS(J326/D326),0)</x:f>
        <x:v>0</x:v>
      </x:c>
    </x:row>
    <x:row r="327">
      <x:c r="A327" s="13" t="str">
        <x:v>CON-000326</x:v>
      </x:c>
      <x:c r="B327" s="23" t="n">
        <x:v>45582</x:v>
      </x:c>
      <x:c r="C327" s="13" t="str">
        <x:v>Santander Recebimentos</x:v>
      </x:c>
      <x:c r="D327" s="17" t="n">
        <x:v>26528.8</x:v>
      </x:c>
      <x:c r="E327" s="17" t="n">
        <x:v>26528.8</x:v>
      </x:c>
      <x:c r="F327" s="13" t="str">
        <x:v>Conciliado</x:v>
      </x:c>
      <x:c r="G327" s="13" t="str">
        <x:v>Sem divergência</x:v>
      </x:c>
      <x:c r="H327" s="13" t="n">
        <x:v>0.4</x:v>
      </x:c>
      <x:c r="I327" s="13" t="str">
        <x:v>Crescimento sem escala</x:v>
      </x:c>
      <x:c r="J327" s="17" t="n">
        <x:f>E327-D327</x:f>
        <x:v>0</x:v>
      </x:c>
      <x:c r="K327" s="19" t="n">
        <x:f>IFERROR(ABS(J327/D327),0)</x:f>
        <x:v>0</x:v>
      </x:c>
    </x:row>
    <x:row r="328">
      <x:c r="A328" s="13" t="str">
        <x:v>CON-000327</x:v>
      </x:c>
      <x:c r="B328" s="23" t="n">
        <x:v>45573</x:v>
      </x:c>
      <x:c r="C328" s="13" t="str">
        <x:v>Bradesco Pagamentos</x:v>
      </x:c>
      <x:c r="D328" s="17" t="n">
        <x:v>15243.84</x:v>
      </x:c>
      <x:c r="E328" s="17" t="n">
        <x:v>15243.84</x:v>
      </x:c>
      <x:c r="F328" s="13" t="str">
        <x:v>Conciliado</x:v>
      </x:c>
      <x:c r="G328" s="13" t="str">
        <x:v>Sem divergência</x:v>
      </x:c>
      <x:c r="H328" s="13" t="n">
        <x:v>0.36</x:v>
      </x:c>
      <x:c r="I328" s="13" t="str">
        <x:v>Crescimento sem escala</x:v>
      </x:c>
      <x:c r="J328" s="17" t="n">
        <x:f>E328-D328</x:f>
        <x:v>0</x:v>
      </x:c>
      <x:c r="K328" s="19" t="n">
        <x:f>IFERROR(ABS(J328/D328),0)</x:f>
        <x:v>0</x:v>
      </x:c>
    </x:row>
    <x:row r="329">
      <x:c r="A329" s="13" t="str">
        <x:v>CON-000328</x:v>
      </x:c>
      <x:c r="B329" s="23" t="n">
        <x:v>45589</x:v>
      </x:c>
      <x:c r="C329" s="13" t="str">
        <x:v>Santander Recebimentos</x:v>
      </x:c>
      <x:c r="D329" s="17" t="n">
        <x:v>21764.69</x:v>
      </x:c>
      <x:c r="E329" s="17" t="n">
        <x:v>21764.69</x:v>
      </x:c>
      <x:c r="F329" s="13" t="str">
        <x:v>Conciliado</x:v>
      </x:c>
      <x:c r="G329" s="13" t="str">
        <x:v>Sem divergência</x:v>
      </x:c>
      <x:c r="H329" s="13" t="n">
        <x:v>0.43</x:v>
      </x:c>
      <x:c r="I329" s="13" t="str">
        <x:v>Crescimento sem escala</x:v>
      </x:c>
      <x:c r="J329" s="17" t="n">
        <x:f>E329-D329</x:f>
        <x:v>0</x:v>
      </x:c>
      <x:c r="K329" s="19" t="n">
        <x:f>IFERROR(ABS(J329/D329),0)</x:f>
        <x:v>0</x:v>
      </x:c>
    </x:row>
    <x:row r="330">
      <x:c r="A330" s="13" t="str">
        <x:v>CON-000329</x:v>
      </x:c>
      <x:c r="B330" s="23" t="n">
        <x:v>45578</x:v>
      </x:c>
      <x:c r="C330" s="13" t="str">
        <x:v>Itaú Operacional</x:v>
      </x:c>
      <x:c r="D330" s="17" t="n">
        <x:v>21891.62</x:v>
      </x:c>
      <x:c r="E330" s="17" t="n">
        <x:v>21891.62</x:v>
      </x:c>
      <x:c r="F330" s="13" t="str">
        <x:v>Conciliado</x:v>
      </x:c>
      <x:c r="G330" s="13" t="str">
        <x:v>Sem divergência</x:v>
      </x:c>
      <x:c r="H330" s="13" t="n">
        <x:v>0.24</x:v>
      </x:c>
      <x:c r="I330" s="13" t="str">
        <x:v>Crescimento sem escala</x:v>
      </x:c>
      <x:c r="J330" s="17" t="n">
        <x:f>E330-D330</x:f>
        <x:v>0</x:v>
      </x:c>
      <x:c r="K330" s="19" t="n">
        <x:f>IFERROR(ABS(J330/D330),0)</x:f>
        <x:v>0</x:v>
      </x:c>
    </x:row>
    <x:row r="331">
      <x:c r="A331" s="13" t="str">
        <x:v>CON-000330</x:v>
      </x:c>
      <x:c r="B331" s="23" t="n">
        <x:v>45568</x:v>
      </x:c>
      <x:c r="C331" s="13" t="str">
        <x:v>Itaú Operacional</x:v>
      </x:c>
      <x:c r="D331" s="17" t="n">
        <x:v>35433.53</x:v>
      </x:c>
      <x:c r="E331" s="17" t="n">
        <x:v>35433.53</x:v>
      </x:c>
      <x:c r="F331" s="13" t="str">
        <x:v>Conciliado</x:v>
      </x:c>
      <x:c r="G331" s="13" t="str">
        <x:v>Sem divergência</x:v>
      </x:c>
      <x:c r="H331" s="13" t="n">
        <x:v>0.27</x:v>
      </x:c>
      <x:c r="I331" s="13" t="str">
        <x:v>Crescimento sem escala</x:v>
      </x:c>
      <x:c r="J331" s="17" t="n">
        <x:f>E331-D331</x:f>
        <x:v>0</x:v>
      </x:c>
      <x:c r="K331" s="19" t="n">
        <x:f>IFERROR(ABS(J331/D331),0)</x:f>
        <x:v>0</x:v>
      </x:c>
    </x:row>
    <x:row r="332">
      <x:c r="A332" s="13" t="str">
        <x:v>CON-000331</x:v>
      </x:c>
      <x:c r="B332" s="23" t="n">
        <x:v>45578</x:v>
      </x:c>
      <x:c r="C332" s="13" t="str">
        <x:v>Itaú Operacional</x:v>
      </x:c>
      <x:c r="D332" s="17" t="n">
        <x:v>10283.65</x:v>
      </x:c>
      <x:c r="E332" s="17" t="n">
        <x:v>10283.65</x:v>
      </x:c>
      <x:c r="F332" s="13" t="str">
        <x:v>Conciliado</x:v>
      </x:c>
      <x:c r="G332" s="13" t="str">
        <x:v>Sem divergência</x:v>
      </x:c>
      <x:c r="H332" s="13" t="n">
        <x:v>0.09</x:v>
      </x:c>
      <x:c r="I332" s="13" t="str">
        <x:v>Crescimento sem escala</x:v>
      </x:c>
      <x:c r="J332" s="17" t="n">
        <x:f>E332-D332</x:f>
        <x:v>0</x:v>
      </x:c>
      <x:c r="K332" s="19" t="n">
        <x:f>IFERROR(ABS(J332/D332),0)</x:f>
        <x:v>0</x:v>
      </x:c>
    </x:row>
    <x:row r="333">
      <x:c r="A333" s="13" t="str">
        <x:v>CON-000332</x:v>
      </x:c>
      <x:c r="B333" s="23" t="n">
        <x:v>45586</x:v>
      </x:c>
      <x:c r="C333" s="13" t="str">
        <x:v>Itaú Operacional</x:v>
      </x:c>
      <x:c r="D333" s="17" t="n">
        <x:v>23699.84</x:v>
      </x:c>
      <x:c r="E333" s="17" t="n">
        <x:v>23699.84</x:v>
      </x:c>
      <x:c r="F333" s="13" t="str">
        <x:v>Conciliado</x:v>
      </x:c>
      <x:c r="G333" s="13" t="str">
        <x:v>Sem divergência</x:v>
      </x:c>
      <x:c r="H333" s="13" t="n">
        <x:v>0.23</x:v>
      </x:c>
      <x:c r="I333" s="13" t="str">
        <x:v>Crescimento sem escala</x:v>
      </x:c>
      <x:c r="J333" s="17" t="n">
        <x:f>E333-D333</x:f>
        <x:v>0</x:v>
      </x:c>
      <x:c r="K333" s="19" t="n">
        <x:f>IFERROR(ABS(J333/D333),0)</x:f>
        <x:v>0</x:v>
      </x:c>
    </x:row>
    <x:row r="334">
      <x:c r="A334" s="13" t="str">
        <x:v>CON-000333</x:v>
      </x:c>
      <x:c r="B334" s="23" t="n">
        <x:v>45574</x:v>
      </x:c>
      <x:c r="C334" s="13" t="str">
        <x:v>Nubank Serviços</x:v>
      </x:c>
      <x:c r="D334" s="17" t="n">
        <x:v>23397.93</x:v>
      </x:c>
      <x:c r="E334" s="17" t="n">
        <x:v>23397.93</x:v>
      </x:c>
      <x:c r="F334" s="13" t="str">
        <x:v>Conciliado</x:v>
      </x:c>
      <x:c r="G334" s="13" t="str">
        <x:v>Sem divergência</x:v>
      </x:c>
      <x:c r="H334" s="13" t="n">
        <x:v>0.28</x:v>
      </x:c>
      <x:c r="I334" s="13" t="str">
        <x:v>Crescimento sem escala</x:v>
      </x:c>
      <x:c r="J334" s="17" t="n">
        <x:f>E334-D334</x:f>
        <x:v>0</x:v>
      </x:c>
      <x:c r="K334" s="19" t="n">
        <x:f>IFERROR(ABS(J334/D334),0)</x:f>
        <x:v>0</x:v>
      </x:c>
    </x:row>
    <x:row r="335">
      <x:c r="A335" s="13" t="str">
        <x:v>CON-000334</x:v>
      </x:c>
      <x:c r="B335" s="23" t="n">
        <x:v>45584</x:v>
      </x:c>
      <x:c r="C335" s="13" t="str">
        <x:v>Itaú Operacional</x:v>
      </x:c>
      <x:c r="D335" s="17" t="n">
        <x:v>30242.28</x:v>
      </x:c>
      <x:c r="E335" s="17" t="n">
        <x:v>30242.28</x:v>
      </x:c>
      <x:c r="F335" s="13" t="str">
        <x:v>Conciliado</x:v>
      </x:c>
      <x:c r="G335" s="13" t="str">
        <x:v>Sem divergência</x:v>
      </x:c>
      <x:c r="H335" s="13" t="n">
        <x:v>0.27</x:v>
      </x:c>
      <x:c r="I335" s="13" t="str">
        <x:v>Crescimento sem escala</x:v>
      </x:c>
      <x:c r="J335" s="17" t="n">
        <x:f>E335-D335</x:f>
        <x:v>0</x:v>
      </x:c>
      <x:c r="K335" s="19" t="n">
        <x:f>IFERROR(ABS(J335/D335),0)</x:f>
        <x:v>0</x:v>
      </x:c>
    </x:row>
    <x:row r="336">
      <x:c r="A336" s="13" t="str">
        <x:v>CON-000335</x:v>
      </x:c>
      <x:c r="B336" s="23" t="n">
        <x:v>45570</x:v>
      </x:c>
      <x:c r="C336" s="13" t="str">
        <x:v>Itaú Operacional</x:v>
      </x:c>
      <x:c r="D336" s="17" t="n">
        <x:v>9330.06</x:v>
      </x:c>
      <x:c r="E336" s="17" t="n">
        <x:v>9330.06</x:v>
      </x:c>
      <x:c r="F336" s="13" t="str">
        <x:v>Conciliado</x:v>
      </x:c>
      <x:c r="G336" s="13" t="str">
        <x:v>Sem divergência</x:v>
      </x:c>
      <x:c r="H336" s="13" t="n">
        <x:v>0.34</x:v>
      </x:c>
      <x:c r="I336" s="13" t="str">
        <x:v>Crescimento sem escala</x:v>
      </x:c>
      <x:c r="J336" s="17" t="n">
        <x:f>E336-D336</x:f>
        <x:v>0</x:v>
      </x:c>
      <x:c r="K336" s="19" t="n">
        <x:f>IFERROR(ABS(J336/D336),0)</x:f>
        <x:v>0</x:v>
      </x:c>
    </x:row>
    <x:row r="337">
      <x:c r="A337" s="13" t="str">
        <x:v>CON-000336</x:v>
      </x:c>
      <x:c r="B337" s="23" t="n">
        <x:v>45589</x:v>
      </x:c>
      <x:c r="C337" s="13" t="str">
        <x:v>Bradesco Pagamentos</x:v>
      </x:c>
      <x:c r="D337" s="17" t="n">
        <x:v>40622.93</x:v>
      </x:c>
      <x:c r="E337" s="17" t="n">
        <x:v>40478.12</x:v>
      </x:c>
      <x:c r="F337" s="13" t="str">
        <x:v>Pendente</x:v>
      </x:c>
      <x:c r="G337" s="13" t="str">
        <x:v>Data de compensação</x:v>
      </x:c>
      <x:c r="H337" s="13" t="n">
        <x:v>2.06</x:v>
      </x:c>
      <x:c r="I337" s="13" t="str">
        <x:v>Crescimento sem escala</x:v>
      </x:c>
      <x:c r="J337" s="17" t="n">
        <x:f>E337-D337</x:f>
        <x:v>-144.80999999999767</x:v>
      </x:c>
      <x:c r="K337" s="19" t="n">
        <x:f>IFERROR(ABS(J337/D337),0)</x:f>
        <x:v>0.0035647354831371755</x:v>
      </x:c>
    </x:row>
    <x:row r="338">
      <x:c r="A338" s="13" t="str">
        <x:v>CON-000337</x:v>
      </x:c>
      <x:c r="B338" s="23" t="n">
        <x:v>45583</x:v>
      </x:c>
      <x:c r="C338" s="13" t="str">
        <x:v>Nubank Serviços</x:v>
      </x:c>
      <x:c r="D338" s="17" t="n">
        <x:v>28501.39</x:v>
      </x:c>
      <x:c r="E338" s="17" t="n">
        <x:v>28501.39</x:v>
      </x:c>
      <x:c r="F338" s="13" t="str">
        <x:v>Conciliado</x:v>
      </x:c>
      <x:c r="G338" s="13" t="str">
        <x:v>Sem divergência</x:v>
      </x:c>
      <x:c r="H338" s="13" t="n">
        <x:v>0.35</x:v>
      </x:c>
      <x:c r="I338" s="13" t="str">
        <x:v>Crescimento sem escala</x:v>
      </x:c>
      <x:c r="J338" s="17" t="n">
        <x:f>E338-D338</x:f>
        <x:v>0</x:v>
      </x:c>
      <x:c r="K338" s="19" t="n">
        <x:f>IFERROR(ABS(J338/D338),0)</x:f>
        <x:v>0</x:v>
      </x:c>
    </x:row>
    <x:row r="339">
      <x:c r="A339" s="13" t="str">
        <x:v>CON-000338</x:v>
      </x:c>
      <x:c r="B339" s="23" t="n">
        <x:v>45572</x:v>
      </x:c>
      <x:c r="C339" s="13" t="str">
        <x:v>Santander Recebimentos</x:v>
      </x:c>
      <x:c r="D339" s="17" t="n">
        <x:v>24532.52</x:v>
      </x:c>
      <x:c r="E339" s="17" t="n">
        <x:v>24532.52</x:v>
      </x:c>
      <x:c r="F339" s="13" t="str">
        <x:v>Conciliado</x:v>
      </x:c>
      <x:c r="G339" s="13" t="str">
        <x:v>Sem divergência</x:v>
      </x:c>
      <x:c r="H339" s="13" t="n">
        <x:v>0.22</x:v>
      </x:c>
      <x:c r="I339" s="13" t="str">
        <x:v>Crescimento sem escala</x:v>
      </x:c>
      <x:c r="J339" s="17" t="n">
        <x:f>E339-D339</x:f>
        <x:v>0</x:v>
      </x:c>
      <x:c r="K339" s="19" t="n">
        <x:f>IFERROR(ABS(J339/D339),0)</x:f>
        <x:v>0</x:v>
      </x:c>
    </x:row>
    <x:row r="340">
      <x:c r="A340" s="13" t="str">
        <x:v>CON-000339</x:v>
      </x:c>
      <x:c r="B340" s="23" t="n">
        <x:v>45574</x:v>
      </x:c>
      <x:c r="C340" s="13" t="str">
        <x:v>Bradesco Pagamentos</x:v>
      </x:c>
      <x:c r="D340" s="17" t="n">
        <x:v>27698.44</x:v>
      </x:c>
      <x:c r="E340" s="17" t="n">
        <x:v>27698.44</x:v>
      </x:c>
      <x:c r="F340" s="13" t="str">
        <x:v>Conciliado</x:v>
      </x:c>
      <x:c r="G340" s="13" t="str">
        <x:v>Sem divergência</x:v>
      </x:c>
      <x:c r="H340" s="13" t="n">
        <x:v>0.06</x:v>
      </x:c>
      <x:c r="I340" s="13" t="str">
        <x:v>Crescimento sem escala</x:v>
      </x:c>
      <x:c r="J340" s="17" t="n">
        <x:f>E340-D340</x:f>
        <x:v>0</x:v>
      </x:c>
      <x:c r="K340" s="19" t="n">
        <x:f>IFERROR(ABS(J340/D340),0)</x:f>
        <x:v>0</x:v>
      </x:c>
    </x:row>
    <x:row r="341">
      <x:c r="A341" s="13" t="str">
        <x:v>CON-000340</x:v>
      </x:c>
      <x:c r="B341" s="23" t="n">
        <x:v>45578</x:v>
      </x:c>
      <x:c r="C341" s="13" t="str">
        <x:v>Itaú Operacional</x:v>
      </x:c>
      <x:c r="D341" s="17" t="n">
        <x:v>37227.16</x:v>
      </x:c>
      <x:c r="E341" s="17" t="n">
        <x:v>37227.16</x:v>
      </x:c>
      <x:c r="F341" s="13" t="str">
        <x:v>Conciliado</x:v>
      </x:c>
      <x:c r="G341" s="13" t="str">
        <x:v>Sem divergência</x:v>
      </x:c>
      <x:c r="H341" s="13" t="n">
        <x:v>0.12</x:v>
      </x:c>
      <x:c r="I341" s="13" t="str">
        <x:v>Crescimento sem escala</x:v>
      </x:c>
      <x:c r="J341" s="17" t="n">
        <x:f>E341-D341</x:f>
        <x:v>0</x:v>
      </x:c>
      <x:c r="K341" s="19" t="n">
        <x:f>IFERROR(ABS(J341/D341),0)</x:f>
        <x:v>0</x:v>
      </x:c>
    </x:row>
    <x:row r="342">
      <x:c r="A342" s="13" t="str">
        <x:v>CON-000341</x:v>
      </x:c>
      <x:c r="B342" s="23" t="n">
        <x:v>45569</x:v>
      </x:c>
      <x:c r="C342" s="13" t="str">
        <x:v>Itaú Operacional</x:v>
      </x:c>
      <x:c r="D342" s="17" t="n">
        <x:v>42829.31</x:v>
      </x:c>
      <x:c r="E342" s="17" t="n">
        <x:v>42829.31</x:v>
      </x:c>
      <x:c r="F342" s="13" t="str">
        <x:v>Conciliado</x:v>
      </x:c>
      <x:c r="G342" s="13" t="str">
        <x:v>Sem divergência</x:v>
      </x:c>
      <x:c r="H342" s="13" t="n">
        <x:v>0.12</x:v>
      </x:c>
      <x:c r="I342" s="13" t="str">
        <x:v>Crescimento sem escala</x:v>
      </x:c>
      <x:c r="J342" s="17" t="n">
        <x:f>E342-D342</x:f>
        <x:v>0</x:v>
      </x:c>
      <x:c r="K342" s="19" t="n">
        <x:f>IFERROR(ABS(J342/D342),0)</x:f>
        <x:v>0</x:v>
      </x:c>
    </x:row>
    <x:row r="343">
      <x:c r="A343" s="13" t="str">
        <x:v>CON-000342</x:v>
      </x:c>
      <x:c r="B343" s="23" t="n">
        <x:v>45588</x:v>
      </x:c>
      <x:c r="C343" s="13" t="str">
        <x:v>Santander Recebimentos</x:v>
      </x:c>
      <x:c r="D343" s="17" t="n">
        <x:v>44277.42</x:v>
      </x:c>
      <x:c r="E343" s="17" t="n">
        <x:v>44498.65</x:v>
      </x:c>
      <x:c r="F343" s="13" t="str">
        <x:v>Pendente</x:v>
      </x:c>
      <x:c r="G343" s="13" t="str">
        <x:v>Lançamento sem documento</x:v>
      </x:c>
      <x:c r="H343" s="13" t="n">
        <x:v>12.49</x:v>
      </x:c>
      <x:c r="I343" s="13" t="str">
        <x:v>Crescimento sem escala</x:v>
      </x:c>
      <x:c r="J343" s="17" t="n">
        <x:f>E343-D343</x:f>
        <x:v>221.2300000000032</x:v>
      </x:c>
      <x:c r="K343" s="19" t="n">
        <x:f>IFERROR(ABS(J343/D343),0)</x:f>
        <x:v>0.00499645191612346</x:v>
      </x:c>
    </x:row>
    <x:row r="344">
      <x:c r="A344" s="13" t="str">
        <x:v>CON-000343</x:v>
      </x:c>
      <x:c r="B344" s="23" t="n">
        <x:v>45574</x:v>
      </x:c>
      <x:c r="C344" s="13" t="str">
        <x:v>Nubank Serviços</x:v>
      </x:c>
      <x:c r="D344" s="17" t="n">
        <x:v>39084.51</x:v>
      </x:c>
      <x:c r="E344" s="17" t="n">
        <x:v>39084.51</x:v>
      </x:c>
      <x:c r="F344" s="13" t="str">
        <x:v>Conciliado</x:v>
      </x:c>
      <x:c r="G344" s="13" t="str">
        <x:v>Sem divergência</x:v>
      </x:c>
      <x:c r="H344" s="13" t="n">
        <x:v>0.21</x:v>
      </x:c>
      <x:c r="I344" s="13" t="str">
        <x:v>Crescimento sem escala</x:v>
      </x:c>
      <x:c r="J344" s="17" t="n">
        <x:f>E344-D344</x:f>
        <x:v>0</x:v>
      </x:c>
      <x:c r="K344" s="19" t="n">
        <x:f>IFERROR(ABS(J344/D344),0)</x:f>
        <x:v>0</x:v>
      </x:c>
    </x:row>
    <x:row r="345">
      <x:c r="A345" s="13" t="str">
        <x:v>CON-000344</x:v>
      </x:c>
      <x:c r="B345" s="23" t="n">
        <x:v>45571</x:v>
      </x:c>
      <x:c r="C345" s="13" t="str">
        <x:v>Bradesco Pagamentos</x:v>
      </x:c>
      <x:c r="D345" s="17" t="n">
        <x:v>2087.13</x:v>
      </x:c>
      <x:c r="E345" s="17" t="n">
        <x:v>2087.13</x:v>
      </x:c>
      <x:c r="F345" s="13" t="str">
        <x:v>Conciliado</x:v>
      </x:c>
      <x:c r="G345" s="13" t="str">
        <x:v>Sem divergência</x:v>
      </x:c>
      <x:c r="H345" s="13" t="n">
        <x:v>0.24</x:v>
      </x:c>
      <x:c r="I345" s="13" t="str">
        <x:v>Crescimento sem escala</x:v>
      </x:c>
      <x:c r="J345" s="17" t="n">
        <x:f>E345-D345</x:f>
        <x:v>0</x:v>
      </x:c>
      <x:c r="K345" s="19" t="n">
        <x:f>IFERROR(ABS(J345/D345),0)</x:f>
        <x:v>0</x:v>
      </x:c>
    </x:row>
    <x:row r="346">
      <x:c r="A346" s="13" t="str">
        <x:v>CON-000345</x:v>
      </x:c>
      <x:c r="B346" s="23" t="n">
        <x:v>45587</x:v>
      </x:c>
      <x:c r="C346" s="13" t="str">
        <x:v>Itaú Operacional</x:v>
      </x:c>
      <x:c r="D346" s="17" t="n">
        <x:v>32120.72</x:v>
      </x:c>
      <x:c r="E346" s="17" t="n">
        <x:v>32120.72</x:v>
      </x:c>
      <x:c r="F346" s="13" t="str">
        <x:v>Conciliado</x:v>
      </x:c>
      <x:c r="G346" s="13" t="str">
        <x:v>Sem divergência</x:v>
      </x:c>
      <x:c r="H346" s="13" t="n">
        <x:v>0.1</x:v>
      </x:c>
      <x:c r="I346" s="13" t="str">
        <x:v>Crescimento sem escala</x:v>
      </x:c>
      <x:c r="J346" s="17" t="n">
        <x:f>E346-D346</x:f>
        <x:v>0</x:v>
      </x:c>
      <x:c r="K346" s="19" t="n">
        <x:f>IFERROR(ABS(J346/D346),0)</x:f>
        <x:v>0</x:v>
      </x:c>
    </x:row>
    <x:row r="347">
      <x:c r="A347" s="13" t="str">
        <x:v>CON-000346</x:v>
      </x:c>
      <x:c r="B347" s="23" t="n">
        <x:v>45576</x:v>
      </x:c>
      <x:c r="C347" s="13" t="str">
        <x:v>Itaú Operacional</x:v>
      </x:c>
      <x:c r="D347" s="17" t="n">
        <x:v>36626.11</x:v>
      </x:c>
      <x:c r="E347" s="17" t="n">
        <x:v>36626.11</x:v>
      </x:c>
      <x:c r="F347" s="13" t="str">
        <x:v>Conciliado</x:v>
      </x:c>
      <x:c r="G347" s="13" t="str">
        <x:v>Sem divergência</x:v>
      </x:c>
      <x:c r="H347" s="13" t="n">
        <x:v>0.4</x:v>
      </x:c>
      <x:c r="I347" s="13" t="str">
        <x:v>Crescimento sem escala</x:v>
      </x:c>
      <x:c r="J347" s="17" t="n">
        <x:f>E347-D347</x:f>
        <x:v>0</x:v>
      </x:c>
      <x:c r="K347" s="19" t="n">
        <x:f>IFERROR(ABS(J347/D347),0)</x:f>
        <x:v>0</x:v>
      </x:c>
    </x:row>
    <x:row r="348">
      <x:c r="A348" s="13" t="str">
        <x:v>CON-000347</x:v>
      </x:c>
      <x:c r="B348" s="23" t="n">
        <x:v>45576</x:v>
      </x:c>
      <x:c r="C348" s="13" t="str">
        <x:v>Santander Recebimentos</x:v>
      </x:c>
      <x:c r="D348" s="17" t="n">
        <x:v>10910.45</x:v>
      </x:c>
      <x:c r="E348" s="17" t="n">
        <x:v>10910.45</x:v>
      </x:c>
      <x:c r="F348" s="13" t="str">
        <x:v>Conciliado</x:v>
      </x:c>
      <x:c r="G348" s="13" t="str">
        <x:v>Sem divergência</x:v>
      </x:c>
      <x:c r="H348" s="13" t="n">
        <x:v>0.41</x:v>
      </x:c>
      <x:c r="I348" s="13" t="str">
        <x:v>Crescimento sem escala</x:v>
      </x:c>
      <x:c r="J348" s="17" t="n">
        <x:f>E348-D348</x:f>
        <x:v>0</x:v>
      </x:c>
      <x:c r="K348" s="19" t="n">
        <x:f>IFERROR(ABS(J348/D348),0)</x:f>
        <x:v>0</x:v>
      </x:c>
    </x:row>
    <x:row r="349">
      <x:c r="A349" s="13" t="str">
        <x:v>CON-000348</x:v>
      </x:c>
      <x:c r="B349" s="23" t="n">
        <x:v>45582</x:v>
      </x:c>
      <x:c r="C349" s="13" t="str">
        <x:v>Nubank Serviços</x:v>
      </x:c>
      <x:c r="D349" s="17" t="n">
        <x:v>9687.88</x:v>
      </x:c>
      <x:c r="E349" s="17" t="n">
        <x:v>9687.88</x:v>
      </x:c>
      <x:c r="F349" s="13" t="str">
        <x:v>Conciliado</x:v>
      </x:c>
      <x:c r="G349" s="13" t="str">
        <x:v>Sem divergência</x:v>
      </x:c>
      <x:c r="H349" s="13" t="n">
        <x:v>0.12</x:v>
      </x:c>
      <x:c r="I349" s="13" t="str">
        <x:v>Crescimento sem escala</x:v>
      </x:c>
      <x:c r="J349" s="17" t="n">
        <x:f>E349-D349</x:f>
        <x:v>0</x:v>
      </x:c>
      <x:c r="K349" s="19" t="n">
        <x:f>IFERROR(ABS(J349/D349),0)</x:f>
        <x:v>0</x:v>
      </x:c>
    </x:row>
    <x:row r="350">
      <x:c r="A350" s="13" t="str">
        <x:v>CON-000349</x:v>
      </x:c>
      <x:c r="B350" s="23" t="n">
        <x:v>45592</x:v>
      </x:c>
      <x:c r="C350" s="13" t="str">
        <x:v>Nubank Serviços</x:v>
      </x:c>
      <x:c r="D350" s="17" t="n">
        <x:v>2022.6</x:v>
      </x:c>
      <x:c r="E350" s="17" t="n">
        <x:v>2022.6</x:v>
      </x:c>
      <x:c r="F350" s="13" t="str">
        <x:v>Conciliado</x:v>
      </x:c>
      <x:c r="G350" s="13" t="str">
        <x:v>Sem divergência</x:v>
      </x:c>
      <x:c r="H350" s="13" t="n">
        <x:v>0.15</x:v>
      </x:c>
      <x:c r="I350" s="13" t="str">
        <x:v>Crescimento sem escala</x:v>
      </x:c>
      <x:c r="J350" s="17" t="n">
        <x:f>E350-D350</x:f>
        <x:v>0</x:v>
      </x:c>
      <x:c r="K350" s="19" t="n">
        <x:f>IFERROR(ABS(J350/D350),0)</x:f>
        <x:v>0</x:v>
      </x:c>
    </x:row>
    <x:row r="351">
      <x:c r="A351" s="13" t="str">
        <x:v>CON-000350</x:v>
      </x:c>
      <x:c r="B351" s="23" t="n">
        <x:v>45592</x:v>
      </x:c>
      <x:c r="C351" s="13" t="str">
        <x:v>Nubank Serviços</x:v>
      </x:c>
      <x:c r="D351" s="17" t="n">
        <x:v>39325.85</x:v>
      </x:c>
      <x:c r="E351" s="17" t="n">
        <x:v>40018.26</x:v>
      </x:c>
      <x:c r="F351" s="13" t="str">
        <x:v>Resolvido</x:v>
      </x:c>
      <x:c r="G351" s="13" t="str">
        <x:v>Tarifa não cadastrada</x:v>
      </x:c>
      <x:c r="H351" s="13" t="n">
        <x:v>15.74</x:v>
      </x:c>
      <x:c r="I351" s="13" t="str">
        <x:v>Crescimento sem escala</x:v>
      </x:c>
      <x:c r="J351" s="17" t="n">
        <x:f>E351-D351</x:f>
        <x:v>692.4100000000035</x:v>
      </x:c>
      <x:c r="K351" s="19" t="n">
        <x:f>IFERROR(ABS(J351/D351),0)</x:f>
        <x:v>0.01760699387298694</x:v>
      </x:c>
    </x:row>
    <x:row r="352">
      <x:c r="A352" s="13" t="str">
        <x:v>CON-000351</x:v>
      </x:c>
      <x:c r="B352" s="23" t="n">
        <x:v>45600</x:v>
      </x:c>
      <x:c r="C352" s="13" t="str">
        <x:v>Itaú Operacional</x:v>
      </x:c>
      <x:c r="D352" s="17" t="n">
        <x:v>41703.6</x:v>
      </x:c>
      <x:c r="E352" s="17" t="n">
        <x:v>41703.6</x:v>
      </x:c>
      <x:c r="F352" s="13" t="str">
        <x:v>Conciliado</x:v>
      </x:c>
      <x:c r="G352" s="13" t="str">
        <x:v>Sem divergência</x:v>
      </x:c>
      <x:c r="H352" s="13" t="n">
        <x:v>0.4</x:v>
      </x:c>
      <x:c r="I352" s="13" t="str">
        <x:v>Crescimento sem escala</x:v>
      </x:c>
      <x:c r="J352" s="17" t="n">
        <x:f>E352-D352</x:f>
        <x:v>0</x:v>
      </x:c>
      <x:c r="K352" s="19" t="n">
        <x:f>IFERROR(ABS(J352/D352),0)</x:f>
        <x:v>0</x:v>
      </x:c>
    </x:row>
    <x:row r="353">
      <x:c r="A353" s="13" t="str">
        <x:v>CON-000352</x:v>
      </x:c>
      <x:c r="B353" s="23" t="n">
        <x:v>45623</x:v>
      </x:c>
      <x:c r="C353" s="13" t="str">
        <x:v>Itaú Operacional</x:v>
      </x:c>
      <x:c r="D353" s="17" t="n">
        <x:v>35353.23</x:v>
      </x:c>
      <x:c r="E353" s="17" t="n">
        <x:v>35353.23</x:v>
      </x:c>
      <x:c r="F353" s="13" t="str">
        <x:v>Conciliado</x:v>
      </x:c>
      <x:c r="G353" s="13" t="str">
        <x:v>Sem divergência</x:v>
      </x:c>
      <x:c r="H353" s="13" t="n">
        <x:v>0.2</x:v>
      </x:c>
      <x:c r="I353" s="13" t="str">
        <x:v>Crescimento sem escala</x:v>
      </x:c>
      <x:c r="J353" s="17" t="n">
        <x:f>E353-D353</x:f>
        <x:v>0</x:v>
      </x:c>
      <x:c r="K353" s="19" t="n">
        <x:f>IFERROR(ABS(J353/D353),0)</x:f>
        <x:v>0</x:v>
      </x:c>
    </x:row>
    <x:row r="354">
      <x:c r="A354" s="13" t="str">
        <x:v>CON-000353</x:v>
      </x:c>
      <x:c r="B354" s="23" t="n">
        <x:v>45617</x:v>
      </x:c>
      <x:c r="C354" s="13" t="str">
        <x:v>Itaú Operacional</x:v>
      </x:c>
      <x:c r="D354" s="17" t="n">
        <x:v>567.56</x:v>
      </x:c>
      <x:c r="E354" s="17" t="n">
        <x:v>567.56</x:v>
      </x:c>
      <x:c r="F354" s="13" t="str">
        <x:v>Conciliado</x:v>
      </x:c>
      <x:c r="G354" s="13" t="str">
        <x:v>Sem divergência</x:v>
      </x:c>
      <x:c r="H354" s="13" t="n">
        <x:v>0.05</x:v>
      </x:c>
      <x:c r="I354" s="13" t="str">
        <x:v>Crescimento sem escala</x:v>
      </x:c>
      <x:c r="J354" s="17" t="n">
        <x:f>E354-D354</x:f>
        <x:v>0</x:v>
      </x:c>
      <x:c r="K354" s="19" t="n">
        <x:f>IFERROR(ABS(J354/D354),0)</x:f>
        <x:v>0</x:v>
      </x:c>
    </x:row>
    <x:row r="355">
      <x:c r="A355" s="13" t="str">
        <x:v>CON-000354</x:v>
      </x:c>
      <x:c r="B355" s="23" t="n">
        <x:v>45601</x:v>
      </x:c>
      <x:c r="C355" s="13" t="str">
        <x:v>Santander Recebimentos</x:v>
      </x:c>
      <x:c r="D355" s="17" t="n">
        <x:v>18202.8</x:v>
      </x:c>
      <x:c r="E355" s="17" t="n">
        <x:v>18202.8</x:v>
      </x:c>
      <x:c r="F355" s="13" t="str">
        <x:v>Conciliado</x:v>
      </x:c>
      <x:c r="G355" s="13" t="str">
        <x:v>Sem divergência</x:v>
      </x:c>
      <x:c r="H355" s="13" t="n">
        <x:v>0.23</x:v>
      </x:c>
      <x:c r="I355" s="13" t="str">
        <x:v>Crescimento sem escala</x:v>
      </x:c>
      <x:c r="J355" s="17" t="n">
        <x:f>E355-D355</x:f>
        <x:v>0</x:v>
      </x:c>
      <x:c r="K355" s="19" t="n">
        <x:f>IFERROR(ABS(J355/D355),0)</x:f>
        <x:v>0</x:v>
      </x:c>
    </x:row>
    <x:row r="356">
      <x:c r="A356" s="13" t="str">
        <x:v>CON-000355</x:v>
      </x:c>
      <x:c r="B356" s="23" t="n">
        <x:v>45617</x:v>
      </x:c>
      <x:c r="C356" s="13" t="str">
        <x:v>Bradesco Pagamentos</x:v>
      </x:c>
      <x:c r="D356" s="17" t="n">
        <x:v>28563.72</x:v>
      </x:c>
      <x:c r="E356" s="17" t="n">
        <x:v>28563.72</x:v>
      </x:c>
      <x:c r="F356" s="13" t="str">
        <x:v>Conciliado</x:v>
      </x:c>
      <x:c r="G356" s="13" t="str">
        <x:v>Sem divergência</x:v>
      </x:c>
      <x:c r="H356" s="13" t="n">
        <x:v>0.37</x:v>
      </x:c>
      <x:c r="I356" s="13" t="str">
        <x:v>Crescimento sem escala</x:v>
      </x:c>
      <x:c r="J356" s="17" t="n">
        <x:f>E356-D356</x:f>
        <x:v>0</x:v>
      </x:c>
      <x:c r="K356" s="19" t="n">
        <x:f>IFERROR(ABS(J356/D356),0)</x:f>
        <x:v>0</x:v>
      </x:c>
    </x:row>
    <x:row r="357">
      <x:c r="A357" s="13" t="str">
        <x:v>CON-000356</x:v>
      </x:c>
      <x:c r="B357" s="23" t="n">
        <x:v>45618</x:v>
      </x:c>
      <x:c r="C357" s="13" t="str">
        <x:v>Santander Recebimentos</x:v>
      </x:c>
      <x:c r="D357" s="17" t="n">
        <x:v>40314.92</x:v>
      </x:c>
      <x:c r="E357" s="17" t="n">
        <x:v>40314.92</x:v>
      </x:c>
      <x:c r="F357" s="13" t="str">
        <x:v>Conciliado</x:v>
      </x:c>
      <x:c r="G357" s="13" t="str">
        <x:v>Sem divergência</x:v>
      </x:c>
      <x:c r="H357" s="13" t="n">
        <x:v>0.24</x:v>
      </x:c>
      <x:c r="I357" s="13" t="str">
        <x:v>Crescimento sem escala</x:v>
      </x:c>
      <x:c r="J357" s="17" t="n">
        <x:f>E357-D357</x:f>
        <x:v>0</x:v>
      </x:c>
      <x:c r="K357" s="19" t="n">
        <x:f>IFERROR(ABS(J357/D357),0)</x:f>
        <x:v>0</x:v>
      </x:c>
    </x:row>
    <x:row r="358">
      <x:c r="A358" s="13" t="str">
        <x:v>CON-000357</x:v>
      </x:c>
      <x:c r="B358" s="23" t="n">
        <x:v>45604</x:v>
      </x:c>
      <x:c r="C358" s="13" t="str">
        <x:v>Santander Recebimentos</x:v>
      </x:c>
      <x:c r="D358" s="17" t="n">
        <x:v>43010.38</x:v>
      </x:c>
      <x:c r="E358" s="17" t="n">
        <x:v>43010.38</x:v>
      </x:c>
      <x:c r="F358" s="13" t="str">
        <x:v>Conciliado</x:v>
      </x:c>
      <x:c r="G358" s="13" t="str">
        <x:v>Sem divergência</x:v>
      </x:c>
      <x:c r="H358" s="13" t="n">
        <x:v>0.16</x:v>
      </x:c>
      <x:c r="I358" s="13" t="str">
        <x:v>Crescimento sem escala</x:v>
      </x:c>
      <x:c r="J358" s="17" t="n">
        <x:f>E358-D358</x:f>
        <x:v>0</x:v>
      </x:c>
      <x:c r="K358" s="19" t="n">
        <x:f>IFERROR(ABS(J358/D358),0)</x:f>
        <x:v>0</x:v>
      </x:c>
    </x:row>
    <x:row r="359">
      <x:c r="A359" s="13" t="str">
        <x:v>CON-000358</x:v>
      </x:c>
      <x:c r="B359" s="23" t="n">
        <x:v>45606</x:v>
      </x:c>
      <x:c r="C359" s="13" t="str">
        <x:v>Bradesco Pagamentos</x:v>
      </x:c>
      <x:c r="D359" s="17" t="n">
        <x:v>474.74</x:v>
      </x:c>
      <x:c r="E359" s="17" t="n">
        <x:v>474.74</x:v>
      </x:c>
      <x:c r="F359" s="13" t="str">
        <x:v>Conciliado</x:v>
      </x:c>
      <x:c r="G359" s="13" t="str">
        <x:v>Sem divergência</x:v>
      </x:c>
      <x:c r="H359" s="13" t="n">
        <x:v>0.17</x:v>
      </x:c>
      <x:c r="I359" s="13" t="str">
        <x:v>Crescimento sem escala</x:v>
      </x:c>
      <x:c r="J359" s="17" t="n">
        <x:f>E359-D359</x:f>
        <x:v>0</x:v>
      </x:c>
      <x:c r="K359" s="19" t="n">
        <x:f>IFERROR(ABS(J359/D359),0)</x:f>
        <x:v>0</x:v>
      </x:c>
    </x:row>
    <x:row r="360">
      <x:c r="A360" s="13" t="str">
        <x:v>CON-000359</x:v>
      </x:c>
      <x:c r="B360" s="23" t="n">
        <x:v>45612</x:v>
      </x:c>
      <x:c r="C360" s="13" t="str">
        <x:v>Nubank Serviços</x:v>
      </x:c>
      <x:c r="D360" s="17" t="n">
        <x:v>27763.73</x:v>
      </x:c>
      <x:c r="E360" s="17" t="n">
        <x:v>27763.73</x:v>
      </x:c>
      <x:c r="F360" s="13" t="str">
        <x:v>Conciliado</x:v>
      </x:c>
      <x:c r="G360" s="13" t="str">
        <x:v>Sem divergência</x:v>
      </x:c>
      <x:c r="H360" s="13" t="n">
        <x:v>0.3</x:v>
      </x:c>
      <x:c r="I360" s="13" t="str">
        <x:v>Crescimento sem escala</x:v>
      </x:c>
      <x:c r="J360" s="17" t="n">
        <x:f>E360-D360</x:f>
        <x:v>0</x:v>
      </x:c>
      <x:c r="K360" s="19" t="n">
        <x:f>IFERROR(ABS(J360/D360),0)</x:f>
        <x:v>0</x:v>
      </x:c>
    </x:row>
    <x:row r="361">
      <x:c r="A361" s="13" t="str">
        <x:v>CON-000360</x:v>
      </x:c>
      <x:c r="B361" s="23" t="n">
        <x:v>45614</x:v>
      </x:c>
      <x:c r="C361" s="13" t="str">
        <x:v>Santander Recebimentos</x:v>
      </x:c>
      <x:c r="D361" s="17" t="n">
        <x:v>5855.75</x:v>
      </x:c>
      <x:c r="E361" s="17" t="n">
        <x:v>5855.75</x:v>
      </x:c>
      <x:c r="F361" s="13" t="str">
        <x:v>Conciliado</x:v>
      </x:c>
      <x:c r="G361" s="13" t="str">
        <x:v>Sem divergência</x:v>
      </x:c>
      <x:c r="H361" s="13" t="n">
        <x:v>0.38</x:v>
      </x:c>
      <x:c r="I361" s="13" t="str">
        <x:v>Crescimento sem escala</x:v>
      </x:c>
      <x:c r="J361" s="17" t="n">
        <x:f>E361-D361</x:f>
        <x:v>0</x:v>
      </x:c>
      <x:c r="K361" s="19" t="n">
        <x:f>IFERROR(ABS(J361/D361),0)</x:f>
        <x:v>0</x:v>
      </x:c>
    </x:row>
    <x:row r="362">
      <x:c r="A362" s="13" t="str">
        <x:v>CON-000361</x:v>
      </x:c>
      <x:c r="B362" s="23" t="n">
        <x:v>45611</x:v>
      </x:c>
      <x:c r="C362" s="13" t="str">
        <x:v>Itaú Operacional</x:v>
      </x:c>
      <x:c r="D362" s="17" t="n">
        <x:v>3579.71</x:v>
      </x:c>
      <x:c r="E362" s="17" t="n">
        <x:v>3579.71</x:v>
      </x:c>
      <x:c r="F362" s="13" t="str">
        <x:v>Conciliado</x:v>
      </x:c>
      <x:c r="G362" s="13" t="str">
        <x:v>Sem divergência</x:v>
      </x:c>
      <x:c r="H362" s="13" t="n">
        <x:v>0.4</x:v>
      </x:c>
      <x:c r="I362" s="13" t="str">
        <x:v>Crescimento sem escala</x:v>
      </x:c>
      <x:c r="J362" s="17" t="n">
        <x:f>E362-D362</x:f>
        <x:v>0</x:v>
      </x:c>
      <x:c r="K362" s="19" t="n">
        <x:f>IFERROR(ABS(J362/D362),0)</x:f>
        <x:v>0</x:v>
      </x:c>
    </x:row>
    <x:row r="363">
      <x:c r="A363" s="13" t="str">
        <x:v>CON-000362</x:v>
      </x:c>
      <x:c r="B363" s="23" t="n">
        <x:v>45601</x:v>
      </x:c>
      <x:c r="C363" s="13" t="str">
        <x:v>Bradesco Pagamentos</x:v>
      </x:c>
      <x:c r="D363" s="17" t="n">
        <x:v>11742.04</x:v>
      </x:c>
      <x:c r="E363" s="17" t="n">
        <x:v>11742.04</x:v>
      </x:c>
      <x:c r="F363" s="13" t="str">
        <x:v>Conciliado</x:v>
      </x:c>
      <x:c r="G363" s="13" t="str">
        <x:v>Sem divergência</x:v>
      </x:c>
      <x:c r="H363" s="13" t="n">
        <x:v>0.26</x:v>
      </x:c>
      <x:c r="I363" s="13" t="str">
        <x:v>Crescimento sem escala</x:v>
      </x:c>
      <x:c r="J363" s="17" t="n">
        <x:f>E363-D363</x:f>
        <x:v>0</x:v>
      </x:c>
      <x:c r="K363" s="19" t="n">
        <x:f>IFERROR(ABS(J363/D363),0)</x:f>
        <x:v>0</x:v>
      </x:c>
    </x:row>
    <x:row r="364">
      <x:c r="A364" s="13" t="str">
        <x:v>CON-000363</x:v>
      </x:c>
      <x:c r="B364" s="23" t="n">
        <x:v>45601</x:v>
      </x:c>
      <x:c r="C364" s="13" t="str">
        <x:v>Nubank Serviços</x:v>
      </x:c>
      <x:c r="D364" s="17" t="n">
        <x:v>40987.63</x:v>
      </x:c>
      <x:c r="E364" s="17" t="n">
        <x:v>40987.63</x:v>
      </x:c>
      <x:c r="F364" s="13" t="str">
        <x:v>Conciliado</x:v>
      </x:c>
      <x:c r="G364" s="13" t="str">
        <x:v>Sem divergência</x:v>
      </x:c>
      <x:c r="H364" s="13" t="n">
        <x:v>0.26</x:v>
      </x:c>
      <x:c r="I364" s="13" t="str">
        <x:v>Crescimento sem escala</x:v>
      </x:c>
      <x:c r="J364" s="17" t="n">
        <x:f>E364-D364</x:f>
        <x:v>0</x:v>
      </x:c>
      <x:c r="K364" s="19" t="n">
        <x:f>IFERROR(ABS(J364/D364),0)</x:f>
        <x:v>0</x:v>
      </x:c>
    </x:row>
    <x:row r="365">
      <x:c r="A365" s="13" t="str">
        <x:v>CON-000364</x:v>
      </x:c>
      <x:c r="B365" s="23" t="n">
        <x:v>45608</x:v>
      </x:c>
      <x:c r="C365" s="13" t="str">
        <x:v>Itaú Operacional</x:v>
      </x:c>
      <x:c r="D365" s="17" t="n">
        <x:v>7142.7</x:v>
      </x:c>
      <x:c r="E365" s="17" t="n">
        <x:v>6636.18</x:v>
      </x:c>
      <x:c r="F365" s="13" t="str">
        <x:v>Resolvido</x:v>
      </x:c>
      <x:c r="G365" s="13" t="str">
        <x:v>Tarifa não cadastrada</x:v>
      </x:c>
      <x:c r="H365" s="13" t="n">
        <x:v>16.92</x:v>
      </x:c>
      <x:c r="I365" s="13" t="str">
        <x:v>Crescimento sem escala</x:v>
      </x:c>
      <x:c r="J365" s="17" t="n">
        <x:f>E365-D365</x:f>
        <x:v>-506.5199999999995</x:v>
      </x:c>
      <x:c r="K365" s="19" t="n">
        <x:f>IFERROR(ABS(J365/D365),0)</x:f>
        <x:v>0.07091436011592249</x:v>
      </x:c>
    </x:row>
    <x:row r="366">
      <x:c r="A366" s="13" t="str">
        <x:v>CON-000365</x:v>
      </x:c>
      <x:c r="B366" s="23" t="n">
        <x:v>45618</x:v>
      </x:c>
      <x:c r="C366" s="13" t="str">
        <x:v>Santander Recebimentos</x:v>
      </x:c>
      <x:c r="D366" s="17" t="n">
        <x:v>17666.99</x:v>
      </x:c>
      <x:c r="E366" s="17" t="n">
        <x:v>17666.99</x:v>
      </x:c>
      <x:c r="F366" s="13" t="str">
        <x:v>Conciliado</x:v>
      </x:c>
      <x:c r="G366" s="13" t="str">
        <x:v>Sem divergência</x:v>
      </x:c>
      <x:c r="H366" s="13" t="n">
        <x:v>0.28</x:v>
      </x:c>
      <x:c r="I366" s="13" t="str">
        <x:v>Crescimento sem escala</x:v>
      </x:c>
      <x:c r="J366" s="17" t="n">
        <x:f>E366-D366</x:f>
        <x:v>0</x:v>
      </x:c>
      <x:c r="K366" s="19" t="n">
        <x:f>IFERROR(ABS(J366/D366),0)</x:f>
        <x:v>0</x:v>
      </x:c>
    </x:row>
    <x:row r="367">
      <x:c r="A367" s="13" t="str">
        <x:v>CON-000366</x:v>
      </x:c>
      <x:c r="B367" s="23" t="n">
        <x:v>45618</x:v>
      </x:c>
      <x:c r="C367" s="13" t="str">
        <x:v>Itaú Operacional</x:v>
      </x:c>
      <x:c r="D367" s="17" t="n">
        <x:v>21958.89</x:v>
      </x:c>
      <x:c r="E367" s="17" t="n">
        <x:v>21958.89</x:v>
      </x:c>
      <x:c r="F367" s="13" t="str">
        <x:v>Conciliado</x:v>
      </x:c>
      <x:c r="G367" s="13" t="str">
        <x:v>Sem divergência</x:v>
      </x:c>
      <x:c r="H367" s="13" t="n">
        <x:v>0.02</x:v>
      </x:c>
      <x:c r="I367" s="13" t="str">
        <x:v>Crescimento sem escala</x:v>
      </x:c>
      <x:c r="J367" s="17" t="n">
        <x:f>E367-D367</x:f>
        <x:v>0</x:v>
      </x:c>
      <x:c r="K367" s="19" t="n">
        <x:f>IFERROR(ABS(J367/D367),0)</x:f>
        <x:v>0</x:v>
      </x:c>
    </x:row>
    <x:row r="368">
      <x:c r="A368" s="13" t="str">
        <x:v>CON-000367</x:v>
      </x:c>
      <x:c r="B368" s="23" t="n">
        <x:v>45599</x:v>
      </x:c>
      <x:c r="C368" s="13" t="str">
        <x:v>Santander Recebimentos</x:v>
      </x:c>
      <x:c r="D368" s="17" t="n">
        <x:v>38719.14</x:v>
      </x:c>
      <x:c r="E368" s="17" t="n">
        <x:v>39086.34</x:v>
      </x:c>
      <x:c r="F368" s="13" t="str">
        <x:v>Pendente</x:v>
      </x:c>
      <x:c r="G368" s="13" t="str">
        <x:v>Tarifa não cadastrada</x:v>
      </x:c>
      <x:c r="H368" s="13" t="n">
        <x:v>4.64</x:v>
      </x:c>
      <x:c r="I368" s="13" t="str">
        <x:v>Crescimento sem escala</x:v>
      </x:c>
      <x:c r="J368" s="17" t="n">
        <x:f>E368-D368</x:f>
        <x:v>367.1999999999971</x:v>
      </x:c>
      <x:c r="K368" s="19" t="n">
        <x:f>IFERROR(ABS(J368/D368),0)</x:f>
        <x:v>0.009483681714004936</x:v>
      </x:c>
    </x:row>
    <x:row r="369">
      <x:c r="A369" s="13" t="str">
        <x:v>CON-000368</x:v>
      </x:c>
      <x:c r="B369" s="23" t="n">
        <x:v>45622</x:v>
      </x:c>
      <x:c r="C369" s="13" t="str">
        <x:v>Bradesco Pagamentos</x:v>
      </x:c>
      <x:c r="D369" s="17" t="n">
        <x:v>44994.85</x:v>
      </x:c>
      <x:c r="E369" s="17" t="n">
        <x:v>44994.85</x:v>
      </x:c>
      <x:c r="F369" s="13" t="str">
        <x:v>Conciliado</x:v>
      </x:c>
      <x:c r="G369" s="13" t="str">
        <x:v>Sem divergência</x:v>
      </x:c>
      <x:c r="H369" s="13" t="n">
        <x:v>0.38</x:v>
      </x:c>
      <x:c r="I369" s="13" t="str">
        <x:v>Crescimento sem escala</x:v>
      </x:c>
      <x:c r="J369" s="17" t="n">
        <x:f>E369-D369</x:f>
        <x:v>0</x:v>
      </x:c>
      <x:c r="K369" s="19" t="n">
        <x:f>IFERROR(ABS(J369/D369),0)</x:f>
        <x:v>0</x:v>
      </x:c>
    </x:row>
    <x:row r="370">
      <x:c r="A370" s="13" t="str">
        <x:v>CON-000369</x:v>
      </x:c>
      <x:c r="B370" s="23" t="n">
        <x:v>45615</x:v>
      </x:c>
      <x:c r="C370" s="13" t="str">
        <x:v>Itaú Operacional</x:v>
      </x:c>
      <x:c r="D370" s="17" t="n">
        <x:v>20791.68</x:v>
      </x:c>
      <x:c r="E370" s="17" t="n">
        <x:v>20791.68</x:v>
      </x:c>
      <x:c r="F370" s="13" t="str">
        <x:v>Conciliado</x:v>
      </x:c>
      <x:c r="G370" s="13" t="str">
        <x:v>Sem divergência</x:v>
      </x:c>
      <x:c r="H370" s="13" t="n">
        <x:v>0.43</x:v>
      </x:c>
      <x:c r="I370" s="13" t="str">
        <x:v>Crescimento sem escala</x:v>
      </x:c>
      <x:c r="J370" s="17" t="n">
        <x:f>E370-D370</x:f>
        <x:v>0</x:v>
      </x:c>
      <x:c r="K370" s="19" t="n">
        <x:f>IFERROR(ABS(J370/D370),0)</x:f>
        <x:v>0</x:v>
      </x:c>
    </x:row>
    <x:row r="371">
      <x:c r="A371" s="13" t="str">
        <x:v>CON-000370</x:v>
      </x:c>
      <x:c r="B371" s="23" t="n">
        <x:v>45603</x:v>
      </x:c>
      <x:c r="C371" s="13" t="str">
        <x:v>Nubank Serviços</x:v>
      </x:c>
      <x:c r="D371" s="17" t="n">
        <x:v>37029.41</x:v>
      </x:c>
      <x:c r="E371" s="17" t="n">
        <x:v>37029.41</x:v>
      </x:c>
      <x:c r="F371" s="13" t="str">
        <x:v>Conciliado</x:v>
      </x:c>
      <x:c r="G371" s="13" t="str">
        <x:v>Sem divergência</x:v>
      </x:c>
      <x:c r="H371" s="13" t="n">
        <x:v>0.12</x:v>
      </x:c>
      <x:c r="I371" s="13" t="str">
        <x:v>Crescimento sem escala</x:v>
      </x:c>
      <x:c r="J371" s="17" t="n">
        <x:f>E371-D371</x:f>
        <x:v>0</x:v>
      </x:c>
      <x:c r="K371" s="19" t="n">
        <x:f>IFERROR(ABS(J371/D371),0)</x:f>
        <x:v>0</x:v>
      </x:c>
    </x:row>
    <x:row r="372">
      <x:c r="A372" s="13" t="str">
        <x:v>CON-000371</x:v>
      </x:c>
      <x:c r="B372" s="23" t="n">
        <x:v>45604</x:v>
      </x:c>
      <x:c r="C372" s="13" t="str">
        <x:v>Bradesco Pagamentos</x:v>
      </x:c>
      <x:c r="D372" s="17" t="n">
        <x:v>30830.55</x:v>
      </x:c>
      <x:c r="E372" s="17" t="n">
        <x:v>30830.55</x:v>
      </x:c>
      <x:c r="F372" s="13" t="str">
        <x:v>Conciliado</x:v>
      </x:c>
      <x:c r="G372" s="13" t="str">
        <x:v>Sem divergência</x:v>
      </x:c>
      <x:c r="H372" s="13" t="n">
        <x:v>0.43</x:v>
      </x:c>
      <x:c r="I372" s="13" t="str">
        <x:v>Crescimento sem escala</x:v>
      </x:c>
      <x:c r="J372" s="17" t="n">
        <x:f>E372-D372</x:f>
        <x:v>0</x:v>
      </x:c>
      <x:c r="K372" s="19" t="n">
        <x:f>IFERROR(ABS(J372/D372),0)</x:f>
        <x:v>0</x:v>
      </x:c>
    </x:row>
    <x:row r="373">
      <x:c r="A373" s="13" t="str">
        <x:v>CON-000372</x:v>
      </x:c>
      <x:c r="B373" s="23" t="n">
        <x:v>45622</x:v>
      </x:c>
      <x:c r="C373" s="13" t="str">
        <x:v>Itaú Operacional</x:v>
      </x:c>
      <x:c r="D373" s="17" t="n">
        <x:v>44830.68</x:v>
      </x:c>
      <x:c r="E373" s="17" t="n">
        <x:v>44830.68</x:v>
      </x:c>
      <x:c r="F373" s="13" t="str">
        <x:v>Conciliado</x:v>
      </x:c>
      <x:c r="G373" s="13" t="str">
        <x:v>Sem divergência</x:v>
      </x:c>
      <x:c r="H373" s="13" t="n">
        <x:v>0.37</x:v>
      </x:c>
      <x:c r="I373" s="13" t="str">
        <x:v>Crescimento sem escala</x:v>
      </x:c>
      <x:c r="J373" s="17" t="n">
        <x:f>E373-D373</x:f>
        <x:v>0</x:v>
      </x:c>
      <x:c r="K373" s="19" t="n">
        <x:f>IFERROR(ABS(J373/D373),0)</x:f>
        <x:v>0</x:v>
      </x:c>
    </x:row>
    <x:row r="374">
      <x:c r="A374" s="13" t="str">
        <x:v>CON-000373</x:v>
      </x:c>
      <x:c r="B374" s="23" t="n">
        <x:v>45621</x:v>
      </x:c>
      <x:c r="C374" s="13" t="str">
        <x:v>Itaú Operacional</x:v>
      </x:c>
      <x:c r="D374" s="17" t="n">
        <x:v>14316.28</x:v>
      </x:c>
      <x:c r="E374" s="17" t="n">
        <x:v>14316.28</x:v>
      </x:c>
      <x:c r="F374" s="13" t="str">
        <x:v>Conciliado</x:v>
      </x:c>
      <x:c r="G374" s="13" t="str">
        <x:v>Sem divergência</x:v>
      </x:c>
      <x:c r="H374" s="13" t="n">
        <x:v>0.34</x:v>
      </x:c>
      <x:c r="I374" s="13" t="str">
        <x:v>Crescimento sem escala</x:v>
      </x:c>
      <x:c r="J374" s="17" t="n">
        <x:f>E374-D374</x:f>
        <x:v>0</x:v>
      </x:c>
      <x:c r="K374" s="19" t="n">
        <x:f>IFERROR(ABS(J374/D374),0)</x:f>
        <x:v>0</x:v>
      </x:c>
    </x:row>
    <x:row r="375">
      <x:c r="A375" s="13" t="str">
        <x:v>CON-000374</x:v>
      </x:c>
      <x:c r="B375" s="23" t="n">
        <x:v>45600</x:v>
      </x:c>
      <x:c r="C375" s="13" t="str">
        <x:v>Bradesco Pagamentos</x:v>
      </x:c>
      <x:c r="D375" s="17" t="n">
        <x:v>5283.83</x:v>
      </x:c>
      <x:c r="E375" s="17" t="n">
        <x:v>5283.83</x:v>
      </x:c>
      <x:c r="F375" s="13" t="str">
        <x:v>Conciliado</x:v>
      </x:c>
      <x:c r="G375" s="13" t="str">
        <x:v>Sem divergência</x:v>
      </x:c>
      <x:c r="H375" s="13" t="n">
        <x:v>0.34</x:v>
      </x:c>
      <x:c r="I375" s="13" t="str">
        <x:v>Crescimento sem escala</x:v>
      </x:c>
      <x:c r="J375" s="17" t="n">
        <x:f>E375-D375</x:f>
        <x:v>0</x:v>
      </x:c>
      <x:c r="K375" s="19" t="n">
        <x:f>IFERROR(ABS(J375/D375),0)</x:f>
        <x:v>0</x:v>
      </x:c>
    </x:row>
    <x:row r="376">
      <x:c r="A376" s="13" t="str">
        <x:v>CON-000375</x:v>
      </x:c>
      <x:c r="B376" s="23" t="n">
        <x:v>45617</x:v>
      </x:c>
      <x:c r="C376" s="13" t="str">
        <x:v>Bradesco Pagamentos</x:v>
      </x:c>
      <x:c r="D376" s="17" t="n">
        <x:v>28484</x:v>
      </x:c>
      <x:c r="E376" s="17" t="n">
        <x:v>28484</x:v>
      </x:c>
      <x:c r="F376" s="13" t="str">
        <x:v>Conciliado</x:v>
      </x:c>
      <x:c r="G376" s="13" t="str">
        <x:v>Sem divergência</x:v>
      </x:c>
      <x:c r="H376" s="13" t="n">
        <x:v>0.25</x:v>
      </x:c>
      <x:c r="I376" s="13" t="str">
        <x:v>Crescimento sem escala</x:v>
      </x:c>
      <x:c r="J376" s="17" t="n">
        <x:f>E376-D376</x:f>
        <x:v>0</x:v>
      </x:c>
      <x:c r="K376" s="19" t="n">
        <x:f>IFERROR(ABS(J376/D376),0)</x:f>
        <x:v>0</x:v>
      </x:c>
    </x:row>
    <x:row r="377">
      <x:c r="A377" s="13" t="str">
        <x:v>CON-000376</x:v>
      </x:c>
      <x:c r="B377" s="23" t="n">
        <x:v>45602</x:v>
      </x:c>
      <x:c r="C377" s="13" t="str">
        <x:v>Itaú Operacional</x:v>
      </x:c>
      <x:c r="D377" s="17" t="n">
        <x:v>2161.44</x:v>
      </x:c>
      <x:c r="E377" s="17" t="n">
        <x:v>2161.44</x:v>
      </x:c>
      <x:c r="F377" s="13" t="str">
        <x:v>Conciliado</x:v>
      </x:c>
      <x:c r="G377" s="13" t="str">
        <x:v>Sem divergência</x:v>
      </x:c>
      <x:c r="H377" s="13" t="n">
        <x:v>0.03</x:v>
      </x:c>
      <x:c r="I377" s="13" t="str">
        <x:v>Crescimento sem escala</x:v>
      </x:c>
      <x:c r="J377" s="17" t="n">
        <x:f>E377-D377</x:f>
        <x:v>0</x:v>
      </x:c>
      <x:c r="K377" s="19" t="n">
        <x:f>IFERROR(ABS(J377/D377),0)</x:f>
        <x:v>0</x:v>
      </x:c>
    </x:row>
    <x:row r="378">
      <x:c r="A378" s="13" t="str">
        <x:v>CON-000377</x:v>
      </x:c>
      <x:c r="B378" s="23" t="n">
        <x:v>45603</x:v>
      </x:c>
      <x:c r="C378" s="13" t="str">
        <x:v>Bradesco Pagamentos</x:v>
      </x:c>
      <x:c r="D378" s="17" t="n">
        <x:v>30824.84</x:v>
      </x:c>
      <x:c r="E378" s="17" t="n">
        <x:v>30824.84</x:v>
      </x:c>
      <x:c r="F378" s="13" t="str">
        <x:v>Conciliado</x:v>
      </x:c>
      <x:c r="G378" s="13" t="str">
        <x:v>Sem divergência</x:v>
      </x:c>
      <x:c r="H378" s="13" t="n">
        <x:v>0.39</x:v>
      </x:c>
      <x:c r="I378" s="13" t="str">
        <x:v>Crescimento sem escala</x:v>
      </x:c>
      <x:c r="J378" s="17" t="n">
        <x:f>E378-D378</x:f>
        <x:v>0</x:v>
      </x:c>
      <x:c r="K378" s="19" t="n">
        <x:f>IFERROR(ABS(J378/D378),0)</x:f>
        <x:v>0</x:v>
      </x:c>
    </x:row>
    <x:row r="379">
      <x:c r="A379" s="13" t="str">
        <x:v>CON-000378</x:v>
      </x:c>
      <x:c r="B379" s="23" t="n">
        <x:v>45615</x:v>
      </x:c>
      <x:c r="C379" s="13" t="str">
        <x:v>Santander Recebimentos</x:v>
      </x:c>
      <x:c r="D379" s="17" t="n">
        <x:v>18571.39</x:v>
      </x:c>
      <x:c r="E379" s="17" t="n">
        <x:v>18981.51</x:v>
      </x:c>
      <x:c r="F379" s="13" t="str">
        <x:v>Pendente</x:v>
      </x:c>
      <x:c r="G379" s="13" t="str">
        <x:v>Tarifa não cadastrada</x:v>
      </x:c>
      <x:c r="H379" s="13" t="n">
        <x:v>9.06</x:v>
      </x:c>
      <x:c r="I379" s="13" t="str">
        <x:v>Crescimento sem escala</x:v>
      </x:c>
      <x:c r="J379" s="17" t="n">
        <x:f>E379-D379</x:f>
        <x:v>410.119999999999</x:v>
      </x:c>
      <x:c r="K379" s="19" t="n">
        <x:f>IFERROR(ABS(J379/D379),0)</x:f>
        <x:v>0.022083430480970945</x:v>
      </x:c>
    </x:row>
    <x:row r="380">
      <x:c r="A380" s="13" t="str">
        <x:v>CON-000379</x:v>
      </x:c>
      <x:c r="B380" s="23" t="n">
        <x:v>45605</x:v>
      </x:c>
      <x:c r="C380" s="13" t="str">
        <x:v>Nubank Serviços</x:v>
      </x:c>
      <x:c r="D380" s="17" t="n">
        <x:v>23783.41</x:v>
      </x:c>
      <x:c r="E380" s="17" t="n">
        <x:v>23783.41</x:v>
      </x:c>
      <x:c r="F380" s="13" t="str">
        <x:v>Conciliado</x:v>
      </x:c>
      <x:c r="G380" s="13" t="str">
        <x:v>Sem divergência</x:v>
      </x:c>
      <x:c r="H380" s="13" t="n">
        <x:v>0.38</x:v>
      </x:c>
      <x:c r="I380" s="13" t="str">
        <x:v>Crescimento sem escala</x:v>
      </x:c>
      <x:c r="J380" s="17" t="n">
        <x:f>E380-D380</x:f>
        <x:v>0</x:v>
      </x:c>
      <x:c r="K380" s="19" t="n">
        <x:f>IFERROR(ABS(J380/D380),0)</x:f>
        <x:v>0</x:v>
      </x:c>
    </x:row>
    <x:row r="381">
      <x:c r="A381" s="13" t="str">
        <x:v>CON-000380</x:v>
      </x:c>
      <x:c r="B381" s="23" t="n">
        <x:v>45624</x:v>
      </x:c>
      <x:c r="C381" s="13" t="str">
        <x:v>Bradesco Pagamentos</x:v>
      </x:c>
      <x:c r="D381" s="17" t="n">
        <x:v>27354.71</x:v>
      </x:c>
      <x:c r="E381" s="17" t="n">
        <x:v>27354.71</x:v>
      </x:c>
      <x:c r="F381" s="13" t="str">
        <x:v>Conciliado</x:v>
      </x:c>
      <x:c r="G381" s="13" t="str">
        <x:v>Sem divergência</x:v>
      </x:c>
      <x:c r="H381" s="13" t="n">
        <x:v>0.25</x:v>
      </x:c>
      <x:c r="I381" s="13" t="str">
        <x:v>Crescimento sem escala</x:v>
      </x:c>
      <x:c r="J381" s="17" t="n">
        <x:f>E381-D381</x:f>
        <x:v>0</x:v>
      </x:c>
      <x:c r="K381" s="19" t="n">
        <x:f>IFERROR(ABS(J381/D381),0)</x:f>
        <x:v>0</x:v>
      </x:c>
    </x:row>
    <x:row r="382">
      <x:c r="A382" s="13" t="str">
        <x:v>CON-000381</x:v>
      </x:c>
      <x:c r="B382" s="23" t="n">
        <x:v>45613</x:v>
      </x:c>
      <x:c r="C382" s="13" t="str">
        <x:v>Bradesco Pagamentos</x:v>
      </x:c>
      <x:c r="D382" s="17" t="n">
        <x:v>4065.92</x:v>
      </x:c>
      <x:c r="E382" s="17" t="n">
        <x:v>4065.92</x:v>
      </x:c>
      <x:c r="F382" s="13" t="str">
        <x:v>Conciliado</x:v>
      </x:c>
      <x:c r="G382" s="13" t="str">
        <x:v>Sem divergência</x:v>
      </x:c>
      <x:c r="H382" s="13" t="n">
        <x:v>0.44</x:v>
      </x:c>
      <x:c r="I382" s="13" t="str">
        <x:v>Crescimento sem escala</x:v>
      </x:c>
      <x:c r="J382" s="17" t="n">
        <x:f>E382-D382</x:f>
        <x:v>0</x:v>
      </x:c>
      <x:c r="K382" s="19" t="n">
        <x:f>IFERROR(ABS(J382/D382),0)</x:f>
        <x:v>0</x:v>
      </x:c>
    </x:row>
    <x:row r="383">
      <x:c r="A383" s="13" t="str">
        <x:v>CON-000382</x:v>
      </x:c>
      <x:c r="B383" s="23" t="n">
        <x:v>45623</x:v>
      </x:c>
      <x:c r="C383" s="13" t="str">
        <x:v>Bradesco Pagamentos</x:v>
      </x:c>
      <x:c r="D383" s="17" t="n">
        <x:v>28902.57</x:v>
      </x:c>
      <x:c r="E383" s="17" t="n">
        <x:v>28902.57</x:v>
      </x:c>
      <x:c r="F383" s="13" t="str">
        <x:v>Conciliado</x:v>
      </x:c>
      <x:c r="G383" s="13" t="str">
        <x:v>Sem divergência</x:v>
      </x:c>
      <x:c r="H383" s="13" t="n">
        <x:v>0.22</x:v>
      </x:c>
      <x:c r="I383" s="13" t="str">
        <x:v>Crescimento sem escala</x:v>
      </x:c>
      <x:c r="J383" s="17" t="n">
        <x:f>E383-D383</x:f>
        <x:v>0</x:v>
      </x:c>
      <x:c r="K383" s="19" t="n">
        <x:f>IFERROR(ABS(J383/D383),0)</x:f>
        <x:v>0</x:v>
      </x:c>
    </x:row>
    <x:row r="384">
      <x:c r="A384" s="13" t="str">
        <x:v>CON-000383</x:v>
      </x:c>
      <x:c r="B384" s="23" t="n">
        <x:v>45617</x:v>
      </x:c>
      <x:c r="C384" s="13" t="str">
        <x:v>Itaú Operacional</x:v>
      </x:c>
      <x:c r="D384" s="17" t="n">
        <x:v>19868.78</x:v>
      </x:c>
      <x:c r="E384" s="17" t="n">
        <x:v>19868.78</x:v>
      </x:c>
      <x:c r="F384" s="13" t="str">
        <x:v>Conciliado</x:v>
      </x:c>
      <x:c r="G384" s="13" t="str">
        <x:v>Sem divergência</x:v>
      </x:c>
      <x:c r="H384" s="13" t="n">
        <x:v>0.4</x:v>
      </x:c>
      <x:c r="I384" s="13" t="str">
        <x:v>Crescimento sem escala</x:v>
      </x:c>
      <x:c r="J384" s="17" t="n">
        <x:f>E384-D384</x:f>
        <x:v>0</x:v>
      </x:c>
      <x:c r="K384" s="19" t="n">
        <x:f>IFERROR(ABS(J384/D384),0)</x:f>
        <x:v>0</x:v>
      </x:c>
    </x:row>
    <x:row r="385">
      <x:c r="A385" s="13" t="str">
        <x:v>CON-000384</x:v>
      </x:c>
      <x:c r="B385" s="23" t="n">
        <x:v>45619</x:v>
      </x:c>
      <x:c r="C385" s="13" t="str">
        <x:v>Santander Recebimentos</x:v>
      </x:c>
      <x:c r="D385" s="17" t="n">
        <x:v>30864.86</x:v>
      </x:c>
      <x:c r="E385" s="17" t="n">
        <x:v>30864.86</x:v>
      </x:c>
      <x:c r="F385" s="13" t="str">
        <x:v>Conciliado</x:v>
      </x:c>
      <x:c r="G385" s="13" t="str">
        <x:v>Sem divergência</x:v>
      </x:c>
      <x:c r="H385" s="13" t="n">
        <x:v>0.39</x:v>
      </x:c>
      <x:c r="I385" s="13" t="str">
        <x:v>Crescimento sem escala</x:v>
      </x:c>
      <x:c r="J385" s="17" t="n">
        <x:f>E385-D385</x:f>
        <x:v>0</x:v>
      </x:c>
      <x:c r="K385" s="19" t="n">
        <x:f>IFERROR(ABS(J385/D385),0)</x:f>
        <x:v>0</x:v>
      </x:c>
    </x:row>
    <x:row r="386">
      <x:c r="A386" s="13" t="str">
        <x:v>CON-000385</x:v>
      </x:c>
      <x:c r="B386" s="23" t="n">
        <x:v>45605</x:v>
      </x:c>
      <x:c r="C386" s="13" t="str">
        <x:v>Bradesco Pagamentos</x:v>
      </x:c>
      <x:c r="D386" s="17" t="n">
        <x:v>27909.57</x:v>
      </x:c>
      <x:c r="E386" s="17" t="n">
        <x:v>27909.57</x:v>
      </x:c>
      <x:c r="F386" s="13" t="str">
        <x:v>Conciliado</x:v>
      </x:c>
      <x:c r="G386" s="13" t="str">
        <x:v>Sem divergência</x:v>
      </x:c>
      <x:c r="H386" s="13" t="n">
        <x:v>0.37</x:v>
      </x:c>
      <x:c r="I386" s="13" t="str">
        <x:v>Crescimento sem escala</x:v>
      </x:c>
      <x:c r="J386" s="17" t="n">
        <x:f>E386-D386</x:f>
        <x:v>0</x:v>
      </x:c>
      <x:c r="K386" s="19" t="n">
        <x:f>IFERROR(ABS(J386/D386),0)</x:f>
        <x:v>0</x:v>
      </x:c>
    </x:row>
    <x:row r="387">
      <x:c r="A387" s="13" t="str">
        <x:v>CON-000386</x:v>
      </x:c>
      <x:c r="B387" s="23" t="n">
        <x:v>45634</x:v>
      </x:c>
      <x:c r="C387" s="13" t="str">
        <x:v>Santander Recebimentos</x:v>
      </x:c>
      <x:c r="D387" s="17" t="n">
        <x:v>35714.26</x:v>
      </x:c>
      <x:c r="E387" s="17" t="n">
        <x:v>35714.26</x:v>
      </x:c>
      <x:c r="F387" s="13" t="str">
        <x:v>Conciliado</x:v>
      </x:c>
      <x:c r="G387" s="13" t="str">
        <x:v>Sem divergência</x:v>
      </x:c>
      <x:c r="H387" s="13" t="n">
        <x:v>0.36</x:v>
      </x:c>
      <x:c r="I387" s="13" t="str">
        <x:v>Crescimento sem escala</x:v>
      </x:c>
      <x:c r="J387" s="17" t="n">
        <x:f>E387-D387</x:f>
        <x:v>0</x:v>
      </x:c>
      <x:c r="K387" s="19" t="n">
        <x:f>IFERROR(ABS(J387/D387),0)</x:f>
        <x:v>0</x:v>
      </x:c>
    </x:row>
    <x:row r="388">
      <x:c r="A388" s="13" t="str">
        <x:v>CON-000387</x:v>
      </x:c>
      <x:c r="B388" s="23" t="n">
        <x:v>45634</x:v>
      </x:c>
      <x:c r="C388" s="13" t="str">
        <x:v>Nubank Serviços</x:v>
      </x:c>
      <x:c r="D388" s="17" t="n">
        <x:v>32849.27</x:v>
      </x:c>
      <x:c r="E388" s="17" t="n">
        <x:v>32849.27</x:v>
      </x:c>
      <x:c r="F388" s="13" t="str">
        <x:v>Conciliado</x:v>
      </x:c>
      <x:c r="G388" s="13" t="str">
        <x:v>Sem divergência</x:v>
      </x:c>
      <x:c r="H388" s="13" t="n">
        <x:v>0.28</x:v>
      </x:c>
      <x:c r="I388" s="13" t="str">
        <x:v>Crescimento sem escala</x:v>
      </x:c>
      <x:c r="J388" s="17" t="n">
        <x:f>E388-D388</x:f>
        <x:v>0</x:v>
      </x:c>
      <x:c r="K388" s="19" t="n">
        <x:f>IFERROR(ABS(J388/D388),0)</x:f>
        <x:v>0</x:v>
      </x:c>
    </x:row>
    <x:row r="389">
      <x:c r="A389" s="13" t="str">
        <x:v>CON-000388</x:v>
      </x:c>
      <x:c r="B389" s="23" t="n">
        <x:v>45631</x:v>
      </x:c>
      <x:c r="C389" s="13" t="str">
        <x:v>Bradesco Pagamentos</x:v>
      </x:c>
      <x:c r="D389" s="17" t="n">
        <x:v>10168.14</x:v>
      </x:c>
      <x:c r="E389" s="17" t="n">
        <x:v>10168.14</x:v>
      </x:c>
      <x:c r="F389" s="13" t="str">
        <x:v>Conciliado</x:v>
      </x:c>
      <x:c r="G389" s="13" t="str">
        <x:v>Sem divergência</x:v>
      </x:c>
      <x:c r="H389" s="13" t="n">
        <x:v>0.08</x:v>
      </x:c>
      <x:c r="I389" s="13" t="str">
        <x:v>Crescimento sem escala</x:v>
      </x:c>
      <x:c r="J389" s="17" t="n">
        <x:f>E389-D389</x:f>
        <x:v>0</x:v>
      </x:c>
      <x:c r="K389" s="19" t="n">
        <x:f>IFERROR(ABS(J389/D389),0)</x:f>
        <x:v>0</x:v>
      </x:c>
    </x:row>
    <x:row r="390">
      <x:c r="A390" s="13" t="str">
        <x:v>CON-000389</x:v>
      </x:c>
      <x:c r="B390" s="23" t="n">
        <x:v>45640</x:v>
      </x:c>
      <x:c r="C390" s="13" t="str">
        <x:v>Bradesco Pagamentos</x:v>
      </x:c>
      <x:c r="D390" s="17" t="n">
        <x:v>8313.5</x:v>
      </x:c>
      <x:c r="E390" s="17" t="n">
        <x:v>8313.5</x:v>
      </x:c>
      <x:c r="F390" s="13" t="str">
        <x:v>Conciliado</x:v>
      </x:c>
      <x:c r="G390" s="13" t="str">
        <x:v>Sem divergência</x:v>
      </x:c>
      <x:c r="H390" s="13" t="n">
        <x:v>0.22</x:v>
      </x:c>
      <x:c r="I390" s="13" t="str">
        <x:v>Crescimento sem escala</x:v>
      </x:c>
      <x:c r="J390" s="17" t="n">
        <x:f>E390-D390</x:f>
        <x:v>0</x:v>
      </x:c>
      <x:c r="K390" s="19" t="n">
        <x:f>IFERROR(ABS(J390/D390),0)</x:f>
        <x:v>0</x:v>
      </x:c>
    </x:row>
    <x:row r="391">
      <x:c r="A391" s="13" t="str">
        <x:v>CON-000390</x:v>
      </x:c>
      <x:c r="B391" s="23" t="n">
        <x:v>45630</x:v>
      </x:c>
      <x:c r="C391" s="13" t="str">
        <x:v>Bradesco Pagamentos</x:v>
      </x:c>
      <x:c r="D391" s="17" t="n">
        <x:v>18845.3</x:v>
      </x:c>
      <x:c r="E391" s="17" t="n">
        <x:v>18845.3</x:v>
      </x:c>
      <x:c r="F391" s="13" t="str">
        <x:v>Conciliado</x:v>
      </x:c>
      <x:c r="G391" s="13" t="str">
        <x:v>Sem divergência</x:v>
      </x:c>
      <x:c r="H391" s="13" t="n">
        <x:v>0.32</x:v>
      </x:c>
      <x:c r="I391" s="13" t="str">
        <x:v>Crescimento sem escala</x:v>
      </x:c>
      <x:c r="J391" s="17" t="n">
        <x:f>E391-D391</x:f>
        <x:v>0</x:v>
      </x:c>
      <x:c r="K391" s="19" t="n">
        <x:f>IFERROR(ABS(J391/D391),0)</x:f>
        <x:v>0</x:v>
      </x:c>
    </x:row>
    <x:row r="392">
      <x:c r="A392" s="13" t="str">
        <x:v>CON-000391</x:v>
      </x:c>
      <x:c r="B392" s="23" t="n">
        <x:v>45627</x:v>
      </x:c>
      <x:c r="C392" s="13" t="str">
        <x:v>Bradesco Pagamentos</x:v>
      </x:c>
      <x:c r="D392" s="17" t="n">
        <x:v>11869.14</x:v>
      </x:c>
      <x:c r="E392" s="17" t="n">
        <x:v>11869.14</x:v>
      </x:c>
      <x:c r="F392" s="13" t="str">
        <x:v>Conciliado</x:v>
      </x:c>
      <x:c r="G392" s="13" t="str">
        <x:v>Sem divergência</x:v>
      </x:c>
      <x:c r="H392" s="13" t="n">
        <x:v>0.14</x:v>
      </x:c>
      <x:c r="I392" s="13" t="str">
        <x:v>Crescimento sem escala</x:v>
      </x:c>
      <x:c r="J392" s="17" t="n">
        <x:f>E392-D392</x:f>
        <x:v>0</x:v>
      </x:c>
      <x:c r="K392" s="19" t="n">
        <x:f>IFERROR(ABS(J392/D392),0)</x:f>
        <x:v>0</x:v>
      </x:c>
    </x:row>
    <x:row r="393">
      <x:c r="A393" s="13" t="str">
        <x:v>CON-000392</x:v>
      </x:c>
      <x:c r="B393" s="23" t="n">
        <x:v>45630</x:v>
      </x:c>
      <x:c r="C393" s="13" t="str">
        <x:v>Bradesco Pagamentos</x:v>
      </x:c>
      <x:c r="D393" s="17" t="n">
        <x:v>43423.36</x:v>
      </x:c>
      <x:c r="E393" s="17" t="n">
        <x:v>43423.36</x:v>
      </x:c>
      <x:c r="F393" s="13" t="str">
        <x:v>Conciliado</x:v>
      </x:c>
      <x:c r="G393" s="13" t="str">
        <x:v>Sem divergência</x:v>
      </x:c>
      <x:c r="H393" s="13" t="n">
        <x:v>0.43</x:v>
      </x:c>
      <x:c r="I393" s="13" t="str">
        <x:v>Crescimento sem escala</x:v>
      </x:c>
      <x:c r="J393" s="17" t="n">
        <x:f>E393-D393</x:f>
        <x:v>0</x:v>
      </x:c>
      <x:c r="K393" s="19" t="n">
        <x:f>IFERROR(ABS(J393/D393),0)</x:f>
        <x:v>0</x:v>
      </x:c>
    </x:row>
    <x:row r="394">
      <x:c r="A394" s="13" t="str">
        <x:v>CON-000393</x:v>
      </x:c>
      <x:c r="B394" s="23" t="n">
        <x:v>45648</x:v>
      </x:c>
      <x:c r="C394" s="13" t="str">
        <x:v>Itaú Operacional</x:v>
      </x:c>
      <x:c r="D394" s="17" t="n">
        <x:v>33550.59</x:v>
      </x:c>
      <x:c r="E394" s="17" t="n">
        <x:v>33550.59</x:v>
      </x:c>
      <x:c r="F394" s="13" t="str">
        <x:v>Conciliado</x:v>
      </x:c>
      <x:c r="G394" s="13" t="str">
        <x:v>Sem divergência</x:v>
      </x:c>
      <x:c r="H394" s="13" t="n">
        <x:v>0.05</x:v>
      </x:c>
      <x:c r="I394" s="13" t="str">
        <x:v>Crescimento sem escala</x:v>
      </x:c>
      <x:c r="J394" s="17" t="n">
        <x:f>E394-D394</x:f>
        <x:v>0</x:v>
      </x:c>
      <x:c r="K394" s="19" t="n">
        <x:f>IFERROR(ABS(J394/D394),0)</x:f>
        <x:v>0</x:v>
      </x:c>
    </x:row>
    <x:row r="395">
      <x:c r="A395" s="13" t="str">
        <x:v>CON-000394</x:v>
      </x:c>
      <x:c r="B395" s="23" t="n">
        <x:v>45653</x:v>
      </x:c>
      <x:c r="C395" s="13" t="str">
        <x:v>Nubank Serviços</x:v>
      </x:c>
      <x:c r="D395" s="17" t="n">
        <x:v>22628.43</x:v>
      </x:c>
      <x:c r="E395" s="17" t="n">
        <x:v>22628.43</x:v>
      </x:c>
      <x:c r="F395" s="13" t="str">
        <x:v>Conciliado</x:v>
      </x:c>
      <x:c r="G395" s="13" t="str">
        <x:v>Sem divergência</x:v>
      </x:c>
      <x:c r="H395" s="13" t="n">
        <x:v>0.1</x:v>
      </x:c>
      <x:c r="I395" s="13" t="str">
        <x:v>Crescimento sem escala</x:v>
      </x:c>
      <x:c r="J395" s="17" t="n">
        <x:f>E395-D395</x:f>
        <x:v>0</x:v>
      </x:c>
      <x:c r="K395" s="19" t="n">
        <x:f>IFERROR(ABS(J395/D395),0)</x:f>
        <x:v>0</x:v>
      </x:c>
    </x:row>
    <x:row r="396">
      <x:c r="A396" s="13" t="str">
        <x:v>CON-000395</x:v>
      </x:c>
      <x:c r="B396" s="23" t="n">
        <x:v>45648</x:v>
      </x:c>
      <x:c r="C396" s="13" t="str">
        <x:v>Santander Recebimentos</x:v>
      </x:c>
      <x:c r="D396" s="17" t="n">
        <x:v>42836.37</x:v>
      </x:c>
      <x:c r="E396" s="17" t="n">
        <x:v>42836.37</x:v>
      </x:c>
      <x:c r="F396" s="13" t="str">
        <x:v>Conciliado</x:v>
      </x:c>
      <x:c r="G396" s="13" t="str">
        <x:v>Sem divergência</x:v>
      </x:c>
      <x:c r="H396" s="13" t="n">
        <x:v>0.24</x:v>
      </x:c>
      <x:c r="I396" s="13" t="str">
        <x:v>Crescimento sem escala</x:v>
      </x:c>
      <x:c r="J396" s="17" t="n">
        <x:f>E396-D396</x:f>
        <x:v>0</x:v>
      </x:c>
      <x:c r="K396" s="19" t="n">
        <x:f>IFERROR(ABS(J396/D396),0)</x:f>
        <x:v>0</x:v>
      </x:c>
    </x:row>
    <x:row r="397">
      <x:c r="A397" s="13" t="str">
        <x:v>CON-000396</x:v>
      </x:c>
      <x:c r="B397" s="23" t="n">
        <x:v>45641</x:v>
      </x:c>
      <x:c r="C397" s="13" t="str">
        <x:v>Nubank Serviços</x:v>
      </x:c>
      <x:c r="D397" s="17" t="n">
        <x:v>8109.6</x:v>
      </x:c>
      <x:c r="E397" s="17" t="n">
        <x:v>8109.6</x:v>
      </x:c>
      <x:c r="F397" s="13" t="str">
        <x:v>Conciliado</x:v>
      </x:c>
      <x:c r="G397" s="13" t="str">
        <x:v>Sem divergência</x:v>
      </x:c>
      <x:c r="H397" s="13" t="n">
        <x:v>0.06</x:v>
      </x:c>
      <x:c r="I397" s="13" t="str">
        <x:v>Crescimento sem escala</x:v>
      </x:c>
      <x:c r="J397" s="17" t="n">
        <x:f>E397-D397</x:f>
        <x:v>0</x:v>
      </x:c>
      <x:c r="K397" s="19" t="n">
        <x:f>IFERROR(ABS(J397/D397),0)</x:f>
        <x:v>0</x:v>
      </x:c>
    </x:row>
    <x:row r="398">
      <x:c r="A398" s="13" t="str">
        <x:v>CON-000397</x:v>
      </x:c>
      <x:c r="B398" s="23" t="n">
        <x:v>45637</x:v>
      </x:c>
      <x:c r="C398" s="13" t="str">
        <x:v>Bradesco Pagamentos</x:v>
      </x:c>
      <x:c r="D398" s="17" t="n">
        <x:v>41847.5</x:v>
      </x:c>
      <x:c r="E398" s="17" t="n">
        <x:v>41847.5</x:v>
      </x:c>
      <x:c r="F398" s="13" t="str">
        <x:v>Conciliado</x:v>
      </x:c>
      <x:c r="G398" s="13" t="str">
        <x:v>Sem divergência</x:v>
      </x:c>
      <x:c r="H398" s="13" t="n">
        <x:v>0.23</x:v>
      </x:c>
      <x:c r="I398" s="13" t="str">
        <x:v>Crescimento sem escala</x:v>
      </x:c>
      <x:c r="J398" s="17" t="n">
        <x:f>E398-D398</x:f>
        <x:v>0</x:v>
      </x:c>
      <x:c r="K398" s="19" t="n">
        <x:f>IFERROR(ABS(J398/D398),0)</x:f>
        <x:v>0</x:v>
      </x:c>
    </x:row>
    <x:row r="399">
      <x:c r="A399" s="13" t="str">
        <x:v>CON-000398</x:v>
      </x:c>
      <x:c r="B399" s="23" t="n">
        <x:v>45654</x:v>
      </x:c>
      <x:c r="C399" s="13" t="str">
        <x:v>Itaú Operacional</x:v>
      </x:c>
      <x:c r="D399" s="17" t="n">
        <x:v>12227.14</x:v>
      </x:c>
      <x:c r="E399" s="17" t="n">
        <x:v>12227.14</x:v>
      </x:c>
      <x:c r="F399" s="13" t="str">
        <x:v>Conciliado</x:v>
      </x:c>
      <x:c r="G399" s="13" t="str">
        <x:v>Sem divergência</x:v>
      </x:c>
      <x:c r="H399" s="13" t="n">
        <x:v>0.27</x:v>
      </x:c>
      <x:c r="I399" s="13" t="str">
        <x:v>Crescimento sem escala</x:v>
      </x:c>
      <x:c r="J399" s="17" t="n">
        <x:f>E399-D399</x:f>
        <x:v>0</x:v>
      </x:c>
      <x:c r="K399" s="19" t="n">
        <x:f>IFERROR(ABS(J399/D399),0)</x:f>
        <x:v>0</x:v>
      </x:c>
    </x:row>
    <x:row r="400">
      <x:c r="A400" s="13" t="str">
        <x:v>CON-000399</x:v>
      </x:c>
      <x:c r="B400" s="23" t="n">
        <x:v>45649</x:v>
      </x:c>
      <x:c r="C400" s="13" t="str">
        <x:v>Santander Recebimentos</x:v>
      </x:c>
      <x:c r="D400" s="17" t="n">
        <x:v>37257.5</x:v>
      </x:c>
      <x:c r="E400" s="17" t="n">
        <x:v>37257.5</x:v>
      </x:c>
      <x:c r="F400" s="13" t="str">
        <x:v>Conciliado</x:v>
      </x:c>
      <x:c r="G400" s="13" t="str">
        <x:v>Sem divergência</x:v>
      </x:c>
      <x:c r="H400" s="13" t="n">
        <x:v>0.31</x:v>
      </x:c>
      <x:c r="I400" s="13" t="str">
        <x:v>Crescimento sem escala</x:v>
      </x:c>
      <x:c r="J400" s="17" t="n">
        <x:f>E400-D400</x:f>
        <x:v>0</x:v>
      </x:c>
      <x:c r="K400" s="19" t="n">
        <x:f>IFERROR(ABS(J400/D400),0)</x:f>
        <x:v>0</x:v>
      </x:c>
    </x:row>
    <x:row r="401">
      <x:c r="A401" s="13" t="str">
        <x:v>CON-000400</x:v>
      </x:c>
      <x:c r="B401" s="23" t="n">
        <x:v>45645</x:v>
      </x:c>
      <x:c r="C401" s="13" t="str">
        <x:v>Bradesco Pagamentos</x:v>
      </x:c>
      <x:c r="D401" s="17" t="n">
        <x:v>3050.97</x:v>
      </x:c>
      <x:c r="E401" s="17" t="n">
        <x:v>3050.97</x:v>
      </x:c>
      <x:c r="F401" s="13" t="str">
        <x:v>Conciliado</x:v>
      </x:c>
      <x:c r="G401" s="13" t="str">
        <x:v>Sem divergência</x:v>
      </x:c>
      <x:c r="H401" s="13" t="n">
        <x:v>0.09</x:v>
      </x:c>
      <x:c r="I401" s="13" t="str">
        <x:v>Crescimento sem escala</x:v>
      </x:c>
      <x:c r="J401" s="17" t="n">
        <x:f>E401-D401</x:f>
        <x:v>0</x:v>
      </x:c>
      <x:c r="K401" s="19" t="n">
        <x:f>IFERROR(ABS(J401/D401),0)</x:f>
        <x:v>0</x:v>
      </x:c>
    </x:row>
    <x:row r="402">
      <x:c r="A402" s="13" t="str">
        <x:v>CON-000401</x:v>
      </x:c>
      <x:c r="B402" s="23" t="n">
        <x:v>45650</x:v>
      </x:c>
      <x:c r="C402" s="13" t="str">
        <x:v>Nubank Serviços</x:v>
      </x:c>
      <x:c r="D402" s="17" t="n">
        <x:v>25456.4</x:v>
      </x:c>
      <x:c r="E402" s="17" t="n">
        <x:v>25456.4</x:v>
      </x:c>
      <x:c r="F402" s="13" t="str">
        <x:v>Conciliado</x:v>
      </x:c>
      <x:c r="G402" s="13" t="str">
        <x:v>Sem divergência</x:v>
      </x:c>
      <x:c r="H402" s="13" t="n">
        <x:v>0.36</x:v>
      </x:c>
      <x:c r="I402" s="13" t="str">
        <x:v>Crescimento sem escala</x:v>
      </x:c>
      <x:c r="J402" s="17" t="n">
        <x:f>E402-D402</x:f>
        <x:v>0</x:v>
      </x:c>
      <x:c r="K402" s="19" t="n">
        <x:f>IFERROR(ABS(J402/D402),0)</x:f>
        <x:v>0</x:v>
      </x:c>
    </x:row>
    <x:row r="403">
      <x:c r="A403" s="13" t="str">
        <x:v>CON-000402</x:v>
      </x:c>
      <x:c r="B403" s="23" t="n">
        <x:v>45649</x:v>
      </x:c>
      <x:c r="C403" s="13" t="str">
        <x:v>Santander Recebimentos</x:v>
      </x:c>
      <x:c r="D403" s="17" t="n">
        <x:v>14266.62</x:v>
      </x:c>
      <x:c r="E403" s="17" t="n">
        <x:v>14266.62</x:v>
      </x:c>
      <x:c r="F403" s="13" t="str">
        <x:v>Conciliado</x:v>
      </x:c>
      <x:c r="G403" s="13" t="str">
        <x:v>Sem divergência</x:v>
      </x:c>
      <x:c r="H403" s="13" t="n">
        <x:v>0.02</x:v>
      </x:c>
      <x:c r="I403" s="13" t="str">
        <x:v>Crescimento sem escala</x:v>
      </x:c>
      <x:c r="J403" s="17" t="n">
        <x:f>E403-D403</x:f>
        <x:v>0</x:v>
      </x:c>
      <x:c r="K403" s="19" t="n">
        <x:f>IFERROR(ABS(J403/D403),0)</x:f>
        <x:v>0</x:v>
      </x:c>
    </x:row>
    <x:row r="404">
      <x:c r="A404" s="13" t="str">
        <x:v>CON-000403</x:v>
      </x:c>
      <x:c r="B404" s="23" t="n">
        <x:v>45649</x:v>
      </x:c>
      <x:c r="C404" s="13" t="str">
        <x:v>Nubank Serviços</x:v>
      </x:c>
      <x:c r="D404" s="17" t="n">
        <x:v>44778.32</x:v>
      </x:c>
      <x:c r="E404" s="17" t="n">
        <x:v>44778.32</x:v>
      </x:c>
      <x:c r="F404" s="13" t="str">
        <x:v>Conciliado</x:v>
      </x:c>
      <x:c r="G404" s="13" t="str">
        <x:v>Sem divergência</x:v>
      </x:c>
      <x:c r="H404" s="13" t="n">
        <x:v>0.36</x:v>
      </x:c>
      <x:c r="I404" s="13" t="str">
        <x:v>Crescimento sem escala</x:v>
      </x:c>
      <x:c r="J404" s="17" t="n">
        <x:f>E404-D404</x:f>
        <x:v>0</x:v>
      </x:c>
      <x:c r="K404" s="19" t="n">
        <x:f>IFERROR(ABS(J404/D404),0)</x:f>
        <x:v>0</x:v>
      </x:c>
    </x:row>
    <x:row r="405">
      <x:c r="A405" s="13" t="str">
        <x:v>CON-000404</x:v>
      </x:c>
      <x:c r="B405" s="23" t="n">
        <x:v>45653</x:v>
      </x:c>
      <x:c r="C405" s="13" t="str">
        <x:v>Itaú Operacional</x:v>
      </x:c>
      <x:c r="D405" s="17" t="n">
        <x:v>16155.81</x:v>
      </x:c>
      <x:c r="E405" s="17" t="n">
        <x:v>16155.81</x:v>
      </x:c>
      <x:c r="F405" s="13" t="str">
        <x:v>Conciliado</x:v>
      </x:c>
      <x:c r="G405" s="13" t="str">
        <x:v>Sem divergência</x:v>
      </x:c>
      <x:c r="H405" s="13" t="n">
        <x:v>0.12</x:v>
      </x:c>
      <x:c r="I405" s="13" t="str">
        <x:v>Crescimento sem escala</x:v>
      </x:c>
      <x:c r="J405" s="17" t="n">
        <x:f>E405-D405</x:f>
        <x:v>0</x:v>
      </x:c>
      <x:c r="K405" s="19" t="n">
        <x:f>IFERROR(ABS(J405/D405),0)</x:f>
        <x:v>0</x:v>
      </x:c>
    </x:row>
    <x:row r="406">
      <x:c r="A406" s="13" t="str">
        <x:v>CON-000405</x:v>
      </x:c>
      <x:c r="B406" s="23" t="n">
        <x:v>45629</x:v>
      </x:c>
      <x:c r="C406" s="13" t="str">
        <x:v>Santander Recebimentos</x:v>
      </x:c>
      <x:c r="D406" s="17" t="n">
        <x:v>4113.39</x:v>
      </x:c>
      <x:c r="E406" s="17" t="n">
        <x:v>4113.39</x:v>
      </x:c>
      <x:c r="F406" s="13" t="str">
        <x:v>Conciliado</x:v>
      </x:c>
      <x:c r="G406" s="13" t="str">
        <x:v>Sem divergência</x:v>
      </x:c>
      <x:c r="H406" s="13" t="n">
        <x:v>0.27</x:v>
      </x:c>
      <x:c r="I406" s="13" t="str">
        <x:v>Crescimento sem escala</x:v>
      </x:c>
      <x:c r="J406" s="17" t="n">
        <x:f>E406-D406</x:f>
        <x:v>0</x:v>
      </x:c>
      <x:c r="K406" s="19" t="n">
        <x:f>IFERROR(ABS(J406/D406),0)</x:f>
        <x:v>0</x:v>
      </x:c>
    </x:row>
    <x:row r="407">
      <x:c r="A407" s="13" t="str">
        <x:v>CON-000406</x:v>
      </x:c>
      <x:c r="B407" s="23" t="n">
        <x:v>45654</x:v>
      </x:c>
      <x:c r="C407" s="13" t="str">
        <x:v>Santander Recebimentos</x:v>
      </x:c>
      <x:c r="D407" s="17" t="n">
        <x:v>24905.3</x:v>
      </x:c>
      <x:c r="E407" s="17" t="n">
        <x:v>24905.3</x:v>
      </x:c>
      <x:c r="F407" s="13" t="str">
        <x:v>Conciliado</x:v>
      </x:c>
      <x:c r="G407" s="13" t="str">
        <x:v>Sem divergência</x:v>
      </x:c>
      <x:c r="H407" s="13" t="n">
        <x:v>0.08</x:v>
      </x:c>
      <x:c r="I407" s="13" t="str">
        <x:v>Crescimento sem escala</x:v>
      </x:c>
      <x:c r="J407" s="17" t="n">
        <x:f>E407-D407</x:f>
        <x:v>0</x:v>
      </x:c>
      <x:c r="K407" s="19" t="n">
        <x:f>IFERROR(ABS(J407/D407),0)</x:f>
        <x:v>0</x:v>
      </x:c>
    </x:row>
    <x:row r="408">
      <x:c r="A408" s="13" t="str">
        <x:v>CON-000407</x:v>
      </x:c>
      <x:c r="B408" s="23" t="n">
        <x:v>45638</x:v>
      </x:c>
      <x:c r="C408" s="13" t="str">
        <x:v>Santander Recebimentos</x:v>
      </x:c>
      <x:c r="D408" s="17" t="n">
        <x:v>17278.05</x:v>
      </x:c>
      <x:c r="E408" s="17" t="n">
        <x:v>17278.05</x:v>
      </x:c>
      <x:c r="F408" s="13" t="str">
        <x:v>Conciliado</x:v>
      </x:c>
      <x:c r="G408" s="13" t="str">
        <x:v>Sem divergência</x:v>
      </x:c>
      <x:c r="H408" s="13" t="n">
        <x:v>0.37</x:v>
      </x:c>
      <x:c r="I408" s="13" t="str">
        <x:v>Crescimento sem escala</x:v>
      </x:c>
      <x:c r="J408" s="17" t="n">
        <x:f>E408-D408</x:f>
        <x:v>0</x:v>
      </x:c>
      <x:c r="K408" s="19" t="n">
        <x:f>IFERROR(ABS(J408/D408),0)</x:f>
        <x:v>0</x:v>
      </x:c>
    </x:row>
    <x:row r="409">
      <x:c r="A409" s="13" t="str">
        <x:v>CON-000408</x:v>
      </x:c>
      <x:c r="B409" s="23" t="n">
        <x:v>45631</x:v>
      </x:c>
      <x:c r="C409" s="13" t="str">
        <x:v>Santander Recebimentos</x:v>
      </x:c>
      <x:c r="D409" s="17" t="n">
        <x:v>2454.69</x:v>
      </x:c>
      <x:c r="E409" s="17" t="n">
        <x:v>2454.69</x:v>
      </x:c>
      <x:c r="F409" s="13" t="str">
        <x:v>Conciliado</x:v>
      </x:c>
      <x:c r="G409" s="13" t="str">
        <x:v>Sem divergência</x:v>
      </x:c>
      <x:c r="H409" s="13" t="n">
        <x:v>0.32</x:v>
      </x:c>
      <x:c r="I409" s="13" t="str">
        <x:v>Crescimento sem escala</x:v>
      </x:c>
      <x:c r="J409" s="17" t="n">
        <x:f>E409-D409</x:f>
        <x:v>0</x:v>
      </x:c>
      <x:c r="K409" s="19" t="n">
        <x:f>IFERROR(ABS(J409/D409),0)</x:f>
        <x:v>0</x:v>
      </x:c>
    </x:row>
    <x:row r="410">
      <x:c r="A410" s="13" t="str">
        <x:v>CON-000409</x:v>
      </x:c>
      <x:c r="B410" s="23" t="n">
        <x:v>45632</x:v>
      </x:c>
      <x:c r="C410" s="13" t="str">
        <x:v>Santander Recebimentos</x:v>
      </x:c>
      <x:c r="D410" s="17" t="n">
        <x:v>38955.68</x:v>
      </x:c>
      <x:c r="E410" s="17" t="n">
        <x:v>38955.68</x:v>
      </x:c>
      <x:c r="F410" s="13" t="str">
        <x:v>Conciliado</x:v>
      </x:c>
      <x:c r="G410" s="13" t="str">
        <x:v>Sem divergência</x:v>
      </x:c>
      <x:c r="H410" s="13" t="n">
        <x:v>0.25</x:v>
      </x:c>
      <x:c r="I410" s="13" t="str">
        <x:v>Crescimento sem escala</x:v>
      </x:c>
      <x:c r="J410" s="17" t="n">
        <x:f>E410-D410</x:f>
        <x:v>0</x:v>
      </x:c>
      <x:c r="K410" s="19" t="n">
        <x:f>IFERROR(ABS(J410/D410),0)</x:f>
        <x:v>0</x:v>
      </x:c>
    </x:row>
    <x:row r="411">
      <x:c r="A411" s="13" t="str">
        <x:v>CON-000410</x:v>
      </x:c>
      <x:c r="B411" s="23" t="n">
        <x:v>45637</x:v>
      </x:c>
      <x:c r="C411" s="13" t="str">
        <x:v>Santander Recebimentos</x:v>
      </x:c>
      <x:c r="D411" s="17" t="n">
        <x:v>15256.53</x:v>
      </x:c>
      <x:c r="E411" s="17" t="n">
        <x:v>15256.53</x:v>
      </x:c>
      <x:c r="F411" s="13" t="str">
        <x:v>Conciliado</x:v>
      </x:c>
      <x:c r="G411" s="13" t="str">
        <x:v>Sem divergência</x:v>
      </x:c>
      <x:c r="H411" s="13" t="n">
        <x:v>0.09</x:v>
      </x:c>
      <x:c r="I411" s="13" t="str">
        <x:v>Crescimento sem escala</x:v>
      </x:c>
      <x:c r="J411" s="17" t="n">
        <x:f>E411-D411</x:f>
        <x:v>0</x:v>
      </x:c>
      <x:c r="K411" s="19" t="n">
        <x:f>IFERROR(ABS(J411/D411),0)</x:f>
        <x:v>0</x:v>
      </x:c>
    </x:row>
    <x:row r="412">
      <x:c r="A412" s="13" t="str">
        <x:v>CON-000411</x:v>
      </x:c>
      <x:c r="B412" s="23" t="n">
        <x:v>45644</x:v>
      </x:c>
      <x:c r="C412" s="13" t="str">
        <x:v>Bradesco Pagamentos</x:v>
      </x:c>
      <x:c r="D412" s="17" t="n">
        <x:v>35402.34</x:v>
      </x:c>
      <x:c r="E412" s="17" t="n">
        <x:v>35402.34</x:v>
      </x:c>
      <x:c r="F412" s="13" t="str">
        <x:v>Conciliado</x:v>
      </x:c>
      <x:c r="G412" s="13" t="str">
        <x:v>Sem divergência</x:v>
      </x:c>
      <x:c r="H412" s="13" t="n">
        <x:v>0.15</x:v>
      </x:c>
      <x:c r="I412" s="13" t="str">
        <x:v>Crescimento sem escala</x:v>
      </x:c>
      <x:c r="J412" s="17" t="n">
        <x:f>E412-D412</x:f>
        <x:v>0</x:v>
      </x:c>
      <x:c r="K412" s="19" t="n">
        <x:f>IFERROR(ABS(J412/D412),0)</x:f>
        <x:v>0</x:v>
      </x:c>
    </x:row>
    <x:row r="413">
      <x:c r="A413" s="13" t="str">
        <x:v>CON-000412</x:v>
      </x:c>
      <x:c r="B413" s="23" t="n">
        <x:v>45646</x:v>
      </x:c>
      <x:c r="C413" s="13" t="str">
        <x:v>Itaú Operacional</x:v>
      </x:c>
      <x:c r="D413" s="17" t="n">
        <x:v>4965.91</x:v>
      </x:c>
      <x:c r="E413" s="17" t="n">
        <x:v>4965.91</x:v>
      </x:c>
      <x:c r="F413" s="13" t="str">
        <x:v>Conciliado</x:v>
      </x:c>
      <x:c r="G413" s="13" t="str">
        <x:v>Sem divergência</x:v>
      </x:c>
      <x:c r="H413" s="13" t="n">
        <x:v>0.28</x:v>
      </x:c>
      <x:c r="I413" s="13" t="str">
        <x:v>Crescimento sem escala</x:v>
      </x:c>
      <x:c r="J413" s="17" t="n">
        <x:f>E413-D413</x:f>
        <x:v>0</x:v>
      </x:c>
      <x:c r="K413" s="19" t="n">
        <x:f>IFERROR(ABS(J413/D413),0)</x:f>
        <x:v>0</x:v>
      </x:c>
    </x:row>
    <x:row r="414">
      <x:c r="A414" s="13" t="str">
        <x:v>CON-000413</x:v>
      </x:c>
      <x:c r="B414" s="23" t="n">
        <x:v>45628</x:v>
      </x:c>
      <x:c r="C414" s="13" t="str">
        <x:v>Nubank Serviços</x:v>
      </x:c>
      <x:c r="D414" s="17" t="n">
        <x:v>8824.9</x:v>
      </x:c>
      <x:c r="E414" s="17" t="n">
        <x:v>8824.9</x:v>
      </x:c>
      <x:c r="F414" s="13" t="str">
        <x:v>Conciliado</x:v>
      </x:c>
      <x:c r="G414" s="13" t="str">
        <x:v>Sem divergência</x:v>
      </x:c>
      <x:c r="H414" s="13" t="n">
        <x:v>0.21</x:v>
      </x:c>
      <x:c r="I414" s="13" t="str">
        <x:v>Crescimento sem escala</x:v>
      </x:c>
      <x:c r="J414" s="17" t="n">
        <x:f>E414-D414</x:f>
        <x:v>0</x:v>
      </x:c>
      <x:c r="K414" s="19" t="n">
        <x:f>IFERROR(ABS(J414/D414),0)</x:f>
        <x:v>0</x:v>
      </x:c>
    </x:row>
    <x:row r="415">
      <x:c r="A415" s="13" t="str">
        <x:v>CON-000414</x:v>
      </x:c>
      <x:c r="B415" s="23" t="n">
        <x:v>45645</x:v>
      </x:c>
      <x:c r="C415" s="13" t="str">
        <x:v>Santander Recebimentos</x:v>
      </x:c>
      <x:c r="D415" s="17" t="n">
        <x:v>9956.05</x:v>
      </x:c>
      <x:c r="E415" s="17" t="n">
        <x:v>9956.05</x:v>
      </x:c>
      <x:c r="F415" s="13" t="str">
        <x:v>Conciliado</x:v>
      </x:c>
      <x:c r="G415" s="13" t="str">
        <x:v>Sem divergência</x:v>
      </x:c>
      <x:c r="H415" s="13" t="n">
        <x:v>0.39</x:v>
      </x:c>
      <x:c r="I415" s="13" t="str">
        <x:v>Crescimento sem escala</x:v>
      </x:c>
      <x:c r="J415" s="17" t="n">
        <x:f>E415-D415</x:f>
        <x:v>0</x:v>
      </x:c>
      <x:c r="K415" s="19" t="n">
        <x:f>IFERROR(ABS(J415/D415),0)</x:f>
        <x:v>0</x:v>
      </x:c>
    </x:row>
    <x:row r="416">
      <x:c r="A416" s="13" t="str">
        <x:v>CON-000415</x:v>
      </x:c>
      <x:c r="B416" s="23" t="n">
        <x:v>45639</x:v>
      </x:c>
      <x:c r="C416" s="13" t="str">
        <x:v>Nubank Serviços</x:v>
      </x:c>
      <x:c r="D416" s="17" t="n">
        <x:v>39319.47</x:v>
      </x:c>
      <x:c r="E416" s="17" t="n">
        <x:v>39319.47</x:v>
      </x:c>
      <x:c r="F416" s="13" t="str">
        <x:v>Conciliado</x:v>
      </x:c>
      <x:c r="G416" s="13" t="str">
        <x:v>Sem divergência</x:v>
      </x:c>
      <x:c r="H416" s="13" t="n">
        <x:v>0.08</x:v>
      </x:c>
      <x:c r="I416" s="13" t="str">
        <x:v>Crescimento sem escala</x:v>
      </x:c>
      <x:c r="J416" s="17" t="n">
        <x:f>E416-D416</x:f>
        <x:v>0</x:v>
      </x:c>
      <x:c r="K416" s="19" t="n">
        <x:f>IFERROR(ABS(J416/D416),0)</x:f>
        <x:v>0</x:v>
      </x:c>
    </x:row>
    <x:row r="417">
      <x:c r="A417" s="13" t="str">
        <x:v>CON-000416</x:v>
      </x:c>
      <x:c r="B417" s="23" t="n">
        <x:v>45641</x:v>
      </x:c>
      <x:c r="C417" s="13" t="str">
        <x:v>Itaú Operacional</x:v>
      </x:c>
      <x:c r="D417" s="17" t="n">
        <x:v>21814.71</x:v>
      </x:c>
      <x:c r="E417" s="17" t="n">
        <x:v>21814.71</x:v>
      </x:c>
      <x:c r="F417" s="13" t="str">
        <x:v>Conciliado</x:v>
      </x:c>
      <x:c r="G417" s="13" t="str">
        <x:v>Sem divergência</x:v>
      </x:c>
      <x:c r="H417" s="13" t="n">
        <x:v>0.28</x:v>
      </x:c>
      <x:c r="I417" s="13" t="str">
        <x:v>Crescimento sem escala</x:v>
      </x:c>
      <x:c r="J417" s="17" t="n">
        <x:f>E417-D417</x:f>
        <x:v>0</x:v>
      </x:c>
      <x:c r="K417" s="19" t="n">
        <x:f>IFERROR(ABS(J417/D417),0)</x:f>
        <x:v>0</x:v>
      </x:c>
    </x:row>
    <x:row r="418">
      <x:c r="A418" s="13" t="str">
        <x:v>CON-000417</x:v>
      </x:c>
      <x:c r="B418" s="23" t="n">
        <x:v>45644</x:v>
      </x:c>
      <x:c r="C418" s="13" t="str">
        <x:v>Itaú Operacional</x:v>
      </x:c>
      <x:c r="D418" s="17" t="n">
        <x:v>18197.35</x:v>
      </x:c>
      <x:c r="E418" s="17" t="n">
        <x:v>18197.35</x:v>
      </x:c>
      <x:c r="F418" s="13" t="str">
        <x:v>Conciliado</x:v>
      </x:c>
      <x:c r="G418" s="13" t="str">
        <x:v>Sem divergência</x:v>
      </x:c>
      <x:c r="H418" s="13" t="n">
        <x:v>0.06</x:v>
      </x:c>
      <x:c r="I418" s="13" t="str">
        <x:v>Crescimento sem escala</x:v>
      </x:c>
      <x:c r="J418" s="17" t="n">
        <x:f>E418-D418</x:f>
        <x:v>0</x:v>
      </x:c>
      <x:c r="K418" s="19" t="n">
        <x:f>IFERROR(ABS(J418/D418),0)</x:f>
        <x:v>0</x:v>
      </x:c>
    </x:row>
    <x:row r="419">
      <x:c r="A419" s="13" t="str">
        <x:v>CON-000418</x:v>
      </x:c>
      <x:c r="B419" s="23" t="n">
        <x:v>45647</x:v>
      </x:c>
      <x:c r="C419" s="13" t="str">
        <x:v>Santander Recebimentos</x:v>
      </x:c>
      <x:c r="D419" s="17" t="n">
        <x:v>40637.72</x:v>
      </x:c>
      <x:c r="E419" s="17" t="n">
        <x:v>40637.72</x:v>
      </x:c>
      <x:c r="F419" s="13" t="str">
        <x:v>Conciliado</x:v>
      </x:c>
      <x:c r="G419" s="13" t="str">
        <x:v>Sem divergência</x:v>
      </x:c>
      <x:c r="H419" s="13" t="n">
        <x:v>0.27</x:v>
      </x:c>
      <x:c r="I419" s="13" t="str">
        <x:v>Crescimento sem escala</x:v>
      </x:c>
      <x:c r="J419" s="17" t="n">
        <x:f>E419-D419</x:f>
        <x:v>0</x:v>
      </x:c>
      <x:c r="K419" s="19" t="n">
        <x:f>IFERROR(ABS(J419/D419),0)</x:f>
        <x:v>0</x:v>
      </x:c>
    </x:row>
    <x:row r="420">
      <x:c r="A420" s="13" t="str">
        <x:v>CON-000419</x:v>
      </x:c>
      <x:c r="B420" s="23" t="n">
        <x:v>45646</x:v>
      </x:c>
      <x:c r="C420" s="13" t="str">
        <x:v>Bradesco Pagamentos</x:v>
      </x:c>
      <x:c r="D420" s="17" t="n">
        <x:v>3407.16</x:v>
      </x:c>
      <x:c r="E420" s="17" t="n">
        <x:v>3407.16</x:v>
      </x:c>
      <x:c r="F420" s="13" t="str">
        <x:v>Conciliado</x:v>
      </x:c>
      <x:c r="G420" s="13" t="str">
        <x:v>Sem divergência</x:v>
      </x:c>
      <x:c r="H420" s="13" t="n">
        <x:v>0.09</x:v>
      </x:c>
      <x:c r="I420" s="13" t="str">
        <x:v>Crescimento sem escala</x:v>
      </x:c>
      <x:c r="J420" s="17" t="n">
        <x:f>E420-D420</x:f>
        <x:v>0</x:v>
      </x:c>
      <x:c r="K420" s="19" t="n">
        <x:f>IFERROR(ABS(J420/D420),0)</x:f>
        <x:v>0</x:v>
      </x:c>
    </x:row>
    <x:row r="421">
      <x:c r="A421" s="13" t="str">
        <x:v>CON-000420</x:v>
      </x:c>
      <x:c r="B421" s="23" t="n">
        <x:v>45629</x:v>
      </x:c>
      <x:c r="C421" s="13" t="str">
        <x:v>Bradesco Pagamentos</x:v>
      </x:c>
      <x:c r="D421" s="17" t="n">
        <x:v>31365.81</x:v>
      </x:c>
      <x:c r="E421" s="17" t="n">
        <x:v>31365.81</x:v>
      </x:c>
      <x:c r="F421" s="13" t="str">
        <x:v>Conciliado</x:v>
      </x:c>
      <x:c r="G421" s="13" t="str">
        <x:v>Sem divergência</x:v>
      </x:c>
      <x:c r="H421" s="13" t="n">
        <x:v>0.15</x:v>
      </x:c>
      <x:c r="I421" s="13" t="str">
        <x:v>Crescimento sem escala</x:v>
      </x:c>
      <x:c r="J421" s="17" t="n">
        <x:f>E421-D421</x:f>
        <x:v>0</x:v>
      </x:c>
      <x:c r="K421" s="19" t="n">
        <x:f>IFERROR(ABS(J421/D421),0)</x:f>
        <x:v>0</x:v>
      </x:c>
    </x:row>
    <x:row r="422">
      <x:c r="A422" s="13" t="str">
        <x:v>CON-000421</x:v>
      </x:c>
      <x:c r="B422" s="23" t="n">
        <x:v>45675</x:v>
      </x:c>
      <x:c r="C422" s="13" t="str">
        <x:v>Bradesco Pagamentos</x:v>
      </x:c>
      <x:c r="D422" s="17" t="n">
        <x:v>3600.04</x:v>
      </x:c>
      <x:c r="E422" s="17" t="n">
        <x:v>3177.47</x:v>
      </x:c>
      <x:c r="F422" s="13" t="str">
        <x:v>Resolvido</x:v>
      </x:c>
      <x:c r="G422" s="13" t="str">
        <x:v>Valor divergente</x:v>
      </x:c>
      <x:c r="H422" s="13" t="n">
        <x:v>11.59</x:v>
      </x:c>
      <x:c r="I422" s="13" t="str">
        <x:v>Pico do descontrole</x:v>
      </x:c>
      <x:c r="J422" s="17" t="n">
        <x:f>E422-D422</x:f>
        <x:v>-422.57000000000016</x:v>
      </x:c>
      <x:c r="K422" s="19" t="n">
        <x:f>IFERROR(ABS(J422/D422),0)</x:f>
        <x:v>0.11737925134165181</x:v>
      </x:c>
    </x:row>
    <x:row r="423">
      <x:c r="A423" s="13" t="str">
        <x:v>CON-000422</x:v>
      </x:c>
      <x:c r="B423" s="23" t="n">
        <x:v>45682</x:v>
      </x:c>
      <x:c r="C423" s="13" t="str">
        <x:v>Itaú Operacional</x:v>
      </x:c>
      <x:c r="D423" s="17" t="n">
        <x:v>8280.19</x:v>
      </x:c>
      <x:c r="E423" s="17" t="n">
        <x:v>8432.23</x:v>
      </x:c>
      <x:c r="F423" s="13" t="str">
        <x:v>Pendente</x:v>
      </x:c>
      <x:c r="G423" s="13" t="str">
        <x:v>Tarifa não cadastrada</x:v>
      </x:c>
      <x:c r="H423" s="13" t="n">
        <x:v>11.35</x:v>
      </x:c>
      <x:c r="I423" s="13" t="str">
        <x:v>Pico do descontrole</x:v>
      </x:c>
      <x:c r="J423" s="17" t="n">
        <x:f>E423-D423</x:f>
        <x:v>152.03999999999905</x:v>
      </x:c>
      <x:c r="K423" s="19" t="n">
        <x:f>IFERROR(ABS(J423/D423),0)</x:f>
        <x:v>0.01836189749269027</x:v>
      </x:c>
    </x:row>
    <x:row r="424">
      <x:c r="A424" s="13" t="str">
        <x:v>CON-000423</x:v>
      </x:c>
      <x:c r="B424" s="23" t="n">
        <x:v>45662</x:v>
      </x:c>
      <x:c r="C424" s="13" t="str">
        <x:v>Itaú Operacional</x:v>
      </x:c>
      <x:c r="D424" s="17" t="n">
        <x:v>1921.2</x:v>
      </x:c>
      <x:c r="E424" s="17" t="n">
        <x:v>1921.2</x:v>
      </x:c>
      <x:c r="F424" s="13" t="str">
        <x:v>Conciliado</x:v>
      </x:c>
      <x:c r="G424" s="13" t="str">
        <x:v>Sem divergência</x:v>
      </x:c>
      <x:c r="H424" s="13" t="n">
        <x:v>0.04</x:v>
      </x:c>
      <x:c r="I424" s="13" t="str">
        <x:v>Pico do descontrole</x:v>
      </x:c>
      <x:c r="J424" s="17" t="n">
        <x:f>E424-D424</x:f>
        <x:v>0</x:v>
      </x:c>
      <x:c r="K424" s="19" t="n">
        <x:f>IFERROR(ABS(J424/D424),0)</x:f>
        <x:v>0</x:v>
      </x:c>
    </x:row>
    <x:row r="425">
      <x:c r="A425" s="13" t="str">
        <x:v>CON-000424</x:v>
      </x:c>
      <x:c r="B425" s="23" t="n">
        <x:v>45678</x:v>
      </x:c>
      <x:c r="C425" s="13" t="str">
        <x:v>Itaú Operacional</x:v>
      </x:c>
      <x:c r="D425" s="17" t="n">
        <x:v>9862.99</x:v>
      </x:c>
      <x:c r="E425" s="17" t="n">
        <x:v>9862.99</x:v>
      </x:c>
      <x:c r="F425" s="13" t="str">
        <x:v>Conciliado</x:v>
      </x:c>
      <x:c r="G425" s="13" t="str">
        <x:v>Sem divergência</x:v>
      </x:c>
      <x:c r="H425" s="13" t="n">
        <x:v>0.08</x:v>
      </x:c>
      <x:c r="I425" s="13" t="str">
        <x:v>Pico do descontrole</x:v>
      </x:c>
      <x:c r="J425" s="17" t="n">
        <x:f>E425-D425</x:f>
        <x:v>0</x:v>
      </x:c>
      <x:c r="K425" s="19" t="n">
        <x:f>IFERROR(ABS(J425/D425),0)</x:f>
        <x:v>0</x:v>
      </x:c>
    </x:row>
    <x:row r="426">
      <x:c r="A426" s="13" t="str">
        <x:v>CON-000425</x:v>
      </x:c>
      <x:c r="B426" s="23" t="n">
        <x:v>45663</x:v>
      </x:c>
      <x:c r="C426" s="13" t="str">
        <x:v>Nubank Serviços</x:v>
      </x:c>
      <x:c r="D426" s="17" t="n">
        <x:v>13931.04</x:v>
      </x:c>
      <x:c r="E426" s="17" t="n">
        <x:v>13931.04</x:v>
      </x:c>
      <x:c r="F426" s="13" t="str">
        <x:v>Conciliado</x:v>
      </x:c>
      <x:c r="G426" s="13" t="str">
        <x:v>Sem divergência</x:v>
      </x:c>
      <x:c r="H426" s="13" t="n">
        <x:v>0.19</x:v>
      </x:c>
      <x:c r="I426" s="13" t="str">
        <x:v>Pico do descontrole</x:v>
      </x:c>
      <x:c r="J426" s="17" t="n">
        <x:f>E426-D426</x:f>
        <x:v>0</x:v>
      </x:c>
      <x:c r="K426" s="19" t="n">
        <x:f>IFERROR(ABS(J426/D426),0)</x:f>
        <x:v>0</x:v>
      </x:c>
    </x:row>
    <x:row r="427">
      <x:c r="A427" s="13" t="str">
        <x:v>CON-000426</x:v>
      </x:c>
      <x:c r="B427" s="23" t="n">
        <x:v>45678</x:v>
      </x:c>
      <x:c r="C427" s="13" t="str">
        <x:v>Santander Recebimentos</x:v>
      </x:c>
      <x:c r="D427" s="17" t="n">
        <x:v>4410.81</x:v>
      </x:c>
      <x:c r="E427" s="17" t="n">
        <x:v>5039.45</x:v>
      </x:c>
      <x:c r="F427" s="13" t="str">
        <x:v>Pendente</x:v>
      </x:c>
      <x:c r="G427" s="13" t="str">
        <x:v>Data de compensação</x:v>
      </x:c>
      <x:c r="H427" s="13" t="n">
        <x:v>14.93</x:v>
      </x:c>
      <x:c r="I427" s="13" t="str">
        <x:v>Pico do descontrole</x:v>
      </x:c>
      <x:c r="J427" s="17" t="n">
        <x:f>E427-D427</x:f>
        <x:v>628.6399999999994</x:v>
      </x:c>
      <x:c r="K427" s="19" t="n">
        <x:f>IFERROR(ABS(J427/D427),0)</x:f>
        <x:v>0.1425225752186105</x:v>
      </x:c>
    </x:row>
    <x:row r="428">
      <x:c r="A428" s="13" t="str">
        <x:v>CON-000427</x:v>
      </x:c>
      <x:c r="B428" s="23" t="n">
        <x:v>45683</x:v>
      </x:c>
      <x:c r="C428" s="13" t="str">
        <x:v>Nubank Serviços</x:v>
      </x:c>
      <x:c r="D428" s="17" t="n">
        <x:v>18378.95</x:v>
      </x:c>
      <x:c r="E428" s="17" t="n">
        <x:v>18378.95</x:v>
      </x:c>
      <x:c r="F428" s="13" t="str">
        <x:v>Conciliado</x:v>
      </x:c>
      <x:c r="G428" s="13" t="str">
        <x:v>Sem divergência</x:v>
      </x:c>
      <x:c r="H428" s="13" t="n">
        <x:v>0.41</x:v>
      </x:c>
      <x:c r="I428" s="13" t="str">
        <x:v>Pico do descontrole</x:v>
      </x:c>
      <x:c r="J428" s="17" t="n">
        <x:f>E428-D428</x:f>
        <x:v>0</x:v>
      </x:c>
      <x:c r="K428" s="19" t="n">
        <x:f>IFERROR(ABS(J428/D428),0)</x:f>
        <x:v>0</x:v>
      </x:c>
    </x:row>
    <x:row r="429">
      <x:c r="A429" s="13" t="str">
        <x:v>CON-000428</x:v>
      </x:c>
      <x:c r="B429" s="23" t="n">
        <x:v>45666</x:v>
      </x:c>
      <x:c r="C429" s="13" t="str">
        <x:v>Nubank Serviços</x:v>
      </x:c>
      <x:c r="D429" s="17" t="n">
        <x:v>35766.44</x:v>
      </x:c>
      <x:c r="E429" s="17" t="n">
        <x:v>35766.44</x:v>
      </x:c>
      <x:c r="F429" s="13" t="str">
        <x:v>Conciliado</x:v>
      </x:c>
      <x:c r="G429" s="13" t="str">
        <x:v>Sem divergência</x:v>
      </x:c>
      <x:c r="H429" s="13" t="n">
        <x:v>0.09</x:v>
      </x:c>
      <x:c r="I429" s="13" t="str">
        <x:v>Pico do descontrole</x:v>
      </x:c>
      <x:c r="J429" s="17" t="n">
        <x:f>E429-D429</x:f>
        <x:v>0</x:v>
      </x:c>
      <x:c r="K429" s="19" t="n">
        <x:f>IFERROR(ABS(J429/D429),0)</x:f>
        <x:v>0</x:v>
      </x:c>
    </x:row>
    <x:row r="430">
      <x:c r="A430" s="13" t="str">
        <x:v>CON-000429</x:v>
      </x:c>
      <x:c r="B430" s="23" t="n">
        <x:v>45663</x:v>
      </x:c>
      <x:c r="C430" s="13" t="str">
        <x:v>Itaú Operacional</x:v>
      </x:c>
      <x:c r="D430" s="17" t="n">
        <x:v>3874.31</x:v>
      </x:c>
      <x:c r="E430" s="17" t="n">
        <x:v>3874.31</x:v>
      </x:c>
      <x:c r="F430" s="13" t="str">
        <x:v>Conciliado</x:v>
      </x:c>
      <x:c r="G430" s="13" t="str">
        <x:v>Sem divergência</x:v>
      </x:c>
      <x:c r="H430" s="13" t="n">
        <x:v>0.43</x:v>
      </x:c>
      <x:c r="I430" s="13" t="str">
        <x:v>Pico do descontrole</x:v>
      </x:c>
      <x:c r="J430" s="17" t="n">
        <x:f>E430-D430</x:f>
        <x:v>0</x:v>
      </x:c>
      <x:c r="K430" s="19" t="n">
        <x:f>IFERROR(ABS(J430/D430),0)</x:f>
        <x:v>0</x:v>
      </x:c>
    </x:row>
    <x:row r="431">
      <x:c r="A431" s="13" t="str">
        <x:v>CON-000430</x:v>
      </x:c>
      <x:c r="B431" s="23" t="n">
        <x:v>45660</x:v>
      </x:c>
      <x:c r="C431" s="13" t="str">
        <x:v>Santander Recebimentos</x:v>
      </x:c>
      <x:c r="D431" s="17" t="n">
        <x:v>41063.22</x:v>
      </x:c>
      <x:c r="E431" s="17" t="n">
        <x:v>41063.22</x:v>
      </x:c>
      <x:c r="F431" s="13" t="str">
        <x:v>Conciliado</x:v>
      </x:c>
      <x:c r="G431" s="13" t="str">
        <x:v>Sem divergência</x:v>
      </x:c>
      <x:c r="H431" s="13" t="n">
        <x:v>0.24</x:v>
      </x:c>
      <x:c r="I431" s="13" t="str">
        <x:v>Pico do descontrole</x:v>
      </x:c>
      <x:c r="J431" s="17" t="n">
        <x:f>E431-D431</x:f>
        <x:v>0</x:v>
      </x:c>
      <x:c r="K431" s="19" t="n">
        <x:f>IFERROR(ABS(J431/D431),0)</x:f>
        <x:v>0</x:v>
      </x:c>
    </x:row>
    <x:row r="432">
      <x:c r="A432" s="13" t="str">
        <x:v>CON-000431</x:v>
      </x:c>
      <x:c r="B432" s="23" t="n">
        <x:v>45667</x:v>
      </x:c>
      <x:c r="C432" s="13" t="str">
        <x:v>Bradesco Pagamentos</x:v>
      </x:c>
      <x:c r="D432" s="17" t="n">
        <x:v>41316.66</x:v>
      </x:c>
      <x:c r="E432" s="17" t="n">
        <x:v>41316.66</x:v>
      </x:c>
      <x:c r="F432" s="13" t="str">
        <x:v>Conciliado</x:v>
      </x:c>
      <x:c r="G432" s="13" t="str">
        <x:v>Sem divergência</x:v>
      </x:c>
      <x:c r="H432" s="13" t="n">
        <x:v>0.2</x:v>
      </x:c>
      <x:c r="I432" s="13" t="str">
        <x:v>Pico do descontrole</x:v>
      </x:c>
      <x:c r="J432" s="17" t="n">
        <x:f>E432-D432</x:f>
        <x:v>0</x:v>
      </x:c>
      <x:c r="K432" s="19" t="n">
        <x:f>IFERROR(ABS(J432/D432),0)</x:f>
        <x:v>0</x:v>
      </x:c>
    </x:row>
    <x:row r="433">
      <x:c r="A433" s="13" t="str">
        <x:v>CON-000432</x:v>
      </x:c>
      <x:c r="B433" s="23" t="n">
        <x:v>45670</x:v>
      </x:c>
      <x:c r="C433" s="13" t="str">
        <x:v>Santander Recebimentos</x:v>
      </x:c>
      <x:c r="D433" s="17" t="n">
        <x:v>33323.09</x:v>
      </x:c>
      <x:c r="E433" s="17" t="n">
        <x:v>33323.09</x:v>
      </x:c>
      <x:c r="F433" s="13" t="str">
        <x:v>Conciliado</x:v>
      </x:c>
      <x:c r="G433" s="13" t="str">
        <x:v>Sem divergência</x:v>
      </x:c>
      <x:c r="H433" s="13" t="n">
        <x:v>0.06</x:v>
      </x:c>
      <x:c r="I433" s="13" t="str">
        <x:v>Pico do descontrole</x:v>
      </x:c>
      <x:c r="J433" s="17" t="n">
        <x:f>E433-D433</x:f>
        <x:v>0</x:v>
      </x:c>
      <x:c r="K433" s="19" t="n">
        <x:f>IFERROR(ABS(J433/D433),0)</x:f>
        <x:v>0</x:v>
      </x:c>
    </x:row>
    <x:row r="434">
      <x:c r="A434" s="13" t="str">
        <x:v>CON-000433</x:v>
      </x:c>
      <x:c r="B434" s="23" t="n">
        <x:v>45660</x:v>
      </x:c>
      <x:c r="C434" s="13" t="str">
        <x:v>Nubank Serviços</x:v>
      </x:c>
      <x:c r="D434" s="17" t="n">
        <x:v>40986.43</x:v>
      </x:c>
      <x:c r="E434" s="17" t="n">
        <x:v>40986.43</x:v>
      </x:c>
      <x:c r="F434" s="13" t="str">
        <x:v>Conciliado</x:v>
      </x:c>
      <x:c r="G434" s="13" t="str">
        <x:v>Sem divergência</x:v>
      </x:c>
      <x:c r="H434" s="13" t="n">
        <x:v>0.03</x:v>
      </x:c>
      <x:c r="I434" s="13" t="str">
        <x:v>Pico do descontrole</x:v>
      </x:c>
      <x:c r="J434" s="17" t="n">
        <x:f>E434-D434</x:f>
        <x:v>0</x:v>
      </x:c>
      <x:c r="K434" s="19" t="n">
        <x:f>IFERROR(ABS(J434/D434),0)</x:f>
        <x:v>0</x:v>
      </x:c>
    </x:row>
    <x:row r="435">
      <x:c r="A435" s="13" t="str">
        <x:v>CON-000434</x:v>
      </x:c>
      <x:c r="B435" s="23" t="n">
        <x:v>45663</x:v>
      </x:c>
      <x:c r="C435" s="13" t="str">
        <x:v>Itaú Operacional</x:v>
      </x:c>
      <x:c r="D435" s="17" t="n">
        <x:v>31021.04</x:v>
      </x:c>
      <x:c r="E435" s="17" t="n">
        <x:v>31021.04</x:v>
      </x:c>
      <x:c r="F435" s="13" t="str">
        <x:v>Conciliado</x:v>
      </x:c>
      <x:c r="G435" s="13" t="str">
        <x:v>Sem divergência</x:v>
      </x:c>
      <x:c r="H435" s="13" t="n">
        <x:v>0.17</x:v>
      </x:c>
      <x:c r="I435" s="13" t="str">
        <x:v>Pico do descontrole</x:v>
      </x:c>
      <x:c r="J435" s="17" t="n">
        <x:f>E435-D435</x:f>
        <x:v>0</x:v>
      </x:c>
      <x:c r="K435" s="19" t="n">
        <x:f>IFERROR(ABS(J435/D435),0)</x:f>
        <x:v>0</x:v>
      </x:c>
    </x:row>
    <x:row r="436">
      <x:c r="A436" s="13" t="str">
        <x:v>CON-000435</x:v>
      </x:c>
      <x:c r="B436" s="23" t="n">
        <x:v>45659</x:v>
      </x:c>
      <x:c r="C436" s="13" t="str">
        <x:v>Santander Recebimentos</x:v>
      </x:c>
      <x:c r="D436" s="17" t="n">
        <x:v>14642.28</x:v>
      </x:c>
      <x:c r="E436" s="17" t="n">
        <x:v>14642.28</x:v>
      </x:c>
      <x:c r="F436" s="13" t="str">
        <x:v>Conciliado</x:v>
      </x:c>
      <x:c r="G436" s="13" t="str">
        <x:v>Sem divergência</x:v>
      </x:c>
      <x:c r="H436" s="13" t="n">
        <x:v>0.05</x:v>
      </x:c>
      <x:c r="I436" s="13" t="str">
        <x:v>Pico do descontrole</x:v>
      </x:c>
      <x:c r="J436" s="17" t="n">
        <x:f>E436-D436</x:f>
        <x:v>0</x:v>
      </x:c>
      <x:c r="K436" s="19" t="n">
        <x:f>IFERROR(ABS(J436/D436),0)</x:f>
        <x:v>0</x:v>
      </x:c>
    </x:row>
    <x:row r="437">
      <x:c r="A437" s="13" t="str">
        <x:v>CON-000436</x:v>
      </x:c>
      <x:c r="B437" s="23" t="n">
        <x:v>45658</x:v>
      </x:c>
      <x:c r="C437" s="13" t="str">
        <x:v>Itaú Operacional</x:v>
      </x:c>
      <x:c r="D437" s="17" t="n">
        <x:v>27526.51</x:v>
      </x:c>
      <x:c r="E437" s="17" t="n">
        <x:v>27526.51</x:v>
      </x:c>
      <x:c r="F437" s="13" t="str">
        <x:v>Conciliado</x:v>
      </x:c>
      <x:c r="G437" s="13" t="str">
        <x:v>Sem divergência</x:v>
      </x:c>
      <x:c r="H437" s="13" t="n">
        <x:v>0.23</x:v>
      </x:c>
      <x:c r="I437" s="13" t="str">
        <x:v>Pico do descontrole</x:v>
      </x:c>
      <x:c r="J437" s="17" t="n">
        <x:f>E437-D437</x:f>
        <x:v>0</x:v>
      </x:c>
      <x:c r="K437" s="19" t="n">
        <x:f>IFERROR(ABS(J437/D437),0)</x:f>
        <x:v>0</x:v>
      </x:c>
    </x:row>
    <x:row r="438">
      <x:c r="A438" s="13" t="str">
        <x:v>CON-000437</x:v>
      </x:c>
      <x:c r="B438" s="23" t="n">
        <x:v>45661</x:v>
      </x:c>
      <x:c r="C438" s="13" t="str">
        <x:v>Santander Recebimentos</x:v>
      </x:c>
      <x:c r="D438" s="17" t="n">
        <x:v>18597.68</x:v>
      </x:c>
      <x:c r="E438" s="17" t="n">
        <x:v>18597.68</x:v>
      </x:c>
      <x:c r="F438" s="13" t="str">
        <x:v>Conciliado</x:v>
      </x:c>
      <x:c r="G438" s="13" t="str">
        <x:v>Sem divergência</x:v>
      </x:c>
      <x:c r="H438" s="13" t="n">
        <x:v>0.26</x:v>
      </x:c>
      <x:c r="I438" s="13" t="str">
        <x:v>Pico do descontrole</x:v>
      </x:c>
      <x:c r="J438" s="17" t="n">
        <x:f>E438-D438</x:f>
        <x:v>0</x:v>
      </x:c>
      <x:c r="K438" s="19" t="n">
        <x:f>IFERROR(ABS(J438/D438),0)</x:f>
        <x:v>0</x:v>
      </x:c>
    </x:row>
    <x:row r="439">
      <x:c r="A439" s="13" t="str">
        <x:v>CON-000438</x:v>
      </x:c>
      <x:c r="B439" s="23" t="n">
        <x:v>45681</x:v>
      </x:c>
      <x:c r="C439" s="13" t="str">
        <x:v>Santander Recebimentos</x:v>
      </x:c>
      <x:c r="D439" s="17" t="n">
        <x:v>13419.01</x:v>
      </x:c>
      <x:c r="E439" s="17" t="n">
        <x:v>14157.52</x:v>
      </x:c>
      <x:c r="F439" s="13" t="str">
        <x:v>Pendente</x:v>
      </x:c>
      <x:c r="G439" s="13" t="str">
        <x:v>Lançamento sem documento</x:v>
      </x:c>
      <x:c r="H439" s="13" t="n">
        <x:v>13.96</x:v>
      </x:c>
      <x:c r="I439" s="13" t="str">
        <x:v>Pico do descontrole</x:v>
      </x:c>
      <x:c r="J439" s="17" t="n">
        <x:f>E439-D439</x:f>
        <x:v>738.5100000000002</x:v>
      </x:c>
      <x:c r="K439" s="19" t="n">
        <x:f>IFERROR(ABS(J439/D439),0)</x:f>
        <x:v>0.05503461134614254</x:v>
      </x:c>
    </x:row>
    <x:row r="440">
      <x:c r="A440" s="13" t="str">
        <x:v>CON-000439</x:v>
      </x:c>
      <x:c r="B440" s="23" t="n">
        <x:v>45674</x:v>
      </x:c>
      <x:c r="C440" s="13" t="str">
        <x:v>Itaú Operacional</x:v>
      </x:c>
      <x:c r="D440" s="17" t="n">
        <x:v>18181.97</x:v>
      </x:c>
      <x:c r="E440" s="17" t="n">
        <x:v>18181.97</x:v>
      </x:c>
      <x:c r="F440" s="13" t="str">
        <x:v>Conciliado</x:v>
      </x:c>
      <x:c r="G440" s="13" t="str">
        <x:v>Sem divergência</x:v>
      </x:c>
      <x:c r="H440" s="13" t="n">
        <x:v>0.33</x:v>
      </x:c>
      <x:c r="I440" s="13" t="str">
        <x:v>Pico do descontrole</x:v>
      </x:c>
      <x:c r="J440" s="17" t="n">
        <x:f>E440-D440</x:f>
        <x:v>0</x:v>
      </x:c>
      <x:c r="K440" s="19" t="n">
        <x:f>IFERROR(ABS(J440/D440),0)</x:f>
        <x:v>0</x:v>
      </x:c>
    </x:row>
    <x:row r="441">
      <x:c r="A441" s="13" t="str">
        <x:v>CON-000440</x:v>
      </x:c>
      <x:c r="B441" s="23" t="n">
        <x:v>45681</x:v>
      </x:c>
      <x:c r="C441" s="13" t="str">
        <x:v>Itaú Operacional</x:v>
      </x:c>
      <x:c r="D441" s="17" t="n">
        <x:v>34622.54</x:v>
      </x:c>
      <x:c r="E441" s="17" t="n">
        <x:v>34622.54</x:v>
      </x:c>
      <x:c r="F441" s="13" t="str">
        <x:v>Conciliado</x:v>
      </x:c>
      <x:c r="G441" s="13" t="str">
        <x:v>Sem divergência</x:v>
      </x:c>
      <x:c r="H441" s="13" t="n">
        <x:v>0.12</x:v>
      </x:c>
      <x:c r="I441" s="13" t="str">
        <x:v>Pico do descontrole</x:v>
      </x:c>
      <x:c r="J441" s="17" t="n">
        <x:f>E441-D441</x:f>
        <x:v>0</x:v>
      </x:c>
      <x:c r="K441" s="19" t="n">
        <x:f>IFERROR(ABS(J441/D441),0)</x:f>
        <x:v>0</x:v>
      </x:c>
    </x:row>
    <x:row r="442">
      <x:c r="A442" s="13" t="str">
        <x:v>CON-000441</x:v>
      </x:c>
      <x:c r="B442" s="23" t="n">
        <x:v>45662</x:v>
      </x:c>
      <x:c r="C442" s="13" t="str">
        <x:v>Itaú Operacional</x:v>
      </x:c>
      <x:c r="D442" s="17" t="n">
        <x:v>40257.14</x:v>
      </x:c>
      <x:c r="E442" s="17" t="n">
        <x:v>40257.14</x:v>
      </x:c>
      <x:c r="F442" s="13" t="str">
        <x:v>Conciliado</x:v>
      </x:c>
      <x:c r="G442" s="13" t="str">
        <x:v>Sem divergência</x:v>
      </x:c>
      <x:c r="H442" s="13" t="n">
        <x:v>0.3</x:v>
      </x:c>
      <x:c r="I442" s="13" t="str">
        <x:v>Pico do descontrole</x:v>
      </x:c>
      <x:c r="J442" s="17" t="n">
        <x:f>E442-D442</x:f>
        <x:v>0</x:v>
      </x:c>
      <x:c r="K442" s="19" t="n">
        <x:f>IFERROR(ABS(J442/D442),0)</x:f>
        <x:v>0</x:v>
      </x:c>
    </x:row>
    <x:row r="443">
      <x:c r="A443" s="13" t="str">
        <x:v>CON-000442</x:v>
      </x:c>
      <x:c r="B443" s="23" t="n">
        <x:v>45662</x:v>
      </x:c>
      <x:c r="C443" s="13" t="str">
        <x:v>Itaú Operacional</x:v>
      </x:c>
      <x:c r="D443" s="17" t="n">
        <x:v>42500.19</x:v>
      </x:c>
      <x:c r="E443" s="17" t="n">
        <x:v>42500.19</x:v>
      </x:c>
      <x:c r="F443" s="13" t="str">
        <x:v>Conciliado</x:v>
      </x:c>
      <x:c r="G443" s="13" t="str">
        <x:v>Sem divergência</x:v>
      </x:c>
      <x:c r="H443" s="13" t="n">
        <x:v>0.39</x:v>
      </x:c>
      <x:c r="I443" s="13" t="str">
        <x:v>Pico do descontrole</x:v>
      </x:c>
      <x:c r="J443" s="17" t="n">
        <x:f>E443-D443</x:f>
        <x:v>0</x:v>
      </x:c>
      <x:c r="K443" s="19" t="n">
        <x:f>IFERROR(ABS(J443/D443),0)</x:f>
        <x:v>0</x:v>
      </x:c>
    </x:row>
    <x:row r="444">
      <x:c r="A444" s="13" t="str">
        <x:v>CON-000443</x:v>
      </x:c>
      <x:c r="B444" s="23" t="n">
        <x:v>45662</x:v>
      </x:c>
      <x:c r="C444" s="13" t="str">
        <x:v>Nubank Serviços</x:v>
      </x:c>
      <x:c r="D444" s="17" t="n">
        <x:v>40314.17</x:v>
      </x:c>
      <x:c r="E444" s="17" t="n">
        <x:v>40314.17</x:v>
      </x:c>
      <x:c r="F444" s="13" t="str">
        <x:v>Conciliado</x:v>
      </x:c>
      <x:c r="G444" s="13" t="str">
        <x:v>Sem divergência</x:v>
      </x:c>
      <x:c r="H444" s="13" t="n">
        <x:v>0.05</x:v>
      </x:c>
      <x:c r="I444" s="13" t="str">
        <x:v>Pico do descontrole</x:v>
      </x:c>
      <x:c r="J444" s="17" t="n">
        <x:f>E444-D444</x:f>
        <x:v>0</x:v>
      </x:c>
      <x:c r="K444" s="19" t="n">
        <x:f>IFERROR(ABS(J444/D444),0)</x:f>
        <x:v>0</x:v>
      </x:c>
    </x:row>
    <x:row r="445">
      <x:c r="A445" s="13" t="str">
        <x:v>CON-000444</x:v>
      </x:c>
      <x:c r="B445" s="23" t="n">
        <x:v>45661</x:v>
      </x:c>
      <x:c r="C445" s="13" t="str">
        <x:v>Nubank Serviços</x:v>
      </x:c>
      <x:c r="D445" s="17" t="n">
        <x:v>44153.8</x:v>
      </x:c>
      <x:c r="E445" s="17" t="n">
        <x:v>44153.8</x:v>
      </x:c>
      <x:c r="F445" s="13" t="str">
        <x:v>Conciliado</x:v>
      </x:c>
      <x:c r="G445" s="13" t="str">
        <x:v>Sem divergência</x:v>
      </x:c>
      <x:c r="H445" s="13" t="n">
        <x:v>0.32</x:v>
      </x:c>
      <x:c r="I445" s="13" t="str">
        <x:v>Pico do descontrole</x:v>
      </x:c>
      <x:c r="J445" s="17" t="n">
        <x:f>E445-D445</x:f>
        <x:v>0</x:v>
      </x:c>
      <x:c r="K445" s="19" t="n">
        <x:f>IFERROR(ABS(J445/D445),0)</x:f>
        <x:v>0</x:v>
      </x:c>
    </x:row>
    <x:row r="446">
      <x:c r="A446" s="13" t="str">
        <x:v>CON-000445</x:v>
      </x:c>
      <x:c r="B446" s="23" t="n">
        <x:v>45677</x:v>
      </x:c>
      <x:c r="C446" s="13" t="str">
        <x:v>Bradesco Pagamentos</x:v>
      </x:c>
      <x:c r="D446" s="17" t="n">
        <x:v>44610.02</x:v>
      </x:c>
      <x:c r="E446" s="17" t="n">
        <x:v>44004.92</x:v>
      </x:c>
      <x:c r="F446" s="13" t="str">
        <x:v>Resolvido</x:v>
      </x:c>
      <x:c r="G446" s="13" t="str">
        <x:v>Baixa incorreta</x:v>
      </x:c>
      <x:c r="H446" s="13" t="n">
        <x:v>12.96</x:v>
      </x:c>
      <x:c r="I446" s="13" t="str">
        <x:v>Pico do descontrole</x:v>
      </x:c>
      <x:c r="J446" s="17" t="n">
        <x:f>E446-D446</x:f>
        <x:v>-605.0999999999985</x:v>
      </x:c>
      <x:c r="K446" s="19" t="n">
        <x:f>IFERROR(ABS(J446/D446),0)</x:f>
        <x:v>0.01356421718708036</x:v>
      </x:c>
    </x:row>
    <x:row r="447">
      <x:c r="A447" s="13" t="str">
        <x:v>CON-000446</x:v>
      </x:c>
      <x:c r="B447" s="23" t="n">
        <x:v>45664</x:v>
      </x:c>
      <x:c r="C447" s="13" t="str">
        <x:v>Santander Recebimentos</x:v>
      </x:c>
      <x:c r="D447" s="17" t="n">
        <x:v>27433.84</x:v>
      </x:c>
      <x:c r="E447" s="17" t="n">
        <x:v>27433.84</x:v>
      </x:c>
      <x:c r="F447" s="13" t="str">
        <x:v>Conciliado</x:v>
      </x:c>
      <x:c r="G447" s="13" t="str">
        <x:v>Sem divergência</x:v>
      </x:c>
      <x:c r="H447" s="13" t="n">
        <x:v>0.33</x:v>
      </x:c>
      <x:c r="I447" s="13" t="str">
        <x:v>Pico do descontrole</x:v>
      </x:c>
      <x:c r="J447" s="17" t="n">
        <x:f>E447-D447</x:f>
        <x:v>0</x:v>
      </x:c>
      <x:c r="K447" s="19" t="n">
        <x:f>IFERROR(ABS(J447/D447),0)</x:f>
        <x:v>0</x:v>
      </x:c>
    </x:row>
    <x:row r="448">
      <x:c r="A448" s="13" t="str">
        <x:v>CON-000447</x:v>
      </x:c>
      <x:c r="B448" s="23" t="n">
        <x:v>45675</x:v>
      </x:c>
      <x:c r="C448" s="13" t="str">
        <x:v>Itaú Operacional</x:v>
      </x:c>
      <x:c r="D448" s="17" t="n">
        <x:v>30368.18</x:v>
      </x:c>
      <x:c r="E448" s="17" t="n">
        <x:v>30368.18</x:v>
      </x:c>
      <x:c r="F448" s="13" t="str">
        <x:v>Conciliado</x:v>
      </x:c>
      <x:c r="G448" s="13" t="str">
        <x:v>Sem divergência</x:v>
      </x:c>
      <x:c r="H448" s="13" t="n">
        <x:v>0.05</x:v>
      </x:c>
      <x:c r="I448" s="13" t="str">
        <x:v>Pico do descontrole</x:v>
      </x:c>
      <x:c r="J448" s="17" t="n">
        <x:f>E448-D448</x:f>
        <x:v>0</x:v>
      </x:c>
      <x:c r="K448" s="19" t="n">
        <x:f>IFERROR(ABS(J448/D448),0)</x:f>
        <x:v>0</x:v>
      </x:c>
    </x:row>
    <x:row r="449">
      <x:c r="A449" s="13" t="str">
        <x:v>CON-000448</x:v>
      </x:c>
      <x:c r="B449" s="23" t="n">
        <x:v>45668</x:v>
      </x:c>
      <x:c r="C449" s="13" t="str">
        <x:v>Santander Recebimentos</x:v>
      </x:c>
      <x:c r="D449" s="17" t="n">
        <x:v>43326.99</x:v>
      </x:c>
      <x:c r="E449" s="17" t="n">
        <x:v>43326.99</x:v>
      </x:c>
      <x:c r="F449" s="13" t="str">
        <x:v>Conciliado</x:v>
      </x:c>
      <x:c r="G449" s="13" t="str">
        <x:v>Sem divergência</x:v>
      </x:c>
      <x:c r="H449" s="13" t="n">
        <x:v>0.15</x:v>
      </x:c>
      <x:c r="I449" s="13" t="str">
        <x:v>Pico do descontrole</x:v>
      </x:c>
      <x:c r="J449" s="17" t="n">
        <x:f>E449-D449</x:f>
        <x:v>0</x:v>
      </x:c>
      <x:c r="K449" s="19" t="n">
        <x:f>IFERROR(ABS(J449/D449),0)</x:f>
        <x:v>0</x:v>
      </x:c>
    </x:row>
    <x:row r="450">
      <x:c r="A450" s="13" t="str">
        <x:v>CON-000449</x:v>
      </x:c>
      <x:c r="B450" s="23" t="n">
        <x:v>45683</x:v>
      </x:c>
      <x:c r="C450" s="13" t="str">
        <x:v>Itaú Operacional</x:v>
      </x:c>
      <x:c r="D450" s="17" t="n">
        <x:v>41782.75</x:v>
      </x:c>
      <x:c r="E450" s="17" t="n">
        <x:v>41782.75</x:v>
      </x:c>
      <x:c r="F450" s="13" t="str">
        <x:v>Conciliado</x:v>
      </x:c>
      <x:c r="G450" s="13" t="str">
        <x:v>Sem divergência</x:v>
      </x:c>
      <x:c r="H450" s="13" t="n">
        <x:v>0.1</x:v>
      </x:c>
      <x:c r="I450" s="13" t="str">
        <x:v>Pico do descontrole</x:v>
      </x:c>
      <x:c r="J450" s="17" t="n">
        <x:f>E450-D450</x:f>
        <x:v>0</x:v>
      </x:c>
      <x:c r="K450" s="19" t="n">
        <x:f>IFERROR(ABS(J450/D450),0)</x:f>
        <x:v>0</x:v>
      </x:c>
    </x:row>
    <x:row r="451">
      <x:c r="A451" s="13" t="str">
        <x:v>CON-000450</x:v>
      </x:c>
      <x:c r="B451" s="23" t="n">
        <x:v>45668</x:v>
      </x:c>
      <x:c r="C451" s="13" t="str">
        <x:v>Nubank Serviços</x:v>
      </x:c>
      <x:c r="D451" s="17" t="n">
        <x:v>22186.85</x:v>
      </x:c>
      <x:c r="E451" s="17" t="n">
        <x:v>22186.85</x:v>
      </x:c>
      <x:c r="F451" s="13" t="str">
        <x:v>Conciliado</x:v>
      </x:c>
      <x:c r="G451" s="13" t="str">
        <x:v>Sem divergência</x:v>
      </x:c>
      <x:c r="H451" s="13" t="n">
        <x:v>0.21</x:v>
      </x:c>
      <x:c r="I451" s="13" t="str">
        <x:v>Pico do descontrole</x:v>
      </x:c>
      <x:c r="J451" s="17" t="n">
        <x:f>E451-D451</x:f>
        <x:v>0</x:v>
      </x:c>
      <x:c r="K451" s="19" t="n">
        <x:f>IFERROR(ABS(J451/D451),0)</x:f>
        <x:v>0</x:v>
      </x:c>
    </x:row>
    <x:row r="452">
      <x:c r="A452" s="13" t="str">
        <x:v>CON-000451</x:v>
      </x:c>
      <x:c r="B452" s="23" t="n">
        <x:v>45668</x:v>
      </x:c>
      <x:c r="C452" s="13" t="str">
        <x:v>Bradesco Pagamentos</x:v>
      </x:c>
      <x:c r="D452" s="17" t="n">
        <x:v>42737.72</x:v>
      </x:c>
      <x:c r="E452" s="17" t="n">
        <x:v>42737.72</x:v>
      </x:c>
      <x:c r="F452" s="13" t="str">
        <x:v>Conciliado</x:v>
      </x:c>
      <x:c r="G452" s="13" t="str">
        <x:v>Sem divergência</x:v>
      </x:c>
      <x:c r="H452" s="13" t="n">
        <x:v>0.43</x:v>
      </x:c>
      <x:c r="I452" s="13" t="str">
        <x:v>Pico do descontrole</x:v>
      </x:c>
      <x:c r="J452" s="17" t="n">
        <x:f>E452-D452</x:f>
        <x:v>0</x:v>
      </x:c>
      <x:c r="K452" s="19" t="n">
        <x:f>IFERROR(ABS(J452/D452),0)</x:f>
        <x:v>0</x:v>
      </x:c>
    </x:row>
    <x:row r="453">
      <x:c r="A453" s="13" t="str">
        <x:v>CON-000452</x:v>
      </x:c>
      <x:c r="B453" s="23" t="n">
        <x:v>45665</x:v>
      </x:c>
      <x:c r="C453" s="13" t="str">
        <x:v>Nubank Serviços</x:v>
      </x:c>
      <x:c r="D453" s="17" t="n">
        <x:v>12947.57</x:v>
      </x:c>
      <x:c r="E453" s="17" t="n">
        <x:v>12947.57</x:v>
      </x:c>
      <x:c r="F453" s="13" t="str">
        <x:v>Conciliado</x:v>
      </x:c>
      <x:c r="G453" s="13" t="str">
        <x:v>Sem divergência</x:v>
      </x:c>
      <x:c r="H453" s="13" t="n">
        <x:v>0.12</x:v>
      </x:c>
      <x:c r="I453" s="13" t="str">
        <x:v>Pico do descontrole</x:v>
      </x:c>
      <x:c r="J453" s="17" t="n">
        <x:f>E453-D453</x:f>
        <x:v>0</x:v>
      </x:c>
      <x:c r="K453" s="19" t="n">
        <x:f>IFERROR(ABS(J453/D453),0)</x:f>
        <x:v>0</x:v>
      </x:c>
    </x:row>
    <x:row r="454">
      <x:c r="A454" s="13" t="str">
        <x:v>CON-000453</x:v>
      </x:c>
      <x:c r="B454" s="23" t="n">
        <x:v>45683</x:v>
      </x:c>
      <x:c r="C454" s="13" t="str">
        <x:v>Santander Recebimentos</x:v>
      </x:c>
      <x:c r="D454" s="17" t="n">
        <x:v>27948.9</x:v>
      </x:c>
      <x:c r="E454" s="17" t="n">
        <x:v>27948.9</x:v>
      </x:c>
      <x:c r="F454" s="13" t="str">
        <x:v>Conciliado</x:v>
      </x:c>
      <x:c r="G454" s="13" t="str">
        <x:v>Sem divergência</x:v>
      </x:c>
      <x:c r="H454" s="13" t="n">
        <x:v>0.12</x:v>
      </x:c>
      <x:c r="I454" s="13" t="str">
        <x:v>Pico do descontrole</x:v>
      </x:c>
      <x:c r="J454" s="17" t="n">
        <x:f>E454-D454</x:f>
        <x:v>0</x:v>
      </x:c>
      <x:c r="K454" s="19" t="n">
        <x:f>IFERROR(ABS(J454/D454),0)</x:f>
        <x:v>0</x:v>
      </x:c>
    </x:row>
    <x:row r="455">
      <x:c r="A455" s="13" t="str">
        <x:v>CON-000454</x:v>
      </x:c>
      <x:c r="B455" s="23" t="n">
        <x:v>45680</x:v>
      </x:c>
      <x:c r="C455" s="13" t="str">
        <x:v>Bradesco Pagamentos</x:v>
      </x:c>
      <x:c r="D455" s="17" t="n">
        <x:v>25640.99</x:v>
      </x:c>
      <x:c r="E455" s="17" t="n">
        <x:v>25640.99</x:v>
      </x:c>
      <x:c r="F455" s="13" t="str">
        <x:v>Conciliado</x:v>
      </x:c>
      <x:c r="G455" s="13" t="str">
        <x:v>Sem divergência</x:v>
      </x:c>
      <x:c r="H455" s="13" t="n">
        <x:v>0.06</x:v>
      </x:c>
      <x:c r="I455" s="13" t="str">
        <x:v>Pico do descontrole</x:v>
      </x:c>
      <x:c r="J455" s="17" t="n">
        <x:f>E455-D455</x:f>
        <x:v>0</x:v>
      </x:c>
      <x:c r="K455" s="19" t="n">
        <x:f>IFERROR(ABS(J455/D455),0)</x:f>
        <x:v>0</x:v>
      </x:c>
    </x:row>
    <x:row r="456">
      <x:c r="A456" s="13" t="str">
        <x:v>CON-000455</x:v>
      </x:c>
      <x:c r="B456" s="23" t="n">
        <x:v>45668</x:v>
      </x:c>
      <x:c r="C456" s="13" t="str">
        <x:v>Bradesco Pagamentos</x:v>
      </x:c>
      <x:c r="D456" s="17" t="n">
        <x:v>896.62</x:v>
      </x:c>
      <x:c r="E456" s="17" t="n">
        <x:v>896.62</x:v>
      </x:c>
      <x:c r="F456" s="13" t="str">
        <x:v>Conciliado</x:v>
      </x:c>
      <x:c r="G456" s="13" t="str">
        <x:v>Sem divergência</x:v>
      </x:c>
      <x:c r="H456" s="13" t="n">
        <x:v>0.14</x:v>
      </x:c>
      <x:c r="I456" s="13" t="str">
        <x:v>Pico do descontrole</x:v>
      </x:c>
      <x:c r="J456" s="17" t="n">
        <x:f>E456-D456</x:f>
        <x:v>0</x:v>
      </x:c>
      <x:c r="K456" s="19" t="n">
        <x:f>IFERROR(ABS(J456/D456),0)</x:f>
        <x:v>0</x:v>
      </x:c>
    </x:row>
    <x:row r="457">
      <x:c r="A457" s="13" t="str">
        <x:v>CON-000456</x:v>
      </x:c>
      <x:c r="B457" s="23" t="n">
        <x:v>45690</x:v>
      </x:c>
      <x:c r="C457" s="13" t="str">
        <x:v>Nubank Serviços</x:v>
      </x:c>
      <x:c r="D457" s="17" t="n">
        <x:v>15576.82</x:v>
      </x:c>
      <x:c r="E457" s="17" t="n">
        <x:v>15576.82</x:v>
      </x:c>
      <x:c r="F457" s="13" t="str">
        <x:v>Conciliado</x:v>
      </x:c>
      <x:c r="G457" s="13" t="str">
        <x:v>Sem divergência</x:v>
      </x:c>
      <x:c r="H457" s="13" t="n">
        <x:v>0.32</x:v>
      </x:c>
      <x:c r="I457" s="13" t="str">
        <x:v>Pico do descontrole</x:v>
      </x:c>
      <x:c r="J457" s="17" t="n">
        <x:f>E457-D457</x:f>
        <x:v>0</x:v>
      </x:c>
      <x:c r="K457" s="19" t="n">
        <x:f>IFERROR(ABS(J457/D457),0)</x:f>
        <x:v>0</x:v>
      </x:c>
    </x:row>
    <x:row r="458">
      <x:c r="A458" s="13" t="str">
        <x:v>CON-000457</x:v>
      </x:c>
      <x:c r="B458" s="23" t="n">
        <x:v>45697</x:v>
      </x:c>
      <x:c r="C458" s="13" t="str">
        <x:v>Santander Recebimentos</x:v>
      </x:c>
      <x:c r="D458" s="17" t="n">
        <x:v>35610.16</x:v>
      </x:c>
      <x:c r="E458" s="17" t="n">
        <x:v>36094.3</x:v>
      </x:c>
      <x:c r="F458" s="13" t="str">
        <x:v>Pendente</x:v>
      </x:c>
      <x:c r="G458" s="13" t="str">
        <x:v>Duplicidade</x:v>
      </x:c>
      <x:c r="H458" s="13" t="n">
        <x:v>5.66</x:v>
      </x:c>
      <x:c r="I458" s="13" t="str">
        <x:v>Pico do descontrole</x:v>
      </x:c>
      <x:c r="J458" s="17" t="n">
        <x:f>E458-D458</x:f>
        <x:v>484.1399999999994</x:v>
      </x:c>
      <x:c r="K458" s="19" t="n">
        <x:f>IFERROR(ABS(J458/D458),0)</x:f>
        <x:v>0.013595558121614712</x:v>
      </x:c>
    </x:row>
    <x:row r="459">
      <x:c r="A459" s="13" t="str">
        <x:v>CON-000458</x:v>
      </x:c>
      <x:c r="B459" s="23" t="n">
        <x:v>45690</x:v>
      </x:c>
      <x:c r="C459" s="13" t="str">
        <x:v>Nubank Serviços</x:v>
      </x:c>
      <x:c r="D459" s="17" t="n">
        <x:v>7326.91</x:v>
      </x:c>
      <x:c r="E459" s="17" t="n">
        <x:v>7326.91</x:v>
      </x:c>
      <x:c r="F459" s="13" t="str">
        <x:v>Conciliado</x:v>
      </x:c>
      <x:c r="G459" s="13" t="str">
        <x:v>Sem divergência</x:v>
      </x:c>
      <x:c r="H459" s="13" t="n">
        <x:v>0.31</x:v>
      </x:c>
      <x:c r="I459" s="13" t="str">
        <x:v>Pico do descontrole</x:v>
      </x:c>
      <x:c r="J459" s="17" t="n">
        <x:f>E459-D459</x:f>
        <x:v>0</x:v>
      </x:c>
      <x:c r="K459" s="19" t="n">
        <x:f>IFERROR(ABS(J459/D459),0)</x:f>
        <x:v>0</x:v>
      </x:c>
    </x:row>
    <x:row r="460">
      <x:c r="A460" s="13" t="str">
        <x:v>CON-000459</x:v>
      </x:c>
      <x:c r="B460" s="23" t="n">
        <x:v>45695</x:v>
      </x:c>
      <x:c r="C460" s="13" t="str">
        <x:v>Bradesco Pagamentos</x:v>
      </x:c>
      <x:c r="D460" s="17" t="n">
        <x:v>21813.41</x:v>
      </x:c>
      <x:c r="E460" s="17" t="n">
        <x:v>21813.41</x:v>
      </x:c>
      <x:c r="F460" s="13" t="str">
        <x:v>Conciliado</x:v>
      </x:c>
      <x:c r="G460" s="13" t="str">
        <x:v>Sem divergência</x:v>
      </x:c>
      <x:c r="H460" s="13" t="n">
        <x:v>0.2</x:v>
      </x:c>
      <x:c r="I460" s="13" t="str">
        <x:v>Pico do descontrole</x:v>
      </x:c>
      <x:c r="J460" s="17" t="n">
        <x:f>E460-D460</x:f>
        <x:v>0</x:v>
      </x:c>
      <x:c r="K460" s="19" t="n">
        <x:f>IFERROR(ABS(J460/D460),0)</x:f>
        <x:v>0</x:v>
      </x:c>
    </x:row>
    <x:row r="461">
      <x:c r="A461" s="13" t="str">
        <x:v>CON-000460</x:v>
      </x:c>
      <x:c r="B461" s="23" t="n">
        <x:v>45709</x:v>
      </x:c>
      <x:c r="C461" s="13" t="str">
        <x:v>Bradesco Pagamentos</x:v>
      </x:c>
      <x:c r="D461" s="17" t="n">
        <x:v>17922.46</x:v>
      </x:c>
      <x:c r="E461" s="17" t="n">
        <x:v>17922.46</x:v>
      </x:c>
      <x:c r="F461" s="13" t="str">
        <x:v>Conciliado</x:v>
      </x:c>
      <x:c r="G461" s="13" t="str">
        <x:v>Sem divergência</x:v>
      </x:c>
      <x:c r="H461" s="13" t="n">
        <x:v>0.27</x:v>
      </x:c>
      <x:c r="I461" s="13" t="str">
        <x:v>Pico do descontrole</x:v>
      </x:c>
      <x:c r="J461" s="17" t="n">
        <x:f>E461-D461</x:f>
        <x:v>0</x:v>
      </x:c>
      <x:c r="K461" s="19" t="n">
        <x:f>IFERROR(ABS(J461/D461),0)</x:f>
        <x:v>0</x:v>
      </x:c>
    </x:row>
    <x:row r="462">
      <x:c r="A462" s="13" t="str">
        <x:v>CON-000461</x:v>
      </x:c>
      <x:c r="B462" s="23" t="n">
        <x:v>45705</x:v>
      </x:c>
      <x:c r="C462" s="13" t="str">
        <x:v>Itaú Operacional</x:v>
      </x:c>
      <x:c r="D462" s="17" t="n">
        <x:v>18217.64</x:v>
      </x:c>
      <x:c r="E462" s="17" t="n">
        <x:v>18217.64</x:v>
      </x:c>
      <x:c r="F462" s="13" t="str">
        <x:v>Conciliado</x:v>
      </x:c>
      <x:c r="G462" s="13" t="str">
        <x:v>Sem divergência</x:v>
      </x:c>
      <x:c r="H462" s="13" t="n">
        <x:v>0.44</x:v>
      </x:c>
      <x:c r="I462" s="13" t="str">
        <x:v>Pico do descontrole</x:v>
      </x:c>
      <x:c r="J462" s="17" t="n">
        <x:f>E462-D462</x:f>
        <x:v>0</x:v>
      </x:c>
      <x:c r="K462" s="19" t="n">
        <x:f>IFERROR(ABS(J462/D462),0)</x:f>
        <x:v>0</x:v>
      </x:c>
    </x:row>
    <x:row r="463">
      <x:c r="A463" s="13" t="str">
        <x:v>CON-000462</x:v>
      </x:c>
      <x:c r="B463" s="23" t="n">
        <x:v>45706</x:v>
      </x:c>
      <x:c r="C463" s="13" t="str">
        <x:v>Bradesco Pagamentos</x:v>
      </x:c>
      <x:c r="D463" s="17" t="n">
        <x:v>25799.13</x:v>
      </x:c>
      <x:c r="E463" s="17" t="n">
        <x:v>25799.13</x:v>
      </x:c>
      <x:c r="F463" s="13" t="str">
        <x:v>Conciliado</x:v>
      </x:c>
      <x:c r="G463" s="13" t="str">
        <x:v>Sem divergência</x:v>
      </x:c>
      <x:c r="H463" s="13" t="n">
        <x:v>0.24</x:v>
      </x:c>
      <x:c r="I463" s="13" t="str">
        <x:v>Pico do descontrole</x:v>
      </x:c>
      <x:c r="J463" s="17" t="n">
        <x:f>E463-D463</x:f>
        <x:v>0</x:v>
      </x:c>
      <x:c r="K463" s="19" t="n">
        <x:f>IFERROR(ABS(J463/D463),0)</x:f>
        <x:v>0</x:v>
      </x:c>
    </x:row>
    <x:row r="464">
      <x:c r="A464" s="13" t="str">
        <x:v>CON-000463</x:v>
      </x:c>
      <x:c r="B464" s="23" t="n">
        <x:v>45712</x:v>
      </x:c>
      <x:c r="C464" s="13" t="str">
        <x:v>Bradesco Pagamentos</x:v>
      </x:c>
      <x:c r="D464" s="17" t="n">
        <x:v>32726.25</x:v>
      </x:c>
      <x:c r="E464" s="17" t="n">
        <x:v>32726.25</x:v>
      </x:c>
      <x:c r="F464" s="13" t="str">
        <x:v>Conciliado</x:v>
      </x:c>
      <x:c r="G464" s="13" t="str">
        <x:v>Sem divergência</x:v>
      </x:c>
      <x:c r="H464" s="13" t="n">
        <x:v>0.4</x:v>
      </x:c>
      <x:c r="I464" s="13" t="str">
        <x:v>Pico do descontrole</x:v>
      </x:c>
      <x:c r="J464" s="17" t="n">
        <x:f>E464-D464</x:f>
        <x:v>0</x:v>
      </x:c>
      <x:c r="K464" s="19" t="n">
        <x:f>IFERROR(ABS(J464/D464),0)</x:f>
        <x:v>0</x:v>
      </x:c>
    </x:row>
    <x:row r="465">
      <x:c r="A465" s="13" t="str">
        <x:v>CON-000464</x:v>
      </x:c>
      <x:c r="B465" s="23" t="n">
        <x:v>45716</x:v>
      </x:c>
      <x:c r="C465" s="13" t="str">
        <x:v>Nubank Serviços</x:v>
      </x:c>
      <x:c r="D465" s="17" t="n">
        <x:v>3578.49</x:v>
      </x:c>
      <x:c r="E465" s="17" t="n">
        <x:v>3578.49</x:v>
      </x:c>
      <x:c r="F465" s="13" t="str">
        <x:v>Conciliado</x:v>
      </x:c>
      <x:c r="G465" s="13" t="str">
        <x:v>Sem divergência</x:v>
      </x:c>
      <x:c r="H465" s="13" t="n">
        <x:v>0.37</x:v>
      </x:c>
      <x:c r="I465" s="13" t="str">
        <x:v>Pico do descontrole</x:v>
      </x:c>
      <x:c r="J465" s="17" t="n">
        <x:f>E465-D465</x:f>
        <x:v>0</x:v>
      </x:c>
      <x:c r="K465" s="19" t="n">
        <x:f>IFERROR(ABS(J465/D465),0)</x:f>
        <x:v>0</x:v>
      </x:c>
    </x:row>
    <x:row r="466">
      <x:c r="A466" s="13" t="str">
        <x:v>CON-000465</x:v>
      </x:c>
      <x:c r="B466" s="23" t="n">
        <x:v>45708</x:v>
      </x:c>
      <x:c r="C466" s="13" t="str">
        <x:v>Santander Recebimentos</x:v>
      </x:c>
      <x:c r="D466" s="17" t="n">
        <x:v>42117.7</x:v>
      </x:c>
      <x:c r="E466" s="17" t="n">
        <x:v>42117.7</x:v>
      </x:c>
      <x:c r="F466" s="13" t="str">
        <x:v>Conciliado</x:v>
      </x:c>
      <x:c r="G466" s="13" t="str">
        <x:v>Sem divergência</x:v>
      </x:c>
      <x:c r="H466" s="13" t="n">
        <x:v>0.27</x:v>
      </x:c>
      <x:c r="I466" s="13" t="str">
        <x:v>Pico do descontrole</x:v>
      </x:c>
      <x:c r="J466" s="17" t="n">
        <x:f>E466-D466</x:f>
        <x:v>0</x:v>
      </x:c>
      <x:c r="K466" s="19" t="n">
        <x:f>IFERROR(ABS(J466/D466),0)</x:f>
        <x:v>0</x:v>
      </x:c>
    </x:row>
    <x:row r="467">
      <x:c r="A467" s="13" t="str">
        <x:v>CON-000466</x:v>
      </x:c>
      <x:c r="B467" s="23" t="n">
        <x:v>45700</x:v>
      </x:c>
      <x:c r="C467" s="13" t="str">
        <x:v>Bradesco Pagamentos</x:v>
      </x:c>
      <x:c r="D467" s="17" t="n">
        <x:v>44328.53</x:v>
      </x:c>
      <x:c r="E467" s="17" t="n">
        <x:v>44328.53</x:v>
      </x:c>
      <x:c r="F467" s="13" t="str">
        <x:v>Conciliado</x:v>
      </x:c>
      <x:c r="G467" s="13" t="str">
        <x:v>Sem divergência</x:v>
      </x:c>
      <x:c r="H467" s="13" t="n">
        <x:v>0.07</x:v>
      </x:c>
      <x:c r="I467" s="13" t="str">
        <x:v>Pico do descontrole</x:v>
      </x:c>
      <x:c r="J467" s="17" t="n">
        <x:f>E467-D467</x:f>
        <x:v>0</x:v>
      </x:c>
      <x:c r="K467" s="19" t="n">
        <x:f>IFERROR(ABS(J467/D467),0)</x:f>
        <x:v>0</x:v>
      </x:c>
    </x:row>
    <x:row r="468">
      <x:c r="A468" s="13" t="str">
        <x:v>CON-000467</x:v>
      </x:c>
      <x:c r="B468" s="23" t="n">
        <x:v>45710</x:v>
      </x:c>
      <x:c r="C468" s="13" t="str">
        <x:v>Bradesco Pagamentos</x:v>
      </x:c>
      <x:c r="D468" s="17" t="n">
        <x:v>10735.45</x:v>
      </x:c>
      <x:c r="E468" s="17" t="n">
        <x:v>10735.45</x:v>
      </x:c>
      <x:c r="F468" s="13" t="str">
        <x:v>Conciliado</x:v>
      </x:c>
      <x:c r="G468" s="13" t="str">
        <x:v>Sem divergência</x:v>
      </x:c>
      <x:c r="H468" s="13" t="n">
        <x:v>0.07</x:v>
      </x:c>
      <x:c r="I468" s="13" t="str">
        <x:v>Pico do descontrole</x:v>
      </x:c>
      <x:c r="J468" s="17" t="n">
        <x:f>E468-D468</x:f>
        <x:v>0</x:v>
      </x:c>
      <x:c r="K468" s="19" t="n">
        <x:f>IFERROR(ABS(J468/D468),0)</x:f>
        <x:v>0</x:v>
      </x:c>
    </x:row>
    <x:row r="469">
      <x:c r="A469" s="13" t="str">
        <x:v>CON-000468</x:v>
      </x:c>
      <x:c r="B469" s="23" t="n">
        <x:v>45710</x:v>
      </x:c>
      <x:c r="C469" s="13" t="str">
        <x:v>Santander Recebimentos</x:v>
      </x:c>
      <x:c r="D469" s="17" t="n">
        <x:v>4764.79</x:v>
      </x:c>
      <x:c r="E469" s="17" t="n">
        <x:v>4764.79</x:v>
      </x:c>
      <x:c r="F469" s="13" t="str">
        <x:v>Conciliado</x:v>
      </x:c>
      <x:c r="G469" s="13" t="str">
        <x:v>Sem divergência</x:v>
      </x:c>
      <x:c r="H469" s="13" t="n">
        <x:v>0.27</x:v>
      </x:c>
      <x:c r="I469" s="13" t="str">
        <x:v>Pico do descontrole</x:v>
      </x:c>
      <x:c r="J469" s="17" t="n">
        <x:f>E469-D469</x:f>
        <x:v>0</x:v>
      </x:c>
      <x:c r="K469" s="19" t="n">
        <x:f>IFERROR(ABS(J469/D469),0)</x:f>
        <x:v>0</x:v>
      </x:c>
    </x:row>
    <x:row r="470">
      <x:c r="A470" s="13" t="str">
        <x:v>CON-000469</x:v>
      </x:c>
      <x:c r="B470" s="23" t="n">
        <x:v>45708</x:v>
      </x:c>
      <x:c r="C470" s="13" t="str">
        <x:v>Nubank Serviços</x:v>
      </x:c>
      <x:c r="D470" s="17" t="n">
        <x:v>1866.11</x:v>
      </x:c>
      <x:c r="E470" s="17" t="n">
        <x:v>1866.11</x:v>
      </x:c>
      <x:c r="F470" s="13" t="str">
        <x:v>Conciliado</x:v>
      </x:c>
      <x:c r="G470" s="13" t="str">
        <x:v>Sem divergência</x:v>
      </x:c>
      <x:c r="H470" s="13" t="n">
        <x:v>0.29</x:v>
      </x:c>
      <x:c r="I470" s="13" t="str">
        <x:v>Pico do descontrole</x:v>
      </x:c>
      <x:c r="J470" s="17" t="n">
        <x:f>E470-D470</x:f>
        <x:v>0</x:v>
      </x:c>
      <x:c r="K470" s="19" t="n">
        <x:f>IFERROR(ABS(J470/D470),0)</x:f>
        <x:v>0</x:v>
      </x:c>
    </x:row>
    <x:row r="471">
      <x:c r="A471" s="13" t="str">
        <x:v>CON-000470</x:v>
      </x:c>
      <x:c r="B471" s="23" t="n">
        <x:v>45709</x:v>
      </x:c>
      <x:c r="C471" s="13" t="str">
        <x:v>Nubank Serviços</x:v>
      </x:c>
      <x:c r="D471" s="17" t="n">
        <x:v>35362.04</x:v>
      </x:c>
      <x:c r="E471" s="17" t="n">
        <x:v>35362.04</x:v>
      </x:c>
      <x:c r="F471" s="13" t="str">
        <x:v>Conciliado</x:v>
      </x:c>
      <x:c r="G471" s="13" t="str">
        <x:v>Sem divergência</x:v>
      </x:c>
      <x:c r="H471" s="13" t="n">
        <x:v>0.35</x:v>
      </x:c>
      <x:c r="I471" s="13" t="str">
        <x:v>Pico do descontrole</x:v>
      </x:c>
      <x:c r="J471" s="17" t="n">
        <x:f>E471-D471</x:f>
        <x:v>0</x:v>
      </x:c>
      <x:c r="K471" s="19" t="n">
        <x:f>IFERROR(ABS(J471/D471),0)</x:f>
        <x:v>0</x:v>
      </x:c>
    </x:row>
    <x:row r="472">
      <x:c r="A472" s="13" t="str">
        <x:v>CON-000471</x:v>
      </x:c>
      <x:c r="B472" s="23" t="n">
        <x:v>45699</x:v>
      </x:c>
      <x:c r="C472" s="13" t="str">
        <x:v>Santander Recebimentos</x:v>
      </x:c>
      <x:c r="D472" s="17" t="n">
        <x:v>29416.39</x:v>
      </x:c>
      <x:c r="E472" s="17" t="n">
        <x:v>29416.39</x:v>
      </x:c>
      <x:c r="F472" s="13" t="str">
        <x:v>Conciliado</x:v>
      </x:c>
      <x:c r="G472" s="13" t="str">
        <x:v>Sem divergência</x:v>
      </x:c>
      <x:c r="H472" s="13" t="n">
        <x:v>0.06</x:v>
      </x:c>
      <x:c r="I472" s="13" t="str">
        <x:v>Pico do descontrole</x:v>
      </x:c>
      <x:c r="J472" s="17" t="n">
        <x:f>E472-D472</x:f>
        <x:v>0</x:v>
      </x:c>
      <x:c r="K472" s="19" t="n">
        <x:f>IFERROR(ABS(J472/D472),0)</x:f>
        <x:v>0</x:v>
      </x:c>
    </x:row>
    <x:row r="473">
      <x:c r="A473" s="13" t="str">
        <x:v>CON-000472</x:v>
      </x:c>
      <x:c r="B473" s="23" t="n">
        <x:v>45697</x:v>
      </x:c>
      <x:c r="C473" s="13" t="str">
        <x:v>Santander Recebimentos</x:v>
      </x:c>
      <x:c r="D473" s="17" t="n">
        <x:v>34234.93</x:v>
      </x:c>
      <x:c r="E473" s="17" t="n">
        <x:v>34234.93</x:v>
      </x:c>
      <x:c r="F473" s="13" t="str">
        <x:v>Conciliado</x:v>
      </x:c>
      <x:c r="G473" s="13" t="str">
        <x:v>Sem divergência</x:v>
      </x:c>
      <x:c r="H473" s="13" t="n">
        <x:v>0.36</x:v>
      </x:c>
      <x:c r="I473" s="13" t="str">
        <x:v>Pico do descontrole</x:v>
      </x:c>
      <x:c r="J473" s="17" t="n">
        <x:f>E473-D473</x:f>
        <x:v>0</x:v>
      </x:c>
      <x:c r="K473" s="19" t="n">
        <x:f>IFERROR(ABS(J473/D473),0)</x:f>
        <x:v>0</x:v>
      </x:c>
    </x:row>
    <x:row r="474">
      <x:c r="A474" s="13" t="str">
        <x:v>CON-000473</x:v>
      </x:c>
      <x:c r="B474" s="23" t="n">
        <x:v>45689</x:v>
      </x:c>
      <x:c r="C474" s="13" t="str">
        <x:v>Itaú Operacional</x:v>
      </x:c>
      <x:c r="D474" s="17" t="n">
        <x:v>31538.5</x:v>
      </x:c>
      <x:c r="E474" s="17" t="n">
        <x:v>31538.5</x:v>
      </x:c>
      <x:c r="F474" s="13" t="str">
        <x:v>Conciliado</x:v>
      </x:c>
      <x:c r="G474" s="13" t="str">
        <x:v>Sem divergência</x:v>
      </x:c>
      <x:c r="H474" s="13" t="n">
        <x:v>0.06</x:v>
      </x:c>
      <x:c r="I474" s="13" t="str">
        <x:v>Pico do descontrole</x:v>
      </x:c>
      <x:c r="J474" s="17" t="n">
        <x:f>E474-D474</x:f>
        <x:v>0</x:v>
      </x:c>
      <x:c r="K474" s="19" t="n">
        <x:f>IFERROR(ABS(J474/D474),0)</x:f>
        <x:v>0</x:v>
      </x:c>
    </x:row>
    <x:row r="475">
      <x:c r="A475" s="13" t="str">
        <x:v>CON-000474</x:v>
      </x:c>
      <x:c r="B475" s="23" t="n">
        <x:v>45708</x:v>
      </x:c>
      <x:c r="C475" s="13" t="str">
        <x:v>Santander Recebimentos</x:v>
      </x:c>
      <x:c r="D475" s="17" t="n">
        <x:v>10642.37</x:v>
      </x:c>
      <x:c r="E475" s="17" t="n">
        <x:v>10642.37</x:v>
      </x:c>
      <x:c r="F475" s="13" t="str">
        <x:v>Conciliado</x:v>
      </x:c>
      <x:c r="G475" s="13" t="str">
        <x:v>Sem divergência</x:v>
      </x:c>
      <x:c r="H475" s="13" t="n">
        <x:v>0.26</x:v>
      </x:c>
      <x:c r="I475" s="13" t="str">
        <x:v>Pico do descontrole</x:v>
      </x:c>
      <x:c r="J475" s="17" t="n">
        <x:f>E475-D475</x:f>
        <x:v>0</x:v>
      </x:c>
      <x:c r="K475" s="19" t="n">
        <x:f>IFERROR(ABS(J475/D475),0)</x:f>
        <x:v>0</x:v>
      </x:c>
    </x:row>
    <x:row r="476">
      <x:c r="A476" s="13" t="str">
        <x:v>CON-000475</x:v>
      </x:c>
      <x:c r="B476" s="23" t="n">
        <x:v>45694</x:v>
      </x:c>
      <x:c r="C476" s="13" t="str">
        <x:v>Santander Recebimentos</x:v>
      </x:c>
      <x:c r="D476" s="17" t="n">
        <x:v>43863.59</x:v>
      </x:c>
      <x:c r="E476" s="17" t="n">
        <x:v>43863.59</x:v>
      </x:c>
      <x:c r="F476" s="13" t="str">
        <x:v>Conciliado</x:v>
      </x:c>
      <x:c r="G476" s="13" t="str">
        <x:v>Sem divergência</x:v>
      </x:c>
      <x:c r="H476" s="13" t="n">
        <x:v>0.14</x:v>
      </x:c>
      <x:c r="I476" s="13" t="str">
        <x:v>Pico do descontrole</x:v>
      </x:c>
      <x:c r="J476" s="17" t="n">
        <x:f>E476-D476</x:f>
        <x:v>0</x:v>
      </x:c>
      <x:c r="K476" s="19" t="n">
        <x:f>IFERROR(ABS(J476/D476),0)</x:f>
        <x:v>0</x:v>
      </x:c>
    </x:row>
    <x:row r="477">
      <x:c r="A477" s="13" t="str">
        <x:v>CON-000476</x:v>
      </x:c>
      <x:c r="B477" s="23" t="n">
        <x:v>45713</x:v>
      </x:c>
      <x:c r="C477" s="13" t="str">
        <x:v>Santander Recebimentos</x:v>
      </x:c>
      <x:c r="D477" s="17" t="n">
        <x:v>13220.7</x:v>
      </x:c>
      <x:c r="E477" s="17" t="n">
        <x:v>13220.7</x:v>
      </x:c>
      <x:c r="F477" s="13" t="str">
        <x:v>Conciliado</x:v>
      </x:c>
      <x:c r="G477" s="13" t="str">
        <x:v>Sem divergência</x:v>
      </x:c>
      <x:c r="H477" s="13" t="n">
        <x:v>0.34</x:v>
      </x:c>
      <x:c r="I477" s="13" t="str">
        <x:v>Pico do descontrole</x:v>
      </x:c>
      <x:c r="J477" s="17" t="n">
        <x:f>E477-D477</x:f>
        <x:v>0</x:v>
      </x:c>
      <x:c r="K477" s="19" t="n">
        <x:f>IFERROR(ABS(J477/D477),0)</x:f>
        <x:v>0</x:v>
      </x:c>
    </x:row>
    <x:row r="478">
      <x:c r="A478" s="13" t="str">
        <x:v>CON-000477</x:v>
      </x:c>
      <x:c r="B478" s="23" t="n">
        <x:v>45710</x:v>
      </x:c>
      <x:c r="C478" s="13" t="str">
        <x:v>Santander Recebimentos</x:v>
      </x:c>
      <x:c r="D478" s="17" t="n">
        <x:v>14705.62</x:v>
      </x:c>
      <x:c r="E478" s="17" t="n">
        <x:v>14484.56</x:v>
      </x:c>
      <x:c r="F478" s="13" t="str">
        <x:v>Pendente</x:v>
      </x:c>
      <x:c r="G478" s="13" t="str">
        <x:v>Duplicidade</x:v>
      </x:c>
      <x:c r="H478" s="13" t="n">
        <x:v>13.59</x:v>
      </x:c>
      <x:c r="I478" s="13" t="str">
        <x:v>Pico do descontrole</x:v>
      </x:c>
      <x:c r="J478" s="17" t="n">
        <x:f>E478-D478</x:f>
        <x:v>-221.0600000000013</x:v>
      </x:c>
      <x:c r="K478" s="19" t="n">
        <x:f>IFERROR(ABS(J478/D478),0)</x:f>
        <x:v>0.015032348177091568</x:v>
      </x:c>
    </x:row>
    <x:row r="479">
      <x:c r="A479" s="13" t="str">
        <x:v>CON-000478</x:v>
      </x:c>
      <x:c r="B479" s="23" t="n">
        <x:v>45690</x:v>
      </x:c>
      <x:c r="C479" s="13" t="str">
        <x:v>Bradesco Pagamentos</x:v>
      </x:c>
      <x:c r="D479" s="17" t="n">
        <x:v>20806.53</x:v>
      </x:c>
      <x:c r="E479" s="17" t="n">
        <x:v>20806.53</x:v>
      </x:c>
      <x:c r="F479" s="13" t="str">
        <x:v>Conciliado</x:v>
      </x:c>
      <x:c r="G479" s="13" t="str">
        <x:v>Sem divergência</x:v>
      </x:c>
      <x:c r="H479" s="13" t="n">
        <x:v>0.13</x:v>
      </x:c>
      <x:c r="I479" s="13" t="str">
        <x:v>Pico do descontrole</x:v>
      </x:c>
      <x:c r="J479" s="17" t="n">
        <x:f>E479-D479</x:f>
        <x:v>0</x:v>
      </x:c>
      <x:c r="K479" s="19" t="n">
        <x:f>IFERROR(ABS(J479/D479),0)</x:f>
        <x:v>0</x:v>
      </x:c>
    </x:row>
    <x:row r="480">
      <x:c r="A480" s="13" t="str">
        <x:v>CON-000479</x:v>
      </x:c>
      <x:c r="B480" s="23" t="n">
        <x:v>45703</x:v>
      </x:c>
      <x:c r="C480" s="13" t="str">
        <x:v>Nubank Serviços</x:v>
      </x:c>
      <x:c r="D480" s="17" t="n">
        <x:v>13044.89</x:v>
      </x:c>
      <x:c r="E480" s="17" t="n">
        <x:v>13044.89</x:v>
      </x:c>
      <x:c r="F480" s="13" t="str">
        <x:v>Conciliado</x:v>
      </x:c>
      <x:c r="G480" s="13" t="str">
        <x:v>Sem divergência</x:v>
      </x:c>
      <x:c r="H480" s="13" t="n">
        <x:v>0.2</x:v>
      </x:c>
      <x:c r="I480" s="13" t="str">
        <x:v>Pico do descontrole</x:v>
      </x:c>
      <x:c r="J480" s="17" t="n">
        <x:f>E480-D480</x:f>
        <x:v>0</x:v>
      </x:c>
      <x:c r="K480" s="19" t="n">
        <x:f>IFERROR(ABS(J480/D480),0)</x:f>
        <x:v>0</x:v>
      </x:c>
    </x:row>
    <x:row r="481">
      <x:c r="A481" s="13" t="str">
        <x:v>CON-000480</x:v>
      </x:c>
      <x:c r="B481" s="23" t="n">
        <x:v>45708</x:v>
      </x:c>
      <x:c r="C481" s="13" t="str">
        <x:v>Itaú Operacional</x:v>
      </x:c>
      <x:c r="D481" s="17" t="n">
        <x:v>41665.35</x:v>
      </x:c>
      <x:c r="E481" s="17" t="n">
        <x:v>41665.35</x:v>
      </x:c>
      <x:c r="F481" s="13" t="str">
        <x:v>Conciliado</x:v>
      </x:c>
      <x:c r="G481" s="13" t="str">
        <x:v>Sem divergência</x:v>
      </x:c>
      <x:c r="H481" s="13" t="n">
        <x:v>0.38</x:v>
      </x:c>
      <x:c r="I481" s="13" t="str">
        <x:v>Pico do descontrole</x:v>
      </x:c>
      <x:c r="J481" s="17" t="n">
        <x:f>E481-D481</x:f>
        <x:v>0</x:v>
      </x:c>
      <x:c r="K481" s="19" t="n">
        <x:f>IFERROR(ABS(J481/D481),0)</x:f>
        <x:v>0</x:v>
      </x:c>
    </x:row>
    <x:row r="482">
      <x:c r="A482" s="13" t="str">
        <x:v>CON-000481</x:v>
      </x:c>
      <x:c r="B482" s="23" t="n">
        <x:v>45713</x:v>
      </x:c>
      <x:c r="C482" s="13" t="str">
        <x:v>Bradesco Pagamentos</x:v>
      </x:c>
      <x:c r="D482" s="17" t="n">
        <x:v>27458.46</x:v>
      </x:c>
      <x:c r="E482" s="17" t="n">
        <x:v>27458.46</x:v>
      </x:c>
      <x:c r="F482" s="13" t="str">
        <x:v>Conciliado</x:v>
      </x:c>
      <x:c r="G482" s="13" t="str">
        <x:v>Sem divergência</x:v>
      </x:c>
      <x:c r="H482" s="13" t="n">
        <x:v>0.44</x:v>
      </x:c>
      <x:c r="I482" s="13" t="str">
        <x:v>Pico do descontrole</x:v>
      </x:c>
      <x:c r="J482" s="17" t="n">
        <x:f>E482-D482</x:f>
        <x:v>0</x:v>
      </x:c>
      <x:c r="K482" s="19" t="n">
        <x:f>IFERROR(ABS(J482/D482),0)</x:f>
        <x:v>0</x:v>
      </x:c>
    </x:row>
    <x:row r="483">
      <x:c r="A483" s="13" t="str">
        <x:v>CON-000482</x:v>
      </x:c>
      <x:c r="B483" s="23" t="n">
        <x:v>45707</x:v>
      </x:c>
      <x:c r="C483" s="13" t="str">
        <x:v>Bradesco Pagamentos</x:v>
      </x:c>
      <x:c r="D483" s="17" t="n">
        <x:v>38387.75</x:v>
      </x:c>
      <x:c r="E483" s="17" t="n">
        <x:v>38387.75</x:v>
      </x:c>
      <x:c r="F483" s="13" t="str">
        <x:v>Conciliado</x:v>
      </x:c>
      <x:c r="G483" s="13" t="str">
        <x:v>Sem divergência</x:v>
      </x:c>
      <x:c r="H483" s="13" t="n">
        <x:v>0.14</x:v>
      </x:c>
      <x:c r="I483" s="13" t="str">
        <x:v>Pico do descontrole</x:v>
      </x:c>
      <x:c r="J483" s="17" t="n">
        <x:f>E483-D483</x:f>
        <x:v>0</x:v>
      </x:c>
      <x:c r="K483" s="19" t="n">
        <x:f>IFERROR(ABS(J483/D483),0)</x:f>
        <x:v>0</x:v>
      </x:c>
    </x:row>
    <x:row r="484">
      <x:c r="A484" s="13" t="str">
        <x:v>CON-000483</x:v>
      </x:c>
      <x:c r="B484" s="23" t="n">
        <x:v>45689</x:v>
      </x:c>
      <x:c r="C484" s="13" t="str">
        <x:v>Itaú Operacional</x:v>
      </x:c>
      <x:c r="D484" s="17" t="n">
        <x:v>6115.29</x:v>
      </x:c>
      <x:c r="E484" s="17" t="n">
        <x:v>6115.29</x:v>
      </x:c>
      <x:c r="F484" s="13" t="str">
        <x:v>Conciliado</x:v>
      </x:c>
      <x:c r="G484" s="13" t="str">
        <x:v>Sem divergência</x:v>
      </x:c>
      <x:c r="H484" s="13" t="n">
        <x:v>0.2</x:v>
      </x:c>
      <x:c r="I484" s="13" t="str">
        <x:v>Pico do descontrole</x:v>
      </x:c>
      <x:c r="J484" s="17" t="n">
        <x:f>E484-D484</x:f>
        <x:v>0</x:v>
      </x:c>
      <x:c r="K484" s="19" t="n">
        <x:f>IFERROR(ABS(J484/D484),0)</x:f>
        <x:v>0</x:v>
      </x:c>
    </x:row>
    <x:row r="485">
      <x:c r="A485" s="13" t="str">
        <x:v>CON-000484</x:v>
      </x:c>
      <x:c r="B485" s="23" t="n">
        <x:v>45703</x:v>
      </x:c>
      <x:c r="C485" s="13" t="str">
        <x:v>Santander Recebimentos</x:v>
      </x:c>
      <x:c r="D485" s="17" t="n">
        <x:v>29194.74</x:v>
      </x:c>
      <x:c r="E485" s="17" t="n">
        <x:v>29194.74</x:v>
      </x:c>
      <x:c r="F485" s="13" t="str">
        <x:v>Conciliado</x:v>
      </x:c>
      <x:c r="G485" s="13" t="str">
        <x:v>Sem divergência</x:v>
      </x:c>
      <x:c r="H485" s="13" t="n">
        <x:v>0.26</x:v>
      </x:c>
      <x:c r="I485" s="13" t="str">
        <x:v>Pico do descontrole</x:v>
      </x:c>
      <x:c r="J485" s="17" t="n">
        <x:f>E485-D485</x:f>
        <x:v>0</x:v>
      </x:c>
      <x:c r="K485" s="19" t="n">
        <x:f>IFERROR(ABS(J485/D485),0)</x:f>
        <x:v>0</x:v>
      </x:c>
    </x:row>
    <x:row r="486">
      <x:c r="A486" s="13" t="str">
        <x:v>CON-000485</x:v>
      </x:c>
      <x:c r="B486" s="23" t="n">
        <x:v>45706</x:v>
      </x:c>
      <x:c r="C486" s="13" t="str">
        <x:v>Nubank Serviços</x:v>
      </x:c>
      <x:c r="D486" s="17" t="n">
        <x:v>22097.63</x:v>
      </x:c>
      <x:c r="E486" s="17" t="n">
        <x:v>22097.63</x:v>
      </x:c>
      <x:c r="F486" s="13" t="str">
        <x:v>Conciliado</x:v>
      </x:c>
      <x:c r="G486" s="13" t="str">
        <x:v>Sem divergência</x:v>
      </x:c>
      <x:c r="H486" s="13" t="n">
        <x:v>0.33</x:v>
      </x:c>
      <x:c r="I486" s="13" t="str">
        <x:v>Pico do descontrole</x:v>
      </x:c>
      <x:c r="J486" s="17" t="n">
        <x:f>E486-D486</x:f>
        <x:v>0</x:v>
      </x:c>
      <x:c r="K486" s="19" t="n">
        <x:f>IFERROR(ABS(J486/D486),0)</x:f>
        <x:v>0</x:v>
      </x:c>
    </x:row>
    <x:row r="487">
      <x:c r="A487" s="13" t="str">
        <x:v>CON-000486</x:v>
      </x:c>
      <x:c r="B487" s="23" t="n">
        <x:v>45697</x:v>
      </x:c>
      <x:c r="C487" s="13" t="str">
        <x:v>Bradesco Pagamentos</x:v>
      </x:c>
      <x:c r="D487" s="17" t="n">
        <x:v>29941.89</x:v>
      </x:c>
      <x:c r="E487" s="17" t="n">
        <x:v>29941.89</x:v>
      </x:c>
      <x:c r="F487" s="13" t="str">
        <x:v>Conciliado</x:v>
      </x:c>
      <x:c r="G487" s="13" t="str">
        <x:v>Sem divergência</x:v>
      </x:c>
      <x:c r="H487" s="13" t="n">
        <x:v>0.21</x:v>
      </x:c>
      <x:c r="I487" s="13" t="str">
        <x:v>Pico do descontrole</x:v>
      </x:c>
      <x:c r="J487" s="17" t="n">
        <x:f>E487-D487</x:f>
        <x:v>0</x:v>
      </x:c>
      <x:c r="K487" s="19" t="n">
        <x:f>IFERROR(ABS(J487/D487),0)</x:f>
        <x:v>0</x:v>
      </x:c>
    </x:row>
    <x:row r="488">
      <x:c r="A488" s="13" t="str">
        <x:v>CON-000487</x:v>
      </x:c>
      <x:c r="B488" s="23" t="n">
        <x:v>45697</x:v>
      </x:c>
      <x:c r="C488" s="13" t="str">
        <x:v>Itaú Operacional</x:v>
      </x:c>
      <x:c r="D488" s="17" t="n">
        <x:v>17032.5</x:v>
      </x:c>
      <x:c r="E488" s="17" t="n">
        <x:v>17032.5</x:v>
      </x:c>
      <x:c r="F488" s="13" t="str">
        <x:v>Conciliado</x:v>
      </x:c>
      <x:c r="G488" s="13" t="str">
        <x:v>Sem divergência</x:v>
      </x:c>
      <x:c r="H488" s="13" t="n">
        <x:v>0.35</x:v>
      </x:c>
      <x:c r="I488" s="13" t="str">
        <x:v>Pico do descontrole</x:v>
      </x:c>
      <x:c r="J488" s="17" t="n">
        <x:f>E488-D488</x:f>
        <x:v>0</x:v>
      </x:c>
      <x:c r="K488" s="19" t="n">
        <x:f>IFERROR(ABS(J488/D488),0)</x:f>
        <x:v>0</x:v>
      </x:c>
    </x:row>
    <x:row r="489">
      <x:c r="A489" s="13" t="str">
        <x:v>CON-000488</x:v>
      </x:c>
      <x:c r="B489" s="23" t="n">
        <x:v>45703</x:v>
      </x:c>
      <x:c r="C489" s="13" t="str">
        <x:v>Bradesco Pagamentos</x:v>
      </x:c>
      <x:c r="D489" s="17" t="n">
        <x:v>21106.39</x:v>
      </x:c>
      <x:c r="E489" s="17" t="n">
        <x:v>21106.39</x:v>
      </x:c>
      <x:c r="F489" s="13" t="str">
        <x:v>Conciliado</x:v>
      </x:c>
      <x:c r="G489" s="13" t="str">
        <x:v>Sem divergência</x:v>
      </x:c>
      <x:c r="H489" s="13" t="n">
        <x:v>0.42</x:v>
      </x:c>
      <x:c r="I489" s="13" t="str">
        <x:v>Pico do descontrole</x:v>
      </x:c>
      <x:c r="J489" s="17" t="n">
        <x:f>E489-D489</x:f>
        <x:v>0</x:v>
      </x:c>
      <x:c r="K489" s="19" t="n">
        <x:f>IFERROR(ABS(J489/D489),0)</x:f>
        <x:v>0</x:v>
      </x:c>
    </x:row>
    <x:row r="490">
      <x:c r="A490" s="13" t="str">
        <x:v>CON-000489</x:v>
      </x:c>
      <x:c r="B490" s="23" t="n">
        <x:v>45694</x:v>
      </x:c>
      <x:c r="C490" s="13" t="str">
        <x:v>Bradesco Pagamentos</x:v>
      </x:c>
      <x:c r="D490" s="17" t="n">
        <x:v>13911.65</x:v>
      </x:c>
      <x:c r="E490" s="17" t="n">
        <x:v>13911.65</x:v>
      </x:c>
      <x:c r="F490" s="13" t="str">
        <x:v>Conciliado</x:v>
      </x:c>
      <x:c r="G490" s="13" t="str">
        <x:v>Sem divergência</x:v>
      </x:c>
      <x:c r="H490" s="13" t="n">
        <x:v>0.39</x:v>
      </x:c>
      <x:c r="I490" s="13" t="str">
        <x:v>Pico do descontrole</x:v>
      </x:c>
      <x:c r="J490" s="17" t="n">
        <x:f>E490-D490</x:f>
        <x:v>0</x:v>
      </x:c>
      <x:c r="K490" s="19" t="n">
        <x:f>IFERROR(ABS(J490/D490),0)</x:f>
        <x:v>0</x:v>
      </x:c>
    </x:row>
    <x:row r="491">
      <x:c r="A491" s="13" t="str">
        <x:v>CON-000490</x:v>
      </x:c>
      <x:c r="B491" s="23" t="n">
        <x:v>45713</x:v>
      </x:c>
      <x:c r="C491" s="13" t="str">
        <x:v>Bradesco Pagamentos</x:v>
      </x:c>
      <x:c r="D491" s="17" t="n">
        <x:v>35068.5</x:v>
      </x:c>
      <x:c r="E491" s="17" t="n">
        <x:v>35068.5</x:v>
      </x:c>
      <x:c r="F491" s="13" t="str">
        <x:v>Conciliado</x:v>
      </x:c>
      <x:c r="G491" s="13" t="str">
        <x:v>Sem divergência</x:v>
      </x:c>
      <x:c r="H491" s="13" t="n">
        <x:v>0.44</x:v>
      </x:c>
      <x:c r="I491" s="13" t="str">
        <x:v>Pico do descontrole</x:v>
      </x:c>
      <x:c r="J491" s="17" t="n">
        <x:f>E491-D491</x:f>
        <x:v>0</x:v>
      </x:c>
      <x:c r="K491" s="19" t="n">
        <x:f>IFERROR(ABS(J491/D491),0)</x:f>
        <x:v>0</x:v>
      </x:c>
    </x:row>
    <x:row r="492">
      <x:c r="A492" s="13" t="str">
        <x:v>CON-000491</x:v>
      </x:c>
      <x:c r="B492" s="23" t="n">
        <x:v>45724</x:v>
      </x:c>
      <x:c r="C492" s="13" t="str">
        <x:v>Santander Recebimentos</x:v>
      </x:c>
      <x:c r="D492" s="17" t="n">
        <x:v>23084.99</x:v>
      </x:c>
      <x:c r="E492" s="17" t="n">
        <x:v>23545.68</x:v>
      </x:c>
      <x:c r="F492" s="13" t="str">
        <x:v>Resolvido</x:v>
      </x:c>
      <x:c r="G492" s="13" t="str">
        <x:v>Data de compensação</x:v>
      </x:c>
      <x:c r="H492" s="13" t="n">
        <x:v>11.46</x:v>
      </x:c>
      <x:c r="I492" s="13" t="str">
        <x:v>Pico do descontrole</x:v>
      </x:c>
      <x:c r="J492" s="17" t="n">
        <x:f>E492-D492</x:f>
        <x:v>460.6899999999987</x:v>
      </x:c>
      <x:c r="K492" s="19" t="n">
        <x:f>IFERROR(ABS(J492/D492),0)</x:f>
        <x:v>0.01995625729099292</x:v>
      </x:c>
    </x:row>
    <x:row r="493">
      <x:c r="A493" s="13" t="str">
        <x:v>CON-000492</x:v>
      </x:c>
      <x:c r="B493" s="23" t="n">
        <x:v>45717</x:v>
      </x:c>
      <x:c r="C493" s="13" t="str">
        <x:v>Santander Recebimentos</x:v>
      </x:c>
      <x:c r="D493" s="17" t="n">
        <x:v>15885.97</x:v>
      </x:c>
      <x:c r="E493" s="17" t="n">
        <x:v>15885.97</x:v>
      </x:c>
      <x:c r="F493" s="13" t="str">
        <x:v>Conciliado</x:v>
      </x:c>
      <x:c r="G493" s="13" t="str">
        <x:v>Sem divergência</x:v>
      </x:c>
      <x:c r="H493" s="13" t="n">
        <x:v>0.32</x:v>
      </x:c>
      <x:c r="I493" s="13" t="str">
        <x:v>Pico do descontrole</x:v>
      </x:c>
      <x:c r="J493" s="17" t="n">
        <x:f>E493-D493</x:f>
        <x:v>0</x:v>
      </x:c>
      <x:c r="K493" s="19" t="n">
        <x:f>IFERROR(ABS(J493/D493),0)</x:f>
        <x:v>0</x:v>
      </x:c>
    </x:row>
    <x:row r="494">
      <x:c r="A494" s="13" t="str">
        <x:v>CON-000493</x:v>
      </x:c>
      <x:c r="B494" s="23" t="n">
        <x:v>45722</x:v>
      </x:c>
      <x:c r="C494" s="13" t="str">
        <x:v>Nubank Serviços</x:v>
      </x:c>
      <x:c r="D494" s="17" t="n">
        <x:v>27141.06</x:v>
      </x:c>
      <x:c r="E494" s="17" t="n">
        <x:v>27141.06</x:v>
      </x:c>
      <x:c r="F494" s="13" t="str">
        <x:v>Conciliado</x:v>
      </x:c>
      <x:c r="G494" s="13" t="str">
        <x:v>Sem divergência</x:v>
      </x:c>
      <x:c r="H494" s="13" t="n">
        <x:v>0.34</x:v>
      </x:c>
      <x:c r="I494" s="13" t="str">
        <x:v>Pico do descontrole</x:v>
      </x:c>
      <x:c r="J494" s="17" t="n">
        <x:f>E494-D494</x:f>
        <x:v>0</x:v>
      </x:c>
      <x:c r="K494" s="19" t="n">
        <x:f>IFERROR(ABS(J494/D494),0)</x:f>
        <x:v>0</x:v>
      </x:c>
    </x:row>
    <x:row r="495">
      <x:c r="A495" s="13" t="str">
        <x:v>CON-000494</x:v>
      </x:c>
      <x:c r="B495" s="23" t="n">
        <x:v>45721</x:v>
      </x:c>
      <x:c r="C495" s="13" t="str">
        <x:v>Nubank Serviços</x:v>
      </x:c>
      <x:c r="D495" s="17" t="n">
        <x:v>43488.07</x:v>
      </x:c>
      <x:c r="E495" s="17" t="n">
        <x:v>43488.07</x:v>
      </x:c>
      <x:c r="F495" s="13" t="str">
        <x:v>Conciliado</x:v>
      </x:c>
      <x:c r="G495" s="13" t="str">
        <x:v>Sem divergência</x:v>
      </x:c>
      <x:c r="H495" s="13" t="n">
        <x:v>0.12</x:v>
      </x:c>
      <x:c r="I495" s="13" t="str">
        <x:v>Pico do descontrole</x:v>
      </x:c>
      <x:c r="J495" s="17" t="n">
        <x:f>E495-D495</x:f>
        <x:v>0</x:v>
      </x:c>
      <x:c r="K495" s="19" t="n">
        <x:f>IFERROR(ABS(J495/D495),0)</x:f>
        <x:v>0</x:v>
      </x:c>
    </x:row>
    <x:row r="496">
      <x:c r="A496" s="13" t="str">
        <x:v>CON-000495</x:v>
      </x:c>
      <x:c r="B496" s="23" t="n">
        <x:v>45741</x:v>
      </x:c>
      <x:c r="C496" s="13" t="str">
        <x:v>Itaú Operacional</x:v>
      </x:c>
      <x:c r="D496" s="17" t="n">
        <x:v>42139.1</x:v>
      </x:c>
      <x:c r="E496" s="17" t="n">
        <x:v>42139.1</x:v>
      </x:c>
      <x:c r="F496" s="13" t="str">
        <x:v>Conciliado</x:v>
      </x:c>
      <x:c r="G496" s="13" t="str">
        <x:v>Sem divergência</x:v>
      </x:c>
      <x:c r="H496" s="13" t="n">
        <x:v>0.26</x:v>
      </x:c>
      <x:c r="I496" s="13" t="str">
        <x:v>Pico do descontrole</x:v>
      </x:c>
      <x:c r="J496" s="17" t="n">
        <x:f>E496-D496</x:f>
        <x:v>0</x:v>
      </x:c>
      <x:c r="K496" s="19" t="n">
        <x:f>IFERROR(ABS(J496/D496),0)</x:f>
        <x:v>0</x:v>
      </x:c>
    </x:row>
    <x:row r="497">
      <x:c r="A497" s="13" t="str">
        <x:v>CON-000496</x:v>
      </x:c>
      <x:c r="B497" s="23" t="n">
        <x:v>45742</x:v>
      </x:c>
      <x:c r="C497" s="13" t="str">
        <x:v>Itaú Operacional</x:v>
      </x:c>
      <x:c r="D497" s="17" t="n">
        <x:v>11061.66</x:v>
      </x:c>
      <x:c r="E497" s="17" t="n">
        <x:v>11061.66</x:v>
      </x:c>
      <x:c r="F497" s="13" t="str">
        <x:v>Conciliado</x:v>
      </x:c>
      <x:c r="G497" s="13" t="str">
        <x:v>Sem divergência</x:v>
      </x:c>
      <x:c r="H497" s="13" t="n">
        <x:v>0.13</x:v>
      </x:c>
      <x:c r="I497" s="13" t="str">
        <x:v>Pico do descontrole</x:v>
      </x:c>
      <x:c r="J497" s="17" t="n">
        <x:f>E497-D497</x:f>
        <x:v>0</x:v>
      </x:c>
      <x:c r="K497" s="19" t="n">
        <x:f>IFERROR(ABS(J497/D497),0)</x:f>
        <x:v>0</x:v>
      </x:c>
    </x:row>
    <x:row r="498">
      <x:c r="A498" s="13" t="str">
        <x:v>CON-000497</x:v>
      </x:c>
      <x:c r="B498" s="23" t="n">
        <x:v>45743</x:v>
      </x:c>
      <x:c r="C498" s="13" t="str">
        <x:v>Bradesco Pagamentos</x:v>
      </x:c>
      <x:c r="D498" s="17" t="n">
        <x:v>15462.56</x:v>
      </x:c>
      <x:c r="E498" s="17" t="n">
        <x:v>15462.56</x:v>
      </x:c>
      <x:c r="F498" s="13" t="str">
        <x:v>Conciliado</x:v>
      </x:c>
      <x:c r="G498" s="13" t="str">
        <x:v>Sem divergência</x:v>
      </x:c>
      <x:c r="H498" s="13" t="n">
        <x:v>0.02</x:v>
      </x:c>
      <x:c r="I498" s="13" t="str">
        <x:v>Pico do descontrole</x:v>
      </x:c>
      <x:c r="J498" s="17" t="n">
        <x:f>E498-D498</x:f>
        <x:v>0</x:v>
      </x:c>
      <x:c r="K498" s="19" t="n">
        <x:f>IFERROR(ABS(J498/D498),0)</x:f>
        <x:v>0</x:v>
      </x:c>
    </x:row>
    <x:row r="499">
      <x:c r="A499" s="13" t="str">
        <x:v>CON-000498</x:v>
      </x:c>
      <x:c r="B499" s="23" t="n">
        <x:v>45733</x:v>
      </x:c>
      <x:c r="C499" s="13" t="str">
        <x:v>Bradesco Pagamentos</x:v>
      </x:c>
      <x:c r="D499" s="17" t="n">
        <x:v>12587.26</x:v>
      </x:c>
      <x:c r="E499" s="17" t="n">
        <x:v>12587.26</x:v>
      </x:c>
      <x:c r="F499" s="13" t="str">
        <x:v>Conciliado</x:v>
      </x:c>
      <x:c r="G499" s="13" t="str">
        <x:v>Sem divergência</x:v>
      </x:c>
      <x:c r="H499" s="13" t="n">
        <x:v>0.29</x:v>
      </x:c>
      <x:c r="I499" s="13" t="str">
        <x:v>Pico do descontrole</x:v>
      </x:c>
      <x:c r="J499" s="17" t="n">
        <x:f>E499-D499</x:f>
        <x:v>0</x:v>
      </x:c>
      <x:c r="K499" s="19" t="n">
        <x:f>IFERROR(ABS(J499/D499),0)</x:f>
        <x:v>0</x:v>
      </x:c>
    </x:row>
    <x:row r="500">
      <x:c r="A500" s="13" t="str">
        <x:v>CON-000499</x:v>
      </x:c>
      <x:c r="B500" s="23" t="n">
        <x:v>45719</x:v>
      </x:c>
      <x:c r="C500" s="13" t="str">
        <x:v>Itaú Operacional</x:v>
      </x:c>
      <x:c r="D500" s="17" t="n">
        <x:v>36494.45</x:v>
      </x:c>
      <x:c r="E500" s="17" t="n">
        <x:v>36173.69</x:v>
      </x:c>
      <x:c r="F500" s="13" t="str">
        <x:v>Pendente</x:v>
      </x:c>
      <x:c r="G500" s="13" t="str">
        <x:v>Tarifa não cadastrada</x:v>
      </x:c>
      <x:c r="H500" s="13" t="n">
        <x:v>12.13</x:v>
      </x:c>
      <x:c r="I500" s="13" t="str">
        <x:v>Pico do descontrole</x:v>
      </x:c>
      <x:c r="J500" s="17" t="n">
        <x:f>E500-D500</x:f>
        <x:v>-320.75999999999476</x:v>
      </x:c>
      <x:c r="K500" s="19" t="n">
        <x:f>IFERROR(ABS(J500/D500),0)</x:f>
        <x:v>0.008789281657895784</x:v>
      </x:c>
    </x:row>
    <x:row r="501">
      <x:c r="A501" s="13" t="str">
        <x:v>CON-000500</x:v>
      </x:c>
      <x:c r="B501" s="23" t="n">
        <x:v>45728</x:v>
      </x:c>
      <x:c r="C501" s="13" t="str">
        <x:v>Santander Recebimentos</x:v>
      </x:c>
      <x:c r="D501" s="17" t="n">
        <x:v>33868.12</x:v>
      </x:c>
      <x:c r="E501" s="17" t="n">
        <x:v>34417.67</x:v>
      </x:c>
      <x:c r="F501" s="13" t="str">
        <x:v>Pendente</x:v>
      </x:c>
      <x:c r="G501" s="13" t="str">
        <x:v>Tarifa não cadastrada</x:v>
      </x:c>
      <x:c r="H501" s="13" t="n">
        <x:v>4.83</x:v>
      </x:c>
      <x:c r="I501" s="13" t="str">
        <x:v>Pico do descontrole</x:v>
      </x:c>
      <x:c r="J501" s="17" t="n">
        <x:f>E501-D501</x:f>
        <x:v>549.5499999999956</x:v>
      </x:c>
      <x:c r="K501" s="19" t="n">
        <x:f>IFERROR(ABS(J501/D501),0)</x:f>
        <x:v>0.016226173758685028</x:v>
      </x:c>
    </x:row>
    <x:row r="502">
      <x:c r="A502" s="13" t="str">
        <x:v>CON-000501</x:v>
      </x:c>
      <x:c r="B502" s="23" t="n">
        <x:v>45722</x:v>
      </x:c>
      <x:c r="C502" s="13" t="str">
        <x:v>Itaú Operacional</x:v>
      </x:c>
      <x:c r="D502" s="17" t="n">
        <x:v>31046.53</x:v>
      </x:c>
      <x:c r="E502" s="17" t="n">
        <x:v>31523.79</x:v>
      </x:c>
      <x:c r="F502" s="13" t="str">
        <x:v>Resolvido</x:v>
      </x:c>
      <x:c r="G502" s="13" t="str">
        <x:v>Tarifa não cadastrada</x:v>
      </x:c>
      <x:c r="H502" s="13" t="n">
        <x:v>3.59</x:v>
      </x:c>
      <x:c r="I502" s="13" t="str">
        <x:v>Pico do descontrole</x:v>
      </x:c>
      <x:c r="J502" s="17" t="n">
        <x:f>E502-D502</x:f>
        <x:v>477.26000000000204</x:v>
      </x:c>
      <x:c r="K502" s="19" t="n">
        <x:f>IFERROR(ABS(J502/D502),0)</x:f>
        <x:v>0.015372410378873325</x:v>
      </x:c>
    </x:row>
    <x:row r="503">
      <x:c r="A503" s="13" t="str">
        <x:v>CON-000502</x:v>
      </x:c>
      <x:c r="B503" s="23" t="n">
        <x:v>45724</x:v>
      </x:c>
      <x:c r="C503" s="13" t="str">
        <x:v>Bradesco Pagamentos</x:v>
      </x:c>
      <x:c r="D503" s="17" t="n">
        <x:v>14211.39</x:v>
      </x:c>
      <x:c r="E503" s="17" t="n">
        <x:v>13877.59</x:v>
      </x:c>
      <x:c r="F503" s="13" t="str">
        <x:v>Resolvido</x:v>
      </x:c>
      <x:c r="G503" s="13" t="str">
        <x:v>Valor divergente</x:v>
      </x:c>
      <x:c r="H503" s="13" t="n">
        <x:v>16.33</x:v>
      </x:c>
      <x:c r="I503" s="13" t="str">
        <x:v>Pico do descontrole</x:v>
      </x:c>
      <x:c r="J503" s="17" t="n">
        <x:f>E503-D503</x:f>
        <x:v>-333.7999999999993</x:v>
      </x:c>
      <x:c r="K503" s="19" t="n">
        <x:f>IFERROR(ABS(J503/D503),0)</x:f>
        <x:v>0.023488202068903837</x:v>
      </x:c>
    </x:row>
    <x:row r="504">
      <x:c r="A504" s="13" t="str">
        <x:v>CON-000503</x:v>
      </x:c>
      <x:c r="B504" s="23" t="n">
        <x:v>45727</x:v>
      </x:c>
      <x:c r="C504" s="13" t="str">
        <x:v>Bradesco Pagamentos</x:v>
      </x:c>
      <x:c r="D504" s="17" t="n">
        <x:v>41690.65</x:v>
      </x:c>
      <x:c r="E504" s="17" t="n">
        <x:v>41690.65</x:v>
      </x:c>
      <x:c r="F504" s="13" t="str">
        <x:v>Conciliado</x:v>
      </x:c>
      <x:c r="G504" s="13" t="str">
        <x:v>Sem divergência</x:v>
      </x:c>
      <x:c r="H504" s="13" t="n">
        <x:v>0.24</x:v>
      </x:c>
      <x:c r="I504" s="13" t="str">
        <x:v>Pico do descontrole</x:v>
      </x:c>
      <x:c r="J504" s="17" t="n">
        <x:f>E504-D504</x:f>
        <x:v>0</x:v>
      </x:c>
      <x:c r="K504" s="19" t="n">
        <x:f>IFERROR(ABS(J504/D504),0)</x:f>
        <x:v>0</x:v>
      </x:c>
    </x:row>
    <x:row r="505">
      <x:c r="A505" s="13" t="str">
        <x:v>CON-000504</x:v>
      </x:c>
      <x:c r="B505" s="23" t="n">
        <x:v>45740</x:v>
      </x:c>
      <x:c r="C505" s="13" t="str">
        <x:v>Itaú Operacional</x:v>
      </x:c>
      <x:c r="D505" s="17" t="n">
        <x:v>10260.13</x:v>
      </x:c>
      <x:c r="E505" s="17" t="n">
        <x:v>10260.13</x:v>
      </x:c>
      <x:c r="F505" s="13" t="str">
        <x:v>Conciliado</x:v>
      </x:c>
      <x:c r="G505" s="13" t="str">
        <x:v>Sem divergência</x:v>
      </x:c>
      <x:c r="H505" s="13" t="n">
        <x:v>0.25</x:v>
      </x:c>
      <x:c r="I505" s="13" t="str">
        <x:v>Pico do descontrole</x:v>
      </x:c>
      <x:c r="J505" s="17" t="n">
        <x:f>E505-D505</x:f>
        <x:v>0</x:v>
      </x:c>
      <x:c r="K505" s="19" t="n">
        <x:f>IFERROR(ABS(J505/D505),0)</x:f>
        <x:v>0</x:v>
      </x:c>
    </x:row>
    <x:row r="506">
      <x:c r="A506" s="13" t="str">
        <x:v>CON-000505</x:v>
      </x:c>
      <x:c r="B506" s="23" t="n">
        <x:v>45741</x:v>
      </x:c>
      <x:c r="C506" s="13" t="str">
        <x:v>Itaú Operacional</x:v>
      </x:c>
      <x:c r="D506" s="17" t="n">
        <x:v>35640.06</x:v>
      </x:c>
      <x:c r="E506" s="17" t="n">
        <x:v>35640.06</x:v>
      </x:c>
      <x:c r="F506" s="13" t="str">
        <x:v>Conciliado</x:v>
      </x:c>
      <x:c r="G506" s="13" t="str">
        <x:v>Sem divergência</x:v>
      </x:c>
      <x:c r="H506" s="13" t="n">
        <x:v>0.08</x:v>
      </x:c>
      <x:c r="I506" s="13" t="str">
        <x:v>Pico do descontrole</x:v>
      </x:c>
      <x:c r="J506" s="17" t="n">
        <x:f>E506-D506</x:f>
        <x:v>0</x:v>
      </x:c>
      <x:c r="K506" s="19" t="n">
        <x:f>IFERROR(ABS(J506/D506),0)</x:f>
        <x:v>0</x:v>
      </x:c>
    </x:row>
    <x:row r="507">
      <x:c r="A507" s="13" t="str">
        <x:v>CON-000506</x:v>
      </x:c>
      <x:c r="B507" s="23" t="n">
        <x:v>45719</x:v>
      </x:c>
      <x:c r="C507" s="13" t="str">
        <x:v>Bradesco Pagamentos</x:v>
      </x:c>
      <x:c r="D507" s="17" t="n">
        <x:v>27536.85</x:v>
      </x:c>
      <x:c r="E507" s="17" t="n">
        <x:v>27536.85</x:v>
      </x:c>
      <x:c r="F507" s="13" t="str">
        <x:v>Conciliado</x:v>
      </x:c>
      <x:c r="G507" s="13" t="str">
        <x:v>Sem divergência</x:v>
      </x:c>
      <x:c r="H507" s="13" t="n">
        <x:v>0.28</x:v>
      </x:c>
      <x:c r="I507" s="13" t="str">
        <x:v>Pico do descontrole</x:v>
      </x:c>
      <x:c r="J507" s="17" t="n">
        <x:f>E507-D507</x:f>
        <x:v>0</x:v>
      </x:c>
      <x:c r="K507" s="19" t="n">
        <x:f>IFERROR(ABS(J507/D507),0)</x:f>
        <x:v>0</x:v>
      </x:c>
    </x:row>
    <x:row r="508">
      <x:c r="A508" s="13" t="str">
        <x:v>CON-000507</x:v>
      </x:c>
      <x:c r="B508" s="23" t="n">
        <x:v>45726</x:v>
      </x:c>
      <x:c r="C508" s="13" t="str">
        <x:v>Santander Recebimentos</x:v>
      </x:c>
      <x:c r="D508" s="17" t="n">
        <x:v>37897.28</x:v>
      </x:c>
      <x:c r="E508" s="17" t="n">
        <x:v>37897.28</x:v>
      </x:c>
      <x:c r="F508" s="13" t="str">
        <x:v>Conciliado</x:v>
      </x:c>
      <x:c r="G508" s="13" t="str">
        <x:v>Sem divergência</x:v>
      </x:c>
      <x:c r="H508" s="13" t="n">
        <x:v>0.1</x:v>
      </x:c>
      <x:c r="I508" s="13" t="str">
        <x:v>Pico do descontrole</x:v>
      </x:c>
      <x:c r="J508" s="17" t="n">
        <x:f>E508-D508</x:f>
        <x:v>0</x:v>
      </x:c>
      <x:c r="K508" s="19" t="n">
        <x:f>IFERROR(ABS(J508/D508),0)</x:f>
        <x:v>0</x:v>
      </x:c>
    </x:row>
    <x:row r="509">
      <x:c r="A509" s="13" t="str">
        <x:v>CON-000508</x:v>
      </x:c>
      <x:c r="B509" s="23" t="n">
        <x:v>45729</x:v>
      </x:c>
      <x:c r="C509" s="13" t="str">
        <x:v>Itaú Operacional</x:v>
      </x:c>
      <x:c r="D509" s="17" t="n">
        <x:v>18250.24</x:v>
      </x:c>
      <x:c r="E509" s="17" t="n">
        <x:v>18250.24</x:v>
      </x:c>
      <x:c r="F509" s="13" t="str">
        <x:v>Conciliado</x:v>
      </x:c>
      <x:c r="G509" s="13" t="str">
        <x:v>Sem divergência</x:v>
      </x:c>
      <x:c r="H509" s="13" t="n">
        <x:v>0.44</x:v>
      </x:c>
      <x:c r="I509" s="13" t="str">
        <x:v>Pico do descontrole</x:v>
      </x:c>
      <x:c r="J509" s="17" t="n">
        <x:f>E509-D509</x:f>
        <x:v>0</x:v>
      </x:c>
      <x:c r="K509" s="19" t="n">
        <x:f>IFERROR(ABS(J509/D509),0)</x:f>
        <x:v>0</x:v>
      </x:c>
    </x:row>
    <x:row r="510">
      <x:c r="A510" s="13" t="str">
        <x:v>CON-000509</x:v>
      </x:c>
      <x:c r="B510" s="23" t="n">
        <x:v>45741</x:v>
      </x:c>
      <x:c r="C510" s="13" t="str">
        <x:v>Itaú Operacional</x:v>
      </x:c>
      <x:c r="D510" s="17" t="n">
        <x:v>9667.6</x:v>
      </x:c>
      <x:c r="E510" s="17" t="n">
        <x:v>9530.84</x:v>
      </x:c>
      <x:c r="F510" s="13" t="str">
        <x:v>Resolvido</x:v>
      </x:c>
      <x:c r="G510" s="13" t="str">
        <x:v>Lançamento sem documento</x:v>
      </x:c>
      <x:c r="H510" s="13" t="n">
        <x:v>2.34</x:v>
      </x:c>
      <x:c r="I510" s="13" t="str">
        <x:v>Pico do descontrole</x:v>
      </x:c>
      <x:c r="J510" s="17" t="n">
        <x:f>E510-D510</x:f>
        <x:v>-136.76000000000022</x:v>
      </x:c>
      <x:c r="K510" s="19" t="n">
        <x:f>IFERROR(ABS(J510/D510),0)</x:f>
        <x:v>0.014146220364930304</x:v>
      </x:c>
    </x:row>
    <x:row r="511">
      <x:c r="A511" s="13" t="str">
        <x:v>CON-000510</x:v>
      </x:c>
      <x:c r="B511" s="23" t="n">
        <x:v>45726</x:v>
      </x:c>
      <x:c r="C511" s="13" t="str">
        <x:v>Nubank Serviços</x:v>
      </x:c>
      <x:c r="D511" s="17" t="n">
        <x:v>32955.4</x:v>
      </x:c>
      <x:c r="E511" s="17" t="n">
        <x:v>33348.74</x:v>
      </x:c>
      <x:c r="F511" s="13" t="str">
        <x:v>Pendente</x:v>
      </x:c>
      <x:c r="G511" s="13" t="str">
        <x:v>Valor divergente</x:v>
      </x:c>
      <x:c r="H511" s="13" t="n">
        <x:v>6.68</x:v>
      </x:c>
      <x:c r="I511" s="13" t="str">
        <x:v>Pico do descontrole</x:v>
      </x:c>
      <x:c r="J511" s="17" t="n">
        <x:f>E511-D511</x:f>
        <x:v>393.3399999999965</x:v>
      </x:c>
      <x:c r="K511" s="19" t="n">
        <x:f>IFERROR(ABS(J511/D511),0)</x:f>
        <x:v>0.011935524982248629</x:v>
      </x:c>
    </x:row>
    <x:row r="512">
      <x:c r="A512" s="13" t="str">
        <x:v>CON-000511</x:v>
      </x:c>
      <x:c r="B512" s="23" t="n">
        <x:v>45733</x:v>
      </x:c>
      <x:c r="C512" s="13" t="str">
        <x:v>Itaú Operacional</x:v>
      </x:c>
      <x:c r="D512" s="17" t="n">
        <x:v>13178.22</x:v>
      </x:c>
      <x:c r="E512" s="17" t="n">
        <x:v>13178.22</x:v>
      </x:c>
      <x:c r="F512" s="13" t="str">
        <x:v>Conciliado</x:v>
      </x:c>
      <x:c r="G512" s="13" t="str">
        <x:v>Sem divergência</x:v>
      </x:c>
      <x:c r="H512" s="13" t="n">
        <x:v>0.18</x:v>
      </x:c>
      <x:c r="I512" s="13" t="str">
        <x:v>Pico do descontrole</x:v>
      </x:c>
      <x:c r="J512" s="17" t="n">
        <x:f>E512-D512</x:f>
        <x:v>0</x:v>
      </x:c>
      <x:c r="K512" s="19" t="n">
        <x:f>IFERROR(ABS(J512/D512),0)</x:f>
        <x:v>0</x:v>
      </x:c>
    </x:row>
    <x:row r="513">
      <x:c r="A513" s="13" t="str">
        <x:v>CON-000512</x:v>
      </x:c>
      <x:c r="B513" s="23" t="n">
        <x:v>45722</x:v>
      </x:c>
      <x:c r="C513" s="13" t="str">
        <x:v>Santander Recebimentos</x:v>
      </x:c>
      <x:c r="D513" s="17" t="n">
        <x:v>32844.58</x:v>
      </x:c>
      <x:c r="E513" s="17" t="n">
        <x:v>32844.58</x:v>
      </x:c>
      <x:c r="F513" s="13" t="str">
        <x:v>Conciliado</x:v>
      </x:c>
      <x:c r="G513" s="13" t="str">
        <x:v>Sem divergência</x:v>
      </x:c>
      <x:c r="H513" s="13" t="n">
        <x:v>0.24</x:v>
      </x:c>
      <x:c r="I513" s="13" t="str">
        <x:v>Pico do descontrole</x:v>
      </x:c>
      <x:c r="J513" s="17" t="n">
        <x:f>E513-D513</x:f>
        <x:v>0</x:v>
      </x:c>
      <x:c r="K513" s="19" t="n">
        <x:f>IFERROR(ABS(J513/D513),0)</x:f>
        <x:v>0</x:v>
      </x:c>
    </x:row>
    <x:row r="514">
      <x:c r="A514" s="13" t="str">
        <x:v>CON-000513</x:v>
      </x:c>
      <x:c r="B514" s="23" t="n">
        <x:v>45738</x:v>
      </x:c>
      <x:c r="C514" s="13" t="str">
        <x:v>Nubank Serviços</x:v>
      </x:c>
      <x:c r="D514" s="17" t="n">
        <x:v>29343.63</x:v>
      </x:c>
      <x:c r="E514" s="17" t="n">
        <x:v>28986.58</x:v>
      </x:c>
      <x:c r="F514" s="13" t="str">
        <x:v>Resolvido</x:v>
      </x:c>
      <x:c r="G514" s="13" t="str">
        <x:v>Lançamento sem documento</x:v>
      </x:c>
      <x:c r="H514" s="13" t="n">
        <x:v>15.06</x:v>
      </x:c>
      <x:c r="I514" s="13" t="str">
        <x:v>Pico do descontrole</x:v>
      </x:c>
      <x:c r="J514" s="17" t="n">
        <x:f>E514-D514</x:f>
        <x:v>-357.0499999999993</x:v>
      </x:c>
      <x:c r="K514" s="19" t="n">
        <x:f>IFERROR(ABS(J514/D514),0)</x:f>
        <x:v>0.012167887885718272</x:v>
      </x:c>
    </x:row>
    <x:row r="515">
      <x:c r="A515" s="13" t="str">
        <x:v>CON-000514</x:v>
      </x:c>
      <x:c r="B515" s="23" t="n">
        <x:v>45720</x:v>
      </x:c>
      <x:c r="C515" s="13" t="str">
        <x:v>Bradesco Pagamentos</x:v>
      </x:c>
      <x:c r="D515" s="17" t="n">
        <x:v>25954.17</x:v>
      </x:c>
      <x:c r="E515" s="17" t="n">
        <x:v>25954.17</x:v>
      </x:c>
      <x:c r="F515" s="13" t="str">
        <x:v>Conciliado</x:v>
      </x:c>
      <x:c r="G515" s="13" t="str">
        <x:v>Sem divergência</x:v>
      </x:c>
      <x:c r="H515" s="13" t="n">
        <x:v>0.23</x:v>
      </x:c>
      <x:c r="I515" s="13" t="str">
        <x:v>Pico do descontrole</x:v>
      </x:c>
      <x:c r="J515" s="17" t="n">
        <x:f>E515-D515</x:f>
        <x:v>0</x:v>
      </x:c>
      <x:c r="K515" s="19" t="n">
        <x:f>IFERROR(ABS(J515/D515),0)</x:f>
        <x:v>0</x:v>
      </x:c>
    </x:row>
    <x:row r="516">
      <x:c r="A516" s="13" t="str">
        <x:v>CON-000515</x:v>
      </x:c>
      <x:c r="B516" s="23" t="n">
        <x:v>45735</x:v>
      </x:c>
      <x:c r="C516" s="13" t="str">
        <x:v>Santander Recebimentos</x:v>
      </x:c>
      <x:c r="D516" s="17" t="n">
        <x:v>26500.68</x:v>
      </x:c>
      <x:c r="E516" s="17" t="n">
        <x:v>26500.68</x:v>
      </x:c>
      <x:c r="F516" s="13" t="str">
        <x:v>Conciliado</x:v>
      </x:c>
      <x:c r="G516" s="13" t="str">
        <x:v>Sem divergência</x:v>
      </x:c>
      <x:c r="H516" s="13" t="n">
        <x:v>0.3</x:v>
      </x:c>
      <x:c r="I516" s="13" t="str">
        <x:v>Pico do descontrole</x:v>
      </x:c>
      <x:c r="J516" s="17" t="n">
        <x:f>E516-D516</x:f>
        <x:v>0</x:v>
      </x:c>
      <x:c r="K516" s="19" t="n">
        <x:f>IFERROR(ABS(J516/D516),0)</x:f>
        <x:v>0</x:v>
      </x:c>
    </x:row>
    <x:row r="517">
      <x:c r="A517" s="13" t="str">
        <x:v>CON-000516</x:v>
      </x:c>
      <x:c r="B517" s="23" t="n">
        <x:v>45744</x:v>
      </x:c>
      <x:c r="C517" s="13" t="str">
        <x:v>Santander Recebimentos</x:v>
      </x:c>
      <x:c r="D517" s="17" t="n">
        <x:v>26392.95</x:v>
      </x:c>
      <x:c r="E517" s="17" t="n">
        <x:v>26392.95</x:v>
      </x:c>
      <x:c r="F517" s="13" t="str">
        <x:v>Conciliado</x:v>
      </x:c>
      <x:c r="G517" s="13" t="str">
        <x:v>Sem divergência</x:v>
      </x:c>
      <x:c r="H517" s="13" t="n">
        <x:v>0.03</x:v>
      </x:c>
      <x:c r="I517" s="13" t="str">
        <x:v>Pico do descontrole</x:v>
      </x:c>
      <x:c r="J517" s="17" t="n">
        <x:f>E517-D517</x:f>
        <x:v>0</x:v>
      </x:c>
      <x:c r="K517" s="19" t="n">
        <x:f>IFERROR(ABS(J517/D517),0)</x:f>
        <x:v>0</x:v>
      </x:c>
    </x:row>
    <x:row r="518">
      <x:c r="A518" s="13" t="str">
        <x:v>CON-000517</x:v>
      </x:c>
      <x:c r="B518" s="23" t="n">
        <x:v>45737</x:v>
      </x:c>
      <x:c r="C518" s="13" t="str">
        <x:v>Nubank Serviços</x:v>
      </x:c>
      <x:c r="D518" s="17" t="n">
        <x:v>13118.83</x:v>
      </x:c>
      <x:c r="E518" s="17" t="n">
        <x:v>12851.19</x:v>
      </x:c>
      <x:c r="F518" s="13" t="str">
        <x:v>Pendente</x:v>
      </x:c>
      <x:c r="G518" s="13" t="str">
        <x:v>Lançamento sem documento</x:v>
      </x:c>
      <x:c r="H518" s="13" t="n">
        <x:v>1.73</x:v>
      </x:c>
      <x:c r="I518" s="13" t="str">
        <x:v>Pico do descontrole</x:v>
      </x:c>
      <x:c r="J518" s="17" t="n">
        <x:f>E518-D518</x:f>
        <x:v>-267.6399999999994</x:v>
      </x:c>
      <x:c r="K518" s="19" t="n">
        <x:f>IFERROR(ABS(J518/D518),0)</x:f>
        <x:v>0.020401209559084112</x:v>
      </x:c>
    </x:row>
    <x:row r="519">
      <x:c r="A519" s="13" t="str">
        <x:v>CON-000518</x:v>
      </x:c>
      <x:c r="B519" s="23" t="n">
        <x:v>45721</x:v>
      </x:c>
      <x:c r="C519" s="13" t="str">
        <x:v>Bradesco Pagamentos</x:v>
      </x:c>
      <x:c r="D519" s="17" t="n">
        <x:v>10925.76</x:v>
      </x:c>
      <x:c r="E519" s="17" t="n">
        <x:v>10925.76</x:v>
      </x:c>
      <x:c r="F519" s="13" t="str">
        <x:v>Conciliado</x:v>
      </x:c>
      <x:c r="G519" s="13" t="str">
        <x:v>Sem divergência</x:v>
      </x:c>
      <x:c r="H519" s="13" t="n">
        <x:v>0.26</x:v>
      </x:c>
      <x:c r="I519" s="13" t="str">
        <x:v>Pico do descontrole</x:v>
      </x:c>
      <x:c r="J519" s="17" t="n">
        <x:f>E519-D519</x:f>
        <x:v>0</x:v>
      </x:c>
      <x:c r="K519" s="19" t="n">
        <x:f>IFERROR(ABS(J519/D519),0)</x:f>
        <x:v>0</x:v>
      </x:c>
    </x:row>
    <x:row r="520">
      <x:c r="A520" s="13" t="str">
        <x:v>CON-000519</x:v>
      </x:c>
      <x:c r="B520" s="23" t="n">
        <x:v>45731</x:v>
      </x:c>
      <x:c r="C520" s="13" t="str">
        <x:v>Bradesco Pagamentos</x:v>
      </x:c>
      <x:c r="D520" s="17" t="n">
        <x:v>40499.69</x:v>
      </x:c>
      <x:c r="E520" s="17" t="n">
        <x:v>40499.69</x:v>
      </x:c>
      <x:c r="F520" s="13" t="str">
        <x:v>Conciliado</x:v>
      </x:c>
      <x:c r="G520" s="13" t="str">
        <x:v>Sem divergência</x:v>
      </x:c>
      <x:c r="H520" s="13" t="n">
        <x:v>0.05</x:v>
      </x:c>
      <x:c r="I520" s="13" t="str">
        <x:v>Pico do descontrole</x:v>
      </x:c>
      <x:c r="J520" s="17" t="n">
        <x:f>E520-D520</x:f>
        <x:v>0</x:v>
      </x:c>
      <x:c r="K520" s="19" t="n">
        <x:f>IFERROR(ABS(J520/D520),0)</x:f>
        <x:v>0</x:v>
      </x:c>
    </x:row>
    <x:row r="521">
      <x:c r="A521" s="13" t="str">
        <x:v>CON-000520</x:v>
      </x:c>
      <x:c r="B521" s="23" t="n">
        <x:v>45737</x:v>
      </x:c>
      <x:c r="C521" s="13" t="str">
        <x:v>Nubank Serviços</x:v>
      </x:c>
      <x:c r="D521" s="17" t="n">
        <x:v>35470.26</x:v>
      </x:c>
      <x:c r="E521" s="17" t="n">
        <x:v>35158.83</x:v>
      </x:c>
      <x:c r="F521" s="13" t="str">
        <x:v>Pendente</x:v>
      </x:c>
      <x:c r="G521" s="13" t="str">
        <x:v>Valor divergente</x:v>
      </x:c>
      <x:c r="H521" s="13" t="n">
        <x:v>17.72</x:v>
      </x:c>
      <x:c r="I521" s="13" t="str">
        <x:v>Pico do descontrole</x:v>
      </x:c>
      <x:c r="J521" s="17" t="n">
        <x:f>E521-D521</x:f>
        <x:v>-311.4300000000003</x:v>
      </x:c>
      <x:c r="K521" s="19" t="n">
        <x:f>IFERROR(ABS(J521/D521),0)</x:f>
        <x:v>0.008780031496808883</x:v>
      </x:c>
    </x:row>
    <x:row r="522">
      <x:c r="A522" s="13" t="str">
        <x:v>CON-000521</x:v>
      </x:c>
      <x:c r="B522" s="23" t="n">
        <x:v>45721</x:v>
      </x:c>
      <x:c r="C522" s="13" t="str">
        <x:v>Bradesco Pagamentos</x:v>
      </x:c>
      <x:c r="D522" s="17" t="n">
        <x:v>6002.91</x:v>
      </x:c>
      <x:c r="E522" s="17" t="n">
        <x:v>5775.13</x:v>
      </x:c>
      <x:c r="F522" s="13" t="str">
        <x:v>Pendente</x:v>
      </x:c>
      <x:c r="G522" s="13" t="str">
        <x:v>Duplicidade</x:v>
      </x:c>
      <x:c r="H522" s="13" t="n">
        <x:v>15.83</x:v>
      </x:c>
      <x:c r="I522" s="13" t="str">
        <x:v>Pico do descontrole</x:v>
      </x:c>
      <x:c r="J522" s="17" t="n">
        <x:f>E522-D522</x:f>
        <x:v>-227.77999999999975</x:v>
      </x:c>
      <x:c r="K522" s="19" t="n">
        <x:f>IFERROR(ABS(J522/D522),0)</x:f>
        <x:v>0.03794493004226279</x:v>
      </x:c>
    </x:row>
    <x:row r="523">
      <x:c r="A523" s="13" t="str">
        <x:v>CON-000522</x:v>
      </x:c>
      <x:c r="B523" s="23" t="n">
        <x:v>45718</x:v>
      </x:c>
      <x:c r="C523" s="13" t="str">
        <x:v>Bradesco Pagamentos</x:v>
      </x:c>
      <x:c r="D523" s="17" t="n">
        <x:v>23970.65</x:v>
      </x:c>
      <x:c r="E523" s="17" t="n">
        <x:v>23970.65</x:v>
      </x:c>
      <x:c r="F523" s="13" t="str">
        <x:v>Conciliado</x:v>
      </x:c>
      <x:c r="G523" s="13" t="str">
        <x:v>Sem divergência</x:v>
      </x:c>
      <x:c r="H523" s="13" t="n">
        <x:v>0.25</x:v>
      </x:c>
      <x:c r="I523" s="13" t="str">
        <x:v>Pico do descontrole</x:v>
      </x:c>
      <x:c r="J523" s="17" t="n">
        <x:f>E523-D523</x:f>
        <x:v>0</x:v>
      </x:c>
      <x:c r="K523" s="19" t="n">
        <x:f>IFERROR(ABS(J523/D523),0)</x:f>
        <x:v>0</x:v>
      </x:c>
    </x:row>
    <x:row r="524">
      <x:c r="A524" s="13" t="str">
        <x:v>CON-000523</x:v>
      </x:c>
      <x:c r="B524" s="23" t="n">
        <x:v>45721</x:v>
      </x:c>
      <x:c r="C524" s="13" t="str">
        <x:v>Bradesco Pagamentos</x:v>
      </x:c>
      <x:c r="D524" s="17" t="n">
        <x:v>31496.43</x:v>
      </x:c>
      <x:c r="E524" s="17" t="n">
        <x:v>31496.43</x:v>
      </x:c>
      <x:c r="F524" s="13" t="str">
        <x:v>Conciliado</x:v>
      </x:c>
      <x:c r="G524" s="13" t="str">
        <x:v>Sem divergência</x:v>
      </x:c>
      <x:c r="H524" s="13" t="n">
        <x:v>0.13</x:v>
      </x:c>
      <x:c r="I524" s="13" t="str">
        <x:v>Pico do descontrole</x:v>
      </x:c>
      <x:c r="J524" s="17" t="n">
        <x:f>E524-D524</x:f>
        <x:v>0</x:v>
      </x:c>
      <x:c r="K524" s="19" t="n">
        <x:f>IFERROR(ABS(J524/D524),0)</x:f>
        <x:v>0</x:v>
      </x:c>
    </x:row>
    <x:row r="525">
      <x:c r="A525" s="13" t="str">
        <x:v>CON-000524</x:v>
      </x:c>
      <x:c r="B525" s="23" t="n">
        <x:v>45730</x:v>
      </x:c>
      <x:c r="C525" s="13" t="str">
        <x:v>Itaú Operacional</x:v>
      </x:c>
      <x:c r="D525" s="17" t="n">
        <x:v>34901.23</x:v>
      </x:c>
      <x:c r="E525" s="17" t="n">
        <x:v>34901.23</x:v>
      </x:c>
      <x:c r="F525" s="13" t="str">
        <x:v>Conciliado</x:v>
      </x:c>
      <x:c r="G525" s="13" t="str">
        <x:v>Sem divergência</x:v>
      </x:c>
      <x:c r="H525" s="13" t="n">
        <x:v>0.22</x:v>
      </x:c>
      <x:c r="I525" s="13" t="str">
        <x:v>Pico do descontrole</x:v>
      </x:c>
      <x:c r="J525" s="17" t="n">
        <x:f>E525-D525</x:f>
        <x:v>0</x:v>
      </x:c>
      <x:c r="K525" s="19" t="n">
        <x:f>IFERROR(ABS(J525/D525),0)</x:f>
        <x:v>0</x:v>
      </x:c>
    </x:row>
    <x:row r="526">
      <x:c r="A526" s="13" t="str">
        <x:v>CON-000525</x:v>
      </x:c>
      <x:c r="B526" s="23" t="n">
        <x:v>45721</x:v>
      </x:c>
      <x:c r="C526" s="13" t="str">
        <x:v>Santander Recebimentos</x:v>
      </x:c>
      <x:c r="D526" s="17" t="n">
        <x:v>37348.72</x:v>
      </x:c>
      <x:c r="E526" s="17" t="n">
        <x:v>37348.72</x:v>
      </x:c>
      <x:c r="F526" s="13" t="str">
        <x:v>Conciliado</x:v>
      </x:c>
      <x:c r="G526" s="13" t="str">
        <x:v>Sem divergência</x:v>
      </x:c>
      <x:c r="H526" s="13" t="n">
        <x:v>0.43</x:v>
      </x:c>
      <x:c r="I526" s="13" t="str">
        <x:v>Pico do descontrole</x:v>
      </x:c>
      <x:c r="J526" s="17" t="n">
        <x:f>E526-D526</x:f>
        <x:v>0</x:v>
      </x:c>
      <x:c r="K526" s="19" t="n">
        <x:f>IFERROR(ABS(J526/D526),0)</x:f>
        <x:v>0</x:v>
      </x:c>
    </x:row>
    <x:row r="527">
      <x:c r="A527" s="13" t="str">
        <x:v>CON-000526</x:v>
      </x:c>
      <x:c r="B527" s="23" t="n">
        <x:v>45754</x:v>
      </x:c>
      <x:c r="C527" s="13" t="str">
        <x:v>Nubank Serviços</x:v>
      </x:c>
      <x:c r="D527" s="17" t="n">
        <x:v>31454.21</x:v>
      </x:c>
      <x:c r="E527" s="17" t="n">
        <x:v>31454.21</x:v>
      </x:c>
      <x:c r="F527" s="13" t="str">
        <x:v>Conciliado</x:v>
      </x:c>
      <x:c r="G527" s="13" t="str">
        <x:v>Sem divergência</x:v>
      </x:c>
      <x:c r="H527" s="13" t="n">
        <x:v>0.27</x:v>
      </x:c>
      <x:c r="I527" s="13" t="str">
        <x:v>Pico do descontrole</x:v>
      </x:c>
      <x:c r="J527" s="17" t="n">
        <x:f>E527-D527</x:f>
        <x:v>0</x:v>
      </x:c>
      <x:c r="K527" s="19" t="n">
        <x:f>IFERROR(ABS(J527/D527),0)</x:f>
        <x:v>0</x:v>
      </x:c>
    </x:row>
    <x:row r="528">
      <x:c r="A528" s="13" t="str">
        <x:v>CON-000527</x:v>
      </x:c>
      <x:c r="B528" s="23" t="n">
        <x:v>45764</x:v>
      </x:c>
      <x:c r="C528" s="13" t="str">
        <x:v>Santander Recebimentos</x:v>
      </x:c>
      <x:c r="D528" s="17" t="n">
        <x:v>17951.21</x:v>
      </x:c>
      <x:c r="E528" s="17" t="n">
        <x:v>17606.59</x:v>
      </x:c>
      <x:c r="F528" s="13" t="str">
        <x:v>Resolvido</x:v>
      </x:c>
      <x:c r="G528" s="13" t="str">
        <x:v>Baixa incorreta</x:v>
      </x:c>
      <x:c r="H528" s="13" t="n">
        <x:v>11.84</x:v>
      </x:c>
      <x:c r="I528" s="13" t="str">
        <x:v>Pico do descontrole</x:v>
      </x:c>
      <x:c r="J528" s="17" t="n">
        <x:f>E528-D528</x:f>
        <x:v>-344.619999999999</x:v>
      </x:c>
      <x:c r="K528" s="19" t="n">
        <x:f>IFERROR(ABS(J528/D528),0)</x:f>
        <x:v>0.019197591694375977</x:v>
      </x:c>
    </x:row>
    <x:row r="529">
      <x:c r="A529" s="13" t="str">
        <x:v>CON-000528</x:v>
      </x:c>
      <x:c r="B529" s="23" t="n">
        <x:v>45754</x:v>
      </x:c>
      <x:c r="C529" s="13" t="str">
        <x:v>Itaú Operacional</x:v>
      </x:c>
      <x:c r="D529" s="17" t="n">
        <x:v>9457.31</x:v>
      </x:c>
      <x:c r="E529" s="17" t="n">
        <x:v>9364.71</x:v>
      </x:c>
      <x:c r="F529" s="13" t="str">
        <x:v>Pendente</x:v>
      </x:c>
      <x:c r="G529" s="13" t="str">
        <x:v>Tarifa não cadastrada</x:v>
      </x:c>
      <x:c r="H529" s="13" t="n">
        <x:v>4.96</x:v>
      </x:c>
      <x:c r="I529" s="13" t="str">
        <x:v>Pico do descontrole</x:v>
      </x:c>
      <x:c r="J529" s="17" t="n">
        <x:f>E529-D529</x:f>
        <x:v>-92.60000000000036</x:v>
      </x:c>
      <x:c r="K529" s="19" t="n">
        <x:f>IFERROR(ABS(J529/D529),0)</x:f>
        <x:v>0.009791367735645798</x:v>
      </x:c>
    </x:row>
    <x:row r="530">
      <x:c r="A530" s="13" t="str">
        <x:v>CON-000529</x:v>
      </x:c>
      <x:c r="B530" s="23" t="n">
        <x:v>45751</x:v>
      </x:c>
      <x:c r="C530" s="13" t="str">
        <x:v>Itaú Operacional</x:v>
      </x:c>
      <x:c r="D530" s="17" t="n">
        <x:v>3869.54</x:v>
      </x:c>
      <x:c r="E530" s="17" t="n">
        <x:v>3932.55</x:v>
      </x:c>
      <x:c r="F530" s="13" t="str">
        <x:v>Pendente</x:v>
      </x:c>
      <x:c r="G530" s="13" t="str">
        <x:v>Lançamento sem documento</x:v>
      </x:c>
      <x:c r="H530" s="13" t="n">
        <x:v>8.84</x:v>
      </x:c>
      <x:c r="I530" s="13" t="str">
        <x:v>Pico do descontrole</x:v>
      </x:c>
      <x:c r="J530" s="17" t="n">
        <x:f>E530-D530</x:f>
        <x:v>63.01000000000022</x:v>
      </x:c>
      <x:c r="K530" s="19" t="n">
        <x:f>IFERROR(ABS(J530/D530),0)</x:f>
        <x:v>0.016283589263840204</x:v>
      </x:c>
    </x:row>
    <x:row r="531">
      <x:c r="A531" s="13" t="str">
        <x:v>CON-000530</x:v>
      </x:c>
      <x:c r="B531" s="23" t="n">
        <x:v>45760</x:v>
      </x:c>
      <x:c r="C531" s="13" t="str">
        <x:v>Santander Recebimentos</x:v>
      </x:c>
      <x:c r="D531" s="17" t="n">
        <x:v>39669.91</x:v>
      </x:c>
      <x:c r="E531" s="17" t="n">
        <x:v>39445.16</x:v>
      </x:c>
      <x:c r="F531" s="13" t="str">
        <x:v>Pendente</x:v>
      </x:c>
      <x:c r="G531" s="13" t="str">
        <x:v>Baixa incorreta</x:v>
      </x:c>
      <x:c r="H531" s="13" t="n">
        <x:v>11.69</x:v>
      </x:c>
      <x:c r="I531" s="13" t="str">
        <x:v>Pico do descontrole</x:v>
      </x:c>
      <x:c r="J531" s="17" t="n">
        <x:f>E531-D531</x:f>
        <x:v>-224.75</x:v>
      </x:c>
      <x:c r="K531" s="19" t="n">
        <x:f>IFERROR(ABS(J531/D531),0)</x:f>
        <x:v>0.005665503148356021</x:v>
      </x:c>
    </x:row>
    <x:row r="532">
      <x:c r="A532" s="13" t="str">
        <x:v>CON-000531</x:v>
      </x:c>
      <x:c r="B532" s="23" t="n">
        <x:v>45757</x:v>
      </x:c>
      <x:c r="C532" s="13" t="str">
        <x:v>Nubank Serviços</x:v>
      </x:c>
      <x:c r="D532" s="17" t="n">
        <x:v>26009.94</x:v>
      </x:c>
      <x:c r="E532" s="17" t="n">
        <x:v>26123.17</x:v>
      </x:c>
      <x:c r="F532" s="13" t="str">
        <x:v>Pendente</x:v>
      </x:c>
      <x:c r="G532" s="13" t="str">
        <x:v>Baixa incorreta</x:v>
      </x:c>
      <x:c r="H532" s="13" t="n">
        <x:v>8.76</x:v>
      </x:c>
      <x:c r="I532" s="13" t="str">
        <x:v>Pico do descontrole</x:v>
      </x:c>
      <x:c r="J532" s="17" t="n">
        <x:f>E532-D532</x:f>
        <x:v>113.22999999999956</x:v>
      </x:c>
      <x:c r="K532" s="19" t="n">
        <x:f>IFERROR(ABS(J532/D532),0)</x:f>
        <x:v>0.004353335686279921</x:v>
      </x:c>
    </x:row>
    <x:row r="533">
      <x:c r="A533" s="13" t="str">
        <x:v>CON-000532</x:v>
      </x:c>
      <x:c r="B533" s="23" t="n">
        <x:v>45765</x:v>
      </x:c>
      <x:c r="C533" s="13" t="str">
        <x:v>Nubank Serviços</x:v>
      </x:c>
      <x:c r="D533" s="17" t="n">
        <x:v>44052.73</x:v>
      </x:c>
      <x:c r="E533" s="17" t="n">
        <x:v>44284.21</x:v>
      </x:c>
      <x:c r="F533" s="13" t="str">
        <x:v>Pendente</x:v>
      </x:c>
      <x:c r="G533" s="13" t="str">
        <x:v>Baixa incorreta</x:v>
      </x:c>
      <x:c r="H533" s="13" t="n">
        <x:v>15.09</x:v>
      </x:c>
      <x:c r="I533" s="13" t="str">
        <x:v>Pico do descontrole</x:v>
      </x:c>
      <x:c r="J533" s="17" t="n">
        <x:f>E533-D533</x:f>
        <x:v>231.47999999999593</x:v>
      </x:c>
      <x:c r="K533" s="19" t="n">
        <x:f>IFERROR(ABS(J533/D533),0)</x:f>
        <x:v>0.005254611916219402</x:v>
      </x:c>
    </x:row>
    <x:row r="534">
      <x:c r="A534" s="13" t="str">
        <x:v>CON-000533</x:v>
      </x:c>
      <x:c r="B534" s="23" t="n">
        <x:v>45754</x:v>
      </x:c>
      <x:c r="C534" s="13" t="str">
        <x:v>Nubank Serviços</x:v>
      </x:c>
      <x:c r="D534" s="17" t="n">
        <x:v>6402.76</x:v>
      </x:c>
      <x:c r="E534" s="17" t="n">
        <x:v>6402.76</x:v>
      </x:c>
      <x:c r="F534" s="13" t="str">
        <x:v>Conciliado</x:v>
      </x:c>
      <x:c r="G534" s="13" t="str">
        <x:v>Sem divergência</x:v>
      </x:c>
      <x:c r="H534" s="13" t="n">
        <x:v>0.39</x:v>
      </x:c>
      <x:c r="I534" s="13" t="str">
        <x:v>Pico do descontrole</x:v>
      </x:c>
      <x:c r="J534" s="17" t="n">
        <x:f>E534-D534</x:f>
        <x:v>0</x:v>
      </x:c>
      <x:c r="K534" s="19" t="n">
        <x:f>IFERROR(ABS(J534/D534),0)</x:f>
        <x:v>0</x:v>
      </x:c>
    </x:row>
    <x:row r="535">
      <x:c r="A535" s="13" t="str">
        <x:v>CON-000534</x:v>
      </x:c>
      <x:c r="B535" s="23" t="n">
        <x:v>45772</x:v>
      </x:c>
      <x:c r="C535" s="13" t="str">
        <x:v>Itaú Operacional</x:v>
      </x:c>
      <x:c r="D535" s="17" t="n">
        <x:v>28617.92</x:v>
      </x:c>
      <x:c r="E535" s="17" t="n">
        <x:v>28617.92</x:v>
      </x:c>
      <x:c r="F535" s="13" t="str">
        <x:v>Conciliado</x:v>
      </x:c>
      <x:c r="G535" s="13" t="str">
        <x:v>Sem divergência</x:v>
      </x:c>
      <x:c r="H535" s="13" t="n">
        <x:v>0.26</x:v>
      </x:c>
      <x:c r="I535" s="13" t="str">
        <x:v>Pico do descontrole</x:v>
      </x:c>
      <x:c r="J535" s="17" t="n">
        <x:f>E535-D535</x:f>
        <x:v>0</x:v>
      </x:c>
      <x:c r="K535" s="19" t="n">
        <x:f>IFERROR(ABS(J535/D535),0)</x:f>
        <x:v>0</x:v>
      </x:c>
    </x:row>
    <x:row r="536">
      <x:c r="A536" s="13" t="str">
        <x:v>CON-000535</x:v>
      </x:c>
      <x:c r="B536" s="23" t="n">
        <x:v>45767</x:v>
      </x:c>
      <x:c r="C536" s="13" t="str">
        <x:v>Santander Recebimentos</x:v>
      </x:c>
      <x:c r="D536" s="17" t="n">
        <x:v>9290.88</x:v>
      </x:c>
      <x:c r="E536" s="17" t="n">
        <x:v>9290.88</x:v>
      </x:c>
      <x:c r="F536" s="13" t="str">
        <x:v>Conciliado</x:v>
      </x:c>
      <x:c r="G536" s="13" t="str">
        <x:v>Sem divergência</x:v>
      </x:c>
      <x:c r="H536" s="13" t="n">
        <x:v>0.34</x:v>
      </x:c>
      <x:c r="I536" s="13" t="str">
        <x:v>Pico do descontrole</x:v>
      </x:c>
      <x:c r="J536" s="17" t="n">
        <x:f>E536-D536</x:f>
        <x:v>0</x:v>
      </x:c>
      <x:c r="K536" s="19" t="n">
        <x:f>IFERROR(ABS(J536/D536),0)</x:f>
        <x:v>0</x:v>
      </x:c>
    </x:row>
    <x:row r="537">
      <x:c r="A537" s="13" t="str">
        <x:v>CON-000536</x:v>
      </x:c>
      <x:c r="B537" s="23" t="n">
        <x:v>45771</x:v>
      </x:c>
      <x:c r="C537" s="13" t="str">
        <x:v>Santander Recebimentos</x:v>
      </x:c>
      <x:c r="D537" s="17" t="n">
        <x:v>13980.54</x:v>
      </x:c>
      <x:c r="E537" s="17" t="n">
        <x:v>13980.54</x:v>
      </x:c>
      <x:c r="F537" s="13" t="str">
        <x:v>Conciliado</x:v>
      </x:c>
      <x:c r="G537" s="13" t="str">
        <x:v>Sem divergência</x:v>
      </x:c>
      <x:c r="H537" s="13" t="n">
        <x:v>0.25</x:v>
      </x:c>
      <x:c r="I537" s="13" t="str">
        <x:v>Pico do descontrole</x:v>
      </x:c>
      <x:c r="J537" s="17" t="n">
        <x:f>E537-D537</x:f>
        <x:v>0</x:v>
      </x:c>
      <x:c r="K537" s="19" t="n">
        <x:f>IFERROR(ABS(J537/D537),0)</x:f>
        <x:v>0</x:v>
      </x:c>
    </x:row>
    <x:row r="538">
      <x:c r="A538" s="13" t="str">
        <x:v>CON-000537</x:v>
      </x:c>
      <x:c r="B538" s="23" t="n">
        <x:v>45769</x:v>
      </x:c>
      <x:c r="C538" s="13" t="str">
        <x:v>Nubank Serviços</x:v>
      </x:c>
      <x:c r="D538" s="17" t="n">
        <x:v>7406.13</x:v>
      </x:c>
      <x:c r="E538" s="17" t="n">
        <x:v>7406.13</x:v>
      </x:c>
      <x:c r="F538" s="13" t="str">
        <x:v>Conciliado</x:v>
      </x:c>
      <x:c r="G538" s="13" t="str">
        <x:v>Sem divergência</x:v>
      </x:c>
      <x:c r="H538" s="13" t="n">
        <x:v>0.09</x:v>
      </x:c>
      <x:c r="I538" s="13" t="str">
        <x:v>Pico do descontrole</x:v>
      </x:c>
      <x:c r="J538" s="17" t="n">
        <x:f>E538-D538</x:f>
        <x:v>0</x:v>
      </x:c>
      <x:c r="K538" s="19" t="n">
        <x:f>IFERROR(ABS(J538/D538),0)</x:f>
        <x:v>0</x:v>
      </x:c>
    </x:row>
    <x:row r="539">
      <x:c r="A539" s="13" t="str">
        <x:v>CON-000538</x:v>
      </x:c>
      <x:c r="B539" s="23" t="n">
        <x:v>45764</x:v>
      </x:c>
      <x:c r="C539" s="13" t="str">
        <x:v>Santander Recebimentos</x:v>
      </x:c>
      <x:c r="D539" s="17" t="n">
        <x:v>27727.73</x:v>
      </x:c>
      <x:c r="E539" s="17" t="n">
        <x:v>27727.73</x:v>
      </x:c>
      <x:c r="F539" s="13" t="str">
        <x:v>Conciliado</x:v>
      </x:c>
      <x:c r="G539" s="13" t="str">
        <x:v>Sem divergência</x:v>
      </x:c>
      <x:c r="H539" s="13" t="n">
        <x:v>0.29</x:v>
      </x:c>
      <x:c r="I539" s="13" t="str">
        <x:v>Pico do descontrole</x:v>
      </x:c>
      <x:c r="J539" s="17" t="n">
        <x:f>E539-D539</x:f>
        <x:v>0</x:v>
      </x:c>
      <x:c r="K539" s="19" t="n">
        <x:f>IFERROR(ABS(J539/D539),0)</x:f>
        <x:v>0</x:v>
      </x:c>
    </x:row>
    <x:row r="540">
      <x:c r="A540" s="13" t="str">
        <x:v>CON-000539</x:v>
      </x:c>
      <x:c r="B540" s="23" t="n">
        <x:v>45761</x:v>
      </x:c>
      <x:c r="C540" s="13" t="str">
        <x:v>Itaú Operacional</x:v>
      </x:c>
      <x:c r="D540" s="17" t="n">
        <x:v>18855.15</x:v>
      </x:c>
      <x:c r="E540" s="17" t="n">
        <x:v>18855.15</x:v>
      </x:c>
      <x:c r="F540" s="13" t="str">
        <x:v>Conciliado</x:v>
      </x:c>
      <x:c r="G540" s="13" t="str">
        <x:v>Sem divergência</x:v>
      </x:c>
      <x:c r="H540" s="13" t="n">
        <x:v>0.37</x:v>
      </x:c>
      <x:c r="I540" s="13" t="str">
        <x:v>Pico do descontrole</x:v>
      </x:c>
      <x:c r="J540" s="17" t="n">
        <x:f>E540-D540</x:f>
        <x:v>0</x:v>
      </x:c>
      <x:c r="K540" s="19" t="n">
        <x:f>IFERROR(ABS(J540/D540),0)</x:f>
        <x:v>0</x:v>
      </x:c>
    </x:row>
    <x:row r="541">
      <x:c r="A541" s="13" t="str">
        <x:v>CON-000540</x:v>
      </x:c>
      <x:c r="B541" s="23" t="n">
        <x:v>45756</x:v>
      </x:c>
      <x:c r="C541" s="13" t="str">
        <x:v>Itaú Operacional</x:v>
      </x:c>
      <x:c r="D541" s="17" t="n">
        <x:v>29702.1</x:v>
      </x:c>
      <x:c r="E541" s="17" t="n">
        <x:v>29702.1</x:v>
      </x:c>
      <x:c r="F541" s="13" t="str">
        <x:v>Conciliado</x:v>
      </x:c>
      <x:c r="G541" s="13" t="str">
        <x:v>Sem divergência</x:v>
      </x:c>
      <x:c r="H541" s="13" t="n">
        <x:v>0.08</x:v>
      </x:c>
      <x:c r="I541" s="13" t="str">
        <x:v>Pico do descontrole</x:v>
      </x:c>
      <x:c r="J541" s="17" t="n">
        <x:f>E541-D541</x:f>
        <x:v>0</x:v>
      </x:c>
      <x:c r="K541" s="19" t="n">
        <x:f>IFERROR(ABS(J541/D541),0)</x:f>
        <x:v>0</x:v>
      </x:c>
    </x:row>
    <x:row r="542">
      <x:c r="A542" s="13" t="str">
        <x:v>CON-000541</x:v>
      </x:c>
      <x:c r="B542" s="23" t="n">
        <x:v>45748</x:v>
      </x:c>
      <x:c r="C542" s="13" t="str">
        <x:v>Nubank Serviços</x:v>
      </x:c>
      <x:c r="D542" s="17" t="n">
        <x:v>3541.64</x:v>
      </x:c>
      <x:c r="E542" s="17" t="n">
        <x:v>3541.64</x:v>
      </x:c>
      <x:c r="F542" s="13" t="str">
        <x:v>Conciliado</x:v>
      </x:c>
      <x:c r="G542" s="13" t="str">
        <x:v>Sem divergência</x:v>
      </x:c>
      <x:c r="H542" s="13" t="n">
        <x:v>0.3</x:v>
      </x:c>
      <x:c r="I542" s="13" t="str">
        <x:v>Pico do descontrole</x:v>
      </x:c>
      <x:c r="J542" s="17" t="n">
        <x:f>E542-D542</x:f>
        <x:v>0</x:v>
      </x:c>
      <x:c r="K542" s="19" t="n">
        <x:f>IFERROR(ABS(J542/D542),0)</x:f>
        <x:v>0</x:v>
      </x:c>
    </x:row>
    <x:row r="543">
      <x:c r="A543" s="13" t="str">
        <x:v>CON-000542</x:v>
      </x:c>
      <x:c r="B543" s="23" t="n">
        <x:v>45772</x:v>
      </x:c>
      <x:c r="C543" s="13" t="str">
        <x:v>Santander Recebimentos</x:v>
      </x:c>
      <x:c r="D543" s="17" t="n">
        <x:v>1995.2</x:v>
      </x:c>
      <x:c r="E543" s="17" t="n">
        <x:v>1995.2</x:v>
      </x:c>
      <x:c r="F543" s="13" t="str">
        <x:v>Conciliado</x:v>
      </x:c>
      <x:c r="G543" s="13" t="str">
        <x:v>Sem divergência</x:v>
      </x:c>
      <x:c r="H543" s="13" t="n">
        <x:v>0.42</x:v>
      </x:c>
      <x:c r="I543" s="13" t="str">
        <x:v>Pico do descontrole</x:v>
      </x:c>
      <x:c r="J543" s="17" t="n">
        <x:f>E543-D543</x:f>
        <x:v>0</x:v>
      </x:c>
      <x:c r="K543" s="19" t="n">
        <x:f>IFERROR(ABS(J543/D543),0)</x:f>
        <x:v>0</x:v>
      </x:c>
    </x:row>
    <x:row r="544">
      <x:c r="A544" s="13" t="str">
        <x:v>CON-000543</x:v>
      </x:c>
      <x:c r="B544" s="23" t="n">
        <x:v>45763</x:v>
      </x:c>
      <x:c r="C544" s="13" t="str">
        <x:v>Itaú Operacional</x:v>
      </x:c>
      <x:c r="D544" s="17" t="n">
        <x:v>42183.91</x:v>
      </x:c>
      <x:c r="E544" s="17" t="n">
        <x:v>42183.91</x:v>
      </x:c>
      <x:c r="F544" s="13" t="str">
        <x:v>Conciliado</x:v>
      </x:c>
      <x:c r="G544" s="13" t="str">
        <x:v>Sem divergência</x:v>
      </x:c>
      <x:c r="H544" s="13" t="n">
        <x:v>0.42</x:v>
      </x:c>
      <x:c r="I544" s="13" t="str">
        <x:v>Pico do descontrole</x:v>
      </x:c>
      <x:c r="J544" s="17" t="n">
        <x:f>E544-D544</x:f>
        <x:v>0</x:v>
      </x:c>
      <x:c r="K544" s="19" t="n">
        <x:f>IFERROR(ABS(J544/D544),0)</x:f>
        <x:v>0</x:v>
      </x:c>
    </x:row>
    <x:row r="545">
      <x:c r="A545" s="13" t="str">
        <x:v>CON-000544</x:v>
      </x:c>
      <x:c r="B545" s="23" t="n">
        <x:v>45748</x:v>
      </x:c>
      <x:c r="C545" s="13" t="str">
        <x:v>Santander Recebimentos</x:v>
      </x:c>
      <x:c r="D545" s="17" t="n">
        <x:v>42765.36</x:v>
      </x:c>
      <x:c r="E545" s="17" t="n">
        <x:v>42765.36</x:v>
      </x:c>
      <x:c r="F545" s="13" t="str">
        <x:v>Conciliado</x:v>
      </x:c>
      <x:c r="G545" s="13" t="str">
        <x:v>Sem divergência</x:v>
      </x:c>
      <x:c r="H545" s="13" t="n">
        <x:v>0.13</x:v>
      </x:c>
      <x:c r="I545" s="13" t="str">
        <x:v>Pico do descontrole</x:v>
      </x:c>
      <x:c r="J545" s="17" t="n">
        <x:f>E545-D545</x:f>
        <x:v>0</x:v>
      </x:c>
      <x:c r="K545" s="19" t="n">
        <x:f>IFERROR(ABS(J545/D545),0)</x:f>
        <x:v>0</x:v>
      </x:c>
    </x:row>
    <x:row r="546">
      <x:c r="A546" s="13" t="str">
        <x:v>CON-000545</x:v>
      </x:c>
      <x:c r="B546" s="23" t="n">
        <x:v>45771</x:v>
      </x:c>
      <x:c r="C546" s="13" t="str">
        <x:v>Santander Recebimentos</x:v>
      </x:c>
      <x:c r="D546" s="17" t="n">
        <x:v>1514.27</x:v>
      </x:c>
      <x:c r="E546" s="17" t="n">
        <x:v>1514.27</x:v>
      </x:c>
      <x:c r="F546" s="13" t="str">
        <x:v>Conciliado</x:v>
      </x:c>
      <x:c r="G546" s="13" t="str">
        <x:v>Sem divergência</x:v>
      </x:c>
      <x:c r="H546" s="13" t="n">
        <x:v>0.34</x:v>
      </x:c>
      <x:c r="I546" s="13" t="str">
        <x:v>Pico do descontrole</x:v>
      </x:c>
      <x:c r="J546" s="17" t="n">
        <x:f>E546-D546</x:f>
        <x:v>0</x:v>
      </x:c>
      <x:c r="K546" s="19" t="n">
        <x:f>IFERROR(ABS(J546/D546),0)</x:f>
        <x:v>0</x:v>
      </x:c>
    </x:row>
    <x:row r="547">
      <x:c r="A547" s="13" t="str">
        <x:v>CON-000546</x:v>
      </x:c>
      <x:c r="B547" s="23" t="n">
        <x:v>45761</x:v>
      </x:c>
      <x:c r="C547" s="13" t="str">
        <x:v>Bradesco Pagamentos</x:v>
      </x:c>
      <x:c r="D547" s="17" t="n">
        <x:v>43827.76</x:v>
      </x:c>
      <x:c r="E547" s="17" t="n">
        <x:v>43827.76</x:v>
      </x:c>
      <x:c r="F547" s="13" t="str">
        <x:v>Conciliado</x:v>
      </x:c>
      <x:c r="G547" s="13" t="str">
        <x:v>Sem divergência</x:v>
      </x:c>
      <x:c r="H547" s="13" t="n">
        <x:v>0.4</x:v>
      </x:c>
      <x:c r="I547" s="13" t="str">
        <x:v>Pico do descontrole</x:v>
      </x:c>
      <x:c r="J547" s="17" t="n">
        <x:f>E547-D547</x:f>
        <x:v>0</x:v>
      </x:c>
      <x:c r="K547" s="19" t="n">
        <x:f>IFERROR(ABS(J547/D547),0)</x:f>
        <x:v>0</x:v>
      </x:c>
    </x:row>
    <x:row r="548">
      <x:c r="A548" s="13" t="str">
        <x:v>CON-000547</x:v>
      </x:c>
      <x:c r="B548" s="23" t="n">
        <x:v>45771</x:v>
      </x:c>
      <x:c r="C548" s="13" t="str">
        <x:v>Santander Recebimentos</x:v>
      </x:c>
      <x:c r="D548" s="17" t="n">
        <x:v>26007.27</x:v>
      </x:c>
      <x:c r="E548" s="17" t="n">
        <x:v>26926.83</x:v>
      </x:c>
      <x:c r="F548" s="13" t="str">
        <x:v>Pendente</x:v>
      </x:c>
      <x:c r="G548" s="13" t="str">
        <x:v>Baixa incorreta</x:v>
      </x:c>
      <x:c r="H548" s="13" t="n">
        <x:v>6.08</x:v>
      </x:c>
      <x:c r="I548" s="13" t="str">
        <x:v>Pico do descontrole</x:v>
      </x:c>
      <x:c r="J548" s="17" t="n">
        <x:f>E548-D548</x:f>
        <x:v>919.5600000000013</x:v>
      </x:c>
      <x:c r="K548" s="19" t="n">
        <x:f>IFERROR(ABS(J548/D548),0)</x:f>
        <x:v>0.03535780572124646</x:v>
      </x:c>
    </x:row>
    <x:row r="549">
      <x:c r="A549" s="13" t="str">
        <x:v>CON-000548</x:v>
      </x:c>
      <x:c r="B549" s="23" t="n">
        <x:v>45752</x:v>
      </x:c>
      <x:c r="C549" s="13" t="str">
        <x:v>Itaú Operacional</x:v>
      </x:c>
      <x:c r="D549" s="17" t="n">
        <x:v>16014.31</x:v>
      </x:c>
      <x:c r="E549" s="17" t="n">
        <x:v>16014.31</x:v>
      </x:c>
      <x:c r="F549" s="13" t="str">
        <x:v>Conciliado</x:v>
      </x:c>
      <x:c r="G549" s="13" t="str">
        <x:v>Sem divergência</x:v>
      </x:c>
      <x:c r="H549" s="13" t="n">
        <x:v>0.25</x:v>
      </x:c>
      <x:c r="I549" s="13" t="str">
        <x:v>Pico do descontrole</x:v>
      </x:c>
      <x:c r="J549" s="17" t="n">
        <x:f>E549-D549</x:f>
        <x:v>0</x:v>
      </x:c>
      <x:c r="K549" s="19" t="n">
        <x:f>IFERROR(ABS(J549/D549),0)</x:f>
        <x:v>0</x:v>
      </x:c>
    </x:row>
    <x:row r="550">
      <x:c r="A550" s="13" t="str">
        <x:v>CON-000549</x:v>
      </x:c>
      <x:c r="B550" s="23" t="n">
        <x:v>45753</x:v>
      </x:c>
      <x:c r="C550" s="13" t="str">
        <x:v>Itaú Operacional</x:v>
      </x:c>
      <x:c r="D550" s="17" t="n">
        <x:v>17460.19</x:v>
      </x:c>
      <x:c r="E550" s="17" t="n">
        <x:v>17460.19</x:v>
      </x:c>
      <x:c r="F550" s="13" t="str">
        <x:v>Conciliado</x:v>
      </x:c>
      <x:c r="G550" s="13" t="str">
        <x:v>Sem divergência</x:v>
      </x:c>
      <x:c r="H550" s="13" t="n">
        <x:v>0.23</x:v>
      </x:c>
      <x:c r="I550" s="13" t="str">
        <x:v>Pico do descontrole</x:v>
      </x:c>
      <x:c r="J550" s="17" t="n">
        <x:f>E550-D550</x:f>
        <x:v>0</x:v>
      </x:c>
      <x:c r="K550" s="19" t="n">
        <x:f>IFERROR(ABS(J550/D550),0)</x:f>
        <x:v>0</x:v>
      </x:c>
    </x:row>
    <x:row r="551">
      <x:c r="A551" s="13" t="str">
        <x:v>CON-000550</x:v>
      </x:c>
      <x:c r="B551" s="23" t="n">
        <x:v>45774</x:v>
      </x:c>
      <x:c r="C551" s="13" t="str">
        <x:v>Itaú Operacional</x:v>
      </x:c>
      <x:c r="D551" s="17" t="n">
        <x:v>34408.23</x:v>
      </x:c>
      <x:c r="E551" s="17" t="n">
        <x:v>34408.23</x:v>
      </x:c>
      <x:c r="F551" s="13" t="str">
        <x:v>Conciliado</x:v>
      </x:c>
      <x:c r="G551" s="13" t="str">
        <x:v>Sem divergência</x:v>
      </x:c>
      <x:c r="H551" s="13" t="n">
        <x:v>0.07</x:v>
      </x:c>
      <x:c r="I551" s="13" t="str">
        <x:v>Pico do descontrole</x:v>
      </x:c>
      <x:c r="J551" s="17" t="n">
        <x:f>E551-D551</x:f>
        <x:v>0</x:v>
      </x:c>
      <x:c r="K551" s="19" t="n">
        <x:f>IFERROR(ABS(J551/D551),0)</x:f>
        <x:v>0</x:v>
      </x:c>
    </x:row>
    <x:row r="552">
      <x:c r="A552" s="13" t="str">
        <x:v>CON-000551</x:v>
      </x:c>
      <x:c r="B552" s="23" t="n">
        <x:v>45753</x:v>
      </x:c>
      <x:c r="C552" s="13" t="str">
        <x:v>Bradesco Pagamentos</x:v>
      </x:c>
      <x:c r="D552" s="17" t="n">
        <x:v>36960.32</x:v>
      </x:c>
      <x:c r="E552" s="17" t="n">
        <x:v>36960.32</x:v>
      </x:c>
      <x:c r="F552" s="13" t="str">
        <x:v>Conciliado</x:v>
      </x:c>
      <x:c r="G552" s="13" t="str">
        <x:v>Sem divergência</x:v>
      </x:c>
      <x:c r="H552" s="13" t="n">
        <x:v>0.12</x:v>
      </x:c>
      <x:c r="I552" s="13" t="str">
        <x:v>Pico do descontrole</x:v>
      </x:c>
      <x:c r="J552" s="17" t="n">
        <x:f>E552-D552</x:f>
        <x:v>0</x:v>
      </x:c>
      <x:c r="K552" s="19" t="n">
        <x:f>IFERROR(ABS(J552/D552),0)</x:f>
        <x:v>0</x:v>
      </x:c>
    </x:row>
    <x:row r="553">
      <x:c r="A553" s="13" t="str">
        <x:v>CON-000552</x:v>
      </x:c>
      <x:c r="B553" s="23" t="n">
        <x:v>45758</x:v>
      </x:c>
      <x:c r="C553" s="13" t="str">
        <x:v>Itaú Operacional</x:v>
      </x:c>
      <x:c r="D553" s="17" t="n">
        <x:v>43981.02</x:v>
      </x:c>
      <x:c r="E553" s="17" t="n">
        <x:v>43981.02</x:v>
      </x:c>
      <x:c r="F553" s="13" t="str">
        <x:v>Conciliado</x:v>
      </x:c>
      <x:c r="G553" s="13" t="str">
        <x:v>Sem divergência</x:v>
      </x:c>
      <x:c r="H553" s="13" t="n">
        <x:v>0.04</x:v>
      </x:c>
      <x:c r="I553" s="13" t="str">
        <x:v>Pico do descontrole</x:v>
      </x:c>
      <x:c r="J553" s="17" t="n">
        <x:f>E553-D553</x:f>
        <x:v>0</x:v>
      </x:c>
      <x:c r="K553" s="19" t="n">
        <x:f>IFERROR(ABS(J553/D553),0)</x:f>
        <x:v>0</x:v>
      </x:c>
    </x:row>
    <x:row r="554">
      <x:c r="A554" s="13" t="str">
        <x:v>CON-000553</x:v>
      </x:c>
      <x:c r="B554" s="23" t="n">
        <x:v>45749</x:v>
      </x:c>
      <x:c r="C554" s="13" t="str">
        <x:v>Santander Recebimentos</x:v>
      </x:c>
      <x:c r="D554" s="17" t="n">
        <x:v>26608.69</x:v>
      </x:c>
      <x:c r="E554" s="17" t="n">
        <x:v>26608.69</x:v>
      </x:c>
      <x:c r="F554" s="13" t="str">
        <x:v>Conciliado</x:v>
      </x:c>
      <x:c r="G554" s="13" t="str">
        <x:v>Sem divergência</x:v>
      </x:c>
      <x:c r="H554" s="13" t="n">
        <x:v>0.1</x:v>
      </x:c>
      <x:c r="I554" s="13" t="str">
        <x:v>Pico do descontrole</x:v>
      </x:c>
      <x:c r="J554" s="17" t="n">
        <x:f>E554-D554</x:f>
        <x:v>0</x:v>
      </x:c>
      <x:c r="K554" s="19" t="n">
        <x:f>IFERROR(ABS(J554/D554),0)</x:f>
        <x:v>0</x:v>
      </x:c>
    </x:row>
    <x:row r="555">
      <x:c r="A555" s="13" t="str">
        <x:v>CON-000554</x:v>
      </x:c>
      <x:c r="B555" s="23" t="n">
        <x:v>45764</x:v>
      </x:c>
      <x:c r="C555" s="13" t="str">
        <x:v>Nubank Serviços</x:v>
      </x:c>
      <x:c r="D555" s="17" t="n">
        <x:v>19997.46</x:v>
      </x:c>
      <x:c r="E555" s="17" t="n">
        <x:v>19997.46</x:v>
      </x:c>
      <x:c r="F555" s="13" t="str">
        <x:v>Conciliado</x:v>
      </x:c>
      <x:c r="G555" s="13" t="str">
        <x:v>Sem divergência</x:v>
      </x:c>
      <x:c r="H555" s="13" t="n">
        <x:v>0.44</x:v>
      </x:c>
      <x:c r="I555" s="13" t="str">
        <x:v>Pico do descontrole</x:v>
      </x:c>
      <x:c r="J555" s="17" t="n">
        <x:f>E555-D555</x:f>
        <x:v>0</x:v>
      </x:c>
      <x:c r="K555" s="19" t="n">
        <x:f>IFERROR(ABS(J555/D555),0)</x:f>
        <x:v>0</x:v>
      </x:c>
    </x:row>
    <x:row r="556">
      <x:c r="A556" s="13" t="str">
        <x:v>CON-000555</x:v>
      </x:c>
      <x:c r="B556" s="23" t="n">
        <x:v>45769</x:v>
      </x:c>
      <x:c r="C556" s="13" t="str">
        <x:v>Nubank Serviços</x:v>
      </x:c>
      <x:c r="D556" s="17" t="n">
        <x:v>2218.07</x:v>
      </x:c>
      <x:c r="E556" s="17" t="n">
        <x:v>2248.78</x:v>
      </x:c>
      <x:c r="F556" s="13" t="str">
        <x:v>Resolvido</x:v>
      </x:c>
      <x:c r="G556" s="13" t="str">
        <x:v>Tarifa não cadastrada</x:v>
      </x:c>
      <x:c r="H556" s="13" t="n">
        <x:v>14.07</x:v>
      </x:c>
      <x:c r="I556" s="13" t="str">
        <x:v>Pico do descontrole</x:v>
      </x:c>
      <x:c r="J556" s="17" t="n">
        <x:f>E556-D556</x:f>
        <x:v>30.710000000000036</x:v>
      </x:c>
      <x:c r="K556" s="19" t="n">
        <x:f>IFERROR(ABS(J556/D556),0)</x:f>
        <x:v>0.013845370073983253</x:v>
      </x:c>
    </x:row>
    <x:row r="557">
      <x:c r="A557" s="13" t="str">
        <x:v>CON-000556</x:v>
      </x:c>
      <x:c r="B557" s="23" t="n">
        <x:v>45767</x:v>
      </x:c>
      <x:c r="C557" s="13" t="str">
        <x:v>Nubank Serviços</x:v>
      </x:c>
      <x:c r="D557" s="17" t="n">
        <x:v>15175.03</x:v>
      </x:c>
      <x:c r="E557" s="17" t="n">
        <x:v>15175.03</x:v>
      </x:c>
      <x:c r="F557" s="13" t="str">
        <x:v>Conciliado</x:v>
      </x:c>
      <x:c r="G557" s="13" t="str">
        <x:v>Sem divergência</x:v>
      </x:c>
      <x:c r="H557" s="13" t="n">
        <x:v>0.23</x:v>
      </x:c>
      <x:c r="I557" s="13" t="str">
        <x:v>Pico do descontrole</x:v>
      </x:c>
      <x:c r="J557" s="17" t="n">
        <x:f>E557-D557</x:f>
        <x:v>0</x:v>
      </x:c>
      <x:c r="K557" s="19" t="n">
        <x:f>IFERROR(ABS(J557/D557),0)</x:f>
        <x:v>0</x:v>
      </x:c>
    </x:row>
    <x:row r="558">
      <x:c r="A558" s="13" t="str">
        <x:v>CON-000557</x:v>
      </x:c>
      <x:c r="B558" s="23" t="n">
        <x:v>45775</x:v>
      </x:c>
      <x:c r="C558" s="13" t="str">
        <x:v>Itaú Operacional</x:v>
      </x:c>
      <x:c r="D558" s="17" t="n">
        <x:v>38516.03</x:v>
      </x:c>
      <x:c r="E558" s="17" t="n">
        <x:v>38516.03</x:v>
      </x:c>
      <x:c r="F558" s="13" t="str">
        <x:v>Conciliado</x:v>
      </x:c>
      <x:c r="G558" s="13" t="str">
        <x:v>Sem divergência</x:v>
      </x:c>
      <x:c r="H558" s="13" t="n">
        <x:v>0.34</x:v>
      </x:c>
      <x:c r="I558" s="13" t="str">
        <x:v>Pico do descontrole</x:v>
      </x:c>
      <x:c r="J558" s="17" t="n">
        <x:f>E558-D558</x:f>
        <x:v>0</x:v>
      </x:c>
      <x:c r="K558" s="19" t="n">
        <x:f>IFERROR(ABS(J558/D558),0)</x:f>
        <x:v>0</x:v>
      </x:c>
    </x:row>
    <x:row r="559">
      <x:c r="A559" s="13" t="str">
        <x:v>CON-000558</x:v>
      </x:c>
      <x:c r="B559" s="23" t="n">
        <x:v>45774</x:v>
      </x:c>
      <x:c r="C559" s="13" t="str">
        <x:v>Santander Recebimentos</x:v>
      </x:c>
      <x:c r="D559" s="17" t="n">
        <x:v>37598.88</x:v>
      </x:c>
      <x:c r="E559" s="17" t="n">
        <x:v>37598.88</x:v>
      </x:c>
      <x:c r="F559" s="13" t="str">
        <x:v>Conciliado</x:v>
      </x:c>
      <x:c r="G559" s="13" t="str">
        <x:v>Sem divergência</x:v>
      </x:c>
      <x:c r="H559" s="13" t="n">
        <x:v>0.16</x:v>
      </x:c>
      <x:c r="I559" s="13" t="str">
        <x:v>Pico do descontrole</x:v>
      </x:c>
      <x:c r="J559" s="17" t="n">
        <x:f>E559-D559</x:f>
        <x:v>0</x:v>
      </x:c>
      <x:c r="K559" s="19" t="n">
        <x:f>IFERROR(ABS(J559/D559),0)</x:f>
        <x:v>0</x:v>
      </x:c>
    </x:row>
    <x:row r="560">
      <x:c r="A560" s="13" t="str">
        <x:v>CON-000559</x:v>
      </x:c>
      <x:c r="B560" s="23" t="n">
        <x:v>45751</x:v>
      </x:c>
      <x:c r="C560" s="13" t="str">
        <x:v>Bradesco Pagamentos</x:v>
      </x:c>
      <x:c r="D560" s="17" t="n">
        <x:v>9195.35</x:v>
      </x:c>
      <x:c r="E560" s="17" t="n">
        <x:v>9195.35</x:v>
      </x:c>
      <x:c r="F560" s="13" t="str">
        <x:v>Conciliado</x:v>
      </x:c>
      <x:c r="G560" s="13" t="str">
        <x:v>Sem divergência</x:v>
      </x:c>
      <x:c r="H560" s="13" t="n">
        <x:v>0.43</x:v>
      </x:c>
      <x:c r="I560" s="13" t="str">
        <x:v>Pico do descontrole</x:v>
      </x:c>
      <x:c r="J560" s="17" t="n">
        <x:f>E560-D560</x:f>
        <x:v>0</x:v>
      </x:c>
      <x:c r="K560" s="19" t="n">
        <x:f>IFERROR(ABS(J560/D560),0)</x:f>
        <x:v>0</x:v>
      </x:c>
    </x:row>
    <x:row r="561">
      <x:c r="A561" s="13" t="str">
        <x:v>CON-000560</x:v>
      </x:c>
      <x:c r="B561" s="23" t="n">
        <x:v>45748</x:v>
      </x:c>
      <x:c r="C561" s="13" t="str">
        <x:v>Itaú Operacional</x:v>
      </x:c>
      <x:c r="D561" s="17" t="n">
        <x:v>16384.95</x:v>
      </x:c>
      <x:c r="E561" s="17" t="n">
        <x:v>16384.95</x:v>
      </x:c>
      <x:c r="F561" s="13" t="str">
        <x:v>Conciliado</x:v>
      </x:c>
      <x:c r="G561" s="13" t="str">
        <x:v>Sem divergência</x:v>
      </x:c>
      <x:c r="H561" s="13" t="n">
        <x:v>0.18</x:v>
      </x:c>
      <x:c r="I561" s="13" t="str">
        <x:v>Pico do descontrole</x:v>
      </x:c>
      <x:c r="J561" s="17" t="n">
        <x:f>E561-D561</x:f>
        <x:v>0</x:v>
      </x:c>
      <x:c r="K561" s="19" t="n">
        <x:f>IFERROR(ABS(J561/D561),0)</x:f>
        <x:v>0</x:v>
      </x:c>
    </x:row>
    <x:row r="562">
      <x:c r="A562" s="13" t="str">
        <x:v>CON-000561</x:v>
      </x:c>
      <x:c r="B562" s="23" t="n">
        <x:v>45799</x:v>
      </x:c>
      <x:c r="C562" s="13" t="str">
        <x:v>Nubank Serviços</x:v>
      </x:c>
      <x:c r="D562" s="17" t="n">
        <x:v>5168.03</x:v>
      </x:c>
      <x:c r="E562" s="17" t="n">
        <x:v>5168.03</x:v>
      </x:c>
      <x:c r="F562" s="13" t="str">
        <x:v>Conciliado</x:v>
      </x:c>
      <x:c r="G562" s="13" t="str">
        <x:v>Sem divergência</x:v>
      </x:c>
      <x:c r="H562" s="13" t="n">
        <x:v>0.24</x:v>
      </x:c>
      <x:c r="I562" s="13" t="str">
        <x:v>Operação Clareza</x:v>
      </x:c>
      <x:c r="J562" s="17" t="n">
        <x:f>E562-D562</x:f>
        <x:v>0</x:v>
      </x:c>
      <x:c r="K562" s="19" t="n">
        <x:f>IFERROR(ABS(J562/D562),0)</x:f>
        <x:v>0</x:v>
      </x:c>
    </x:row>
    <x:row r="563">
      <x:c r="A563" s="13" t="str">
        <x:v>CON-000562</x:v>
      </x:c>
      <x:c r="B563" s="23" t="n">
        <x:v>45798</x:v>
      </x:c>
      <x:c r="C563" s="13" t="str">
        <x:v>Bradesco Pagamentos</x:v>
      </x:c>
      <x:c r="D563" s="17" t="n">
        <x:v>12137.4</x:v>
      </x:c>
      <x:c r="E563" s="17" t="n">
        <x:v>12137.4</x:v>
      </x:c>
      <x:c r="F563" s="13" t="str">
        <x:v>Conciliado</x:v>
      </x:c>
      <x:c r="G563" s="13" t="str">
        <x:v>Sem divergência</x:v>
      </x:c>
      <x:c r="H563" s="13" t="n">
        <x:v>0.05</x:v>
      </x:c>
      <x:c r="I563" s="13" t="str">
        <x:v>Operação Clareza</x:v>
      </x:c>
      <x:c r="J563" s="17" t="n">
        <x:f>E563-D563</x:f>
        <x:v>0</x:v>
      </x:c>
      <x:c r="K563" s="19" t="n">
        <x:f>IFERROR(ABS(J563/D563),0)</x:f>
        <x:v>0</x:v>
      </x:c>
    </x:row>
    <x:row r="564">
      <x:c r="A564" s="13" t="str">
        <x:v>CON-000563</x:v>
      </x:c>
      <x:c r="B564" s="23" t="n">
        <x:v>45788</x:v>
      </x:c>
      <x:c r="C564" s="13" t="str">
        <x:v>Nubank Serviços</x:v>
      </x:c>
      <x:c r="D564" s="17" t="n">
        <x:v>30957.69</x:v>
      </x:c>
      <x:c r="E564" s="17" t="n">
        <x:v>30957.69</x:v>
      </x:c>
      <x:c r="F564" s="13" t="str">
        <x:v>Conciliado</x:v>
      </x:c>
      <x:c r="G564" s="13" t="str">
        <x:v>Sem divergência</x:v>
      </x:c>
      <x:c r="H564" s="13" t="n">
        <x:v>0.07</x:v>
      </x:c>
      <x:c r="I564" s="13" t="str">
        <x:v>Operação Clareza</x:v>
      </x:c>
      <x:c r="J564" s="17" t="n">
        <x:f>E564-D564</x:f>
        <x:v>0</x:v>
      </x:c>
      <x:c r="K564" s="19" t="n">
        <x:f>IFERROR(ABS(J564/D564),0)</x:f>
        <x:v>0</x:v>
      </x:c>
    </x:row>
    <x:row r="565">
      <x:c r="A565" s="13" t="str">
        <x:v>CON-000564</x:v>
      </x:c>
      <x:c r="B565" s="23" t="n">
        <x:v>45791</x:v>
      </x:c>
      <x:c r="C565" s="13" t="str">
        <x:v>Bradesco Pagamentos</x:v>
      </x:c>
      <x:c r="D565" s="17" t="n">
        <x:v>15626.99</x:v>
      </x:c>
      <x:c r="E565" s="17" t="n">
        <x:v>15626.99</x:v>
      </x:c>
      <x:c r="F565" s="13" t="str">
        <x:v>Conciliado</x:v>
      </x:c>
      <x:c r="G565" s="13" t="str">
        <x:v>Sem divergência</x:v>
      </x:c>
      <x:c r="H565" s="13" t="n">
        <x:v>0.14</x:v>
      </x:c>
      <x:c r="I565" s="13" t="str">
        <x:v>Operação Clareza</x:v>
      </x:c>
      <x:c r="J565" s="17" t="n">
        <x:f>E565-D565</x:f>
        <x:v>0</x:v>
      </x:c>
      <x:c r="K565" s="19" t="n">
        <x:f>IFERROR(ABS(J565/D565),0)</x:f>
        <x:v>0</x:v>
      </x:c>
    </x:row>
    <x:row r="566">
      <x:c r="A566" s="13" t="str">
        <x:v>CON-000565</x:v>
      </x:c>
      <x:c r="B566" s="23" t="n">
        <x:v>45778</x:v>
      </x:c>
      <x:c r="C566" s="13" t="str">
        <x:v>Nubank Serviços</x:v>
      </x:c>
      <x:c r="D566" s="17" t="n">
        <x:v>35671.66</x:v>
      </x:c>
      <x:c r="E566" s="17" t="n">
        <x:v>35671.66</x:v>
      </x:c>
      <x:c r="F566" s="13" t="str">
        <x:v>Conciliado</x:v>
      </x:c>
      <x:c r="G566" s="13" t="str">
        <x:v>Sem divergência</x:v>
      </x:c>
      <x:c r="H566" s="13" t="n">
        <x:v>0.21</x:v>
      </x:c>
      <x:c r="I566" s="13" t="str">
        <x:v>Operação Clareza</x:v>
      </x:c>
      <x:c r="J566" s="17" t="n">
        <x:f>E566-D566</x:f>
        <x:v>0</x:v>
      </x:c>
      <x:c r="K566" s="19" t="n">
        <x:f>IFERROR(ABS(J566/D566),0)</x:f>
        <x:v>0</x:v>
      </x:c>
    </x:row>
    <x:row r="567">
      <x:c r="A567" s="13" t="str">
        <x:v>CON-000566</x:v>
      </x:c>
      <x:c r="B567" s="23" t="n">
        <x:v>45800</x:v>
      </x:c>
      <x:c r="C567" s="13" t="str">
        <x:v>Santander Recebimentos</x:v>
      </x:c>
      <x:c r="D567" s="17" t="n">
        <x:v>27256.36</x:v>
      </x:c>
      <x:c r="E567" s="17" t="n">
        <x:v>27256.36</x:v>
      </x:c>
      <x:c r="F567" s="13" t="str">
        <x:v>Conciliado</x:v>
      </x:c>
      <x:c r="G567" s="13" t="str">
        <x:v>Sem divergência</x:v>
      </x:c>
      <x:c r="H567" s="13" t="n">
        <x:v>0.13</x:v>
      </x:c>
      <x:c r="I567" s="13" t="str">
        <x:v>Operação Clareza</x:v>
      </x:c>
      <x:c r="J567" s="17" t="n">
        <x:f>E567-D567</x:f>
        <x:v>0</x:v>
      </x:c>
      <x:c r="K567" s="19" t="n">
        <x:f>IFERROR(ABS(J567/D567),0)</x:f>
        <x:v>0</x:v>
      </x:c>
    </x:row>
    <x:row r="568">
      <x:c r="A568" s="13" t="str">
        <x:v>CON-000567</x:v>
      </x:c>
      <x:c r="B568" s="23" t="n">
        <x:v>45782</x:v>
      </x:c>
      <x:c r="C568" s="13" t="str">
        <x:v>Santander Recebimentos</x:v>
      </x:c>
      <x:c r="D568" s="17" t="n">
        <x:v>28736.68</x:v>
      </x:c>
      <x:c r="E568" s="17" t="n">
        <x:v>28736.68</x:v>
      </x:c>
      <x:c r="F568" s="13" t="str">
        <x:v>Conciliado</x:v>
      </x:c>
      <x:c r="G568" s="13" t="str">
        <x:v>Sem divergência</x:v>
      </x:c>
      <x:c r="H568" s="13" t="n">
        <x:v>0.05</x:v>
      </x:c>
      <x:c r="I568" s="13" t="str">
        <x:v>Operação Clareza</x:v>
      </x:c>
      <x:c r="J568" s="17" t="n">
        <x:f>E568-D568</x:f>
        <x:v>0</x:v>
      </x:c>
      <x:c r="K568" s="19" t="n">
        <x:f>IFERROR(ABS(J568/D568),0)</x:f>
        <x:v>0</x:v>
      </x:c>
    </x:row>
    <x:row r="569">
      <x:c r="A569" s="13" t="str">
        <x:v>CON-000568</x:v>
      </x:c>
      <x:c r="B569" s="23" t="n">
        <x:v>45800</x:v>
      </x:c>
      <x:c r="C569" s="13" t="str">
        <x:v>Bradesco Pagamentos</x:v>
      </x:c>
      <x:c r="D569" s="17" t="n">
        <x:v>39532.29</x:v>
      </x:c>
      <x:c r="E569" s="17" t="n">
        <x:v>39532.29</x:v>
      </x:c>
      <x:c r="F569" s="13" t="str">
        <x:v>Conciliado</x:v>
      </x:c>
      <x:c r="G569" s="13" t="str">
        <x:v>Sem divergência</x:v>
      </x:c>
      <x:c r="H569" s="13" t="n">
        <x:v>0.31</x:v>
      </x:c>
      <x:c r="I569" s="13" t="str">
        <x:v>Operação Clareza</x:v>
      </x:c>
      <x:c r="J569" s="17" t="n">
        <x:f>E569-D569</x:f>
        <x:v>0</x:v>
      </x:c>
      <x:c r="K569" s="19" t="n">
        <x:f>IFERROR(ABS(J569/D569),0)</x:f>
        <x:v>0</x:v>
      </x:c>
    </x:row>
    <x:row r="570">
      <x:c r="A570" s="13" t="str">
        <x:v>CON-000569</x:v>
      </x:c>
      <x:c r="B570" s="23" t="n">
        <x:v>45801</x:v>
      </x:c>
      <x:c r="C570" s="13" t="str">
        <x:v>Itaú Operacional</x:v>
      </x:c>
      <x:c r="D570" s="17" t="n">
        <x:v>16910.78</x:v>
      </x:c>
      <x:c r="E570" s="17" t="n">
        <x:v>17728.91</x:v>
      </x:c>
      <x:c r="F570" s="13" t="str">
        <x:v>Pendente</x:v>
      </x:c>
      <x:c r="G570" s="13" t="str">
        <x:v>Duplicidade</x:v>
      </x:c>
      <x:c r="H570" s="13" t="n">
        <x:v>3.24</x:v>
      </x:c>
      <x:c r="I570" s="13" t="str">
        <x:v>Operação Clareza</x:v>
      </x:c>
      <x:c r="J570" s="17" t="n">
        <x:f>E570-D570</x:f>
        <x:v>818.130000000001</x:v>
      </x:c>
      <x:c r="K570" s="19" t="n">
        <x:f>IFERROR(ABS(J570/D570),0)</x:f>
        <x:v>0.04837919954017503</x:v>
      </x:c>
    </x:row>
    <x:row r="571">
      <x:c r="A571" s="13" t="str">
        <x:v>CON-000570</x:v>
      </x:c>
      <x:c r="B571" s="23" t="n">
        <x:v>45800</x:v>
      </x:c>
      <x:c r="C571" s="13" t="str">
        <x:v>Itaú Operacional</x:v>
      </x:c>
      <x:c r="D571" s="17" t="n">
        <x:v>21240.77</x:v>
      </x:c>
      <x:c r="E571" s="17" t="n">
        <x:v>21240.77</x:v>
      </x:c>
      <x:c r="F571" s="13" t="str">
        <x:v>Conciliado</x:v>
      </x:c>
      <x:c r="G571" s="13" t="str">
        <x:v>Sem divergência</x:v>
      </x:c>
      <x:c r="H571" s="13" t="n">
        <x:v>0.13</x:v>
      </x:c>
      <x:c r="I571" s="13" t="str">
        <x:v>Operação Clareza</x:v>
      </x:c>
      <x:c r="J571" s="17" t="n">
        <x:f>E571-D571</x:f>
        <x:v>0</x:v>
      </x:c>
      <x:c r="K571" s="19" t="n">
        <x:f>IFERROR(ABS(J571/D571),0)</x:f>
        <x:v>0</x:v>
      </x:c>
    </x:row>
    <x:row r="572">
      <x:c r="A572" s="13" t="str">
        <x:v>CON-000571</x:v>
      </x:c>
      <x:c r="B572" s="23" t="n">
        <x:v>45800</x:v>
      </x:c>
      <x:c r="C572" s="13" t="str">
        <x:v>Nubank Serviços</x:v>
      </x:c>
      <x:c r="D572" s="17" t="n">
        <x:v>10960.68</x:v>
      </x:c>
      <x:c r="E572" s="17" t="n">
        <x:v>10960.68</x:v>
      </x:c>
      <x:c r="F572" s="13" t="str">
        <x:v>Conciliado</x:v>
      </x:c>
      <x:c r="G572" s="13" t="str">
        <x:v>Sem divergência</x:v>
      </x:c>
      <x:c r="H572" s="13" t="n">
        <x:v>0.26</x:v>
      </x:c>
      <x:c r="I572" s="13" t="str">
        <x:v>Operação Clareza</x:v>
      </x:c>
      <x:c r="J572" s="17" t="n">
        <x:f>E572-D572</x:f>
        <x:v>0</x:v>
      </x:c>
      <x:c r="K572" s="19" t="n">
        <x:f>IFERROR(ABS(J572/D572),0)</x:f>
        <x:v>0</x:v>
      </x:c>
    </x:row>
    <x:row r="573">
      <x:c r="A573" s="13" t="str">
        <x:v>CON-000572</x:v>
      </x:c>
      <x:c r="B573" s="23" t="n">
        <x:v>45801</x:v>
      </x:c>
      <x:c r="C573" s="13" t="str">
        <x:v>Nubank Serviços</x:v>
      </x:c>
      <x:c r="D573" s="17" t="n">
        <x:v>43623.43</x:v>
      </x:c>
      <x:c r="E573" s="17" t="n">
        <x:v>43809.68</x:v>
      </x:c>
      <x:c r="F573" s="13" t="str">
        <x:v>Pendente</x:v>
      </x:c>
      <x:c r="G573" s="13" t="str">
        <x:v>Baixa incorreta</x:v>
      </x:c>
      <x:c r="H573" s="13" t="n">
        <x:v>15.88</x:v>
      </x:c>
      <x:c r="I573" s="13" t="str">
        <x:v>Operação Clareza</x:v>
      </x:c>
      <x:c r="J573" s="17" t="n">
        <x:f>E573-D573</x:f>
        <x:v>186.25</x:v>
      </x:c>
      <x:c r="K573" s="19" t="n">
        <x:f>IFERROR(ABS(J573/D573),0)</x:f>
        <x:v>0.004269494627084574</x:v>
      </x:c>
    </x:row>
    <x:row r="574">
      <x:c r="A574" s="13" t="str">
        <x:v>CON-000573</x:v>
      </x:c>
      <x:c r="B574" s="23" t="n">
        <x:v>45792</x:v>
      </x:c>
      <x:c r="C574" s="13" t="str">
        <x:v>Nubank Serviços</x:v>
      </x:c>
      <x:c r="D574" s="17" t="n">
        <x:v>37079.67</x:v>
      </x:c>
      <x:c r="E574" s="17" t="n">
        <x:v>37079.67</x:v>
      </x:c>
      <x:c r="F574" s="13" t="str">
        <x:v>Conciliado</x:v>
      </x:c>
      <x:c r="G574" s="13" t="str">
        <x:v>Sem divergência</x:v>
      </x:c>
      <x:c r="H574" s="13" t="n">
        <x:v>0.22</x:v>
      </x:c>
      <x:c r="I574" s="13" t="str">
        <x:v>Operação Clareza</x:v>
      </x:c>
      <x:c r="J574" s="17" t="n">
        <x:f>E574-D574</x:f>
        <x:v>0</x:v>
      </x:c>
      <x:c r="K574" s="19" t="n">
        <x:f>IFERROR(ABS(J574/D574),0)</x:f>
        <x:v>0</x:v>
      </x:c>
    </x:row>
    <x:row r="575">
      <x:c r="A575" s="13" t="str">
        <x:v>CON-000574</x:v>
      </x:c>
      <x:c r="B575" s="23" t="n">
        <x:v>45797</x:v>
      </x:c>
      <x:c r="C575" s="13" t="str">
        <x:v>Santander Recebimentos</x:v>
      </x:c>
      <x:c r="D575" s="17" t="n">
        <x:v>41678.83</x:v>
      </x:c>
      <x:c r="E575" s="17" t="n">
        <x:v>41678.83</x:v>
      </x:c>
      <x:c r="F575" s="13" t="str">
        <x:v>Conciliado</x:v>
      </x:c>
      <x:c r="G575" s="13" t="str">
        <x:v>Sem divergência</x:v>
      </x:c>
      <x:c r="H575" s="13" t="n">
        <x:v>0.3</x:v>
      </x:c>
      <x:c r="I575" s="13" t="str">
        <x:v>Operação Clareza</x:v>
      </x:c>
      <x:c r="J575" s="17" t="n">
        <x:f>E575-D575</x:f>
        <x:v>0</x:v>
      </x:c>
      <x:c r="K575" s="19" t="n">
        <x:f>IFERROR(ABS(J575/D575),0)</x:f>
        <x:v>0</x:v>
      </x:c>
    </x:row>
    <x:row r="576">
      <x:c r="A576" s="13" t="str">
        <x:v>CON-000575</x:v>
      </x:c>
      <x:c r="B576" s="23" t="n">
        <x:v>45796</x:v>
      </x:c>
      <x:c r="C576" s="13" t="str">
        <x:v>Nubank Serviços</x:v>
      </x:c>
      <x:c r="D576" s="17" t="n">
        <x:v>17836.83</x:v>
      </x:c>
      <x:c r="E576" s="17" t="n">
        <x:v>17836.83</x:v>
      </x:c>
      <x:c r="F576" s="13" t="str">
        <x:v>Conciliado</x:v>
      </x:c>
      <x:c r="G576" s="13" t="str">
        <x:v>Sem divergência</x:v>
      </x:c>
      <x:c r="H576" s="13" t="n">
        <x:v>0.31</x:v>
      </x:c>
      <x:c r="I576" s="13" t="str">
        <x:v>Operação Clareza</x:v>
      </x:c>
      <x:c r="J576" s="17" t="n">
        <x:f>E576-D576</x:f>
        <x:v>0</x:v>
      </x:c>
      <x:c r="K576" s="19" t="n">
        <x:f>IFERROR(ABS(J576/D576),0)</x:f>
        <x:v>0</x:v>
      </x:c>
    </x:row>
    <x:row r="577">
      <x:c r="A577" s="13" t="str">
        <x:v>CON-000576</x:v>
      </x:c>
      <x:c r="B577" s="23" t="n">
        <x:v>45803</x:v>
      </x:c>
      <x:c r="C577" s="13" t="str">
        <x:v>Santander Recebimentos</x:v>
      </x:c>
      <x:c r="D577" s="17" t="n">
        <x:v>13501.19</x:v>
      </x:c>
      <x:c r="E577" s="17" t="n">
        <x:v>13501.19</x:v>
      </x:c>
      <x:c r="F577" s="13" t="str">
        <x:v>Conciliado</x:v>
      </x:c>
      <x:c r="G577" s="13" t="str">
        <x:v>Sem divergência</x:v>
      </x:c>
      <x:c r="H577" s="13" t="n">
        <x:v>0.09</x:v>
      </x:c>
      <x:c r="I577" s="13" t="str">
        <x:v>Operação Clareza</x:v>
      </x:c>
      <x:c r="J577" s="17" t="n">
        <x:f>E577-D577</x:f>
        <x:v>0</x:v>
      </x:c>
      <x:c r="K577" s="19" t="n">
        <x:f>IFERROR(ABS(J577/D577),0)</x:f>
        <x:v>0</x:v>
      </x:c>
    </x:row>
    <x:row r="578">
      <x:c r="A578" s="13" t="str">
        <x:v>CON-000577</x:v>
      </x:c>
      <x:c r="B578" s="23" t="n">
        <x:v>45805</x:v>
      </x:c>
      <x:c r="C578" s="13" t="str">
        <x:v>Santander Recebimentos</x:v>
      </x:c>
      <x:c r="D578" s="17" t="n">
        <x:v>18415.86</x:v>
      </x:c>
      <x:c r="E578" s="17" t="n">
        <x:v>18415.86</x:v>
      </x:c>
      <x:c r="F578" s="13" t="str">
        <x:v>Conciliado</x:v>
      </x:c>
      <x:c r="G578" s="13" t="str">
        <x:v>Sem divergência</x:v>
      </x:c>
      <x:c r="H578" s="13" t="n">
        <x:v>0.06</x:v>
      </x:c>
      <x:c r="I578" s="13" t="str">
        <x:v>Operação Clareza</x:v>
      </x:c>
      <x:c r="J578" s="17" t="n">
        <x:f>E578-D578</x:f>
        <x:v>0</x:v>
      </x:c>
      <x:c r="K578" s="19" t="n">
        <x:f>IFERROR(ABS(J578/D578),0)</x:f>
        <x:v>0</x:v>
      </x:c>
    </x:row>
    <x:row r="579">
      <x:c r="A579" s="13" t="str">
        <x:v>CON-000578</x:v>
      </x:c>
      <x:c r="B579" s="23" t="n">
        <x:v>45783</x:v>
      </x:c>
      <x:c r="C579" s="13" t="str">
        <x:v>Itaú Operacional</x:v>
      </x:c>
      <x:c r="D579" s="17" t="n">
        <x:v>27339.84</x:v>
      </x:c>
      <x:c r="E579" s="17" t="n">
        <x:v>27339.84</x:v>
      </x:c>
      <x:c r="F579" s="13" t="str">
        <x:v>Conciliado</x:v>
      </x:c>
      <x:c r="G579" s="13" t="str">
        <x:v>Sem divergência</x:v>
      </x:c>
      <x:c r="H579" s="13" t="n">
        <x:v>0.32</x:v>
      </x:c>
      <x:c r="I579" s="13" t="str">
        <x:v>Operação Clareza</x:v>
      </x:c>
      <x:c r="J579" s="17" t="n">
        <x:f>E579-D579</x:f>
        <x:v>0</x:v>
      </x:c>
      <x:c r="K579" s="19" t="n">
        <x:f>IFERROR(ABS(J579/D579),0)</x:f>
        <x:v>0</x:v>
      </x:c>
    </x:row>
    <x:row r="580">
      <x:c r="A580" s="13" t="str">
        <x:v>CON-000579</x:v>
      </x:c>
      <x:c r="B580" s="23" t="n">
        <x:v>45787</x:v>
      </x:c>
      <x:c r="C580" s="13" t="str">
        <x:v>Itaú Operacional</x:v>
      </x:c>
      <x:c r="D580" s="17" t="n">
        <x:v>13586.28</x:v>
      </x:c>
      <x:c r="E580" s="17" t="n">
        <x:v>13586.28</x:v>
      </x:c>
      <x:c r="F580" s="13" t="str">
        <x:v>Conciliado</x:v>
      </x:c>
      <x:c r="G580" s="13" t="str">
        <x:v>Sem divergência</x:v>
      </x:c>
      <x:c r="H580" s="13" t="n">
        <x:v>0.23</x:v>
      </x:c>
      <x:c r="I580" s="13" t="str">
        <x:v>Operação Clareza</x:v>
      </x:c>
      <x:c r="J580" s="17" t="n">
        <x:f>E580-D580</x:f>
        <x:v>0</x:v>
      </x:c>
      <x:c r="K580" s="19" t="n">
        <x:f>IFERROR(ABS(J580/D580),0)</x:f>
        <x:v>0</x:v>
      </x:c>
    </x:row>
    <x:row r="581">
      <x:c r="A581" s="13" t="str">
        <x:v>CON-000580</x:v>
      </x:c>
      <x:c r="B581" s="23" t="n">
        <x:v>45799</x:v>
      </x:c>
      <x:c r="C581" s="13" t="str">
        <x:v>Bradesco Pagamentos</x:v>
      </x:c>
      <x:c r="D581" s="17" t="n">
        <x:v>22899.4</x:v>
      </x:c>
      <x:c r="E581" s="17" t="n">
        <x:v>22899.4</x:v>
      </x:c>
      <x:c r="F581" s="13" t="str">
        <x:v>Conciliado</x:v>
      </x:c>
      <x:c r="G581" s="13" t="str">
        <x:v>Sem divergência</x:v>
      </x:c>
      <x:c r="H581" s="13" t="n">
        <x:v>0.38</x:v>
      </x:c>
      <x:c r="I581" s="13" t="str">
        <x:v>Operação Clareza</x:v>
      </x:c>
      <x:c r="J581" s="17" t="n">
        <x:f>E581-D581</x:f>
        <x:v>0</x:v>
      </x:c>
      <x:c r="K581" s="19" t="n">
        <x:f>IFERROR(ABS(J581/D581),0)</x:f>
        <x:v>0</x:v>
      </x:c>
    </x:row>
    <x:row r="582">
      <x:c r="A582" s="13" t="str">
        <x:v>CON-000581</x:v>
      </x:c>
      <x:c r="B582" s="23" t="n">
        <x:v>45778</x:v>
      </x:c>
      <x:c r="C582" s="13" t="str">
        <x:v>Nubank Serviços</x:v>
      </x:c>
      <x:c r="D582" s="17" t="n">
        <x:v>8289.88</x:v>
      </x:c>
      <x:c r="E582" s="17" t="n">
        <x:v>8289.88</x:v>
      </x:c>
      <x:c r="F582" s="13" t="str">
        <x:v>Conciliado</x:v>
      </x:c>
      <x:c r="G582" s="13" t="str">
        <x:v>Sem divergência</x:v>
      </x:c>
      <x:c r="H582" s="13" t="n">
        <x:v>0.13</x:v>
      </x:c>
      <x:c r="I582" s="13" t="str">
        <x:v>Operação Clareza</x:v>
      </x:c>
      <x:c r="J582" s="17" t="n">
        <x:f>E582-D582</x:f>
        <x:v>0</x:v>
      </x:c>
      <x:c r="K582" s="19" t="n">
        <x:f>IFERROR(ABS(J582/D582),0)</x:f>
        <x:v>0</x:v>
      </x:c>
    </x:row>
    <x:row r="583">
      <x:c r="A583" s="13" t="str">
        <x:v>CON-000582</x:v>
      </x:c>
      <x:c r="B583" s="23" t="n">
        <x:v>45799</x:v>
      </x:c>
      <x:c r="C583" s="13" t="str">
        <x:v>Itaú Operacional</x:v>
      </x:c>
      <x:c r="D583" s="17" t="n">
        <x:v>44906.78</x:v>
      </x:c>
      <x:c r="E583" s="17" t="n">
        <x:v>44906.78</x:v>
      </x:c>
      <x:c r="F583" s="13" t="str">
        <x:v>Conciliado</x:v>
      </x:c>
      <x:c r="G583" s="13" t="str">
        <x:v>Sem divergência</x:v>
      </x:c>
      <x:c r="H583" s="13" t="n">
        <x:v>0.17</x:v>
      </x:c>
      <x:c r="I583" s="13" t="str">
        <x:v>Operação Clareza</x:v>
      </x:c>
      <x:c r="J583" s="17" t="n">
        <x:f>E583-D583</x:f>
        <x:v>0</x:v>
      </x:c>
      <x:c r="K583" s="19" t="n">
        <x:f>IFERROR(ABS(J583/D583),0)</x:f>
        <x:v>0</x:v>
      </x:c>
    </x:row>
    <x:row r="584">
      <x:c r="A584" s="13" t="str">
        <x:v>CON-000583</x:v>
      </x:c>
      <x:c r="B584" s="23" t="n">
        <x:v>45800</x:v>
      </x:c>
      <x:c r="C584" s="13" t="str">
        <x:v>Santander Recebimentos</x:v>
      </x:c>
      <x:c r="D584" s="17" t="n">
        <x:v>18570.2</x:v>
      </x:c>
      <x:c r="E584" s="17" t="n">
        <x:v>18570.2</x:v>
      </x:c>
      <x:c r="F584" s="13" t="str">
        <x:v>Conciliado</x:v>
      </x:c>
      <x:c r="G584" s="13" t="str">
        <x:v>Sem divergência</x:v>
      </x:c>
      <x:c r="H584" s="13" t="n">
        <x:v>0.42</x:v>
      </x:c>
      <x:c r="I584" s="13" t="str">
        <x:v>Operação Clareza</x:v>
      </x:c>
      <x:c r="J584" s="17" t="n">
        <x:f>E584-D584</x:f>
        <x:v>0</x:v>
      </x:c>
      <x:c r="K584" s="19" t="n">
        <x:f>IFERROR(ABS(J584/D584),0)</x:f>
        <x:v>0</x:v>
      </x:c>
    </x:row>
    <x:row r="585">
      <x:c r="A585" s="13" t="str">
        <x:v>CON-000584</x:v>
      </x:c>
      <x:c r="B585" s="23" t="n">
        <x:v>45803</x:v>
      </x:c>
      <x:c r="C585" s="13" t="str">
        <x:v>Bradesco Pagamentos</x:v>
      </x:c>
      <x:c r="D585" s="17" t="n">
        <x:v>19070.72</x:v>
      </x:c>
      <x:c r="E585" s="17" t="n">
        <x:v>19070.72</x:v>
      </x:c>
      <x:c r="F585" s="13" t="str">
        <x:v>Conciliado</x:v>
      </x:c>
      <x:c r="G585" s="13" t="str">
        <x:v>Sem divergência</x:v>
      </x:c>
      <x:c r="H585" s="13" t="n">
        <x:v>0.08</x:v>
      </x:c>
      <x:c r="I585" s="13" t="str">
        <x:v>Operação Clareza</x:v>
      </x:c>
      <x:c r="J585" s="17" t="n">
        <x:f>E585-D585</x:f>
        <x:v>0</x:v>
      </x:c>
      <x:c r="K585" s="19" t="n">
        <x:f>IFERROR(ABS(J585/D585),0)</x:f>
        <x:v>0</x:v>
      </x:c>
    </x:row>
    <x:row r="586">
      <x:c r="A586" s="13" t="str">
        <x:v>CON-000585</x:v>
      </x:c>
      <x:c r="B586" s="23" t="n">
        <x:v>45782</x:v>
      </x:c>
      <x:c r="C586" s="13" t="str">
        <x:v>Santander Recebimentos</x:v>
      </x:c>
      <x:c r="D586" s="17" t="n">
        <x:v>13372.99</x:v>
      </x:c>
      <x:c r="E586" s="17" t="n">
        <x:v>13372.99</x:v>
      </x:c>
      <x:c r="F586" s="13" t="str">
        <x:v>Conciliado</x:v>
      </x:c>
      <x:c r="G586" s="13" t="str">
        <x:v>Sem divergência</x:v>
      </x:c>
      <x:c r="H586" s="13" t="n">
        <x:v>0.44</x:v>
      </x:c>
      <x:c r="I586" s="13" t="str">
        <x:v>Operação Clareza</x:v>
      </x:c>
      <x:c r="J586" s="17" t="n">
        <x:f>E586-D586</x:f>
        <x:v>0</x:v>
      </x:c>
      <x:c r="K586" s="19" t="n">
        <x:f>IFERROR(ABS(J586/D586),0)</x:f>
        <x:v>0</x:v>
      </x:c>
    </x:row>
    <x:row r="587">
      <x:c r="A587" s="13" t="str">
        <x:v>CON-000586</x:v>
      </x:c>
      <x:c r="B587" s="23" t="n">
        <x:v>45794</x:v>
      </x:c>
      <x:c r="C587" s="13" t="str">
        <x:v>Nubank Serviços</x:v>
      </x:c>
      <x:c r="D587" s="17" t="n">
        <x:v>6105.96</x:v>
      </x:c>
      <x:c r="E587" s="17" t="n">
        <x:v>6105.96</x:v>
      </x:c>
      <x:c r="F587" s="13" t="str">
        <x:v>Conciliado</x:v>
      </x:c>
      <x:c r="G587" s="13" t="str">
        <x:v>Sem divergência</x:v>
      </x:c>
      <x:c r="H587" s="13" t="n">
        <x:v>0.05</x:v>
      </x:c>
      <x:c r="I587" s="13" t="str">
        <x:v>Operação Clareza</x:v>
      </x:c>
      <x:c r="J587" s="17" t="n">
        <x:f>E587-D587</x:f>
        <x:v>0</x:v>
      </x:c>
      <x:c r="K587" s="19" t="n">
        <x:f>IFERROR(ABS(J587/D587),0)</x:f>
        <x:v>0</x:v>
      </x:c>
    </x:row>
    <x:row r="588">
      <x:c r="A588" s="13" t="str">
        <x:v>CON-000587</x:v>
      </x:c>
      <x:c r="B588" s="23" t="n">
        <x:v>45791</x:v>
      </x:c>
      <x:c r="C588" s="13" t="str">
        <x:v>Santander Recebimentos</x:v>
      </x:c>
      <x:c r="D588" s="17" t="n">
        <x:v>14359.22</x:v>
      </x:c>
      <x:c r="E588" s="17" t="n">
        <x:v>14359.22</x:v>
      </x:c>
      <x:c r="F588" s="13" t="str">
        <x:v>Conciliado</x:v>
      </x:c>
      <x:c r="G588" s="13" t="str">
        <x:v>Sem divergência</x:v>
      </x:c>
      <x:c r="H588" s="13" t="n">
        <x:v>0.02</x:v>
      </x:c>
      <x:c r="I588" s="13" t="str">
        <x:v>Operação Clareza</x:v>
      </x:c>
      <x:c r="J588" s="17" t="n">
        <x:f>E588-D588</x:f>
        <x:v>0</x:v>
      </x:c>
      <x:c r="K588" s="19" t="n">
        <x:f>IFERROR(ABS(J588/D588),0)</x:f>
        <x:v>0</x:v>
      </x:c>
    </x:row>
    <x:row r="589">
      <x:c r="A589" s="13" t="str">
        <x:v>CON-000588</x:v>
      </x:c>
      <x:c r="B589" s="23" t="n">
        <x:v>45798</x:v>
      </x:c>
      <x:c r="C589" s="13" t="str">
        <x:v>Itaú Operacional</x:v>
      </x:c>
      <x:c r="D589" s="17" t="n">
        <x:v>4291.21</x:v>
      </x:c>
      <x:c r="E589" s="17" t="n">
        <x:v>4291.21</x:v>
      </x:c>
      <x:c r="F589" s="13" t="str">
        <x:v>Conciliado</x:v>
      </x:c>
      <x:c r="G589" s="13" t="str">
        <x:v>Sem divergência</x:v>
      </x:c>
      <x:c r="H589" s="13" t="n">
        <x:v>0.07</x:v>
      </x:c>
      <x:c r="I589" s="13" t="str">
        <x:v>Operação Clareza</x:v>
      </x:c>
      <x:c r="J589" s="17" t="n">
        <x:f>E589-D589</x:f>
        <x:v>0</x:v>
      </x:c>
      <x:c r="K589" s="19" t="n">
        <x:f>IFERROR(ABS(J589/D589),0)</x:f>
        <x:v>0</x:v>
      </x:c>
    </x:row>
    <x:row r="590">
      <x:c r="A590" s="13" t="str">
        <x:v>CON-000589</x:v>
      </x:c>
      <x:c r="B590" s="23" t="n">
        <x:v>45791</x:v>
      </x:c>
      <x:c r="C590" s="13" t="str">
        <x:v>Nubank Serviços</x:v>
      </x:c>
      <x:c r="D590" s="17" t="n">
        <x:v>25453.94</x:v>
      </x:c>
      <x:c r="E590" s="17" t="n">
        <x:v>25453.94</x:v>
      </x:c>
      <x:c r="F590" s="13" t="str">
        <x:v>Conciliado</x:v>
      </x:c>
      <x:c r="G590" s="13" t="str">
        <x:v>Sem divergência</x:v>
      </x:c>
      <x:c r="H590" s="13" t="n">
        <x:v>0.25</x:v>
      </x:c>
      <x:c r="I590" s="13" t="str">
        <x:v>Operação Clareza</x:v>
      </x:c>
      <x:c r="J590" s="17" t="n">
        <x:f>E590-D590</x:f>
        <x:v>0</x:v>
      </x:c>
      <x:c r="K590" s="19" t="n">
        <x:f>IFERROR(ABS(J590/D590),0)</x:f>
        <x:v>0</x:v>
      </x:c>
    </x:row>
    <x:row r="591">
      <x:c r="A591" s="13" t="str">
        <x:v>CON-000590</x:v>
      </x:c>
      <x:c r="B591" s="23" t="n">
        <x:v>45796</x:v>
      </x:c>
      <x:c r="C591" s="13" t="str">
        <x:v>Santander Recebimentos</x:v>
      </x:c>
      <x:c r="D591" s="17" t="n">
        <x:v>31032.43</x:v>
      </x:c>
      <x:c r="E591" s="17" t="n">
        <x:v>31032.43</x:v>
      </x:c>
      <x:c r="F591" s="13" t="str">
        <x:v>Conciliado</x:v>
      </x:c>
      <x:c r="G591" s="13" t="str">
        <x:v>Sem divergência</x:v>
      </x:c>
      <x:c r="H591" s="13" t="n">
        <x:v>0.14</x:v>
      </x:c>
      <x:c r="I591" s="13" t="str">
        <x:v>Operação Clareza</x:v>
      </x:c>
      <x:c r="J591" s="17" t="n">
        <x:f>E591-D591</x:f>
        <x:v>0</x:v>
      </x:c>
      <x:c r="K591" s="19" t="n">
        <x:f>IFERROR(ABS(J591/D591),0)</x:f>
        <x:v>0</x:v>
      </x:c>
    </x:row>
    <x:row r="592">
      <x:c r="A592" s="13" t="str">
        <x:v>CON-000591</x:v>
      </x:c>
      <x:c r="B592" s="23" t="n">
        <x:v>45779</x:v>
      </x:c>
      <x:c r="C592" s="13" t="str">
        <x:v>Santander Recebimentos</x:v>
      </x:c>
      <x:c r="D592" s="17" t="n">
        <x:v>19349.21</x:v>
      </x:c>
      <x:c r="E592" s="17" t="n">
        <x:v>19349.21</x:v>
      </x:c>
      <x:c r="F592" s="13" t="str">
        <x:v>Conciliado</x:v>
      </x:c>
      <x:c r="G592" s="13" t="str">
        <x:v>Sem divergência</x:v>
      </x:c>
      <x:c r="H592" s="13" t="n">
        <x:v>0.24</x:v>
      </x:c>
      <x:c r="I592" s="13" t="str">
        <x:v>Operação Clareza</x:v>
      </x:c>
      <x:c r="J592" s="17" t="n">
        <x:f>E592-D592</x:f>
        <x:v>0</x:v>
      </x:c>
      <x:c r="K592" s="19" t="n">
        <x:f>IFERROR(ABS(J592/D592),0)</x:f>
        <x:v>0</x:v>
      </x:c>
    </x:row>
    <x:row r="593">
      <x:c r="A593" s="13" t="str">
        <x:v>CON-000592</x:v>
      </x:c>
      <x:c r="B593" s="23" t="n">
        <x:v>45781</x:v>
      </x:c>
      <x:c r="C593" s="13" t="str">
        <x:v>Itaú Operacional</x:v>
      </x:c>
      <x:c r="D593" s="17" t="n">
        <x:v>7283.88</x:v>
      </x:c>
      <x:c r="E593" s="17" t="n">
        <x:v>7283.88</x:v>
      </x:c>
      <x:c r="F593" s="13" t="str">
        <x:v>Conciliado</x:v>
      </x:c>
      <x:c r="G593" s="13" t="str">
        <x:v>Sem divergência</x:v>
      </x:c>
      <x:c r="H593" s="13" t="n">
        <x:v>0.11</x:v>
      </x:c>
      <x:c r="I593" s="13" t="str">
        <x:v>Operação Clareza</x:v>
      </x:c>
      <x:c r="J593" s="17" t="n">
        <x:f>E593-D593</x:f>
        <x:v>0</x:v>
      </x:c>
      <x:c r="K593" s="19" t="n">
        <x:f>IFERROR(ABS(J593/D593),0)</x:f>
        <x:v>0</x:v>
      </x:c>
    </x:row>
    <x:row r="594">
      <x:c r="A594" s="13" t="str">
        <x:v>CON-000593</x:v>
      </x:c>
      <x:c r="B594" s="23" t="n">
        <x:v>45785</x:v>
      </x:c>
      <x:c r="C594" s="13" t="str">
        <x:v>Itaú Operacional</x:v>
      </x:c>
      <x:c r="D594" s="17" t="n">
        <x:v>24073.42</x:v>
      </x:c>
      <x:c r="E594" s="17" t="n">
        <x:v>24073.42</x:v>
      </x:c>
      <x:c r="F594" s="13" t="str">
        <x:v>Conciliado</x:v>
      </x:c>
      <x:c r="G594" s="13" t="str">
        <x:v>Sem divergência</x:v>
      </x:c>
      <x:c r="H594" s="13" t="n">
        <x:v>0.42</x:v>
      </x:c>
      <x:c r="I594" s="13" t="str">
        <x:v>Operação Clareza</x:v>
      </x:c>
      <x:c r="J594" s="17" t="n">
        <x:f>E594-D594</x:f>
        <x:v>0</x:v>
      </x:c>
      <x:c r="K594" s="19" t="n">
        <x:f>IFERROR(ABS(J594/D594),0)</x:f>
        <x:v>0</x:v>
      </x:c>
    </x:row>
    <x:row r="595">
      <x:c r="A595" s="13" t="str">
        <x:v>CON-000594</x:v>
      </x:c>
      <x:c r="B595" s="23" t="n">
        <x:v>45800</x:v>
      </x:c>
      <x:c r="C595" s="13" t="str">
        <x:v>Bradesco Pagamentos</x:v>
      </x:c>
      <x:c r="D595" s="17" t="n">
        <x:v>14787.79</x:v>
      </x:c>
      <x:c r="E595" s="17" t="n">
        <x:v>14787.79</x:v>
      </x:c>
      <x:c r="F595" s="13" t="str">
        <x:v>Conciliado</x:v>
      </x:c>
      <x:c r="G595" s="13" t="str">
        <x:v>Sem divergência</x:v>
      </x:c>
      <x:c r="H595" s="13" t="n">
        <x:v>0.2</x:v>
      </x:c>
      <x:c r="I595" s="13" t="str">
        <x:v>Operação Clareza</x:v>
      </x:c>
      <x:c r="J595" s="17" t="n">
        <x:f>E595-D595</x:f>
        <x:v>0</x:v>
      </x:c>
      <x:c r="K595" s="19" t="n">
        <x:f>IFERROR(ABS(J595/D595),0)</x:f>
        <x:v>0</x:v>
      </x:c>
    </x:row>
    <x:row r="596">
      <x:c r="A596" s="13" t="str">
        <x:v>CON-000595</x:v>
      </x:c>
      <x:c r="B596" s="23" t="n">
        <x:v>45790</x:v>
      </x:c>
      <x:c r="C596" s="13" t="str">
        <x:v>Itaú Operacional</x:v>
      </x:c>
      <x:c r="D596" s="17" t="n">
        <x:v>6902.02</x:v>
      </x:c>
      <x:c r="E596" s="17" t="n">
        <x:v>7348.96</x:v>
      </x:c>
      <x:c r="F596" s="13" t="str">
        <x:v>Resolvido</x:v>
      </x:c>
      <x:c r="G596" s="13" t="str">
        <x:v>Tarifa não cadastrada</x:v>
      </x:c>
      <x:c r="H596" s="13" t="n">
        <x:v>16.96</x:v>
      </x:c>
      <x:c r="I596" s="13" t="str">
        <x:v>Operação Clareza</x:v>
      </x:c>
      <x:c r="J596" s="17" t="n">
        <x:f>E596-D596</x:f>
        <x:v>446.9399999999996</x:v>
      </x:c>
      <x:c r="K596" s="19" t="n">
        <x:f>IFERROR(ABS(J596/D596),0)</x:f>
        <x:v>0.06475495579554964</x:v>
      </x:c>
    </x:row>
    <x:row r="597">
      <x:c r="A597" s="13" t="str">
        <x:v>CON-000596</x:v>
      </x:c>
      <x:c r="B597" s="23" t="n">
        <x:v>45825</x:v>
      </x:c>
      <x:c r="C597" s="13" t="str">
        <x:v>Santander Recebimentos</x:v>
      </x:c>
      <x:c r="D597" s="17" t="n">
        <x:v>23622.05</x:v>
      </x:c>
      <x:c r="E597" s="17" t="n">
        <x:v>24213.07</x:v>
      </x:c>
      <x:c r="F597" s="13" t="str">
        <x:v>Pendente</x:v>
      </x:c>
      <x:c r="G597" s="13" t="str">
        <x:v>Valor divergente</x:v>
      </x:c>
      <x:c r="H597" s="13" t="n">
        <x:v>17.7</x:v>
      </x:c>
      <x:c r="I597" s="13" t="str">
        <x:v>Operação Clareza</x:v>
      </x:c>
      <x:c r="J597" s="17" t="n">
        <x:f>E597-D597</x:f>
        <x:v>591.0200000000004</x:v>
      </x:c>
      <x:c r="K597" s="19" t="n">
        <x:f>IFERROR(ABS(J597/D597),0)</x:f>
        <x:v>0.025019843747684914</x:v>
      </x:c>
    </x:row>
    <x:row r="598">
      <x:c r="A598" s="13" t="str">
        <x:v>CON-000597</x:v>
      </x:c>
      <x:c r="B598" s="23" t="n">
        <x:v>45825</x:v>
      </x:c>
      <x:c r="C598" s="13" t="str">
        <x:v>Itaú Operacional</x:v>
      </x:c>
      <x:c r="D598" s="17" t="n">
        <x:v>14200.13</x:v>
      </x:c>
      <x:c r="E598" s="17" t="n">
        <x:v>14200.13</x:v>
      </x:c>
      <x:c r="F598" s="13" t="str">
        <x:v>Conciliado</x:v>
      </x:c>
      <x:c r="G598" s="13" t="str">
        <x:v>Sem divergência</x:v>
      </x:c>
      <x:c r="H598" s="13" t="n">
        <x:v>0.34</x:v>
      </x:c>
      <x:c r="I598" s="13" t="str">
        <x:v>Operação Clareza</x:v>
      </x:c>
      <x:c r="J598" s="17" t="n">
        <x:f>E598-D598</x:f>
        <x:v>0</x:v>
      </x:c>
      <x:c r="K598" s="19" t="n">
        <x:f>IFERROR(ABS(J598/D598),0)</x:f>
        <x:v>0</x:v>
      </x:c>
    </x:row>
    <x:row r="599">
      <x:c r="A599" s="13" t="str">
        <x:v>CON-000598</x:v>
      </x:c>
      <x:c r="B599" s="23" t="n">
        <x:v>45822</x:v>
      </x:c>
      <x:c r="C599" s="13" t="str">
        <x:v>Santander Recebimentos</x:v>
      </x:c>
      <x:c r="D599" s="17" t="n">
        <x:v>41681.73</x:v>
      </x:c>
      <x:c r="E599" s="17" t="n">
        <x:v>41681.73</x:v>
      </x:c>
      <x:c r="F599" s="13" t="str">
        <x:v>Conciliado</x:v>
      </x:c>
      <x:c r="G599" s="13" t="str">
        <x:v>Sem divergência</x:v>
      </x:c>
      <x:c r="H599" s="13" t="n">
        <x:v>0.23</x:v>
      </x:c>
      <x:c r="I599" s="13" t="str">
        <x:v>Operação Clareza</x:v>
      </x:c>
      <x:c r="J599" s="17" t="n">
        <x:f>E599-D599</x:f>
        <x:v>0</x:v>
      </x:c>
      <x:c r="K599" s="19" t="n">
        <x:f>IFERROR(ABS(J599/D599),0)</x:f>
        <x:v>0</x:v>
      </x:c>
    </x:row>
    <x:row r="600">
      <x:c r="A600" s="13" t="str">
        <x:v>CON-000599</x:v>
      </x:c>
      <x:c r="B600" s="23" t="n">
        <x:v>45822</x:v>
      </x:c>
      <x:c r="C600" s="13" t="str">
        <x:v>Bradesco Pagamentos</x:v>
      </x:c>
      <x:c r="D600" s="17" t="n">
        <x:v>43666.12</x:v>
      </x:c>
      <x:c r="E600" s="17" t="n">
        <x:v>43666.12</x:v>
      </x:c>
      <x:c r="F600" s="13" t="str">
        <x:v>Conciliado</x:v>
      </x:c>
      <x:c r="G600" s="13" t="str">
        <x:v>Sem divergência</x:v>
      </x:c>
      <x:c r="H600" s="13" t="n">
        <x:v>0.07</x:v>
      </x:c>
      <x:c r="I600" s="13" t="str">
        <x:v>Operação Clareza</x:v>
      </x:c>
      <x:c r="J600" s="17" t="n">
        <x:f>E600-D600</x:f>
        <x:v>0</x:v>
      </x:c>
      <x:c r="K600" s="19" t="n">
        <x:f>IFERROR(ABS(J600/D600),0)</x:f>
        <x:v>0</x:v>
      </x:c>
    </x:row>
    <x:row r="601">
      <x:c r="A601" s="13" t="str">
        <x:v>CON-000600</x:v>
      </x:c>
      <x:c r="B601" s="23" t="n">
        <x:v>45814</x:v>
      </x:c>
      <x:c r="C601" s="13" t="str">
        <x:v>Nubank Serviços</x:v>
      </x:c>
      <x:c r="D601" s="17" t="n">
        <x:v>36764.38</x:v>
      </x:c>
      <x:c r="E601" s="17" t="n">
        <x:v>36764.38</x:v>
      </x:c>
      <x:c r="F601" s="13" t="str">
        <x:v>Conciliado</x:v>
      </x:c>
      <x:c r="G601" s="13" t="str">
        <x:v>Sem divergência</x:v>
      </x:c>
      <x:c r="H601" s="13" t="n">
        <x:v>0.02</x:v>
      </x:c>
      <x:c r="I601" s="13" t="str">
        <x:v>Operação Clareza</x:v>
      </x:c>
      <x:c r="J601" s="17" t="n">
        <x:f>E601-D601</x:f>
        <x:v>0</x:v>
      </x:c>
      <x:c r="K601" s="19" t="n">
        <x:f>IFERROR(ABS(J601/D601),0)</x:f>
        <x:v>0</x:v>
      </x:c>
    </x:row>
    <x:row r="602">
      <x:c r="A602" s="13" t="str">
        <x:v>CON-000601</x:v>
      </x:c>
      <x:c r="B602" s="23" t="n">
        <x:v>45828</x:v>
      </x:c>
      <x:c r="C602" s="13" t="str">
        <x:v>Santander Recebimentos</x:v>
      </x:c>
      <x:c r="D602" s="17" t="n">
        <x:v>38033.32</x:v>
      </x:c>
      <x:c r="E602" s="17" t="n">
        <x:v>38033.32</x:v>
      </x:c>
      <x:c r="F602" s="13" t="str">
        <x:v>Conciliado</x:v>
      </x:c>
      <x:c r="G602" s="13" t="str">
        <x:v>Sem divergência</x:v>
      </x:c>
      <x:c r="H602" s="13" t="n">
        <x:v>0.27</x:v>
      </x:c>
      <x:c r="I602" s="13" t="str">
        <x:v>Operação Clareza</x:v>
      </x:c>
      <x:c r="J602" s="17" t="n">
        <x:f>E602-D602</x:f>
        <x:v>0</x:v>
      </x:c>
      <x:c r="K602" s="19" t="n">
        <x:f>IFERROR(ABS(J602/D602),0)</x:f>
        <x:v>0</x:v>
      </x:c>
    </x:row>
    <x:row r="603">
      <x:c r="A603" s="13" t="str">
        <x:v>CON-000602</x:v>
      </x:c>
      <x:c r="B603" s="23" t="n">
        <x:v>45828</x:v>
      </x:c>
      <x:c r="C603" s="13" t="str">
        <x:v>Santander Recebimentos</x:v>
      </x:c>
      <x:c r="D603" s="17" t="n">
        <x:v>24529.57</x:v>
      </x:c>
      <x:c r="E603" s="17" t="n">
        <x:v>24529.57</x:v>
      </x:c>
      <x:c r="F603" s="13" t="str">
        <x:v>Conciliado</x:v>
      </x:c>
      <x:c r="G603" s="13" t="str">
        <x:v>Sem divergência</x:v>
      </x:c>
      <x:c r="H603" s="13" t="n">
        <x:v>0.06</x:v>
      </x:c>
      <x:c r="I603" s="13" t="str">
        <x:v>Operação Clareza</x:v>
      </x:c>
      <x:c r="J603" s="17" t="n">
        <x:f>E603-D603</x:f>
        <x:v>0</x:v>
      </x:c>
      <x:c r="K603" s="19" t="n">
        <x:f>IFERROR(ABS(J603/D603),0)</x:f>
        <x:v>0</x:v>
      </x:c>
    </x:row>
    <x:row r="604">
      <x:c r="A604" s="13" t="str">
        <x:v>CON-000603</x:v>
      </x:c>
      <x:c r="B604" s="23" t="n">
        <x:v>45829</x:v>
      </x:c>
      <x:c r="C604" s="13" t="str">
        <x:v>Santander Recebimentos</x:v>
      </x:c>
      <x:c r="D604" s="17" t="n">
        <x:v>37561.22</x:v>
      </x:c>
      <x:c r="E604" s="17" t="n">
        <x:v>37561.22</x:v>
      </x:c>
      <x:c r="F604" s="13" t="str">
        <x:v>Conciliado</x:v>
      </x:c>
      <x:c r="G604" s="13" t="str">
        <x:v>Sem divergência</x:v>
      </x:c>
      <x:c r="H604" s="13" t="n">
        <x:v>0.29</x:v>
      </x:c>
      <x:c r="I604" s="13" t="str">
        <x:v>Operação Clareza</x:v>
      </x:c>
      <x:c r="J604" s="17" t="n">
        <x:f>E604-D604</x:f>
        <x:v>0</x:v>
      </x:c>
      <x:c r="K604" s="19" t="n">
        <x:f>IFERROR(ABS(J604/D604),0)</x:f>
        <x:v>0</x:v>
      </x:c>
    </x:row>
    <x:row r="605">
      <x:c r="A605" s="13" t="str">
        <x:v>CON-000604</x:v>
      </x:c>
      <x:c r="B605" s="23" t="n">
        <x:v>45822</x:v>
      </x:c>
      <x:c r="C605" s="13" t="str">
        <x:v>Bradesco Pagamentos</x:v>
      </x:c>
      <x:c r="D605" s="17" t="n">
        <x:v>35712.9</x:v>
      </x:c>
      <x:c r="E605" s="17" t="n">
        <x:v>35712.9</x:v>
      </x:c>
      <x:c r="F605" s="13" t="str">
        <x:v>Conciliado</x:v>
      </x:c>
      <x:c r="G605" s="13" t="str">
        <x:v>Sem divergência</x:v>
      </x:c>
      <x:c r="H605" s="13" t="n">
        <x:v>0.17</x:v>
      </x:c>
      <x:c r="I605" s="13" t="str">
        <x:v>Operação Clareza</x:v>
      </x:c>
      <x:c r="J605" s="17" t="n">
        <x:f>E605-D605</x:f>
        <x:v>0</x:v>
      </x:c>
      <x:c r="K605" s="19" t="n">
        <x:f>IFERROR(ABS(J605/D605),0)</x:f>
        <x:v>0</x:v>
      </x:c>
    </x:row>
    <x:row r="606">
      <x:c r="A606" s="13" t="str">
        <x:v>CON-000605</x:v>
      </x:c>
      <x:c r="B606" s="23" t="n">
        <x:v>45822</x:v>
      </x:c>
      <x:c r="C606" s="13" t="str">
        <x:v>Bradesco Pagamentos</x:v>
      </x:c>
      <x:c r="D606" s="17" t="n">
        <x:v>38025.3</x:v>
      </x:c>
      <x:c r="E606" s="17" t="n">
        <x:v>38025.3</x:v>
      </x:c>
      <x:c r="F606" s="13" t="str">
        <x:v>Conciliado</x:v>
      </x:c>
      <x:c r="G606" s="13" t="str">
        <x:v>Sem divergência</x:v>
      </x:c>
      <x:c r="H606" s="13" t="n">
        <x:v>0.04</x:v>
      </x:c>
      <x:c r="I606" s="13" t="str">
        <x:v>Operação Clareza</x:v>
      </x:c>
      <x:c r="J606" s="17" t="n">
        <x:f>E606-D606</x:f>
        <x:v>0</x:v>
      </x:c>
      <x:c r="K606" s="19" t="n">
        <x:f>IFERROR(ABS(J606/D606),0)</x:f>
        <x:v>0</x:v>
      </x:c>
    </x:row>
    <x:row r="607">
      <x:c r="A607" s="13" t="str">
        <x:v>CON-000606</x:v>
      </x:c>
      <x:c r="B607" s="23" t="n">
        <x:v>45809</x:v>
      </x:c>
      <x:c r="C607" s="13" t="str">
        <x:v>Santander Recebimentos</x:v>
      </x:c>
      <x:c r="D607" s="17" t="n">
        <x:v>3623.22</x:v>
      </x:c>
      <x:c r="E607" s="17" t="n">
        <x:v>3623.22</x:v>
      </x:c>
      <x:c r="F607" s="13" t="str">
        <x:v>Conciliado</x:v>
      </x:c>
      <x:c r="G607" s="13" t="str">
        <x:v>Sem divergência</x:v>
      </x:c>
      <x:c r="H607" s="13" t="n">
        <x:v>0.07</x:v>
      </x:c>
      <x:c r="I607" s="13" t="str">
        <x:v>Operação Clareza</x:v>
      </x:c>
      <x:c r="J607" s="17" t="n">
        <x:f>E607-D607</x:f>
        <x:v>0</x:v>
      </x:c>
      <x:c r="K607" s="19" t="n">
        <x:f>IFERROR(ABS(J607/D607),0)</x:f>
        <x:v>0</x:v>
      </x:c>
    </x:row>
    <x:row r="608">
      <x:c r="A608" s="13" t="str">
        <x:v>CON-000607</x:v>
      </x:c>
      <x:c r="B608" s="23" t="n">
        <x:v>45831</x:v>
      </x:c>
      <x:c r="C608" s="13" t="str">
        <x:v>Nubank Serviços</x:v>
      </x:c>
      <x:c r="D608" s="17" t="n">
        <x:v>16569.85</x:v>
      </x:c>
      <x:c r="E608" s="17" t="n">
        <x:v>16569.85</x:v>
      </x:c>
      <x:c r="F608" s="13" t="str">
        <x:v>Conciliado</x:v>
      </x:c>
      <x:c r="G608" s="13" t="str">
        <x:v>Sem divergência</x:v>
      </x:c>
      <x:c r="H608" s="13" t="n">
        <x:v>0.29</x:v>
      </x:c>
      <x:c r="I608" s="13" t="str">
        <x:v>Operação Clareza</x:v>
      </x:c>
      <x:c r="J608" s="17" t="n">
        <x:f>E608-D608</x:f>
        <x:v>0</x:v>
      </x:c>
      <x:c r="K608" s="19" t="n">
        <x:f>IFERROR(ABS(J608/D608),0)</x:f>
        <x:v>0</x:v>
      </x:c>
    </x:row>
    <x:row r="609">
      <x:c r="A609" s="13" t="str">
        <x:v>CON-000608</x:v>
      </x:c>
      <x:c r="B609" s="23" t="n">
        <x:v>45836</x:v>
      </x:c>
      <x:c r="C609" s="13" t="str">
        <x:v>Santander Recebimentos</x:v>
      </x:c>
      <x:c r="D609" s="17" t="n">
        <x:v>28009.18</x:v>
      </x:c>
      <x:c r="E609" s="17" t="n">
        <x:v>28009.18</x:v>
      </x:c>
      <x:c r="F609" s="13" t="str">
        <x:v>Conciliado</x:v>
      </x:c>
      <x:c r="G609" s="13" t="str">
        <x:v>Sem divergência</x:v>
      </x:c>
      <x:c r="H609" s="13" t="n">
        <x:v>0.4</x:v>
      </x:c>
      <x:c r="I609" s="13" t="str">
        <x:v>Operação Clareza</x:v>
      </x:c>
      <x:c r="J609" s="17" t="n">
        <x:f>E609-D609</x:f>
        <x:v>0</x:v>
      </x:c>
      <x:c r="K609" s="19" t="n">
        <x:f>IFERROR(ABS(J609/D609),0)</x:f>
        <x:v>0</x:v>
      </x:c>
    </x:row>
    <x:row r="610">
      <x:c r="A610" s="13" t="str">
        <x:v>CON-000609</x:v>
      </x:c>
      <x:c r="B610" s="23" t="n">
        <x:v>45820</x:v>
      </x:c>
      <x:c r="C610" s="13" t="str">
        <x:v>Bradesco Pagamentos</x:v>
      </x:c>
      <x:c r="D610" s="17" t="n">
        <x:v>25468.84</x:v>
      </x:c>
      <x:c r="E610" s="17" t="n">
        <x:v>25468.84</x:v>
      </x:c>
      <x:c r="F610" s="13" t="str">
        <x:v>Conciliado</x:v>
      </x:c>
      <x:c r="G610" s="13" t="str">
        <x:v>Sem divergência</x:v>
      </x:c>
      <x:c r="H610" s="13" t="n">
        <x:v>0.28</x:v>
      </x:c>
      <x:c r="I610" s="13" t="str">
        <x:v>Operação Clareza</x:v>
      </x:c>
      <x:c r="J610" s="17" t="n">
        <x:f>E610-D610</x:f>
        <x:v>0</x:v>
      </x:c>
      <x:c r="K610" s="19" t="n">
        <x:f>IFERROR(ABS(J610/D610),0)</x:f>
        <x:v>0</x:v>
      </x:c>
    </x:row>
    <x:row r="611">
      <x:c r="A611" s="13" t="str">
        <x:v>CON-000610</x:v>
      </x:c>
      <x:c r="B611" s="23" t="n">
        <x:v>45836</x:v>
      </x:c>
      <x:c r="C611" s="13" t="str">
        <x:v>Santander Recebimentos</x:v>
      </x:c>
      <x:c r="D611" s="17" t="n">
        <x:v>28895.41</x:v>
      </x:c>
      <x:c r="E611" s="17" t="n">
        <x:v>28306.69</x:v>
      </x:c>
      <x:c r="F611" s="13" t="str">
        <x:v>Resolvido</x:v>
      </x:c>
      <x:c r="G611" s="13" t="str">
        <x:v>Duplicidade</x:v>
      </x:c>
      <x:c r="H611" s="13" t="n">
        <x:v>16.13</x:v>
      </x:c>
      <x:c r="I611" s="13" t="str">
        <x:v>Operação Clareza</x:v>
      </x:c>
      <x:c r="J611" s="17" t="n">
        <x:f>E611-D611</x:f>
        <x:v>-588.7200000000012</x:v>
      </x:c>
      <x:c r="K611" s="19" t="n">
        <x:f>IFERROR(ABS(J611/D611),0)</x:f>
        <x:v>0.020374170153668044</x:v>
      </x:c>
    </x:row>
    <x:row r="612">
      <x:c r="A612" s="13" t="str">
        <x:v>CON-000611</x:v>
      </x:c>
      <x:c r="B612" s="23" t="n">
        <x:v>45820</x:v>
      </x:c>
      <x:c r="C612" s="13" t="str">
        <x:v>Nubank Serviços</x:v>
      </x:c>
      <x:c r="D612" s="17" t="n">
        <x:v>17274.57</x:v>
      </x:c>
      <x:c r="E612" s="17" t="n">
        <x:v>17274.57</x:v>
      </x:c>
      <x:c r="F612" s="13" t="str">
        <x:v>Conciliado</x:v>
      </x:c>
      <x:c r="G612" s="13" t="str">
        <x:v>Sem divergência</x:v>
      </x:c>
      <x:c r="H612" s="13" t="n">
        <x:v>0.45</x:v>
      </x:c>
      <x:c r="I612" s="13" t="str">
        <x:v>Operação Clareza</x:v>
      </x:c>
      <x:c r="J612" s="17" t="n">
        <x:f>E612-D612</x:f>
        <x:v>0</x:v>
      </x:c>
      <x:c r="K612" s="19" t="n">
        <x:f>IFERROR(ABS(J612/D612),0)</x:f>
        <x:v>0</x:v>
      </x:c>
    </x:row>
    <x:row r="613">
      <x:c r="A613" s="13" t="str">
        <x:v>CON-000612</x:v>
      </x:c>
      <x:c r="B613" s="23" t="n">
        <x:v>45817</x:v>
      </x:c>
      <x:c r="C613" s="13" t="str">
        <x:v>Itaú Operacional</x:v>
      </x:c>
      <x:c r="D613" s="17" t="n">
        <x:v>7415.73</x:v>
      </x:c>
      <x:c r="E613" s="17" t="n">
        <x:v>7415.73</x:v>
      </x:c>
      <x:c r="F613" s="13" t="str">
        <x:v>Conciliado</x:v>
      </x:c>
      <x:c r="G613" s="13" t="str">
        <x:v>Sem divergência</x:v>
      </x:c>
      <x:c r="H613" s="13" t="n">
        <x:v>0.06</x:v>
      </x:c>
      <x:c r="I613" s="13" t="str">
        <x:v>Operação Clareza</x:v>
      </x:c>
      <x:c r="J613" s="17" t="n">
        <x:f>E613-D613</x:f>
        <x:v>0</x:v>
      </x:c>
      <x:c r="K613" s="19" t="n">
        <x:f>IFERROR(ABS(J613/D613),0)</x:f>
        <x:v>0</x:v>
      </x:c>
    </x:row>
    <x:row r="614">
      <x:c r="A614" s="13" t="str">
        <x:v>CON-000613</x:v>
      </x:c>
      <x:c r="B614" s="23" t="n">
        <x:v>45824</x:v>
      </x:c>
      <x:c r="C614" s="13" t="str">
        <x:v>Santander Recebimentos</x:v>
      </x:c>
      <x:c r="D614" s="17" t="n">
        <x:v>27793.67</x:v>
      </x:c>
      <x:c r="E614" s="17" t="n">
        <x:v>27793.67</x:v>
      </x:c>
      <x:c r="F614" s="13" t="str">
        <x:v>Conciliado</x:v>
      </x:c>
      <x:c r="G614" s="13" t="str">
        <x:v>Sem divergência</x:v>
      </x:c>
      <x:c r="H614" s="13" t="n">
        <x:v>0.31</x:v>
      </x:c>
      <x:c r="I614" s="13" t="str">
        <x:v>Operação Clareza</x:v>
      </x:c>
      <x:c r="J614" s="17" t="n">
        <x:f>E614-D614</x:f>
        <x:v>0</x:v>
      </x:c>
      <x:c r="K614" s="19" t="n">
        <x:f>IFERROR(ABS(J614/D614),0)</x:f>
        <x:v>0</x:v>
      </x:c>
    </x:row>
    <x:row r="615">
      <x:c r="A615" s="13" t="str">
        <x:v>CON-000614</x:v>
      </x:c>
      <x:c r="B615" s="23" t="n">
        <x:v>45822</x:v>
      </x:c>
      <x:c r="C615" s="13" t="str">
        <x:v>Santander Recebimentos</x:v>
      </x:c>
      <x:c r="D615" s="17" t="n">
        <x:v>41035.43</x:v>
      </x:c>
      <x:c r="E615" s="17" t="n">
        <x:v>41035.43</x:v>
      </x:c>
      <x:c r="F615" s="13" t="str">
        <x:v>Conciliado</x:v>
      </x:c>
      <x:c r="G615" s="13" t="str">
        <x:v>Sem divergência</x:v>
      </x:c>
      <x:c r="H615" s="13" t="n">
        <x:v>0.04</x:v>
      </x:c>
      <x:c r="I615" s="13" t="str">
        <x:v>Operação Clareza</x:v>
      </x:c>
      <x:c r="J615" s="17" t="n">
        <x:f>E615-D615</x:f>
        <x:v>0</x:v>
      </x:c>
      <x:c r="K615" s="19" t="n">
        <x:f>IFERROR(ABS(J615/D615),0)</x:f>
        <x:v>0</x:v>
      </x:c>
    </x:row>
    <x:row r="616">
      <x:c r="A616" s="13" t="str">
        <x:v>CON-000615</x:v>
      </x:c>
      <x:c r="B616" s="23" t="n">
        <x:v>45834</x:v>
      </x:c>
      <x:c r="C616" s="13" t="str">
        <x:v>Bradesco Pagamentos</x:v>
      </x:c>
      <x:c r="D616" s="17" t="n">
        <x:v>43064.34</x:v>
      </x:c>
      <x:c r="E616" s="17" t="n">
        <x:v>43064.34</x:v>
      </x:c>
      <x:c r="F616" s="13" t="str">
        <x:v>Conciliado</x:v>
      </x:c>
      <x:c r="G616" s="13" t="str">
        <x:v>Sem divergência</x:v>
      </x:c>
      <x:c r="H616" s="13" t="n">
        <x:v>0.25</x:v>
      </x:c>
      <x:c r="I616" s="13" t="str">
        <x:v>Operação Clareza</x:v>
      </x:c>
      <x:c r="J616" s="17" t="n">
        <x:f>E616-D616</x:f>
        <x:v>0</x:v>
      </x:c>
      <x:c r="K616" s="19" t="n">
        <x:f>IFERROR(ABS(J616/D616),0)</x:f>
        <x:v>0</x:v>
      </x:c>
    </x:row>
    <x:row r="617">
      <x:c r="A617" s="13" t="str">
        <x:v>CON-000616</x:v>
      </x:c>
      <x:c r="B617" s="23" t="n">
        <x:v>45811</x:v>
      </x:c>
      <x:c r="C617" s="13" t="str">
        <x:v>Santander Recebimentos</x:v>
      </x:c>
      <x:c r="D617" s="17" t="n">
        <x:v>10021.5</x:v>
      </x:c>
      <x:c r="E617" s="17" t="n">
        <x:v>10021.5</x:v>
      </x:c>
      <x:c r="F617" s="13" t="str">
        <x:v>Conciliado</x:v>
      </x:c>
      <x:c r="G617" s="13" t="str">
        <x:v>Sem divergência</x:v>
      </x:c>
      <x:c r="H617" s="13" t="n">
        <x:v>0.3</x:v>
      </x:c>
      <x:c r="I617" s="13" t="str">
        <x:v>Operação Clareza</x:v>
      </x:c>
      <x:c r="J617" s="17" t="n">
        <x:f>E617-D617</x:f>
        <x:v>0</x:v>
      </x:c>
      <x:c r="K617" s="19" t="n">
        <x:f>IFERROR(ABS(J617/D617),0)</x:f>
        <x:v>0</x:v>
      </x:c>
    </x:row>
    <x:row r="618">
      <x:c r="A618" s="13" t="str">
        <x:v>CON-000617</x:v>
      </x:c>
      <x:c r="B618" s="23" t="n">
        <x:v>45816</x:v>
      </x:c>
      <x:c r="C618" s="13" t="str">
        <x:v>Nubank Serviços</x:v>
      </x:c>
      <x:c r="D618" s="17" t="n">
        <x:v>26791.72</x:v>
      </x:c>
      <x:c r="E618" s="17" t="n">
        <x:v>26791.72</x:v>
      </x:c>
      <x:c r="F618" s="13" t="str">
        <x:v>Conciliado</x:v>
      </x:c>
      <x:c r="G618" s="13" t="str">
        <x:v>Sem divergência</x:v>
      </x:c>
      <x:c r="H618" s="13" t="n">
        <x:v>0.06</x:v>
      </x:c>
      <x:c r="I618" s="13" t="str">
        <x:v>Operação Clareza</x:v>
      </x:c>
      <x:c r="J618" s="17" t="n">
        <x:f>E618-D618</x:f>
        <x:v>0</x:v>
      </x:c>
      <x:c r="K618" s="19" t="n">
        <x:f>IFERROR(ABS(J618/D618),0)</x:f>
        <x:v>0</x:v>
      </x:c>
    </x:row>
    <x:row r="619">
      <x:c r="A619" s="13" t="str">
        <x:v>CON-000618</x:v>
      </x:c>
      <x:c r="B619" s="23" t="n">
        <x:v>45830</x:v>
      </x:c>
      <x:c r="C619" s="13" t="str">
        <x:v>Itaú Operacional</x:v>
      </x:c>
      <x:c r="D619" s="17" t="n">
        <x:v>11995.33</x:v>
      </x:c>
      <x:c r="E619" s="17" t="n">
        <x:v>11995.33</x:v>
      </x:c>
      <x:c r="F619" s="13" t="str">
        <x:v>Conciliado</x:v>
      </x:c>
      <x:c r="G619" s="13" t="str">
        <x:v>Sem divergência</x:v>
      </x:c>
      <x:c r="H619" s="13" t="n">
        <x:v>0.39</x:v>
      </x:c>
      <x:c r="I619" s="13" t="str">
        <x:v>Operação Clareza</x:v>
      </x:c>
      <x:c r="J619" s="17" t="n">
        <x:f>E619-D619</x:f>
        <x:v>0</x:v>
      </x:c>
      <x:c r="K619" s="19" t="n">
        <x:f>IFERROR(ABS(J619/D619),0)</x:f>
        <x:v>0</x:v>
      </x:c>
    </x:row>
    <x:row r="620">
      <x:c r="A620" s="13" t="str">
        <x:v>CON-000619</x:v>
      </x:c>
      <x:c r="B620" s="23" t="n">
        <x:v>45831</x:v>
      </x:c>
      <x:c r="C620" s="13" t="str">
        <x:v>Nubank Serviços</x:v>
      </x:c>
      <x:c r="D620" s="17" t="n">
        <x:v>14486.61</x:v>
      </x:c>
      <x:c r="E620" s="17" t="n">
        <x:v>14486.61</x:v>
      </x:c>
      <x:c r="F620" s="13" t="str">
        <x:v>Conciliado</x:v>
      </x:c>
      <x:c r="G620" s="13" t="str">
        <x:v>Sem divergência</x:v>
      </x:c>
      <x:c r="H620" s="13" t="n">
        <x:v>0.08</x:v>
      </x:c>
      <x:c r="I620" s="13" t="str">
        <x:v>Operação Clareza</x:v>
      </x:c>
      <x:c r="J620" s="17" t="n">
        <x:f>E620-D620</x:f>
        <x:v>0</x:v>
      </x:c>
      <x:c r="K620" s="19" t="n">
        <x:f>IFERROR(ABS(J620/D620),0)</x:f>
        <x:v>0</x:v>
      </x:c>
    </x:row>
    <x:row r="621">
      <x:c r="A621" s="13" t="str">
        <x:v>CON-000620</x:v>
      </x:c>
      <x:c r="B621" s="23" t="n">
        <x:v>45823</x:v>
      </x:c>
      <x:c r="C621" s="13" t="str">
        <x:v>Itaú Operacional</x:v>
      </x:c>
      <x:c r="D621" s="17" t="n">
        <x:v>515.99</x:v>
      </x:c>
      <x:c r="E621" s="17" t="n">
        <x:v>515.99</x:v>
      </x:c>
      <x:c r="F621" s="13" t="str">
        <x:v>Conciliado</x:v>
      </x:c>
      <x:c r="G621" s="13" t="str">
        <x:v>Sem divergência</x:v>
      </x:c>
      <x:c r="H621" s="13" t="n">
        <x:v>0.43</x:v>
      </x:c>
      <x:c r="I621" s="13" t="str">
        <x:v>Operação Clareza</x:v>
      </x:c>
      <x:c r="J621" s="17" t="n">
        <x:f>E621-D621</x:f>
        <x:v>0</x:v>
      </x:c>
      <x:c r="K621" s="19" t="n">
        <x:f>IFERROR(ABS(J621/D621),0)</x:f>
        <x:v>0</x:v>
      </x:c>
    </x:row>
    <x:row r="622">
      <x:c r="A622" s="13" t="str">
        <x:v>CON-000621</x:v>
      </x:c>
      <x:c r="B622" s="23" t="n">
        <x:v>45812</x:v>
      </x:c>
      <x:c r="C622" s="13" t="str">
        <x:v>Nubank Serviços</x:v>
      </x:c>
      <x:c r="D622" s="17" t="n">
        <x:v>31194.95</x:v>
      </x:c>
      <x:c r="E622" s="17" t="n">
        <x:v>31711.55</x:v>
      </x:c>
      <x:c r="F622" s="13" t="str">
        <x:v>Resolvido</x:v>
      </x:c>
      <x:c r="G622" s="13" t="str">
        <x:v>Data de compensação</x:v>
      </x:c>
      <x:c r="H622" s="13" t="n">
        <x:v>4.12</x:v>
      </x:c>
      <x:c r="I622" s="13" t="str">
        <x:v>Operação Clareza</x:v>
      </x:c>
      <x:c r="J622" s="17" t="n">
        <x:f>E622-D622</x:f>
        <x:v>516.5999999999985</x:v>
      </x:c>
      <x:c r="K622" s="19" t="n">
        <x:f>IFERROR(ABS(J622/D622),0)</x:f>
        <x:v>0.016560372752641005</x:v>
      </x:c>
    </x:row>
    <x:row r="623">
      <x:c r="A623" s="13" t="str">
        <x:v>CON-000622</x:v>
      </x:c>
      <x:c r="B623" s="23" t="n">
        <x:v>45820</x:v>
      </x:c>
      <x:c r="C623" s="13" t="str">
        <x:v>Bradesco Pagamentos</x:v>
      </x:c>
      <x:c r="D623" s="17" t="n">
        <x:v>4882.43</x:v>
      </x:c>
      <x:c r="E623" s="17" t="n">
        <x:v>4882.43</x:v>
      </x:c>
      <x:c r="F623" s="13" t="str">
        <x:v>Conciliado</x:v>
      </x:c>
      <x:c r="G623" s="13" t="str">
        <x:v>Sem divergência</x:v>
      </x:c>
      <x:c r="H623" s="13" t="n">
        <x:v>0.39</x:v>
      </x:c>
      <x:c r="I623" s="13" t="str">
        <x:v>Operação Clareza</x:v>
      </x:c>
      <x:c r="J623" s="17" t="n">
        <x:f>E623-D623</x:f>
        <x:v>0</x:v>
      </x:c>
      <x:c r="K623" s="19" t="n">
        <x:f>IFERROR(ABS(J623/D623),0)</x:f>
        <x:v>0</x:v>
      </x:c>
    </x:row>
    <x:row r="624">
      <x:c r="A624" s="13" t="str">
        <x:v>CON-000623</x:v>
      </x:c>
      <x:c r="B624" s="23" t="n">
        <x:v>45834</x:v>
      </x:c>
      <x:c r="C624" s="13" t="str">
        <x:v>Santander Recebimentos</x:v>
      </x:c>
      <x:c r="D624" s="17" t="n">
        <x:v>42296.48</x:v>
      </x:c>
      <x:c r="E624" s="17" t="n">
        <x:v>42296.48</x:v>
      </x:c>
      <x:c r="F624" s="13" t="str">
        <x:v>Conciliado</x:v>
      </x:c>
      <x:c r="G624" s="13" t="str">
        <x:v>Sem divergência</x:v>
      </x:c>
      <x:c r="H624" s="13" t="n">
        <x:v>0.27</x:v>
      </x:c>
      <x:c r="I624" s="13" t="str">
        <x:v>Operação Clareza</x:v>
      </x:c>
      <x:c r="J624" s="17" t="n">
        <x:f>E624-D624</x:f>
        <x:v>0</x:v>
      </x:c>
      <x:c r="K624" s="19" t="n">
        <x:f>IFERROR(ABS(J624/D624),0)</x:f>
        <x:v>0</x:v>
      </x:c>
    </x:row>
    <x:row r="625">
      <x:c r="A625" s="13" t="str">
        <x:v>CON-000624</x:v>
      </x:c>
      <x:c r="B625" s="23" t="n">
        <x:v>45825</x:v>
      </x:c>
      <x:c r="C625" s="13" t="str">
        <x:v>Nubank Serviços</x:v>
      </x:c>
      <x:c r="D625" s="17" t="n">
        <x:v>35364.01</x:v>
      </x:c>
      <x:c r="E625" s="17" t="n">
        <x:v>35364.01</x:v>
      </x:c>
      <x:c r="F625" s="13" t="str">
        <x:v>Conciliado</x:v>
      </x:c>
      <x:c r="G625" s="13" t="str">
        <x:v>Sem divergência</x:v>
      </x:c>
      <x:c r="H625" s="13" t="n">
        <x:v>0.43</x:v>
      </x:c>
      <x:c r="I625" s="13" t="str">
        <x:v>Operação Clareza</x:v>
      </x:c>
      <x:c r="J625" s="17" t="n">
        <x:f>E625-D625</x:f>
        <x:v>0</x:v>
      </x:c>
      <x:c r="K625" s="19" t="n">
        <x:f>IFERROR(ABS(J625/D625),0)</x:f>
        <x:v>0</x:v>
      </x:c>
    </x:row>
    <x:row r="626">
      <x:c r="A626" s="13" t="str">
        <x:v>CON-000625</x:v>
      </x:c>
      <x:c r="B626" s="23" t="n">
        <x:v>45828</x:v>
      </x:c>
      <x:c r="C626" s="13" t="str">
        <x:v>Santander Recebimentos</x:v>
      </x:c>
      <x:c r="D626" s="17" t="n">
        <x:v>18152.57</x:v>
      </x:c>
      <x:c r="E626" s="17" t="n">
        <x:v>18152.57</x:v>
      </x:c>
      <x:c r="F626" s="13" t="str">
        <x:v>Conciliado</x:v>
      </x:c>
      <x:c r="G626" s="13" t="str">
        <x:v>Sem divergência</x:v>
      </x:c>
      <x:c r="H626" s="13" t="n">
        <x:v>0.16</x:v>
      </x:c>
      <x:c r="I626" s="13" t="str">
        <x:v>Operação Clareza</x:v>
      </x:c>
      <x:c r="J626" s="17" t="n">
        <x:f>E626-D626</x:f>
        <x:v>0</x:v>
      </x:c>
      <x:c r="K626" s="19" t="n">
        <x:f>IFERROR(ABS(J626/D626),0)</x:f>
        <x:v>0</x:v>
      </x:c>
    </x:row>
    <x:row r="627">
      <x:c r="A627" s="13" t="str">
        <x:v>CON-000626</x:v>
      </x:c>
      <x:c r="B627" s="23" t="n">
        <x:v>45822</x:v>
      </x:c>
      <x:c r="C627" s="13" t="str">
        <x:v>Nubank Serviços</x:v>
      </x:c>
      <x:c r="D627" s="17" t="n">
        <x:v>30513.23</x:v>
      </x:c>
      <x:c r="E627" s="17" t="n">
        <x:v>30513.23</x:v>
      </x:c>
      <x:c r="F627" s="13" t="str">
        <x:v>Conciliado</x:v>
      </x:c>
      <x:c r="G627" s="13" t="str">
        <x:v>Sem divergência</x:v>
      </x:c>
      <x:c r="H627" s="13" t="n">
        <x:v>0.09</x:v>
      </x:c>
      <x:c r="I627" s="13" t="str">
        <x:v>Operação Clareza</x:v>
      </x:c>
      <x:c r="J627" s="17" t="n">
        <x:f>E627-D627</x:f>
        <x:v>0</x:v>
      </x:c>
      <x:c r="K627" s="19" t="n">
        <x:f>IFERROR(ABS(J627/D627),0)</x:f>
        <x:v>0</x:v>
      </x:c>
    </x:row>
    <x:row r="628">
      <x:c r="A628" s="13" t="str">
        <x:v>CON-000627</x:v>
      </x:c>
      <x:c r="B628" s="23" t="n">
        <x:v>45815</x:v>
      </x:c>
      <x:c r="C628" s="13" t="str">
        <x:v>Itaú Operacional</x:v>
      </x:c>
      <x:c r="D628" s="17" t="n">
        <x:v>16169.82</x:v>
      </x:c>
      <x:c r="E628" s="17" t="n">
        <x:v>16169.82</x:v>
      </x:c>
      <x:c r="F628" s="13" t="str">
        <x:v>Conciliado</x:v>
      </x:c>
      <x:c r="G628" s="13" t="str">
        <x:v>Sem divergência</x:v>
      </x:c>
      <x:c r="H628" s="13" t="n">
        <x:v>0.14</x:v>
      </x:c>
      <x:c r="I628" s="13" t="str">
        <x:v>Operação Clareza</x:v>
      </x:c>
      <x:c r="J628" s="17" t="n">
        <x:f>E628-D628</x:f>
        <x:v>0</x:v>
      </x:c>
      <x:c r="K628" s="19" t="n">
        <x:f>IFERROR(ABS(J628/D628),0)</x:f>
        <x:v>0</x:v>
      </x:c>
    </x:row>
    <x:row r="629">
      <x:c r="A629" s="13" t="str">
        <x:v>CON-000628</x:v>
      </x:c>
      <x:c r="B629" s="23" t="n">
        <x:v>45836</x:v>
      </x:c>
      <x:c r="C629" s="13" t="str">
        <x:v>Bradesco Pagamentos</x:v>
      </x:c>
      <x:c r="D629" s="17" t="n">
        <x:v>28791.59</x:v>
      </x:c>
      <x:c r="E629" s="17" t="n">
        <x:v>28791.59</x:v>
      </x:c>
      <x:c r="F629" s="13" t="str">
        <x:v>Conciliado</x:v>
      </x:c>
      <x:c r="G629" s="13" t="str">
        <x:v>Sem divergência</x:v>
      </x:c>
      <x:c r="H629" s="13" t="n">
        <x:v>0.28</x:v>
      </x:c>
      <x:c r="I629" s="13" t="str">
        <x:v>Operação Clareza</x:v>
      </x:c>
      <x:c r="J629" s="17" t="n">
        <x:f>E629-D629</x:f>
        <x:v>0</x:v>
      </x:c>
      <x:c r="K629" s="19" t="n">
        <x:f>IFERROR(ABS(J629/D629),0)</x:f>
        <x:v>0</x:v>
      </x:c>
    </x:row>
    <x:row r="630">
      <x:c r="A630" s="13" t="str">
        <x:v>CON-000629</x:v>
      </x:c>
      <x:c r="B630" s="23" t="n">
        <x:v>45825</x:v>
      </x:c>
      <x:c r="C630" s="13" t="str">
        <x:v>Itaú Operacional</x:v>
      </x:c>
      <x:c r="D630" s="17" t="n">
        <x:v>12360.73</x:v>
      </x:c>
      <x:c r="E630" s="17" t="n">
        <x:v>12360.73</x:v>
      </x:c>
      <x:c r="F630" s="13" t="str">
        <x:v>Conciliado</x:v>
      </x:c>
      <x:c r="G630" s="13" t="str">
        <x:v>Sem divergência</x:v>
      </x:c>
      <x:c r="H630" s="13" t="n">
        <x:v>0.25</x:v>
      </x:c>
      <x:c r="I630" s="13" t="str">
        <x:v>Operação Clareza</x:v>
      </x:c>
      <x:c r="J630" s="17" t="n">
        <x:f>E630-D630</x:f>
        <x:v>0</x:v>
      </x:c>
      <x:c r="K630" s="19" t="n">
        <x:f>IFERROR(ABS(J630/D630),0)</x:f>
        <x:v>0</x:v>
      </x:c>
    </x:row>
    <x:row r="631">
      <x:c r="A631" s="13" t="str">
        <x:v>CON-000630</x:v>
      </x:c>
      <x:c r="B631" s="23" t="n">
        <x:v>45810</x:v>
      </x:c>
      <x:c r="C631" s="13" t="str">
        <x:v>Itaú Operacional</x:v>
      </x:c>
      <x:c r="D631" s="17" t="n">
        <x:v>7130.32</x:v>
      </x:c>
      <x:c r="E631" s="17" t="n">
        <x:v>7130.32</x:v>
      </x:c>
      <x:c r="F631" s="13" t="str">
        <x:v>Conciliado</x:v>
      </x:c>
      <x:c r="G631" s="13" t="str">
        <x:v>Sem divergência</x:v>
      </x:c>
      <x:c r="H631" s="13" t="n">
        <x:v>0.12</x:v>
      </x:c>
      <x:c r="I631" s="13" t="str">
        <x:v>Operação Clareza</x:v>
      </x:c>
      <x:c r="J631" s="17" t="n">
        <x:f>E631-D631</x:f>
        <x:v>0</x:v>
      </x:c>
      <x:c r="K631" s="19" t="n">
        <x:f>IFERROR(ABS(J631/D631),0)</x:f>
        <x:v>0</x:v>
      </x:c>
    </x:row>
    <x:row r="632">
      <x:c r="A632" s="13" t="str">
        <x:v>CON-000631</x:v>
      </x:c>
      <x:c r="B632" s="23" t="n">
        <x:v>45850</x:v>
      </x:c>
      <x:c r="C632" s="13" t="str">
        <x:v>Santander Recebimentos</x:v>
      </x:c>
      <x:c r="D632" s="17" t="n">
        <x:v>40645.42</x:v>
      </x:c>
      <x:c r="E632" s="17" t="n">
        <x:v>40645.42</x:v>
      </x:c>
      <x:c r="F632" s="13" t="str">
        <x:v>Conciliado</x:v>
      </x:c>
      <x:c r="G632" s="13" t="str">
        <x:v>Sem divergência</x:v>
      </x:c>
      <x:c r="H632" s="13" t="n">
        <x:v>0.07</x:v>
      </x:c>
      <x:c r="I632" s="13" t="str">
        <x:v>Operação Clareza</x:v>
      </x:c>
      <x:c r="J632" s="17" t="n">
        <x:f>E632-D632</x:f>
        <x:v>0</x:v>
      </x:c>
      <x:c r="K632" s="19" t="n">
        <x:f>IFERROR(ABS(J632/D632),0)</x:f>
        <x:v>0</x:v>
      </x:c>
    </x:row>
    <x:row r="633">
      <x:c r="A633" s="13" t="str">
        <x:v>CON-000632</x:v>
      </x:c>
      <x:c r="B633" s="23" t="n">
        <x:v>45852</x:v>
      </x:c>
      <x:c r="C633" s="13" t="str">
        <x:v>Santander Recebimentos</x:v>
      </x:c>
      <x:c r="D633" s="17" t="n">
        <x:v>33445.39</x:v>
      </x:c>
      <x:c r="E633" s="17" t="n">
        <x:v>33445.39</x:v>
      </x:c>
      <x:c r="F633" s="13" t="str">
        <x:v>Conciliado</x:v>
      </x:c>
      <x:c r="G633" s="13" t="str">
        <x:v>Sem divergência</x:v>
      </x:c>
      <x:c r="H633" s="13" t="n">
        <x:v>0.45</x:v>
      </x:c>
      <x:c r="I633" s="13" t="str">
        <x:v>Operação Clareza</x:v>
      </x:c>
      <x:c r="J633" s="17" t="n">
        <x:f>E633-D633</x:f>
        <x:v>0</x:v>
      </x:c>
      <x:c r="K633" s="19" t="n">
        <x:f>IFERROR(ABS(J633/D633),0)</x:f>
        <x:v>0</x:v>
      </x:c>
    </x:row>
    <x:row r="634">
      <x:c r="A634" s="13" t="str">
        <x:v>CON-000633</x:v>
      </x:c>
      <x:c r="B634" s="23" t="n">
        <x:v>45839</x:v>
      </x:c>
      <x:c r="C634" s="13" t="str">
        <x:v>Santander Recebimentos</x:v>
      </x:c>
      <x:c r="D634" s="17" t="n">
        <x:v>21527.77</x:v>
      </x:c>
      <x:c r="E634" s="17" t="n">
        <x:v>21527.77</x:v>
      </x:c>
      <x:c r="F634" s="13" t="str">
        <x:v>Conciliado</x:v>
      </x:c>
      <x:c r="G634" s="13" t="str">
        <x:v>Sem divergência</x:v>
      </x:c>
      <x:c r="H634" s="13" t="n">
        <x:v>0.27</x:v>
      </x:c>
      <x:c r="I634" s="13" t="str">
        <x:v>Operação Clareza</x:v>
      </x:c>
      <x:c r="J634" s="17" t="n">
        <x:f>E634-D634</x:f>
        <x:v>0</x:v>
      </x:c>
      <x:c r="K634" s="19" t="n">
        <x:f>IFERROR(ABS(J634/D634),0)</x:f>
        <x:v>0</x:v>
      </x:c>
    </x:row>
    <x:row r="635">
      <x:c r="A635" s="13" t="str">
        <x:v>CON-000634</x:v>
      </x:c>
      <x:c r="B635" s="23" t="n">
        <x:v>45850</x:v>
      </x:c>
      <x:c r="C635" s="13" t="str">
        <x:v>Itaú Operacional</x:v>
      </x:c>
      <x:c r="D635" s="17" t="n">
        <x:v>8579.57</x:v>
      </x:c>
      <x:c r="E635" s="17" t="n">
        <x:v>8579.57</x:v>
      </x:c>
      <x:c r="F635" s="13" t="str">
        <x:v>Conciliado</x:v>
      </x:c>
      <x:c r="G635" s="13" t="str">
        <x:v>Sem divergência</x:v>
      </x:c>
      <x:c r="H635" s="13" t="n">
        <x:v>0.39</x:v>
      </x:c>
      <x:c r="I635" s="13" t="str">
        <x:v>Operação Clareza</x:v>
      </x:c>
      <x:c r="J635" s="17" t="n">
        <x:f>E635-D635</x:f>
        <x:v>0</x:v>
      </x:c>
      <x:c r="K635" s="19" t="n">
        <x:f>IFERROR(ABS(J635/D635),0)</x:f>
        <x:v>0</x:v>
      </x:c>
    </x:row>
    <x:row r="636">
      <x:c r="A636" s="13" t="str">
        <x:v>CON-000635</x:v>
      </x:c>
      <x:c r="B636" s="23" t="n">
        <x:v>45861</x:v>
      </x:c>
      <x:c r="C636" s="13" t="str">
        <x:v>Bradesco Pagamentos</x:v>
      </x:c>
      <x:c r="D636" s="17" t="n">
        <x:v>44596.34</x:v>
      </x:c>
      <x:c r="E636" s="17" t="n">
        <x:v>44596.34</x:v>
      </x:c>
      <x:c r="F636" s="13" t="str">
        <x:v>Conciliado</x:v>
      </x:c>
      <x:c r="G636" s="13" t="str">
        <x:v>Sem divergência</x:v>
      </x:c>
      <x:c r="H636" s="13" t="n">
        <x:v>0.08</x:v>
      </x:c>
      <x:c r="I636" s="13" t="str">
        <x:v>Operação Clareza</x:v>
      </x:c>
      <x:c r="J636" s="17" t="n">
        <x:f>E636-D636</x:f>
        <x:v>0</x:v>
      </x:c>
      <x:c r="K636" s="19" t="n">
        <x:f>IFERROR(ABS(J636/D636),0)</x:f>
        <x:v>0</x:v>
      </x:c>
    </x:row>
    <x:row r="637">
      <x:c r="A637" s="13" t="str">
        <x:v>CON-000636</x:v>
      </x:c>
      <x:c r="B637" s="23" t="n">
        <x:v>45864</x:v>
      </x:c>
      <x:c r="C637" s="13" t="str">
        <x:v>Bradesco Pagamentos</x:v>
      </x:c>
      <x:c r="D637" s="17" t="n">
        <x:v>11083.44</x:v>
      </x:c>
      <x:c r="E637" s="17" t="n">
        <x:v>11083.44</x:v>
      </x:c>
      <x:c r="F637" s="13" t="str">
        <x:v>Conciliado</x:v>
      </x:c>
      <x:c r="G637" s="13" t="str">
        <x:v>Sem divergência</x:v>
      </x:c>
      <x:c r="H637" s="13" t="n">
        <x:v>0.13</x:v>
      </x:c>
      <x:c r="I637" s="13" t="str">
        <x:v>Operação Clareza</x:v>
      </x:c>
      <x:c r="J637" s="17" t="n">
        <x:f>E637-D637</x:f>
        <x:v>0</x:v>
      </x:c>
      <x:c r="K637" s="19" t="n">
        <x:f>IFERROR(ABS(J637/D637),0)</x:f>
        <x:v>0</x:v>
      </x:c>
    </x:row>
    <x:row r="638">
      <x:c r="A638" s="13" t="str">
        <x:v>CON-000637</x:v>
      </x:c>
      <x:c r="B638" s="23" t="n">
        <x:v>45860</x:v>
      </x:c>
      <x:c r="C638" s="13" t="str">
        <x:v>Nubank Serviços</x:v>
      </x:c>
      <x:c r="D638" s="17" t="n">
        <x:v>20490.64</x:v>
      </x:c>
      <x:c r="E638" s="17" t="n">
        <x:v>20490.64</x:v>
      </x:c>
      <x:c r="F638" s="13" t="str">
        <x:v>Conciliado</x:v>
      </x:c>
      <x:c r="G638" s="13" t="str">
        <x:v>Sem divergência</x:v>
      </x:c>
      <x:c r="H638" s="13" t="n">
        <x:v>0.07</x:v>
      </x:c>
      <x:c r="I638" s="13" t="str">
        <x:v>Operação Clareza</x:v>
      </x:c>
      <x:c r="J638" s="17" t="n">
        <x:f>E638-D638</x:f>
        <x:v>0</x:v>
      </x:c>
      <x:c r="K638" s="19" t="n">
        <x:f>IFERROR(ABS(J638/D638),0)</x:f>
        <x:v>0</x:v>
      </x:c>
    </x:row>
    <x:row r="639">
      <x:c r="A639" s="13" t="str">
        <x:v>CON-000638</x:v>
      </x:c>
      <x:c r="B639" s="23" t="n">
        <x:v>45860</x:v>
      </x:c>
      <x:c r="C639" s="13" t="str">
        <x:v>Nubank Serviços</x:v>
      </x:c>
      <x:c r="D639" s="17" t="n">
        <x:v>40725.44</x:v>
      </x:c>
      <x:c r="E639" s="17" t="n">
        <x:v>40591.73</x:v>
      </x:c>
      <x:c r="F639" s="13" t="str">
        <x:v>Pendente</x:v>
      </x:c>
      <x:c r="G639" s="13" t="str">
        <x:v>Data de compensação</x:v>
      </x:c>
      <x:c r="H639" s="13" t="n">
        <x:v>5.81</x:v>
      </x:c>
      <x:c r="I639" s="13" t="str">
        <x:v>Operação Clareza</x:v>
      </x:c>
      <x:c r="J639" s="17" t="n">
        <x:f>E639-D639</x:f>
        <x:v>-133.70999999999913</x:v>
      </x:c>
      <x:c r="K639" s="19" t="n">
        <x:f>IFERROR(ABS(J639/D639),0)</x:f>
        <x:v>0.003283205779974363</x:v>
      </x:c>
    </x:row>
    <x:row r="640">
      <x:c r="A640" s="13" t="str">
        <x:v>CON-000639</x:v>
      </x:c>
      <x:c r="B640" s="23" t="n">
        <x:v>45841</x:v>
      </x:c>
      <x:c r="C640" s="13" t="str">
        <x:v>Itaú Operacional</x:v>
      </x:c>
      <x:c r="D640" s="17" t="n">
        <x:v>29711.43</x:v>
      </x:c>
      <x:c r="E640" s="17" t="n">
        <x:v>30471.37</x:v>
      </x:c>
      <x:c r="F640" s="13" t="str">
        <x:v>Pendente</x:v>
      </x:c>
      <x:c r="G640" s="13" t="str">
        <x:v>Duplicidade</x:v>
      </x:c>
      <x:c r="H640" s="13" t="n">
        <x:v>3.92</x:v>
      </x:c>
      <x:c r="I640" s="13" t="str">
        <x:v>Operação Clareza</x:v>
      </x:c>
      <x:c r="J640" s="17" t="n">
        <x:f>E640-D640</x:f>
        <x:v>759.9399999999987</x:v>
      </x:c>
      <x:c r="K640" s="19" t="n">
        <x:f>IFERROR(ABS(J640/D640),0)</x:f>
        <x:v>0.02557736197820161</x:v>
      </x:c>
    </x:row>
    <x:row r="641">
      <x:c r="A641" s="13" t="str">
        <x:v>CON-000640</x:v>
      </x:c>
      <x:c r="B641" s="23" t="n">
        <x:v>45856</x:v>
      </x:c>
      <x:c r="C641" s="13" t="str">
        <x:v>Nubank Serviços</x:v>
      </x:c>
      <x:c r="D641" s="17" t="n">
        <x:v>44365.77</x:v>
      </x:c>
      <x:c r="E641" s="17" t="n">
        <x:v>44365.77</x:v>
      </x:c>
      <x:c r="F641" s="13" t="str">
        <x:v>Conciliado</x:v>
      </x:c>
      <x:c r="G641" s="13" t="str">
        <x:v>Sem divergência</x:v>
      </x:c>
      <x:c r="H641" s="13" t="n">
        <x:v>0.33</x:v>
      </x:c>
      <x:c r="I641" s="13" t="str">
        <x:v>Operação Clareza</x:v>
      </x:c>
      <x:c r="J641" s="17" t="n">
        <x:f>E641-D641</x:f>
        <x:v>0</x:v>
      </x:c>
      <x:c r="K641" s="19" t="n">
        <x:f>IFERROR(ABS(J641/D641),0)</x:f>
        <x:v>0</x:v>
      </x:c>
    </x:row>
    <x:row r="642">
      <x:c r="A642" s="13" t="str">
        <x:v>CON-000641</x:v>
      </x:c>
      <x:c r="B642" s="23" t="n">
        <x:v>45860</x:v>
      </x:c>
      <x:c r="C642" s="13" t="str">
        <x:v>Santander Recebimentos</x:v>
      </x:c>
      <x:c r="D642" s="17" t="n">
        <x:v>12883.35</x:v>
      </x:c>
      <x:c r="E642" s="17" t="n">
        <x:v>12883.35</x:v>
      </x:c>
      <x:c r="F642" s="13" t="str">
        <x:v>Conciliado</x:v>
      </x:c>
      <x:c r="G642" s="13" t="str">
        <x:v>Sem divergência</x:v>
      </x:c>
      <x:c r="H642" s="13" t="n">
        <x:v>0.18</x:v>
      </x:c>
      <x:c r="I642" s="13" t="str">
        <x:v>Operação Clareza</x:v>
      </x:c>
      <x:c r="J642" s="17" t="n">
        <x:f>E642-D642</x:f>
        <x:v>0</x:v>
      </x:c>
      <x:c r="K642" s="19" t="n">
        <x:f>IFERROR(ABS(J642/D642),0)</x:f>
        <x:v>0</x:v>
      </x:c>
    </x:row>
    <x:row r="643">
      <x:c r="A643" s="13" t="str">
        <x:v>CON-000642</x:v>
      </x:c>
      <x:c r="B643" s="23" t="n">
        <x:v>45858</x:v>
      </x:c>
      <x:c r="C643" s="13" t="str">
        <x:v>Santander Recebimentos</x:v>
      </x:c>
      <x:c r="D643" s="17" t="n">
        <x:v>23584.31</x:v>
      </x:c>
      <x:c r="E643" s="17" t="n">
        <x:v>23584.31</x:v>
      </x:c>
      <x:c r="F643" s="13" t="str">
        <x:v>Conciliado</x:v>
      </x:c>
      <x:c r="G643" s="13" t="str">
        <x:v>Sem divergência</x:v>
      </x:c>
      <x:c r="H643" s="13" t="n">
        <x:v>0.24</x:v>
      </x:c>
      <x:c r="I643" s="13" t="str">
        <x:v>Operação Clareza</x:v>
      </x:c>
      <x:c r="J643" s="17" t="n">
        <x:f>E643-D643</x:f>
        <x:v>0</x:v>
      </x:c>
      <x:c r="K643" s="19" t="n">
        <x:f>IFERROR(ABS(J643/D643),0)</x:f>
        <x:v>0</x:v>
      </x:c>
    </x:row>
    <x:row r="644">
      <x:c r="A644" s="13" t="str">
        <x:v>CON-000643</x:v>
      </x:c>
      <x:c r="B644" s="23" t="n">
        <x:v>45854</x:v>
      </x:c>
      <x:c r="C644" s="13" t="str">
        <x:v>Bradesco Pagamentos</x:v>
      </x:c>
      <x:c r="D644" s="17" t="n">
        <x:v>12963.15</x:v>
      </x:c>
      <x:c r="E644" s="17" t="n">
        <x:v>12963.15</x:v>
      </x:c>
      <x:c r="F644" s="13" t="str">
        <x:v>Conciliado</x:v>
      </x:c>
      <x:c r="G644" s="13" t="str">
        <x:v>Sem divergência</x:v>
      </x:c>
      <x:c r="H644" s="13" t="n">
        <x:v>0.25</x:v>
      </x:c>
      <x:c r="I644" s="13" t="str">
        <x:v>Operação Clareza</x:v>
      </x:c>
      <x:c r="J644" s="17" t="n">
        <x:f>E644-D644</x:f>
        <x:v>0</x:v>
      </x:c>
      <x:c r="K644" s="19" t="n">
        <x:f>IFERROR(ABS(J644/D644),0)</x:f>
        <x:v>0</x:v>
      </x:c>
    </x:row>
    <x:row r="645">
      <x:c r="A645" s="13" t="str">
        <x:v>CON-000644</x:v>
      </x:c>
      <x:c r="B645" s="23" t="n">
        <x:v>45851</x:v>
      </x:c>
      <x:c r="C645" s="13" t="str">
        <x:v>Bradesco Pagamentos</x:v>
      </x:c>
      <x:c r="D645" s="17" t="n">
        <x:v>25683.69</x:v>
      </x:c>
      <x:c r="E645" s="17" t="n">
        <x:v>25683.69</x:v>
      </x:c>
      <x:c r="F645" s="13" t="str">
        <x:v>Conciliado</x:v>
      </x:c>
      <x:c r="G645" s="13" t="str">
        <x:v>Sem divergência</x:v>
      </x:c>
      <x:c r="H645" s="13" t="n">
        <x:v>0.33</x:v>
      </x:c>
      <x:c r="I645" s="13" t="str">
        <x:v>Operação Clareza</x:v>
      </x:c>
      <x:c r="J645" s="17" t="n">
        <x:f>E645-D645</x:f>
        <x:v>0</x:v>
      </x:c>
      <x:c r="K645" s="19" t="n">
        <x:f>IFERROR(ABS(J645/D645),0)</x:f>
        <x:v>0</x:v>
      </x:c>
    </x:row>
    <x:row r="646">
      <x:c r="A646" s="13" t="str">
        <x:v>CON-000645</x:v>
      </x:c>
      <x:c r="B646" s="23" t="n">
        <x:v>45852</x:v>
      </x:c>
      <x:c r="C646" s="13" t="str">
        <x:v>Nubank Serviços</x:v>
      </x:c>
      <x:c r="D646" s="17" t="n">
        <x:v>22744.05</x:v>
      </x:c>
      <x:c r="E646" s="17" t="n">
        <x:v>22744.05</x:v>
      </x:c>
      <x:c r="F646" s="13" t="str">
        <x:v>Conciliado</x:v>
      </x:c>
      <x:c r="G646" s="13" t="str">
        <x:v>Sem divergência</x:v>
      </x:c>
      <x:c r="H646" s="13" t="n">
        <x:v>0.09</x:v>
      </x:c>
      <x:c r="I646" s="13" t="str">
        <x:v>Operação Clareza</x:v>
      </x:c>
      <x:c r="J646" s="17" t="n">
        <x:f>E646-D646</x:f>
        <x:v>0</x:v>
      </x:c>
      <x:c r="K646" s="19" t="n">
        <x:f>IFERROR(ABS(J646/D646),0)</x:f>
        <x:v>0</x:v>
      </x:c>
    </x:row>
    <x:row r="647">
      <x:c r="A647" s="13" t="str">
        <x:v>CON-000646</x:v>
      </x:c>
      <x:c r="B647" s="23" t="n">
        <x:v>45842</x:v>
      </x:c>
      <x:c r="C647" s="13" t="str">
        <x:v>Santander Recebimentos</x:v>
      </x:c>
      <x:c r="D647" s="17" t="n">
        <x:v>8926.98</x:v>
      </x:c>
      <x:c r="E647" s="17" t="n">
        <x:v>8926.98</x:v>
      </x:c>
      <x:c r="F647" s="13" t="str">
        <x:v>Conciliado</x:v>
      </x:c>
      <x:c r="G647" s="13" t="str">
        <x:v>Sem divergência</x:v>
      </x:c>
      <x:c r="H647" s="13" t="n">
        <x:v>0.37</x:v>
      </x:c>
      <x:c r="I647" s="13" t="str">
        <x:v>Operação Clareza</x:v>
      </x:c>
      <x:c r="J647" s="17" t="n">
        <x:f>E647-D647</x:f>
        <x:v>0</x:v>
      </x:c>
      <x:c r="K647" s="19" t="n">
        <x:f>IFERROR(ABS(J647/D647),0)</x:f>
        <x:v>0</x:v>
      </x:c>
    </x:row>
    <x:row r="648">
      <x:c r="A648" s="13" t="str">
        <x:v>CON-000647</x:v>
      </x:c>
      <x:c r="B648" s="23" t="n">
        <x:v>45841</x:v>
      </x:c>
      <x:c r="C648" s="13" t="str">
        <x:v>Santander Recebimentos</x:v>
      </x:c>
      <x:c r="D648" s="17" t="n">
        <x:v>41529.37</x:v>
      </x:c>
      <x:c r="E648" s="17" t="n">
        <x:v>41529.37</x:v>
      </x:c>
      <x:c r="F648" s="13" t="str">
        <x:v>Conciliado</x:v>
      </x:c>
      <x:c r="G648" s="13" t="str">
        <x:v>Sem divergência</x:v>
      </x:c>
      <x:c r="H648" s="13" t="n">
        <x:v>0.37</x:v>
      </x:c>
      <x:c r="I648" s="13" t="str">
        <x:v>Operação Clareza</x:v>
      </x:c>
      <x:c r="J648" s="17" t="n">
        <x:f>E648-D648</x:f>
        <x:v>0</x:v>
      </x:c>
      <x:c r="K648" s="19" t="n">
        <x:f>IFERROR(ABS(J648/D648),0)</x:f>
        <x:v>0</x:v>
      </x:c>
    </x:row>
    <x:row r="649">
      <x:c r="A649" s="13" t="str">
        <x:v>CON-000648</x:v>
      </x:c>
      <x:c r="B649" s="23" t="n">
        <x:v>45863</x:v>
      </x:c>
      <x:c r="C649" s="13" t="str">
        <x:v>Santander Recebimentos</x:v>
      </x:c>
      <x:c r="D649" s="17" t="n">
        <x:v>6854.92</x:v>
      </x:c>
      <x:c r="E649" s="17" t="n">
        <x:v>6854.92</x:v>
      </x:c>
      <x:c r="F649" s="13" t="str">
        <x:v>Conciliado</x:v>
      </x:c>
      <x:c r="G649" s="13" t="str">
        <x:v>Sem divergência</x:v>
      </x:c>
      <x:c r="H649" s="13" t="n">
        <x:v>0.21</x:v>
      </x:c>
      <x:c r="I649" s="13" t="str">
        <x:v>Operação Clareza</x:v>
      </x:c>
      <x:c r="J649" s="17" t="n">
        <x:f>E649-D649</x:f>
        <x:v>0</x:v>
      </x:c>
      <x:c r="K649" s="19" t="n">
        <x:f>IFERROR(ABS(J649/D649),0)</x:f>
        <x:v>0</x:v>
      </x:c>
    </x:row>
    <x:row r="650">
      <x:c r="A650" s="13" t="str">
        <x:v>CON-000649</x:v>
      </x:c>
      <x:c r="B650" s="23" t="n">
        <x:v>45857</x:v>
      </x:c>
      <x:c r="C650" s="13" t="str">
        <x:v>Itaú Operacional</x:v>
      </x:c>
      <x:c r="D650" s="17" t="n">
        <x:v>3059.5</x:v>
      </x:c>
      <x:c r="E650" s="17" t="n">
        <x:v>3059.5</x:v>
      </x:c>
      <x:c r="F650" s="13" t="str">
        <x:v>Conciliado</x:v>
      </x:c>
      <x:c r="G650" s="13" t="str">
        <x:v>Sem divergência</x:v>
      </x:c>
      <x:c r="H650" s="13" t="n">
        <x:v>0.11</x:v>
      </x:c>
      <x:c r="I650" s="13" t="str">
        <x:v>Operação Clareza</x:v>
      </x:c>
      <x:c r="J650" s="17" t="n">
        <x:f>E650-D650</x:f>
        <x:v>0</x:v>
      </x:c>
      <x:c r="K650" s="19" t="n">
        <x:f>IFERROR(ABS(J650/D650),0)</x:f>
        <x:v>0</x:v>
      </x:c>
    </x:row>
    <x:row r="651">
      <x:c r="A651" s="13" t="str">
        <x:v>CON-000650</x:v>
      </x:c>
      <x:c r="B651" s="23" t="n">
        <x:v>45842</x:v>
      </x:c>
      <x:c r="C651" s="13" t="str">
        <x:v>Itaú Operacional</x:v>
      </x:c>
      <x:c r="D651" s="17" t="n">
        <x:v>1784.46</x:v>
      </x:c>
      <x:c r="E651" s="17" t="n">
        <x:v>1784.46</x:v>
      </x:c>
      <x:c r="F651" s="13" t="str">
        <x:v>Conciliado</x:v>
      </x:c>
      <x:c r="G651" s="13" t="str">
        <x:v>Sem divergência</x:v>
      </x:c>
      <x:c r="H651" s="13" t="n">
        <x:v>0.04</x:v>
      </x:c>
      <x:c r="I651" s="13" t="str">
        <x:v>Operação Clareza</x:v>
      </x:c>
      <x:c r="J651" s="17" t="n">
        <x:f>E651-D651</x:f>
        <x:v>0</x:v>
      </x:c>
      <x:c r="K651" s="19" t="n">
        <x:f>IFERROR(ABS(J651/D651),0)</x:f>
        <x:v>0</x:v>
      </x:c>
    </x:row>
    <x:row r="652">
      <x:c r="A652" s="13" t="str">
        <x:v>CON-000651</x:v>
      </x:c>
      <x:c r="B652" s="23" t="n">
        <x:v>45846</x:v>
      </x:c>
      <x:c r="C652" s="13" t="str">
        <x:v>Santander Recebimentos</x:v>
      </x:c>
      <x:c r="D652" s="17" t="n">
        <x:v>1464.43</x:v>
      </x:c>
      <x:c r="E652" s="17" t="n">
        <x:v>1464.43</x:v>
      </x:c>
      <x:c r="F652" s="13" t="str">
        <x:v>Conciliado</x:v>
      </x:c>
      <x:c r="G652" s="13" t="str">
        <x:v>Sem divergência</x:v>
      </x:c>
      <x:c r="H652" s="13" t="n">
        <x:v>0.14</x:v>
      </x:c>
      <x:c r="I652" s="13" t="str">
        <x:v>Operação Clareza</x:v>
      </x:c>
      <x:c r="J652" s="17" t="n">
        <x:f>E652-D652</x:f>
        <x:v>0</x:v>
      </x:c>
      <x:c r="K652" s="19" t="n">
        <x:f>IFERROR(ABS(J652/D652),0)</x:f>
        <x:v>0</x:v>
      </x:c>
    </x:row>
    <x:row r="653">
      <x:c r="A653" s="13" t="str">
        <x:v>CON-000652</x:v>
      </x:c>
      <x:c r="B653" s="23" t="n">
        <x:v>45850</x:v>
      </x:c>
      <x:c r="C653" s="13" t="str">
        <x:v>Bradesco Pagamentos</x:v>
      </x:c>
      <x:c r="D653" s="17" t="n">
        <x:v>36382.42</x:v>
      </x:c>
      <x:c r="E653" s="17" t="n">
        <x:v>36382.42</x:v>
      </x:c>
      <x:c r="F653" s="13" t="str">
        <x:v>Conciliado</x:v>
      </x:c>
      <x:c r="G653" s="13" t="str">
        <x:v>Sem divergência</x:v>
      </x:c>
      <x:c r="H653" s="13" t="n">
        <x:v>0.43</x:v>
      </x:c>
      <x:c r="I653" s="13" t="str">
        <x:v>Operação Clareza</x:v>
      </x:c>
      <x:c r="J653" s="17" t="n">
        <x:f>E653-D653</x:f>
        <x:v>0</x:v>
      </x:c>
      <x:c r="K653" s="19" t="n">
        <x:f>IFERROR(ABS(J653/D653),0)</x:f>
        <x:v>0</x:v>
      </x:c>
    </x:row>
    <x:row r="654">
      <x:c r="A654" s="13" t="str">
        <x:v>CON-000653</x:v>
      </x:c>
      <x:c r="B654" s="23" t="n">
        <x:v>45844</x:v>
      </x:c>
      <x:c r="C654" s="13" t="str">
        <x:v>Bradesco Pagamentos</x:v>
      </x:c>
      <x:c r="D654" s="17" t="n">
        <x:v>31345.24</x:v>
      </x:c>
      <x:c r="E654" s="17" t="n">
        <x:v>32195.67</x:v>
      </x:c>
      <x:c r="F654" s="13" t="str">
        <x:v>Resolvido</x:v>
      </x:c>
      <x:c r="G654" s="13" t="str">
        <x:v>Valor divergente</x:v>
      </x:c>
      <x:c r="H654" s="13" t="n">
        <x:v>13.8</x:v>
      </x:c>
      <x:c r="I654" s="13" t="str">
        <x:v>Operação Clareza</x:v>
      </x:c>
      <x:c r="J654" s="17" t="n">
        <x:f>E654-D654</x:f>
        <x:v>850.4299999999967</x:v>
      </x:c>
      <x:c r="K654" s="19" t="n">
        <x:f>IFERROR(ABS(J654/D654),0)</x:f>
        <x:v>0.027131073170918348</x:v>
      </x:c>
    </x:row>
    <x:row r="655">
      <x:c r="A655" s="13" t="str">
        <x:v>CON-000654</x:v>
      </x:c>
      <x:c r="B655" s="23" t="n">
        <x:v>45844</x:v>
      </x:c>
      <x:c r="C655" s="13" t="str">
        <x:v>Bradesco Pagamentos</x:v>
      </x:c>
      <x:c r="D655" s="17" t="n">
        <x:v>3819.5</x:v>
      </x:c>
      <x:c r="E655" s="17" t="n">
        <x:v>3819.5</x:v>
      </x:c>
      <x:c r="F655" s="13" t="str">
        <x:v>Conciliado</x:v>
      </x:c>
      <x:c r="G655" s="13" t="str">
        <x:v>Sem divergência</x:v>
      </x:c>
      <x:c r="H655" s="13" t="n">
        <x:v>0.38</x:v>
      </x:c>
      <x:c r="I655" s="13" t="str">
        <x:v>Operação Clareza</x:v>
      </x:c>
      <x:c r="J655" s="17" t="n">
        <x:f>E655-D655</x:f>
        <x:v>0</x:v>
      </x:c>
      <x:c r="K655" s="19" t="n">
        <x:f>IFERROR(ABS(J655/D655),0)</x:f>
        <x:v>0</x:v>
      </x:c>
    </x:row>
    <x:row r="656">
      <x:c r="A656" s="13" t="str">
        <x:v>CON-000655</x:v>
      </x:c>
      <x:c r="B656" s="23" t="n">
        <x:v>45839</x:v>
      </x:c>
      <x:c r="C656" s="13" t="str">
        <x:v>Santander Recebimentos</x:v>
      </x:c>
      <x:c r="D656" s="17" t="n">
        <x:v>9553.99</x:v>
      </x:c>
      <x:c r="E656" s="17" t="n">
        <x:v>9553.99</x:v>
      </x:c>
      <x:c r="F656" s="13" t="str">
        <x:v>Conciliado</x:v>
      </x:c>
      <x:c r="G656" s="13" t="str">
        <x:v>Sem divergência</x:v>
      </x:c>
      <x:c r="H656" s="13" t="n">
        <x:v>0.06</x:v>
      </x:c>
      <x:c r="I656" s="13" t="str">
        <x:v>Operação Clareza</x:v>
      </x:c>
      <x:c r="J656" s="17" t="n">
        <x:f>E656-D656</x:f>
        <x:v>0</x:v>
      </x:c>
      <x:c r="K656" s="19" t="n">
        <x:f>IFERROR(ABS(J656/D656),0)</x:f>
        <x:v>0</x:v>
      </x:c>
    </x:row>
    <x:row r="657">
      <x:c r="A657" s="13" t="str">
        <x:v>CON-000656</x:v>
      </x:c>
      <x:c r="B657" s="23" t="n">
        <x:v>45843</x:v>
      </x:c>
      <x:c r="C657" s="13" t="str">
        <x:v>Nubank Serviços</x:v>
      </x:c>
      <x:c r="D657" s="17" t="n">
        <x:v>16906.63</x:v>
      </x:c>
      <x:c r="E657" s="17" t="n">
        <x:v>16906.63</x:v>
      </x:c>
      <x:c r="F657" s="13" t="str">
        <x:v>Conciliado</x:v>
      </x:c>
      <x:c r="G657" s="13" t="str">
        <x:v>Sem divergência</x:v>
      </x:c>
      <x:c r="H657" s="13" t="n">
        <x:v>0.15</x:v>
      </x:c>
      <x:c r="I657" s="13" t="str">
        <x:v>Operação Clareza</x:v>
      </x:c>
      <x:c r="J657" s="17" t="n">
        <x:f>E657-D657</x:f>
        <x:v>0</x:v>
      </x:c>
      <x:c r="K657" s="19" t="n">
        <x:f>IFERROR(ABS(J657/D657),0)</x:f>
        <x:v>0</x:v>
      </x:c>
    </x:row>
    <x:row r="658">
      <x:c r="A658" s="13" t="str">
        <x:v>CON-000657</x:v>
      </x:c>
      <x:c r="B658" s="23" t="n">
        <x:v>45853</x:v>
      </x:c>
      <x:c r="C658" s="13" t="str">
        <x:v>Itaú Operacional</x:v>
      </x:c>
      <x:c r="D658" s="17" t="n">
        <x:v>7701.24</x:v>
      </x:c>
      <x:c r="E658" s="17" t="n">
        <x:v>7701.24</x:v>
      </x:c>
      <x:c r="F658" s="13" t="str">
        <x:v>Conciliado</x:v>
      </x:c>
      <x:c r="G658" s="13" t="str">
        <x:v>Sem divergência</x:v>
      </x:c>
      <x:c r="H658" s="13" t="n">
        <x:v>0.21</x:v>
      </x:c>
      <x:c r="I658" s="13" t="str">
        <x:v>Operação Clareza</x:v>
      </x:c>
      <x:c r="J658" s="17" t="n">
        <x:f>E658-D658</x:f>
        <x:v>0</x:v>
      </x:c>
      <x:c r="K658" s="19" t="n">
        <x:f>IFERROR(ABS(J658/D658),0)</x:f>
        <x:v>0</x:v>
      </x:c>
    </x:row>
    <x:row r="659">
      <x:c r="A659" s="13" t="str">
        <x:v>CON-000658</x:v>
      </x:c>
      <x:c r="B659" s="23" t="n">
        <x:v>45844</x:v>
      </x:c>
      <x:c r="C659" s="13" t="str">
        <x:v>Nubank Serviços</x:v>
      </x:c>
      <x:c r="D659" s="17" t="n">
        <x:v>18552.48</x:v>
      </x:c>
      <x:c r="E659" s="17" t="n">
        <x:v>18552.48</x:v>
      </x:c>
      <x:c r="F659" s="13" t="str">
        <x:v>Conciliado</x:v>
      </x:c>
      <x:c r="G659" s="13" t="str">
        <x:v>Sem divergência</x:v>
      </x:c>
      <x:c r="H659" s="13" t="n">
        <x:v>0.24</x:v>
      </x:c>
      <x:c r="I659" s="13" t="str">
        <x:v>Operação Clareza</x:v>
      </x:c>
      <x:c r="J659" s="17" t="n">
        <x:f>E659-D659</x:f>
        <x:v>0</x:v>
      </x:c>
      <x:c r="K659" s="19" t="n">
        <x:f>IFERROR(ABS(J659/D659),0)</x:f>
        <x:v>0</x:v>
      </x:c>
    </x:row>
    <x:row r="660">
      <x:c r="A660" s="13" t="str">
        <x:v>CON-000659</x:v>
      </x:c>
      <x:c r="B660" s="23" t="n">
        <x:v>45860</x:v>
      </x:c>
      <x:c r="C660" s="13" t="str">
        <x:v>Santander Recebimentos</x:v>
      </x:c>
      <x:c r="D660" s="17" t="n">
        <x:v>18628.97</x:v>
      </x:c>
      <x:c r="E660" s="17" t="n">
        <x:v>18628.97</x:v>
      </x:c>
      <x:c r="F660" s="13" t="str">
        <x:v>Conciliado</x:v>
      </x:c>
      <x:c r="G660" s="13" t="str">
        <x:v>Sem divergência</x:v>
      </x:c>
      <x:c r="H660" s="13" t="n">
        <x:v>0.1</x:v>
      </x:c>
      <x:c r="I660" s="13" t="str">
        <x:v>Operação Clareza</x:v>
      </x:c>
      <x:c r="J660" s="17" t="n">
        <x:f>E660-D660</x:f>
        <x:v>0</x:v>
      </x:c>
      <x:c r="K660" s="19" t="n">
        <x:f>IFERROR(ABS(J660/D660),0)</x:f>
        <x:v>0</x:v>
      </x:c>
    </x:row>
    <x:row r="661">
      <x:c r="A661" s="13" t="str">
        <x:v>CON-000660</x:v>
      </x:c>
      <x:c r="B661" s="23" t="n">
        <x:v>45839</x:v>
      </x:c>
      <x:c r="C661" s="13" t="str">
        <x:v>Itaú Operacional</x:v>
      </x:c>
      <x:c r="D661" s="17" t="n">
        <x:v>6859.16</x:v>
      </x:c>
      <x:c r="E661" s="17" t="n">
        <x:v>6859.16</x:v>
      </x:c>
      <x:c r="F661" s="13" t="str">
        <x:v>Conciliado</x:v>
      </x:c>
      <x:c r="G661" s="13" t="str">
        <x:v>Sem divergência</x:v>
      </x:c>
      <x:c r="H661" s="13" t="n">
        <x:v>0.42</x:v>
      </x:c>
      <x:c r="I661" s="13" t="str">
        <x:v>Operação Clareza</x:v>
      </x:c>
      <x:c r="J661" s="17" t="n">
        <x:f>E661-D661</x:f>
        <x:v>0</x:v>
      </x:c>
      <x:c r="K661" s="19" t="n">
        <x:f>IFERROR(ABS(J661/D661),0)</x:f>
        <x:v>0</x:v>
      </x:c>
    </x:row>
    <x:row r="662">
      <x:c r="A662" s="13" t="str">
        <x:v>CON-000661</x:v>
      </x:c>
      <x:c r="B662" s="23" t="n">
        <x:v>45852</x:v>
      </x:c>
      <x:c r="C662" s="13" t="str">
        <x:v>Itaú Operacional</x:v>
      </x:c>
      <x:c r="D662" s="17" t="n">
        <x:v>3715.4</x:v>
      </x:c>
      <x:c r="E662" s="17" t="n">
        <x:v>3715.4</x:v>
      </x:c>
      <x:c r="F662" s="13" t="str">
        <x:v>Conciliado</x:v>
      </x:c>
      <x:c r="G662" s="13" t="str">
        <x:v>Sem divergência</x:v>
      </x:c>
      <x:c r="H662" s="13" t="n">
        <x:v>0.35</x:v>
      </x:c>
      <x:c r="I662" s="13" t="str">
        <x:v>Operação Clareza</x:v>
      </x:c>
      <x:c r="J662" s="17" t="n">
        <x:f>E662-D662</x:f>
        <x:v>0</x:v>
      </x:c>
      <x:c r="K662" s="19" t="n">
        <x:f>IFERROR(ABS(J662/D662),0)</x:f>
        <x:v>0</x:v>
      </x:c>
    </x:row>
    <x:row r="663">
      <x:c r="A663" s="13" t="str">
        <x:v>CON-000662</x:v>
      </x:c>
      <x:c r="B663" s="23" t="n">
        <x:v>45863</x:v>
      </x:c>
      <x:c r="C663" s="13" t="str">
        <x:v>Bradesco Pagamentos</x:v>
      </x:c>
      <x:c r="D663" s="17" t="n">
        <x:v>43463.62</x:v>
      </x:c>
      <x:c r="E663" s="17" t="n">
        <x:v>43463.62</x:v>
      </x:c>
      <x:c r="F663" s="13" t="str">
        <x:v>Conciliado</x:v>
      </x:c>
      <x:c r="G663" s="13" t="str">
        <x:v>Sem divergência</x:v>
      </x:c>
      <x:c r="H663" s="13" t="n">
        <x:v>0.19</x:v>
      </x:c>
      <x:c r="I663" s="13" t="str">
        <x:v>Operação Clareza</x:v>
      </x:c>
      <x:c r="J663" s="17" t="n">
        <x:f>E663-D663</x:f>
        <x:v>0</x:v>
      </x:c>
      <x:c r="K663" s="19" t="n">
        <x:f>IFERROR(ABS(J663/D663),0)</x:f>
        <x:v>0</x:v>
      </x:c>
    </x:row>
    <x:row r="664">
      <x:c r="A664" s="13" t="str">
        <x:v>CON-000663</x:v>
      </x:c>
      <x:c r="B664" s="23" t="n">
        <x:v>45860</x:v>
      </x:c>
      <x:c r="C664" s="13" t="str">
        <x:v>Nubank Serviços</x:v>
      </x:c>
      <x:c r="D664" s="17" t="n">
        <x:v>28216.17</x:v>
      </x:c>
      <x:c r="E664" s="17" t="n">
        <x:v>28216.17</x:v>
      </x:c>
      <x:c r="F664" s="13" t="str">
        <x:v>Conciliado</x:v>
      </x:c>
      <x:c r="G664" s="13" t="str">
        <x:v>Sem divergência</x:v>
      </x:c>
      <x:c r="H664" s="13" t="n">
        <x:v>0.15</x:v>
      </x:c>
      <x:c r="I664" s="13" t="str">
        <x:v>Operação Clareza</x:v>
      </x:c>
      <x:c r="J664" s="17" t="n">
        <x:f>E664-D664</x:f>
        <x:v>0</x:v>
      </x:c>
      <x:c r="K664" s="19" t="n">
        <x:f>IFERROR(ABS(J664/D664),0)</x:f>
        <x:v>0</x:v>
      </x:c>
    </x:row>
    <x:row r="665">
      <x:c r="A665" s="13" t="str">
        <x:v>CON-000664</x:v>
      </x:c>
      <x:c r="B665" s="23" t="n">
        <x:v>45866</x:v>
      </x:c>
      <x:c r="C665" s="13" t="str">
        <x:v>Nubank Serviços</x:v>
      </x:c>
      <x:c r="D665" s="17" t="n">
        <x:v>35756.67</x:v>
      </x:c>
      <x:c r="E665" s="17" t="n">
        <x:v>35756.67</x:v>
      </x:c>
      <x:c r="F665" s="13" t="str">
        <x:v>Conciliado</x:v>
      </x:c>
      <x:c r="G665" s="13" t="str">
        <x:v>Sem divergência</x:v>
      </x:c>
      <x:c r="H665" s="13" t="n">
        <x:v>0.03</x:v>
      </x:c>
      <x:c r="I665" s="13" t="str">
        <x:v>Operação Clareza</x:v>
      </x:c>
      <x:c r="J665" s="17" t="n">
        <x:f>E665-D665</x:f>
        <x:v>0</x:v>
      </x:c>
      <x:c r="K665" s="19" t="n">
        <x:f>IFERROR(ABS(J665/D665),0)</x:f>
        <x:v>0</x:v>
      </x:c>
    </x:row>
    <x:row r="666">
      <x:c r="A666" s="13" t="str">
        <x:v>CON-000665</x:v>
      </x:c>
      <x:c r="B666" s="23" t="n">
        <x:v>45861</x:v>
      </x:c>
      <x:c r="C666" s="13" t="str">
        <x:v>Itaú Operacional</x:v>
      </x:c>
      <x:c r="D666" s="17" t="n">
        <x:v>40440.13</x:v>
      </x:c>
      <x:c r="E666" s="17" t="n">
        <x:v>40440.13</x:v>
      </x:c>
      <x:c r="F666" s="13" t="str">
        <x:v>Conciliado</x:v>
      </x:c>
      <x:c r="G666" s="13" t="str">
        <x:v>Sem divergência</x:v>
      </x:c>
      <x:c r="H666" s="13" t="n">
        <x:v>0.16</x:v>
      </x:c>
      <x:c r="I666" s="13" t="str">
        <x:v>Operação Clareza</x:v>
      </x:c>
      <x:c r="J666" s="17" t="n">
        <x:f>E666-D666</x:f>
        <x:v>0</x:v>
      </x:c>
      <x:c r="K666" s="19" t="n">
        <x:f>IFERROR(ABS(J666/D666),0)</x:f>
        <x:v>0</x:v>
      </x:c>
    </x:row>
    <x:row r="667">
      <x:c r="A667" s="13" t="str">
        <x:v>CON-000666</x:v>
      </x:c>
      <x:c r="B667" s="23" t="n">
        <x:v>45877</x:v>
      </x:c>
      <x:c r="C667" s="13" t="str">
        <x:v>Santander Recebimentos</x:v>
      </x:c>
      <x:c r="D667" s="17" t="n">
        <x:v>36072.27</x:v>
      </x:c>
      <x:c r="E667" s="17" t="n">
        <x:v>36072.27</x:v>
      </x:c>
      <x:c r="F667" s="13" t="str">
        <x:v>Conciliado</x:v>
      </x:c>
      <x:c r="G667" s="13" t="str">
        <x:v>Sem divergência</x:v>
      </x:c>
      <x:c r="H667" s="13" t="n">
        <x:v>0.04</x:v>
      </x:c>
      <x:c r="I667" s="13" t="str">
        <x:v>Operação Clareza</x:v>
      </x:c>
      <x:c r="J667" s="17" t="n">
        <x:f>E667-D667</x:f>
        <x:v>0</x:v>
      </x:c>
      <x:c r="K667" s="19" t="n">
        <x:f>IFERROR(ABS(J667/D667),0)</x:f>
        <x:v>0</x:v>
      </x:c>
    </x:row>
    <x:row r="668">
      <x:c r="A668" s="13" t="str">
        <x:v>CON-000667</x:v>
      </x:c>
      <x:c r="B668" s="23" t="n">
        <x:v>45875</x:v>
      </x:c>
      <x:c r="C668" s="13" t="str">
        <x:v>Nubank Serviços</x:v>
      </x:c>
      <x:c r="D668" s="17" t="n">
        <x:v>41866.09</x:v>
      </x:c>
      <x:c r="E668" s="17" t="n">
        <x:v>41866.09</x:v>
      </x:c>
      <x:c r="F668" s="13" t="str">
        <x:v>Conciliado</x:v>
      </x:c>
      <x:c r="G668" s="13" t="str">
        <x:v>Sem divergência</x:v>
      </x:c>
      <x:c r="H668" s="13" t="n">
        <x:v>0.14</x:v>
      </x:c>
      <x:c r="I668" s="13" t="str">
        <x:v>Operação Clareza</x:v>
      </x:c>
      <x:c r="J668" s="17" t="n">
        <x:f>E668-D668</x:f>
        <x:v>0</x:v>
      </x:c>
      <x:c r="K668" s="19" t="n">
        <x:f>IFERROR(ABS(J668/D668),0)</x:f>
        <x:v>0</x:v>
      </x:c>
    </x:row>
    <x:row r="669">
      <x:c r="A669" s="13" t="str">
        <x:v>CON-000668</x:v>
      </x:c>
      <x:c r="B669" s="23" t="n">
        <x:v>45897</x:v>
      </x:c>
      <x:c r="C669" s="13" t="str">
        <x:v>Bradesco Pagamentos</x:v>
      </x:c>
      <x:c r="D669" s="17" t="n">
        <x:v>1495.44</x:v>
      </x:c>
      <x:c r="E669" s="17" t="n">
        <x:v>1495.44</x:v>
      </x:c>
      <x:c r="F669" s="13" t="str">
        <x:v>Conciliado</x:v>
      </x:c>
      <x:c r="G669" s="13" t="str">
        <x:v>Sem divergência</x:v>
      </x:c>
      <x:c r="H669" s="13" t="n">
        <x:v>0.17</x:v>
      </x:c>
      <x:c r="I669" s="13" t="str">
        <x:v>Operação Clareza</x:v>
      </x:c>
      <x:c r="J669" s="17" t="n">
        <x:f>E669-D669</x:f>
        <x:v>0</x:v>
      </x:c>
      <x:c r="K669" s="19" t="n">
        <x:f>IFERROR(ABS(J669/D669),0)</x:f>
        <x:v>0</x:v>
      </x:c>
    </x:row>
    <x:row r="670">
      <x:c r="A670" s="13" t="str">
        <x:v>CON-000669</x:v>
      </x:c>
      <x:c r="B670" s="23" t="n">
        <x:v>45877</x:v>
      </x:c>
      <x:c r="C670" s="13" t="str">
        <x:v>Itaú Operacional</x:v>
      </x:c>
      <x:c r="D670" s="17" t="n">
        <x:v>2280.78</x:v>
      </x:c>
      <x:c r="E670" s="17" t="n">
        <x:v>2280.78</x:v>
      </x:c>
      <x:c r="F670" s="13" t="str">
        <x:v>Conciliado</x:v>
      </x:c>
      <x:c r="G670" s="13" t="str">
        <x:v>Sem divergência</x:v>
      </x:c>
      <x:c r="H670" s="13" t="n">
        <x:v>0.12</x:v>
      </x:c>
      <x:c r="I670" s="13" t="str">
        <x:v>Operação Clareza</x:v>
      </x:c>
      <x:c r="J670" s="17" t="n">
        <x:f>E670-D670</x:f>
        <x:v>0</x:v>
      </x:c>
      <x:c r="K670" s="19" t="n">
        <x:f>IFERROR(ABS(J670/D670),0)</x:f>
        <x:v>0</x:v>
      </x:c>
    </x:row>
    <x:row r="671">
      <x:c r="A671" s="13" t="str">
        <x:v>CON-000670</x:v>
      </x:c>
      <x:c r="B671" s="23" t="n">
        <x:v>45873</x:v>
      </x:c>
      <x:c r="C671" s="13" t="str">
        <x:v>Itaú Operacional</x:v>
      </x:c>
      <x:c r="D671" s="17" t="n">
        <x:v>5251.29</x:v>
      </x:c>
      <x:c r="E671" s="17" t="n">
        <x:v>5251.29</x:v>
      </x:c>
      <x:c r="F671" s="13" t="str">
        <x:v>Conciliado</x:v>
      </x:c>
      <x:c r="G671" s="13" t="str">
        <x:v>Sem divergência</x:v>
      </x:c>
      <x:c r="H671" s="13" t="n">
        <x:v>0.19</x:v>
      </x:c>
      <x:c r="I671" s="13" t="str">
        <x:v>Operação Clareza</x:v>
      </x:c>
      <x:c r="J671" s="17" t="n">
        <x:f>E671-D671</x:f>
        <x:v>0</x:v>
      </x:c>
      <x:c r="K671" s="19" t="n">
        <x:f>IFERROR(ABS(J671/D671),0)</x:f>
        <x:v>0</x:v>
      </x:c>
    </x:row>
    <x:row r="672">
      <x:c r="A672" s="13" t="str">
        <x:v>CON-000671</x:v>
      </x:c>
      <x:c r="B672" s="23" t="n">
        <x:v>45885</x:v>
      </x:c>
      <x:c r="C672" s="13" t="str">
        <x:v>Santander Recebimentos</x:v>
      </x:c>
      <x:c r="D672" s="17" t="n">
        <x:v>27206.74</x:v>
      </x:c>
      <x:c r="E672" s="17" t="n">
        <x:v>26732.39</x:v>
      </x:c>
      <x:c r="F672" s="13" t="str">
        <x:v>Pendente</x:v>
      </x:c>
      <x:c r="G672" s="13" t="str">
        <x:v>Data de compensação</x:v>
      </x:c>
      <x:c r="H672" s="13" t="n">
        <x:v>7.87</x:v>
      </x:c>
      <x:c r="I672" s="13" t="str">
        <x:v>Operação Clareza</x:v>
      </x:c>
      <x:c r="J672" s="17" t="n">
        <x:f>E672-D672</x:f>
        <x:v>-474.3500000000022</x:v>
      </x:c>
      <x:c r="K672" s="19" t="n">
        <x:f>IFERROR(ABS(J672/D672),0)</x:f>
        <x:v>0.017435017940407492</x:v>
      </x:c>
    </x:row>
    <x:row r="673">
      <x:c r="A673" s="13" t="str">
        <x:v>CON-000672</x:v>
      </x:c>
      <x:c r="B673" s="23" t="n">
        <x:v>45892</x:v>
      </x:c>
      <x:c r="C673" s="13" t="str">
        <x:v>Bradesco Pagamentos</x:v>
      </x:c>
      <x:c r="D673" s="17" t="n">
        <x:v>35572</x:v>
      </x:c>
      <x:c r="E673" s="17" t="n">
        <x:v>36090.11</x:v>
      </x:c>
      <x:c r="F673" s="13" t="str">
        <x:v>Resolvido</x:v>
      </x:c>
      <x:c r="G673" s="13" t="str">
        <x:v>Valor divergente</x:v>
      </x:c>
      <x:c r="H673" s="13" t="n">
        <x:v>12.24</x:v>
      </x:c>
      <x:c r="I673" s="13" t="str">
        <x:v>Operação Clareza</x:v>
      </x:c>
      <x:c r="J673" s="17" t="n">
        <x:f>E673-D673</x:f>
        <x:v>518.1100000000006</x:v>
      </x:c>
      <x:c r="K673" s="19" t="n">
        <x:f>IFERROR(ABS(J673/D673),0)</x:f>
        <x:v>0.014565107387833143</x:v>
      </x:c>
    </x:row>
    <x:row r="674">
      <x:c r="A674" s="13" t="str">
        <x:v>CON-000673</x:v>
      </x:c>
      <x:c r="B674" s="23" t="n">
        <x:v>45890</x:v>
      </x:c>
      <x:c r="C674" s="13" t="str">
        <x:v>Bradesco Pagamentos</x:v>
      </x:c>
      <x:c r="D674" s="17" t="n">
        <x:v>27059.1</x:v>
      </x:c>
      <x:c r="E674" s="17" t="n">
        <x:v>27059.1</x:v>
      </x:c>
      <x:c r="F674" s="13" t="str">
        <x:v>Conciliado</x:v>
      </x:c>
      <x:c r="G674" s="13" t="str">
        <x:v>Sem divergência</x:v>
      </x:c>
      <x:c r="H674" s="13" t="n">
        <x:v>0.3</x:v>
      </x:c>
      <x:c r="I674" s="13" t="str">
        <x:v>Operação Clareza</x:v>
      </x:c>
      <x:c r="J674" s="17" t="n">
        <x:f>E674-D674</x:f>
        <x:v>0</x:v>
      </x:c>
      <x:c r="K674" s="19" t="n">
        <x:f>IFERROR(ABS(J674/D674),0)</x:f>
        <x:v>0</x:v>
      </x:c>
    </x:row>
    <x:row r="675">
      <x:c r="A675" s="13" t="str">
        <x:v>CON-000674</x:v>
      </x:c>
      <x:c r="B675" s="23" t="n">
        <x:v>45895</x:v>
      </x:c>
      <x:c r="C675" s="13" t="str">
        <x:v>Nubank Serviços</x:v>
      </x:c>
      <x:c r="D675" s="17" t="n">
        <x:v>22150.77</x:v>
      </x:c>
      <x:c r="E675" s="17" t="n">
        <x:v>22150.77</x:v>
      </x:c>
      <x:c r="F675" s="13" t="str">
        <x:v>Conciliado</x:v>
      </x:c>
      <x:c r="G675" s="13" t="str">
        <x:v>Sem divergência</x:v>
      </x:c>
      <x:c r="H675" s="13" t="n">
        <x:v>0.42</x:v>
      </x:c>
      <x:c r="I675" s="13" t="str">
        <x:v>Operação Clareza</x:v>
      </x:c>
      <x:c r="J675" s="17" t="n">
        <x:f>E675-D675</x:f>
        <x:v>0</x:v>
      </x:c>
      <x:c r="K675" s="19" t="n">
        <x:f>IFERROR(ABS(J675/D675),0)</x:f>
        <x:v>0</x:v>
      </x:c>
    </x:row>
    <x:row r="676">
      <x:c r="A676" s="13" t="str">
        <x:v>CON-000675</x:v>
      </x:c>
      <x:c r="B676" s="23" t="n">
        <x:v>45897</x:v>
      </x:c>
      <x:c r="C676" s="13" t="str">
        <x:v>Itaú Operacional</x:v>
      </x:c>
      <x:c r="D676" s="17" t="n">
        <x:v>4366.9</x:v>
      </x:c>
      <x:c r="E676" s="17" t="n">
        <x:v>4366.9</x:v>
      </x:c>
      <x:c r="F676" s="13" t="str">
        <x:v>Conciliado</x:v>
      </x:c>
      <x:c r="G676" s="13" t="str">
        <x:v>Sem divergência</x:v>
      </x:c>
      <x:c r="H676" s="13" t="n">
        <x:v>0.14</x:v>
      </x:c>
      <x:c r="I676" s="13" t="str">
        <x:v>Operação Clareza</x:v>
      </x:c>
      <x:c r="J676" s="17" t="n">
        <x:f>E676-D676</x:f>
        <x:v>0</x:v>
      </x:c>
      <x:c r="K676" s="19" t="n">
        <x:f>IFERROR(ABS(J676/D676),0)</x:f>
        <x:v>0</x:v>
      </x:c>
    </x:row>
    <x:row r="677">
      <x:c r="A677" s="13" t="str">
        <x:v>CON-000676</x:v>
      </x:c>
      <x:c r="B677" s="23" t="n">
        <x:v>45883</x:v>
      </x:c>
      <x:c r="C677" s="13" t="str">
        <x:v>Bradesco Pagamentos</x:v>
      </x:c>
      <x:c r="D677" s="17" t="n">
        <x:v>13575.7</x:v>
      </x:c>
      <x:c r="E677" s="17" t="n">
        <x:v>13575.7</x:v>
      </x:c>
      <x:c r="F677" s="13" t="str">
        <x:v>Conciliado</x:v>
      </x:c>
      <x:c r="G677" s="13" t="str">
        <x:v>Sem divergência</x:v>
      </x:c>
      <x:c r="H677" s="13" t="n">
        <x:v>0.26</x:v>
      </x:c>
      <x:c r="I677" s="13" t="str">
        <x:v>Operação Clareza</x:v>
      </x:c>
      <x:c r="J677" s="17" t="n">
        <x:f>E677-D677</x:f>
        <x:v>0</x:v>
      </x:c>
      <x:c r="K677" s="19" t="n">
        <x:f>IFERROR(ABS(J677/D677),0)</x:f>
        <x:v>0</x:v>
      </x:c>
    </x:row>
    <x:row r="678">
      <x:c r="A678" s="13" t="str">
        <x:v>CON-000677</x:v>
      </x:c>
      <x:c r="B678" s="23" t="n">
        <x:v>45893</x:v>
      </x:c>
      <x:c r="C678" s="13" t="str">
        <x:v>Bradesco Pagamentos</x:v>
      </x:c>
      <x:c r="D678" s="17" t="n">
        <x:v>38594.3</x:v>
      </x:c>
      <x:c r="E678" s="17" t="n">
        <x:v>38594.3</x:v>
      </x:c>
      <x:c r="F678" s="13" t="str">
        <x:v>Conciliado</x:v>
      </x:c>
      <x:c r="G678" s="13" t="str">
        <x:v>Sem divergência</x:v>
      </x:c>
      <x:c r="H678" s="13" t="n">
        <x:v>0.13</x:v>
      </x:c>
      <x:c r="I678" s="13" t="str">
        <x:v>Operação Clareza</x:v>
      </x:c>
      <x:c r="J678" s="17" t="n">
        <x:f>E678-D678</x:f>
        <x:v>0</x:v>
      </x:c>
      <x:c r="K678" s="19" t="n">
        <x:f>IFERROR(ABS(J678/D678),0)</x:f>
        <x:v>0</x:v>
      </x:c>
    </x:row>
    <x:row r="679">
      <x:c r="A679" s="13" t="str">
        <x:v>CON-000678</x:v>
      </x:c>
      <x:c r="B679" s="23" t="n">
        <x:v>45874</x:v>
      </x:c>
      <x:c r="C679" s="13" t="str">
        <x:v>Nubank Serviços</x:v>
      </x:c>
      <x:c r="D679" s="17" t="n">
        <x:v>13533.11</x:v>
      </x:c>
      <x:c r="E679" s="17" t="n">
        <x:v>13533.11</x:v>
      </x:c>
      <x:c r="F679" s="13" t="str">
        <x:v>Conciliado</x:v>
      </x:c>
      <x:c r="G679" s="13" t="str">
        <x:v>Sem divergência</x:v>
      </x:c>
      <x:c r="H679" s="13" t="n">
        <x:v>0.45</x:v>
      </x:c>
      <x:c r="I679" s="13" t="str">
        <x:v>Operação Clareza</x:v>
      </x:c>
      <x:c r="J679" s="17" t="n">
        <x:f>E679-D679</x:f>
        <x:v>0</x:v>
      </x:c>
      <x:c r="K679" s="19" t="n">
        <x:f>IFERROR(ABS(J679/D679),0)</x:f>
        <x:v>0</x:v>
      </x:c>
    </x:row>
    <x:row r="680">
      <x:c r="A680" s="13" t="str">
        <x:v>CON-000679</x:v>
      </x:c>
      <x:c r="B680" s="23" t="n">
        <x:v>45871</x:v>
      </x:c>
      <x:c r="C680" s="13" t="str">
        <x:v>Itaú Operacional</x:v>
      </x:c>
      <x:c r="D680" s="17" t="n">
        <x:v>40318.48</x:v>
      </x:c>
      <x:c r="E680" s="17" t="n">
        <x:v>40318.48</x:v>
      </x:c>
      <x:c r="F680" s="13" t="str">
        <x:v>Conciliado</x:v>
      </x:c>
      <x:c r="G680" s="13" t="str">
        <x:v>Sem divergência</x:v>
      </x:c>
      <x:c r="H680" s="13" t="n">
        <x:v>0.2</x:v>
      </x:c>
      <x:c r="I680" s="13" t="str">
        <x:v>Operação Clareza</x:v>
      </x:c>
      <x:c r="J680" s="17" t="n">
        <x:f>E680-D680</x:f>
        <x:v>0</x:v>
      </x:c>
      <x:c r="K680" s="19" t="n">
        <x:f>IFERROR(ABS(J680/D680),0)</x:f>
        <x:v>0</x:v>
      </x:c>
    </x:row>
    <x:row r="681">
      <x:c r="A681" s="13" t="str">
        <x:v>CON-000680</x:v>
      </x:c>
      <x:c r="B681" s="23" t="n">
        <x:v>45876</x:v>
      </x:c>
      <x:c r="C681" s="13" t="str">
        <x:v>Nubank Serviços</x:v>
      </x:c>
      <x:c r="D681" s="17" t="n">
        <x:v>44115.51</x:v>
      </x:c>
      <x:c r="E681" s="17" t="n">
        <x:v>44115.51</x:v>
      </x:c>
      <x:c r="F681" s="13" t="str">
        <x:v>Conciliado</x:v>
      </x:c>
      <x:c r="G681" s="13" t="str">
        <x:v>Sem divergência</x:v>
      </x:c>
      <x:c r="H681" s="13" t="n">
        <x:v>0.16</x:v>
      </x:c>
      <x:c r="I681" s="13" t="str">
        <x:v>Operação Clareza</x:v>
      </x:c>
      <x:c r="J681" s="17" t="n">
        <x:f>E681-D681</x:f>
        <x:v>0</x:v>
      </x:c>
      <x:c r="K681" s="19" t="n">
        <x:f>IFERROR(ABS(J681/D681),0)</x:f>
        <x:v>0</x:v>
      </x:c>
    </x:row>
    <x:row r="682">
      <x:c r="A682" s="13" t="str">
        <x:v>CON-000681</x:v>
      </x:c>
      <x:c r="B682" s="23" t="n">
        <x:v>45881</x:v>
      </x:c>
      <x:c r="C682" s="13" t="str">
        <x:v>Nubank Serviços</x:v>
      </x:c>
      <x:c r="D682" s="17" t="n">
        <x:v>10522.47</x:v>
      </x:c>
      <x:c r="E682" s="17" t="n">
        <x:v>10522.47</x:v>
      </x:c>
      <x:c r="F682" s="13" t="str">
        <x:v>Conciliado</x:v>
      </x:c>
      <x:c r="G682" s="13" t="str">
        <x:v>Sem divergência</x:v>
      </x:c>
      <x:c r="H682" s="13" t="n">
        <x:v>0.26</x:v>
      </x:c>
      <x:c r="I682" s="13" t="str">
        <x:v>Operação Clareza</x:v>
      </x:c>
      <x:c r="J682" s="17" t="n">
        <x:f>E682-D682</x:f>
        <x:v>0</x:v>
      </x:c>
      <x:c r="K682" s="19" t="n">
        <x:f>IFERROR(ABS(J682/D682),0)</x:f>
        <x:v>0</x:v>
      </x:c>
    </x:row>
    <x:row r="683">
      <x:c r="A683" s="13" t="str">
        <x:v>CON-000682</x:v>
      </x:c>
      <x:c r="B683" s="23" t="n">
        <x:v>45891</x:v>
      </x:c>
      <x:c r="C683" s="13" t="str">
        <x:v>Santander Recebimentos</x:v>
      </x:c>
      <x:c r="D683" s="17" t="n">
        <x:v>40370.41</x:v>
      </x:c>
      <x:c r="E683" s="17" t="n">
        <x:v>40370.41</x:v>
      </x:c>
      <x:c r="F683" s="13" t="str">
        <x:v>Conciliado</x:v>
      </x:c>
      <x:c r="G683" s="13" t="str">
        <x:v>Sem divergência</x:v>
      </x:c>
      <x:c r="H683" s="13" t="n">
        <x:v>0.33</x:v>
      </x:c>
      <x:c r="I683" s="13" t="str">
        <x:v>Operação Clareza</x:v>
      </x:c>
      <x:c r="J683" s="17" t="n">
        <x:f>E683-D683</x:f>
        <x:v>0</x:v>
      </x:c>
      <x:c r="K683" s="19" t="n">
        <x:f>IFERROR(ABS(J683/D683),0)</x:f>
        <x:v>0</x:v>
      </x:c>
    </x:row>
    <x:row r="684">
      <x:c r="A684" s="13" t="str">
        <x:v>CON-000683</x:v>
      </x:c>
      <x:c r="B684" s="23" t="n">
        <x:v>45872</x:v>
      </x:c>
      <x:c r="C684" s="13" t="str">
        <x:v>Nubank Serviços</x:v>
      </x:c>
      <x:c r="D684" s="17" t="n">
        <x:v>13756.88</x:v>
      </x:c>
      <x:c r="E684" s="17" t="n">
        <x:v>13756.88</x:v>
      </x:c>
      <x:c r="F684" s="13" t="str">
        <x:v>Conciliado</x:v>
      </x:c>
      <x:c r="G684" s="13" t="str">
        <x:v>Sem divergência</x:v>
      </x:c>
      <x:c r="H684" s="13" t="n">
        <x:v>0.33</x:v>
      </x:c>
      <x:c r="I684" s="13" t="str">
        <x:v>Operação Clareza</x:v>
      </x:c>
      <x:c r="J684" s="17" t="n">
        <x:f>E684-D684</x:f>
        <x:v>0</x:v>
      </x:c>
      <x:c r="K684" s="19" t="n">
        <x:f>IFERROR(ABS(J684/D684),0)</x:f>
        <x:v>0</x:v>
      </x:c>
    </x:row>
    <x:row r="685">
      <x:c r="A685" s="13" t="str">
        <x:v>CON-000684</x:v>
      </x:c>
      <x:c r="B685" s="23" t="n">
        <x:v>45877</x:v>
      </x:c>
      <x:c r="C685" s="13" t="str">
        <x:v>Santander Recebimentos</x:v>
      </x:c>
      <x:c r="D685" s="17" t="n">
        <x:v>24595.77</x:v>
      </x:c>
      <x:c r="E685" s="17" t="n">
        <x:v>24595.77</x:v>
      </x:c>
      <x:c r="F685" s="13" t="str">
        <x:v>Conciliado</x:v>
      </x:c>
      <x:c r="G685" s="13" t="str">
        <x:v>Sem divergência</x:v>
      </x:c>
      <x:c r="H685" s="13" t="n">
        <x:v>0.21</x:v>
      </x:c>
      <x:c r="I685" s="13" t="str">
        <x:v>Operação Clareza</x:v>
      </x:c>
      <x:c r="J685" s="17" t="n">
        <x:f>E685-D685</x:f>
        <x:v>0</x:v>
      </x:c>
      <x:c r="K685" s="19" t="n">
        <x:f>IFERROR(ABS(J685/D685),0)</x:f>
        <x:v>0</x:v>
      </x:c>
    </x:row>
    <x:row r="686">
      <x:c r="A686" s="13" t="str">
        <x:v>CON-000685</x:v>
      </x:c>
      <x:c r="B686" s="23" t="n">
        <x:v>45892</x:v>
      </x:c>
      <x:c r="C686" s="13" t="str">
        <x:v>Bradesco Pagamentos</x:v>
      </x:c>
      <x:c r="D686" s="17" t="n">
        <x:v>41941.16</x:v>
      </x:c>
      <x:c r="E686" s="17" t="n">
        <x:v>41941.16</x:v>
      </x:c>
      <x:c r="F686" s="13" t="str">
        <x:v>Conciliado</x:v>
      </x:c>
      <x:c r="G686" s="13" t="str">
        <x:v>Sem divergência</x:v>
      </x:c>
      <x:c r="H686" s="13" t="n">
        <x:v>0.45</x:v>
      </x:c>
      <x:c r="I686" s="13" t="str">
        <x:v>Operação Clareza</x:v>
      </x:c>
      <x:c r="J686" s="17" t="n">
        <x:f>E686-D686</x:f>
        <x:v>0</x:v>
      </x:c>
      <x:c r="K686" s="19" t="n">
        <x:f>IFERROR(ABS(J686/D686),0)</x:f>
        <x:v>0</x:v>
      </x:c>
    </x:row>
    <x:row r="687">
      <x:c r="A687" s="13" t="str">
        <x:v>CON-000686</x:v>
      </x:c>
      <x:c r="B687" s="23" t="n">
        <x:v>45888</x:v>
      </x:c>
      <x:c r="C687" s="13" t="str">
        <x:v>Santander Recebimentos</x:v>
      </x:c>
      <x:c r="D687" s="17" t="n">
        <x:v>14281.04</x:v>
      </x:c>
      <x:c r="E687" s="17" t="n">
        <x:v>14281.04</x:v>
      </x:c>
      <x:c r="F687" s="13" t="str">
        <x:v>Conciliado</x:v>
      </x:c>
      <x:c r="G687" s="13" t="str">
        <x:v>Sem divergência</x:v>
      </x:c>
      <x:c r="H687" s="13" t="n">
        <x:v>0.19</x:v>
      </x:c>
      <x:c r="I687" s="13" t="str">
        <x:v>Operação Clareza</x:v>
      </x:c>
      <x:c r="J687" s="17" t="n">
        <x:f>E687-D687</x:f>
        <x:v>0</x:v>
      </x:c>
      <x:c r="K687" s="19" t="n">
        <x:f>IFERROR(ABS(J687/D687),0)</x:f>
        <x:v>0</x:v>
      </x:c>
    </x:row>
    <x:row r="688">
      <x:c r="A688" s="13" t="str">
        <x:v>CON-000687</x:v>
      </x:c>
      <x:c r="B688" s="23" t="n">
        <x:v>45882</x:v>
      </x:c>
      <x:c r="C688" s="13" t="str">
        <x:v>Nubank Serviços</x:v>
      </x:c>
      <x:c r="D688" s="17" t="n">
        <x:v>43356.36</x:v>
      </x:c>
      <x:c r="E688" s="17" t="n">
        <x:v>43356.36</x:v>
      </x:c>
      <x:c r="F688" s="13" t="str">
        <x:v>Conciliado</x:v>
      </x:c>
      <x:c r="G688" s="13" t="str">
        <x:v>Sem divergência</x:v>
      </x:c>
      <x:c r="H688" s="13" t="n">
        <x:v>0.09</x:v>
      </x:c>
      <x:c r="I688" s="13" t="str">
        <x:v>Operação Clareza</x:v>
      </x:c>
      <x:c r="J688" s="17" t="n">
        <x:f>E688-D688</x:f>
        <x:v>0</x:v>
      </x:c>
      <x:c r="K688" s="19" t="n">
        <x:f>IFERROR(ABS(J688/D688),0)</x:f>
        <x:v>0</x:v>
      </x:c>
    </x:row>
    <x:row r="689">
      <x:c r="A689" s="13" t="str">
        <x:v>CON-000688</x:v>
      </x:c>
      <x:c r="B689" s="23" t="n">
        <x:v>45892</x:v>
      </x:c>
      <x:c r="C689" s="13" t="str">
        <x:v>Santander Recebimentos</x:v>
      </x:c>
      <x:c r="D689" s="17" t="n">
        <x:v>43563.34</x:v>
      </x:c>
      <x:c r="E689" s="17" t="n">
        <x:v>43563.34</x:v>
      </x:c>
      <x:c r="F689" s="13" t="str">
        <x:v>Conciliado</x:v>
      </x:c>
      <x:c r="G689" s="13" t="str">
        <x:v>Sem divergência</x:v>
      </x:c>
      <x:c r="H689" s="13" t="n">
        <x:v>0.42</x:v>
      </x:c>
      <x:c r="I689" s="13" t="str">
        <x:v>Operação Clareza</x:v>
      </x:c>
      <x:c r="J689" s="17" t="n">
        <x:f>E689-D689</x:f>
        <x:v>0</x:v>
      </x:c>
      <x:c r="K689" s="19" t="n">
        <x:f>IFERROR(ABS(J689/D689),0)</x:f>
        <x:v>0</x:v>
      </x:c>
    </x:row>
    <x:row r="690">
      <x:c r="A690" s="13" t="str">
        <x:v>CON-000689</x:v>
      </x:c>
      <x:c r="B690" s="23" t="n">
        <x:v>45893</x:v>
      </x:c>
      <x:c r="C690" s="13" t="str">
        <x:v>Santander Recebimentos</x:v>
      </x:c>
      <x:c r="D690" s="17" t="n">
        <x:v>11204.76</x:v>
      </x:c>
      <x:c r="E690" s="17" t="n">
        <x:v>11204.76</x:v>
      </x:c>
      <x:c r="F690" s="13" t="str">
        <x:v>Conciliado</x:v>
      </x:c>
      <x:c r="G690" s="13" t="str">
        <x:v>Sem divergência</x:v>
      </x:c>
      <x:c r="H690" s="13" t="n">
        <x:v>0.35</x:v>
      </x:c>
      <x:c r="I690" s="13" t="str">
        <x:v>Operação Clareza</x:v>
      </x:c>
      <x:c r="J690" s="17" t="n">
        <x:f>E690-D690</x:f>
        <x:v>0</x:v>
      </x:c>
      <x:c r="K690" s="19" t="n">
        <x:f>IFERROR(ABS(J690/D690),0)</x:f>
        <x:v>0</x:v>
      </x:c>
    </x:row>
    <x:row r="691">
      <x:c r="A691" s="13" t="str">
        <x:v>CON-000690</x:v>
      </x:c>
      <x:c r="B691" s="23" t="n">
        <x:v>45872</x:v>
      </x:c>
      <x:c r="C691" s="13" t="str">
        <x:v>Santander Recebimentos</x:v>
      </x:c>
      <x:c r="D691" s="17" t="n">
        <x:v>1524.02</x:v>
      </x:c>
      <x:c r="E691" s="17" t="n">
        <x:v>1524.02</x:v>
      </x:c>
      <x:c r="F691" s="13" t="str">
        <x:v>Conciliado</x:v>
      </x:c>
      <x:c r="G691" s="13" t="str">
        <x:v>Sem divergência</x:v>
      </x:c>
      <x:c r="H691" s="13" t="n">
        <x:v>0.33</x:v>
      </x:c>
      <x:c r="I691" s="13" t="str">
        <x:v>Operação Clareza</x:v>
      </x:c>
      <x:c r="J691" s="17" t="n">
        <x:f>E691-D691</x:f>
        <x:v>0</x:v>
      </x:c>
      <x:c r="K691" s="19" t="n">
        <x:f>IFERROR(ABS(J691/D691),0)</x:f>
        <x:v>0</x:v>
      </x:c>
    </x:row>
    <x:row r="692">
      <x:c r="A692" s="13" t="str">
        <x:v>CON-000691</x:v>
      </x:c>
      <x:c r="B692" s="23" t="n">
        <x:v>45877</x:v>
      </x:c>
      <x:c r="C692" s="13" t="str">
        <x:v>Itaú Operacional</x:v>
      </x:c>
      <x:c r="D692" s="17" t="n">
        <x:v>30736.55</x:v>
      </x:c>
      <x:c r="E692" s="17" t="n">
        <x:v>30736.55</x:v>
      </x:c>
      <x:c r="F692" s="13" t="str">
        <x:v>Conciliado</x:v>
      </x:c>
      <x:c r="G692" s="13" t="str">
        <x:v>Sem divergência</x:v>
      </x:c>
      <x:c r="H692" s="13" t="n">
        <x:v>0.21</x:v>
      </x:c>
      <x:c r="I692" s="13" t="str">
        <x:v>Operação Clareza</x:v>
      </x:c>
      <x:c r="J692" s="17" t="n">
        <x:f>E692-D692</x:f>
        <x:v>0</x:v>
      </x:c>
      <x:c r="K692" s="19" t="n">
        <x:f>IFERROR(ABS(J692/D692),0)</x:f>
        <x:v>0</x:v>
      </x:c>
    </x:row>
    <x:row r="693">
      <x:c r="A693" s="13" t="str">
        <x:v>CON-000692</x:v>
      </x:c>
      <x:c r="B693" s="23" t="n">
        <x:v>45894</x:v>
      </x:c>
      <x:c r="C693" s="13" t="str">
        <x:v>Bradesco Pagamentos</x:v>
      </x:c>
      <x:c r="D693" s="17" t="n">
        <x:v>16104.71</x:v>
      </x:c>
      <x:c r="E693" s="17" t="n">
        <x:v>16104.71</x:v>
      </x:c>
      <x:c r="F693" s="13" t="str">
        <x:v>Conciliado</x:v>
      </x:c>
      <x:c r="G693" s="13" t="str">
        <x:v>Sem divergência</x:v>
      </x:c>
      <x:c r="H693" s="13" t="n">
        <x:v>0.16</x:v>
      </x:c>
      <x:c r="I693" s="13" t="str">
        <x:v>Operação Clareza</x:v>
      </x:c>
      <x:c r="J693" s="17" t="n">
        <x:f>E693-D693</x:f>
        <x:v>0</x:v>
      </x:c>
      <x:c r="K693" s="19" t="n">
        <x:f>IFERROR(ABS(J693/D693),0)</x:f>
        <x:v>0</x:v>
      </x:c>
    </x:row>
    <x:row r="694">
      <x:c r="A694" s="13" t="str">
        <x:v>CON-000693</x:v>
      </x:c>
      <x:c r="B694" s="23" t="n">
        <x:v>45896</x:v>
      </x:c>
      <x:c r="C694" s="13" t="str">
        <x:v>Bradesco Pagamentos</x:v>
      </x:c>
      <x:c r="D694" s="17" t="n">
        <x:v>2383.81</x:v>
      </x:c>
      <x:c r="E694" s="17" t="n">
        <x:v>2383.81</x:v>
      </x:c>
      <x:c r="F694" s="13" t="str">
        <x:v>Conciliado</x:v>
      </x:c>
      <x:c r="G694" s="13" t="str">
        <x:v>Sem divergência</x:v>
      </x:c>
      <x:c r="H694" s="13" t="n">
        <x:v>0.43</x:v>
      </x:c>
      <x:c r="I694" s="13" t="str">
        <x:v>Operação Clareza</x:v>
      </x:c>
      <x:c r="J694" s="17" t="n">
        <x:f>E694-D694</x:f>
        <x:v>0</x:v>
      </x:c>
      <x:c r="K694" s="19" t="n">
        <x:f>IFERROR(ABS(J694/D694),0)</x:f>
        <x:v>0</x:v>
      </x:c>
    </x:row>
    <x:row r="695">
      <x:c r="A695" s="13" t="str">
        <x:v>CON-000694</x:v>
      </x:c>
      <x:c r="B695" s="23" t="n">
        <x:v>45885</x:v>
      </x:c>
      <x:c r="C695" s="13" t="str">
        <x:v>Itaú Operacional</x:v>
      </x:c>
      <x:c r="D695" s="17" t="n">
        <x:v>35422.06</x:v>
      </x:c>
      <x:c r="E695" s="17" t="n">
        <x:v>35422.06</x:v>
      </x:c>
      <x:c r="F695" s="13" t="str">
        <x:v>Conciliado</x:v>
      </x:c>
      <x:c r="G695" s="13" t="str">
        <x:v>Sem divergência</x:v>
      </x:c>
      <x:c r="H695" s="13" t="n">
        <x:v>0.1</x:v>
      </x:c>
      <x:c r="I695" s="13" t="str">
        <x:v>Operação Clareza</x:v>
      </x:c>
      <x:c r="J695" s="17" t="n">
        <x:f>E695-D695</x:f>
        <x:v>0</x:v>
      </x:c>
      <x:c r="K695" s="19" t="n">
        <x:f>IFERROR(ABS(J695/D695),0)</x:f>
        <x:v>0</x:v>
      </x:c>
    </x:row>
    <x:row r="696">
      <x:c r="A696" s="13" t="str">
        <x:v>CON-000695</x:v>
      </x:c>
      <x:c r="B696" s="23" t="n">
        <x:v>45896</x:v>
      </x:c>
      <x:c r="C696" s="13" t="str">
        <x:v>Itaú Operacional</x:v>
      </x:c>
      <x:c r="D696" s="17" t="n">
        <x:v>28038.51</x:v>
      </x:c>
      <x:c r="E696" s="17" t="n">
        <x:v>28038.51</x:v>
      </x:c>
      <x:c r="F696" s="13" t="str">
        <x:v>Conciliado</x:v>
      </x:c>
      <x:c r="G696" s="13" t="str">
        <x:v>Sem divergência</x:v>
      </x:c>
      <x:c r="H696" s="13" t="n">
        <x:v>0.24</x:v>
      </x:c>
      <x:c r="I696" s="13" t="str">
        <x:v>Operação Clareza</x:v>
      </x:c>
      <x:c r="J696" s="17" t="n">
        <x:f>E696-D696</x:f>
        <x:v>0</x:v>
      </x:c>
      <x:c r="K696" s="19" t="n">
        <x:f>IFERROR(ABS(J696/D696),0)</x:f>
        <x:v>0</x:v>
      </x:c>
    </x:row>
    <x:row r="697">
      <x:c r="A697" s="13" t="str">
        <x:v>CON-000696</x:v>
      </x:c>
      <x:c r="B697" s="23" t="n">
        <x:v>45890</x:v>
      </x:c>
      <x:c r="C697" s="13" t="str">
        <x:v>Santander Recebimentos</x:v>
      </x:c>
      <x:c r="D697" s="17" t="n">
        <x:v>412.01</x:v>
      </x:c>
      <x:c r="E697" s="17" t="n">
        <x:v>412.01</x:v>
      </x:c>
      <x:c r="F697" s="13" t="str">
        <x:v>Conciliado</x:v>
      </x:c>
      <x:c r="G697" s="13" t="str">
        <x:v>Sem divergência</x:v>
      </x:c>
      <x:c r="H697" s="13" t="n">
        <x:v>0.04</x:v>
      </x:c>
      <x:c r="I697" s="13" t="str">
        <x:v>Operação Clareza</x:v>
      </x:c>
      <x:c r="J697" s="17" t="n">
        <x:f>E697-D697</x:f>
        <x:v>0</x:v>
      </x:c>
      <x:c r="K697" s="19" t="n">
        <x:f>IFERROR(ABS(J697/D697),0)</x:f>
        <x:v>0</x:v>
      </x:c>
    </x:row>
    <x:row r="698">
      <x:c r="A698" s="13" t="str">
        <x:v>CON-000697</x:v>
      </x:c>
      <x:c r="B698" s="23" t="n">
        <x:v>45871</x:v>
      </x:c>
      <x:c r="C698" s="13" t="str">
        <x:v>Nubank Serviços</x:v>
      </x:c>
      <x:c r="D698" s="17" t="n">
        <x:v>8913.84</x:v>
      </x:c>
      <x:c r="E698" s="17" t="n">
        <x:v>8913.84</x:v>
      </x:c>
      <x:c r="F698" s="13" t="str">
        <x:v>Conciliado</x:v>
      </x:c>
      <x:c r="G698" s="13" t="str">
        <x:v>Sem divergência</x:v>
      </x:c>
      <x:c r="H698" s="13" t="n">
        <x:v>0.27</x:v>
      </x:c>
      <x:c r="I698" s="13" t="str">
        <x:v>Operação Clareza</x:v>
      </x:c>
      <x:c r="J698" s="17" t="n">
        <x:f>E698-D698</x:f>
        <x:v>0</x:v>
      </x:c>
      <x:c r="K698" s="19" t="n">
        <x:f>IFERROR(ABS(J698/D698),0)</x:f>
        <x:v>0</x:v>
      </x:c>
    </x:row>
    <x:row r="699">
      <x:c r="A699" s="13" t="str">
        <x:v>CON-000698</x:v>
      </x:c>
      <x:c r="B699" s="23" t="n">
        <x:v>45873</x:v>
      </x:c>
      <x:c r="C699" s="13" t="str">
        <x:v>Itaú Operacional</x:v>
      </x:c>
      <x:c r="D699" s="17" t="n">
        <x:v>38648.72</x:v>
      </x:c>
      <x:c r="E699" s="17" t="n">
        <x:v>38648.72</x:v>
      </x:c>
      <x:c r="F699" s="13" t="str">
        <x:v>Conciliado</x:v>
      </x:c>
      <x:c r="G699" s="13" t="str">
        <x:v>Sem divergência</x:v>
      </x:c>
      <x:c r="H699" s="13" t="n">
        <x:v>0.1</x:v>
      </x:c>
      <x:c r="I699" s="13" t="str">
        <x:v>Operação Clareza</x:v>
      </x:c>
      <x:c r="J699" s="17" t="n">
        <x:f>E699-D699</x:f>
        <x:v>0</x:v>
      </x:c>
      <x:c r="K699" s="19" t="n">
        <x:f>IFERROR(ABS(J699/D699),0)</x:f>
        <x:v>0</x:v>
      </x:c>
    </x:row>
    <x:row r="700">
      <x:c r="A700" s="13" t="str">
        <x:v>CON-000699</x:v>
      </x:c>
      <x:c r="B700" s="23" t="n">
        <x:v>45884</x:v>
      </x:c>
      <x:c r="C700" s="13" t="str">
        <x:v>Itaú Operacional</x:v>
      </x:c>
      <x:c r="D700" s="17" t="n">
        <x:v>19267.4</x:v>
      </x:c>
      <x:c r="E700" s="17" t="n">
        <x:v>19267.4</x:v>
      </x:c>
      <x:c r="F700" s="13" t="str">
        <x:v>Conciliado</x:v>
      </x:c>
      <x:c r="G700" s="13" t="str">
        <x:v>Sem divergência</x:v>
      </x:c>
      <x:c r="H700" s="13" t="n">
        <x:v>0.42</x:v>
      </x:c>
      <x:c r="I700" s="13" t="str">
        <x:v>Operação Clareza</x:v>
      </x:c>
      <x:c r="J700" s="17" t="n">
        <x:f>E700-D700</x:f>
        <x:v>0</x:v>
      </x:c>
      <x:c r="K700" s="19" t="n">
        <x:f>IFERROR(ABS(J700/D700),0)</x:f>
        <x:v>0</x:v>
      </x:c>
    </x:row>
    <x:row r="701">
      <x:c r="A701" s="13" t="str">
        <x:v>CON-000700</x:v>
      </x:c>
      <x:c r="B701" s="23" t="n">
        <x:v>45894</x:v>
      </x:c>
      <x:c r="C701" s="13" t="str">
        <x:v>Nubank Serviços</x:v>
      </x:c>
      <x:c r="D701" s="17" t="n">
        <x:v>34786.05</x:v>
      </x:c>
      <x:c r="E701" s="17" t="n">
        <x:v>34786.05</x:v>
      </x:c>
      <x:c r="F701" s="13" t="str">
        <x:v>Conciliado</x:v>
      </x:c>
      <x:c r="G701" s="13" t="str">
        <x:v>Sem divergência</x:v>
      </x:c>
      <x:c r="H701" s="13" t="n">
        <x:v>0.13</x:v>
      </x:c>
      <x:c r="I701" s="13" t="str">
        <x:v>Operação Clareza</x:v>
      </x:c>
      <x:c r="J701" s="17" t="n">
        <x:f>E701-D701</x:f>
        <x:v>0</x:v>
      </x:c>
      <x:c r="K701" s="19" t="n">
        <x:f>IFERROR(ABS(J701/D701),0)</x:f>
        <x:v>0</x:v>
      </x:c>
    </x:row>
    <x:row r="702">
      <x:c r="A702" s="13" t="str">
        <x:v>CON-000701</x:v>
      </x:c>
      <x:c r="B702" s="23" t="n">
        <x:v>45913</x:v>
      </x:c>
      <x:c r="C702" s="13" t="str">
        <x:v>Bradesco Pagamentos</x:v>
      </x:c>
      <x:c r="D702" s="17" t="n">
        <x:v>16183.41</x:v>
      </x:c>
      <x:c r="E702" s="17" t="n">
        <x:v>16183.41</x:v>
      </x:c>
      <x:c r="F702" s="13" t="str">
        <x:v>Conciliado</x:v>
      </x:c>
      <x:c r="G702" s="13" t="str">
        <x:v>Sem divergência</x:v>
      </x:c>
      <x:c r="H702" s="13" t="n">
        <x:v>0.23</x:v>
      </x:c>
      <x:c r="I702" s="13" t="str">
        <x:v>Operação Clareza</x:v>
      </x:c>
      <x:c r="J702" s="17" t="n">
        <x:f>E702-D702</x:f>
        <x:v>0</x:v>
      </x:c>
      <x:c r="K702" s="19" t="n">
        <x:f>IFERROR(ABS(J702/D702),0)</x:f>
        <x:v>0</x:v>
      </x:c>
    </x:row>
    <x:row r="703">
      <x:c r="A703" s="13" t="str">
        <x:v>CON-000702</x:v>
      </x:c>
      <x:c r="B703" s="23" t="n">
        <x:v>45905</x:v>
      </x:c>
      <x:c r="C703" s="13" t="str">
        <x:v>Nubank Serviços</x:v>
      </x:c>
      <x:c r="D703" s="17" t="n">
        <x:v>28022.31</x:v>
      </x:c>
      <x:c r="E703" s="17" t="n">
        <x:v>28022.31</x:v>
      </x:c>
      <x:c r="F703" s="13" t="str">
        <x:v>Conciliado</x:v>
      </x:c>
      <x:c r="G703" s="13" t="str">
        <x:v>Sem divergência</x:v>
      </x:c>
      <x:c r="H703" s="13" t="n">
        <x:v>0.15</x:v>
      </x:c>
      <x:c r="I703" s="13" t="str">
        <x:v>Operação Clareza</x:v>
      </x:c>
      <x:c r="J703" s="17" t="n">
        <x:f>E703-D703</x:f>
        <x:v>0</x:v>
      </x:c>
      <x:c r="K703" s="19" t="n">
        <x:f>IFERROR(ABS(J703/D703),0)</x:f>
        <x:v>0</x:v>
      </x:c>
    </x:row>
    <x:row r="704">
      <x:c r="A704" s="13" t="str">
        <x:v>CON-000703</x:v>
      </x:c>
      <x:c r="B704" s="23" t="n">
        <x:v>45910</x:v>
      </x:c>
      <x:c r="C704" s="13" t="str">
        <x:v>Nubank Serviços</x:v>
      </x:c>
      <x:c r="D704" s="17" t="n">
        <x:v>10209.81</x:v>
      </x:c>
      <x:c r="E704" s="17" t="n">
        <x:v>10209.81</x:v>
      </x:c>
      <x:c r="F704" s="13" t="str">
        <x:v>Conciliado</x:v>
      </x:c>
      <x:c r="G704" s="13" t="str">
        <x:v>Sem divergência</x:v>
      </x:c>
      <x:c r="H704" s="13" t="n">
        <x:v>0.19</x:v>
      </x:c>
      <x:c r="I704" s="13" t="str">
        <x:v>Operação Clareza</x:v>
      </x:c>
      <x:c r="J704" s="17" t="n">
        <x:f>E704-D704</x:f>
        <x:v>0</x:v>
      </x:c>
      <x:c r="K704" s="19" t="n">
        <x:f>IFERROR(ABS(J704/D704),0)</x:f>
        <x:v>0</x:v>
      </x:c>
    </x:row>
    <x:row r="705">
      <x:c r="A705" s="13" t="str">
        <x:v>CON-000704</x:v>
      </x:c>
      <x:c r="B705" s="23" t="n">
        <x:v>45920</x:v>
      </x:c>
      <x:c r="C705" s="13" t="str">
        <x:v>Nubank Serviços</x:v>
      </x:c>
      <x:c r="D705" s="17" t="n">
        <x:v>10742.88</x:v>
      </x:c>
      <x:c r="E705" s="17" t="n">
        <x:v>10742.88</x:v>
      </x:c>
      <x:c r="F705" s="13" t="str">
        <x:v>Conciliado</x:v>
      </x:c>
      <x:c r="G705" s="13" t="str">
        <x:v>Sem divergência</x:v>
      </x:c>
      <x:c r="H705" s="13" t="n">
        <x:v>0.36</x:v>
      </x:c>
      <x:c r="I705" s="13" t="str">
        <x:v>Operação Clareza</x:v>
      </x:c>
      <x:c r="J705" s="17" t="n">
        <x:f>E705-D705</x:f>
        <x:v>0</x:v>
      </x:c>
      <x:c r="K705" s="19" t="n">
        <x:f>IFERROR(ABS(J705/D705),0)</x:f>
        <x:v>0</x:v>
      </x:c>
    </x:row>
    <x:row r="706">
      <x:c r="A706" s="13" t="str">
        <x:v>CON-000705</x:v>
      </x:c>
      <x:c r="B706" s="23" t="n">
        <x:v>45927</x:v>
      </x:c>
      <x:c r="C706" s="13" t="str">
        <x:v>Bradesco Pagamentos</x:v>
      </x:c>
      <x:c r="D706" s="17" t="n">
        <x:v>21630.44</x:v>
      </x:c>
      <x:c r="E706" s="17" t="n">
        <x:v>21630.44</x:v>
      </x:c>
      <x:c r="F706" s="13" t="str">
        <x:v>Conciliado</x:v>
      </x:c>
      <x:c r="G706" s="13" t="str">
        <x:v>Sem divergência</x:v>
      </x:c>
      <x:c r="H706" s="13" t="n">
        <x:v>0.21</x:v>
      </x:c>
      <x:c r="I706" s="13" t="str">
        <x:v>Operação Clareza</x:v>
      </x:c>
      <x:c r="J706" s="17" t="n">
        <x:f>E706-D706</x:f>
        <x:v>0</x:v>
      </x:c>
      <x:c r="K706" s="19" t="n">
        <x:f>IFERROR(ABS(J706/D706),0)</x:f>
        <x:v>0</x:v>
      </x:c>
    </x:row>
    <x:row r="707">
      <x:c r="A707" s="13" t="str">
        <x:v>CON-000706</x:v>
      </x:c>
      <x:c r="B707" s="23" t="n">
        <x:v>45915</x:v>
      </x:c>
      <x:c r="C707" s="13" t="str">
        <x:v>Santander Recebimentos</x:v>
      </x:c>
      <x:c r="D707" s="17" t="n">
        <x:v>28873.88</x:v>
      </x:c>
      <x:c r="E707" s="17" t="n">
        <x:v>28873.88</x:v>
      </x:c>
      <x:c r="F707" s="13" t="str">
        <x:v>Conciliado</x:v>
      </x:c>
      <x:c r="G707" s="13" t="str">
        <x:v>Sem divergência</x:v>
      </x:c>
      <x:c r="H707" s="13" t="n">
        <x:v>0.4</x:v>
      </x:c>
      <x:c r="I707" s="13" t="str">
        <x:v>Operação Clareza</x:v>
      </x:c>
      <x:c r="J707" s="17" t="n">
        <x:f>E707-D707</x:f>
        <x:v>0</x:v>
      </x:c>
      <x:c r="K707" s="19" t="n">
        <x:f>IFERROR(ABS(J707/D707),0)</x:f>
        <x:v>0</x:v>
      </x:c>
    </x:row>
    <x:row r="708">
      <x:c r="A708" s="13" t="str">
        <x:v>CON-000707</x:v>
      </x:c>
      <x:c r="B708" s="23" t="n">
        <x:v>45911</x:v>
      </x:c>
      <x:c r="C708" s="13" t="str">
        <x:v>Nubank Serviços</x:v>
      </x:c>
      <x:c r="D708" s="17" t="n">
        <x:v>23684.97</x:v>
      </x:c>
      <x:c r="E708" s="17" t="n">
        <x:v>23684.97</x:v>
      </x:c>
      <x:c r="F708" s="13" t="str">
        <x:v>Conciliado</x:v>
      </x:c>
      <x:c r="G708" s="13" t="str">
        <x:v>Sem divergência</x:v>
      </x:c>
      <x:c r="H708" s="13" t="n">
        <x:v>0.36</x:v>
      </x:c>
      <x:c r="I708" s="13" t="str">
        <x:v>Operação Clareza</x:v>
      </x:c>
      <x:c r="J708" s="17" t="n">
        <x:f>E708-D708</x:f>
        <x:v>0</x:v>
      </x:c>
      <x:c r="K708" s="19" t="n">
        <x:f>IFERROR(ABS(J708/D708),0)</x:f>
        <x:v>0</x:v>
      </x:c>
    </x:row>
    <x:row r="709">
      <x:c r="A709" s="13" t="str">
        <x:v>CON-000708</x:v>
      </x:c>
      <x:c r="B709" s="23" t="n">
        <x:v>45912</x:v>
      </x:c>
      <x:c r="C709" s="13" t="str">
        <x:v>Nubank Serviços</x:v>
      </x:c>
      <x:c r="D709" s="17" t="n">
        <x:v>43038.88</x:v>
      </x:c>
      <x:c r="E709" s="17" t="n">
        <x:v>43038.88</x:v>
      </x:c>
      <x:c r="F709" s="13" t="str">
        <x:v>Conciliado</x:v>
      </x:c>
      <x:c r="G709" s="13" t="str">
        <x:v>Sem divergência</x:v>
      </x:c>
      <x:c r="H709" s="13" t="n">
        <x:v>0.06</x:v>
      </x:c>
      <x:c r="I709" s="13" t="str">
        <x:v>Operação Clareza</x:v>
      </x:c>
      <x:c r="J709" s="17" t="n">
        <x:f>E709-D709</x:f>
        <x:v>0</x:v>
      </x:c>
      <x:c r="K709" s="19" t="n">
        <x:f>IFERROR(ABS(J709/D709),0)</x:f>
        <x:v>0</x:v>
      </x:c>
    </x:row>
    <x:row r="710">
      <x:c r="A710" s="13" t="str">
        <x:v>CON-000709</x:v>
      </x:c>
      <x:c r="B710" s="23" t="n">
        <x:v>45906</x:v>
      </x:c>
      <x:c r="C710" s="13" t="str">
        <x:v>Itaú Operacional</x:v>
      </x:c>
      <x:c r="D710" s="17" t="n">
        <x:v>29241.78</x:v>
      </x:c>
      <x:c r="E710" s="17" t="n">
        <x:v>29241.78</x:v>
      </x:c>
      <x:c r="F710" s="13" t="str">
        <x:v>Conciliado</x:v>
      </x:c>
      <x:c r="G710" s="13" t="str">
        <x:v>Sem divergência</x:v>
      </x:c>
      <x:c r="H710" s="13" t="n">
        <x:v>0.23</x:v>
      </x:c>
      <x:c r="I710" s="13" t="str">
        <x:v>Operação Clareza</x:v>
      </x:c>
      <x:c r="J710" s="17" t="n">
        <x:f>E710-D710</x:f>
        <x:v>0</x:v>
      </x:c>
      <x:c r="K710" s="19" t="n">
        <x:f>IFERROR(ABS(J710/D710),0)</x:f>
        <x:v>0</x:v>
      </x:c>
    </x:row>
    <x:row r="711">
      <x:c r="A711" s="13" t="str">
        <x:v>CON-000710</x:v>
      </x:c>
      <x:c r="B711" s="23" t="n">
        <x:v>45923</x:v>
      </x:c>
      <x:c r="C711" s="13" t="str">
        <x:v>Nubank Serviços</x:v>
      </x:c>
      <x:c r="D711" s="17" t="n">
        <x:v>27651.53</x:v>
      </x:c>
      <x:c r="E711" s="17" t="n">
        <x:v>27651.53</x:v>
      </x:c>
      <x:c r="F711" s="13" t="str">
        <x:v>Conciliado</x:v>
      </x:c>
      <x:c r="G711" s="13" t="str">
        <x:v>Sem divergência</x:v>
      </x:c>
      <x:c r="H711" s="13" t="n">
        <x:v>0.44</x:v>
      </x:c>
      <x:c r="I711" s="13" t="str">
        <x:v>Operação Clareza</x:v>
      </x:c>
      <x:c r="J711" s="17" t="n">
        <x:f>E711-D711</x:f>
        <x:v>0</x:v>
      </x:c>
      <x:c r="K711" s="19" t="n">
        <x:f>IFERROR(ABS(J711/D711),0)</x:f>
        <x:v>0</x:v>
      </x:c>
    </x:row>
    <x:row r="712">
      <x:c r="A712" s="13" t="str">
        <x:v>CON-000711</x:v>
      </x:c>
      <x:c r="B712" s="23" t="n">
        <x:v>45907</x:v>
      </x:c>
      <x:c r="C712" s="13" t="str">
        <x:v>Santander Recebimentos</x:v>
      </x:c>
      <x:c r="D712" s="17" t="n">
        <x:v>30091.24</x:v>
      </x:c>
      <x:c r="E712" s="17" t="n">
        <x:v>30091.24</x:v>
      </x:c>
      <x:c r="F712" s="13" t="str">
        <x:v>Conciliado</x:v>
      </x:c>
      <x:c r="G712" s="13" t="str">
        <x:v>Sem divergência</x:v>
      </x:c>
      <x:c r="H712" s="13" t="n">
        <x:v>0.31</x:v>
      </x:c>
      <x:c r="I712" s="13" t="str">
        <x:v>Operação Clareza</x:v>
      </x:c>
      <x:c r="J712" s="17" t="n">
        <x:f>E712-D712</x:f>
        <x:v>0</x:v>
      </x:c>
      <x:c r="K712" s="19" t="n">
        <x:f>IFERROR(ABS(J712/D712),0)</x:f>
        <x:v>0</x:v>
      </x:c>
    </x:row>
    <x:row r="713">
      <x:c r="A713" s="13" t="str">
        <x:v>CON-000712</x:v>
      </x:c>
      <x:c r="B713" s="23" t="n">
        <x:v>45914</x:v>
      </x:c>
      <x:c r="C713" s="13" t="str">
        <x:v>Nubank Serviços</x:v>
      </x:c>
      <x:c r="D713" s="17" t="n">
        <x:v>32967.3</x:v>
      </x:c>
      <x:c r="E713" s="17" t="n">
        <x:v>32967.3</x:v>
      </x:c>
      <x:c r="F713" s="13" t="str">
        <x:v>Conciliado</x:v>
      </x:c>
      <x:c r="G713" s="13" t="str">
        <x:v>Sem divergência</x:v>
      </x:c>
      <x:c r="H713" s="13" t="n">
        <x:v>0.17</x:v>
      </x:c>
      <x:c r="I713" s="13" t="str">
        <x:v>Operação Clareza</x:v>
      </x:c>
      <x:c r="J713" s="17" t="n">
        <x:f>E713-D713</x:f>
        <x:v>0</x:v>
      </x:c>
      <x:c r="K713" s="19" t="n">
        <x:f>IFERROR(ABS(J713/D713),0)</x:f>
        <x:v>0</x:v>
      </x:c>
    </x:row>
    <x:row r="714">
      <x:c r="A714" s="13" t="str">
        <x:v>CON-000713</x:v>
      </x:c>
      <x:c r="B714" s="23" t="n">
        <x:v>45901</x:v>
      </x:c>
      <x:c r="C714" s="13" t="str">
        <x:v>Nubank Serviços</x:v>
      </x:c>
      <x:c r="D714" s="17" t="n">
        <x:v>8163.07</x:v>
      </x:c>
      <x:c r="E714" s="17" t="n">
        <x:v>8163.07</x:v>
      </x:c>
      <x:c r="F714" s="13" t="str">
        <x:v>Conciliado</x:v>
      </x:c>
      <x:c r="G714" s="13" t="str">
        <x:v>Sem divergência</x:v>
      </x:c>
      <x:c r="H714" s="13" t="n">
        <x:v>0.36</x:v>
      </x:c>
      <x:c r="I714" s="13" t="str">
        <x:v>Operação Clareza</x:v>
      </x:c>
      <x:c r="J714" s="17" t="n">
        <x:f>E714-D714</x:f>
        <x:v>0</x:v>
      </x:c>
      <x:c r="K714" s="19" t="n">
        <x:f>IFERROR(ABS(J714/D714),0)</x:f>
        <x:v>0</x:v>
      </x:c>
    </x:row>
    <x:row r="715">
      <x:c r="A715" s="13" t="str">
        <x:v>CON-000714</x:v>
      </x:c>
      <x:c r="B715" s="23" t="n">
        <x:v>45926</x:v>
      </x:c>
      <x:c r="C715" s="13" t="str">
        <x:v>Santander Recebimentos</x:v>
      </x:c>
      <x:c r="D715" s="17" t="n">
        <x:v>19871.51</x:v>
      </x:c>
      <x:c r="E715" s="17" t="n">
        <x:v>19871.51</x:v>
      </x:c>
      <x:c r="F715" s="13" t="str">
        <x:v>Conciliado</x:v>
      </x:c>
      <x:c r="G715" s="13" t="str">
        <x:v>Sem divergência</x:v>
      </x:c>
      <x:c r="H715" s="13" t="n">
        <x:v>0.17</x:v>
      </x:c>
      <x:c r="I715" s="13" t="str">
        <x:v>Operação Clareza</x:v>
      </x:c>
      <x:c r="J715" s="17" t="n">
        <x:f>E715-D715</x:f>
        <x:v>0</x:v>
      </x:c>
      <x:c r="K715" s="19" t="n">
        <x:f>IFERROR(ABS(J715/D715),0)</x:f>
        <x:v>0</x:v>
      </x:c>
    </x:row>
    <x:row r="716">
      <x:c r="A716" s="13" t="str">
        <x:v>CON-000715</x:v>
      </x:c>
      <x:c r="B716" s="23" t="n">
        <x:v>45919</x:v>
      </x:c>
      <x:c r="C716" s="13" t="str">
        <x:v>Nubank Serviços</x:v>
      </x:c>
      <x:c r="D716" s="17" t="n">
        <x:v>28297.36</x:v>
      </x:c>
      <x:c r="E716" s="17" t="n">
        <x:v>28297.36</x:v>
      </x:c>
      <x:c r="F716" s="13" t="str">
        <x:v>Conciliado</x:v>
      </x:c>
      <x:c r="G716" s="13" t="str">
        <x:v>Sem divergência</x:v>
      </x:c>
      <x:c r="H716" s="13" t="n">
        <x:v>0.07</x:v>
      </x:c>
      <x:c r="I716" s="13" t="str">
        <x:v>Operação Clareza</x:v>
      </x:c>
      <x:c r="J716" s="17" t="n">
        <x:f>E716-D716</x:f>
        <x:v>0</x:v>
      </x:c>
      <x:c r="K716" s="19" t="n">
        <x:f>IFERROR(ABS(J716/D716),0)</x:f>
        <x:v>0</x:v>
      </x:c>
    </x:row>
    <x:row r="717">
      <x:c r="A717" s="13" t="str">
        <x:v>CON-000716</x:v>
      </x:c>
      <x:c r="B717" s="23" t="n">
        <x:v>45925</x:v>
      </x:c>
      <x:c r="C717" s="13" t="str">
        <x:v>Itaú Operacional</x:v>
      </x:c>
      <x:c r="D717" s="17" t="n">
        <x:v>29632.69</x:v>
      </x:c>
      <x:c r="E717" s="17" t="n">
        <x:v>29632.69</x:v>
      </x:c>
      <x:c r="F717" s="13" t="str">
        <x:v>Conciliado</x:v>
      </x:c>
      <x:c r="G717" s="13" t="str">
        <x:v>Sem divergência</x:v>
      </x:c>
      <x:c r="H717" s="13" t="n">
        <x:v>0.12</x:v>
      </x:c>
      <x:c r="I717" s="13" t="str">
        <x:v>Operação Clareza</x:v>
      </x:c>
      <x:c r="J717" s="17" t="n">
        <x:f>E717-D717</x:f>
        <x:v>0</x:v>
      </x:c>
      <x:c r="K717" s="19" t="n">
        <x:f>IFERROR(ABS(J717/D717),0)</x:f>
        <x:v>0</x:v>
      </x:c>
    </x:row>
    <x:row r="718">
      <x:c r="A718" s="13" t="str">
        <x:v>CON-000717</x:v>
      </x:c>
      <x:c r="B718" s="23" t="n">
        <x:v>45916</x:v>
      </x:c>
      <x:c r="C718" s="13" t="str">
        <x:v>Bradesco Pagamentos</x:v>
      </x:c>
      <x:c r="D718" s="17" t="n">
        <x:v>39551.45</x:v>
      </x:c>
      <x:c r="E718" s="17" t="n">
        <x:v>39551.45</x:v>
      </x:c>
      <x:c r="F718" s="13" t="str">
        <x:v>Conciliado</x:v>
      </x:c>
      <x:c r="G718" s="13" t="str">
        <x:v>Sem divergência</x:v>
      </x:c>
      <x:c r="H718" s="13" t="n">
        <x:v>0.4</x:v>
      </x:c>
      <x:c r="I718" s="13" t="str">
        <x:v>Operação Clareza</x:v>
      </x:c>
      <x:c r="J718" s="17" t="n">
        <x:f>E718-D718</x:f>
        <x:v>0</x:v>
      </x:c>
      <x:c r="K718" s="19" t="n">
        <x:f>IFERROR(ABS(J718/D718),0)</x:f>
        <x:v>0</x:v>
      </x:c>
    </x:row>
    <x:row r="719">
      <x:c r="A719" s="13" t="str">
        <x:v>CON-000718</x:v>
      </x:c>
      <x:c r="B719" s="23" t="n">
        <x:v>45928</x:v>
      </x:c>
      <x:c r="C719" s="13" t="str">
        <x:v>Itaú Operacional</x:v>
      </x:c>
      <x:c r="D719" s="17" t="n">
        <x:v>18700.14</x:v>
      </x:c>
      <x:c r="E719" s="17" t="n">
        <x:v>18700.14</x:v>
      </x:c>
      <x:c r="F719" s="13" t="str">
        <x:v>Conciliado</x:v>
      </x:c>
      <x:c r="G719" s="13" t="str">
        <x:v>Sem divergência</x:v>
      </x:c>
      <x:c r="H719" s="13" t="n">
        <x:v>0.02</x:v>
      </x:c>
      <x:c r="I719" s="13" t="str">
        <x:v>Operação Clareza</x:v>
      </x:c>
      <x:c r="J719" s="17" t="n">
        <x:f>E719-D719</x:f>
        <x:v>0</x:v>
      </x:c>
      <x:c r="K719" s="19" t="n">
        <x:f>IFERROR(ABS(J719/D719),0)</x:f>
        <x:v>0</x:v>
      </x:c>
    </x:row>
    <x:row r="720">
      <x:c r="A720" s="13" t="str">
        <x:v>CON-000719</x:v>
      </x:c>
      <x:c r="B720" s="23" t="n">
        <x:v>45925</x:v>
      </x:c>
      <x:c r="C720" s="13" t="str">
        <x:v>Nubank Serviços</x:v>
      </x:c>
      <x:c r="D720" s="17" t="n">
        <x:v>9983.01</x:v>
      </x:c>
      <x:c r="E720" s="17" t="n">
        <x:v>9983.01</x:v>
      </x:c>
      <x:c r="F720" s="13" t="str">
        <x:v>Conciliado</x:v>
      </x:c>
      <x:c r="G720" s="13" t="str">
        <x:v>Sem divergência</x:v>
      </x:c>
      <x:c r="H720" s="13" t="n">
        <x:v>0.06</x:v>
      </x:c>
      <x:c r="I720" s="13" t="str">
        <x:v>Operação Clareza</x:v>
      </x:c>
      <x:c r="J720" s="17" t="n">
        <x:f>E720-D720</x:f>
        <x:v>0</x:v>
      </x:c>
      <x:c r="K720" s="19" t="n">
        <x:f>IFERROR(ABS(J720/D720),0)</x:f>
        <x:v>0</x:v>
      </x:c>
    </x:row>
    <x:row r="721">
      <x:c r="A721" s="13" t="str">
        <x:v>CON-000720</x:v>
      </x:c>
      <x:c r="B721" s="23" t="n">
        <x:v>45904</x:v>
      </x:c>
      <x:c r="C721" s="13" t="str">
        <x:v>Bradesco Pagamentos</x:v>
      </x:c>
      <x:c r="D721" s="17" t="n">
        <x:v>1155.84</x:v>
      </x:c>
      <x:c r="E721" s="17" t="n">
        <x:v>1155.84</x:v>
      </x:c>
      <x:c r="F721" s="13" t="str">
        <x:v>Conciliado</x:v>
      </x:c>
      <x:c r="G721" s="13" t="str">
        <x:v>Sem divergência</x:v>
      </x:c>
      <x:c r="H721" s="13" t="n">
        <x:v>0.31</x:v>
      </x:c>
      <x:c r="I721" s="13" t="str">
        <x:v>Operação Clareza</x:v>
      </x:c>
      <x:c r="J721" s="17" t="n">
        <x:f>E721-D721</x:f>
        <x:v>0</x:v>
      </x:c>
      <x:c r="K721" s="19" t="n">
        <x:f>IFERROR(ABS(J721/D721),0)</x:f>
        <x:v>0</x:v>
      </x:c>
    </x:row>
    <x:row r="722">
      <x:c r="A722" s="13" t="str">
        <x:v>CON-000721</x:v>
      </x:c>
      <x:c r="B722" s="23" t="n">
        <x:v>45906</x:v>
      </x:c>
      <x:c r="C722" s="13" t="str">
        <x:v>Santander Recebimentos</x:v>
      </x:c>
      <x:c r="D722" s="17" t="n">
        <x:v>42850.33</x:v>
      </x:c>
      <x:c r="E722" s="17" t="n">
        <x:v>42850.33</x:v>
      </x:c>
      <x:c r="F722" s="13" t="str">
        <x:v>Conciliado</x:v>
      </x:c>
      <x:c r="G722" s="13" t="str">
        <x:v>Sem divergência</x:v>
      </x:c>
      <x:c r="H722" s="13" t="n">
        <x:v>0.37</x:v>
      </x:c>
      <x:c r="I722" s="13" t="str">
        <x:v>Operação Clareza</x:v>
      </x:c>
      <x:c r="J722" s="17" t="n">
        <x:f>E722-D722</x:f>
        <x:v>0</x:v>
      </x:c>
      <x:c r="K722" s="19" t="n">
        <x:f>IFERROR(ABS(J722/D722),0)</x:f>
        <x:v>0</x:v>
      </x:c>
    </x:row>
    <x:row r="723">
      <x:c r="A723" s="13" t="str">
        <x:v>CON-000722</x:v>
      </x:c>
      <x:c r="B723" s="23" t="n">
        <x:v>45912</x:v>
      </x:c>
      <x:c r="C723" s="13" t="str">
        <x:v>Nubank Serviços</x:v>
      </x:c>
      <x:c r="D723" s="17" t="n">
        <x:v>32908.25</x:v>
      </x:c>
      <x:c r="E723" s="17" t="n">
        <x:v>32908.25</x:v>
      </x:c>
      <x:c r="F723" s="13" t="str">
        <x:v>Conciliado</x:v>
      </x:c>
      <x:c r="G723" s="13" t="str">
        <x:v>Sem divergência</x:v>
      </x:c>
      <x:c r="H723" s="13" t="n">
        <x:v>0.35</x:v>
      </x:c>
      <x:c r="I723" s="13" t="str">
        <x:v>Operação Clareza</x:v>
      </x:c>
      <x:c r="J723" s="17" t="n">
        <x:f>E723-D723</x:f>
        <x:v>0</x:v>
      </x:c>
      <x:c r="K723" s="19" t="n">
        <x:f>IFERROR(ABS(J723/D723),0)</x:f>
        <x:v>0</x:v>
      </x:c>
    </x:row>
    <x:row r="724">
      <x:c r="A724" s="13" t="str">
        <x:v>CON-000723</x:v>
      </x:c>
      <x:c r="B724" s="23" t="n">
        <x:v>45905</x:v>
      </x:c>
      <x:c r="C724" s="13" t="str">
        <x:v>Nubank Serviços</x:v>
      </x:c>
      <x:c r="D724" s="17" t="n">
        <x:v>15062.26</x:v>
      </x:c>
      <x:c r="E724" s="17" t="n">
        <x:v>15062.26</x:v>
      </x:c>
      <x:c r="F724" s="13" t="str">
        <x:v>Conciliado</x:v>
      </x:c>
      <x:c r="G724" s="13" t="str">
        <x:v>Sem divergência</x:v>
      </x:c>
      <x:c r="H724" s="13" t="n">
        <x:v>0.42</x:v>
      </x:c>
      <x:c r="I724" s="13" t="str">
        <x:v>Operação Clareza</x:v>
      </x:c>
      <x:c r="J724" s="17" t="n">
        <x:f>E724-D724</x:f>
        <x:v>0</x:v>
      </x:c>
      <x:c r="K724" s="19" t="n">
        <x:f>IFERROR(ABS(J724/D724),0)</x:f>
        <x:v>0</x:v>
      </x:c>
    </x:row>
    <x:row r="725">
      <x:c r="A725" s="13" t="str">
        <x:v>CON-000724</x:v>
      </x:c>
      <x:c r="B725" s="23" t="n">
        <x:v>45916</x:v>
      </x:c>
      <x:c r="C725" s="13" t="str">
        <x:v>Santander Recebimentos</x:v>
      </x:c>
      <x:c r="D725" s="17" t="n">
        <x:v>42175.44</x:v>
      </x:c>
      <x:c r="E725" s="17" t="n">
        <x:v>42175.44</x:v>
      </x:c>
      <x:c r="F725" s="13" t="str">
        <x:v>Conciliado</x:v>
      </x:c>
      <x:c r="G725" s="13" t="str">
        <x:v>Sem divergência</x:v>
      </x:c>
      <x:c r="H725" s="13" t="n">
        <x:v>0.42</x:v>
      </x:c>
      <x:c r="I725" s="13" t="str">
        <x:v>Operação Clareza</x:v>
      </x:c>
      <x:c r="J725" s="17" t="n">
        <x:f>E725-D725</x:f>
        <x:v>0</x:v>
      </x:c>
      <x:c r="K725" s="19" t="n">
        <x:f>IFERROR(ABS(J725/D725),0)</x:f>
        <x:v>0</x:v>
      </x:c>
    </x:row>
    <x:row r="726">
      <x:c r="A726" s="13" t="str">
        <x:v>CON-000725</x:v>
      </x:c>
      <x:c r="B726" s="23" t="n">
        <x:v>45902</x:v>
      </x:c>
      <x:c r="C726" s="13" t="str">
        <x:v>Nubank Serviços</x:v>
      </x:c>
      <x:c r="D726" s="17" t="n">
        <x:v>25560.58</x:v>
      </x:c>
      <x:c r="E726" s="17" t="n">
        <x:v>25560.58</x:v>
      </x:c>
      <x:c r="F726" s="13" t="str">
        <x:v>Conciliado</x:v>
      </x:c>
      <x:c r="G726" s="13" t="str">
        <x:v>Sem divergência</x:v>
      </x:c>
      <x:c r="H726" s="13" t="n">
        <x:v>0.12</x:v>
      </x:c>
      <x:c r="I726" s="13" t="str">
        <x:v>Operação Clareza</x:v>
      </x:c>
      <x:c r="J726" s="17" t="n">
        <x:f>E726-D726</x:f>
        <x:v>0</x:v>
      </x:c>
      <x:c r="K726" s="19" t="n">
        <x:f>IFERROR(ABS(J726/D726),0)</x:f>
        <x:v>0</x:v>
      </x:c>
    </x:row>
    <x:row r="727">
      <x:c r="A727" s="13" t="str">
        <x:v>CON-000726</x:v>
      </x:c>
      <x:c r="B727" s="23" t="n">
        <x:v>45912</x:v>
      </x:c>
      <x:c r="C727" s="13" t="str">
        <x:v>Santander Recebimentos</x:v>
      </x:c>
      <x:c r="D727" s="17" t="n">
        <x:v>28540.95</x:v>
      </x:c>
      <x:c r="E727" s="17" t="n">
        <x:v>28540.95</x:v>
      </x:c>
      <x:c r="F727" s="13" t="str">
        <x:v>Conciliado</x:v>
      </x:c>
      <x:c r="G727" s="13" t="str">
        <x:v>Sem divergência</x:v>
      </x:c>
      <x:c r="H727" s="13" t="n">
        <x:v>0.35</x:v>
      </x:c>
      <x:c r="I727" s="13" t="str">
        <x:v>Operação Clareza</x:v>
      </x:c>
      <x:c r="J727" s="17" t="n">
        <x:f>E727-D727</x:f>
        <x:v>0</x:v>
      </x:c>
      <x:c r="K727" s="19" t="n">
        <x:f>IFERROR(ABS(J727/D727),0)</x:f>
        <x:v>0</x:v>
      </x:c>
    </x:row>
    <x:row r="728">
      <x:c r="A728" s="13" t="str">
        <x:v>CON-000727</x:v>
      </x:c>
      <x:c r="B728" s="23" t="n">
        <x:v>45924</x:v>
      </x:c>
      <x:c r="C728" s="13" t="str">
        <x:v>Santander Recebimentos</x:v>
      </x:c>
      <x:c r="D728" s="17" t="n">
        <x:v>7868.98</x:v>
      </x:c>
      <x:c r="E728" s="17" t="n">
        <x:v>7868.98</x:v>
      </x:c>
      <x:c r="F728" s="13" t="str">
        <x:v>Conciliado</x:v>
      </x:c>
      <x:c r="G728" s="13" t="str">
        <x:v>Sem divergência</x:v>
      </x:c>
      <x:c r="H728" s="13" t="n">
        <x:v>0.42</x:v>
      </x:c>
      <x:c r="I728" s="13" t="str">
        <x:v>Operação Clareza</x:v>
      </x:c>
      <x:c r="J728" s="17" t="n">
        <x:f>E728-D728</x:f>
        <x:v>0</x:v>
      </x:c>
      <x:c r="K728" s="19" t="n">
        <x:f>IFERROR(ABS(J728/D728),0)</x:f>
        <x:v>0</x:v>
      </x:c>
    </x:row>
    <x:row r="729">
      <x:c r="A729" s="13" t="str">
        <x:v>CON-000728</x:v>
      </x:c>
      <x:c r="B729" s="23" t="n">
        <x:v>45905</x:v>
      </x:c>
      <x:c r="C729" s="13" t="str">
        <x:v>Santander Recebimentos</x:v>
      </x:c>
      <x:c r="D729" s="17" t="n">
        <x:v>13541.15</x:v>
      </x:c>
      <x:c r="E729" s="17" t="n">
        <x:v>13541.15</x:v>
      </x:c>
      <x:c r="F729" s="13" t="str">
        <x:v>Conciliado</x:v>
      </x:c>
      <x:c r="G729" s="13" t="str">
        <x:v>Sem divergência</x:v>
      </x:c>
      <x:c r="H729" s="13" t="n">
        <x:v>0.06</x:v>
      </x:c>
      <x:c r="I729" s="13" t="str">
        <x:v>Operação Clareza</x:v>
      </x:c>
      <x:c r="J729" s="17" t="n">
        <x:f>E729-D729</x:f>
        <x:v>0</x:v>
      </x:c>
      <x:c r="K729" s="19" t="n">
        <x:f>IFERROR(ABS(J729/D729),0)</x:f>
        <x:v>0</x:v>
      </x:c>
    </x:row>
    <x:row r="730">
      <x:c r="A730" s="13" t="str">
        <x:v>CON-000729</x:v>
      </x:c>
      <x:c r="B730" s="23" t="n">
        <x:v>45920</x:v>
      </x:c>
      <x:c r="C730" s="13" t="str">
        <x:v>Nubank Serviços</x:v>
      </x:c>
      <x:c r="D730" s="17" t="n">
        <x:v>8309.85</x:v>
      </x:c>
      <x:c r="E730" s="17" t="n">
        <x:v>8309.85</x:v>
      </x:c>
      <x:c r="F730" s="13" t="str">
        <x:v>Conciliado</x:v>
      </x:c>
      <x:c r="G730" s="13" t="str">
        <x:v>Sem divergência</x:v>
      </x:c>
      <x:c r="H730" s="13" t="n">
        <x:v>0.29</x:v>
      </x:c>
      <x:c r="I730" s="13" t="str">
        <x:v>Operação Clareza</x:v>
      </x:c>
      <x:c r="J730" s="17" t="n">
        <x:f>E730-D730</x:f>
        <x:v>0</x:v>
      </x:c>
      <x:c r="K730" s="19" t="n">
        <x:f>IFERROR(ABS(J730/D730),0)</x:f>
        <x:v>0</x:v>
      </x:c>
    </x:row>
    <x:row r="731">
      <x:c r="A731" s="13" t="str">
        <x:v>CON-000730</x:v>
      </x:c>
      <x:c r="B731" s="23" t="n">
        <x:v>45927</x:v>
      </x:c>
      <x:c r="C731" s="13" t="str">
        <x:v>Itaú Operacional</x:v>
      </x:c>
      <x:c r="D731" s="17" t="n">
        <x:v>30064.95</x:v>
      </x:c>
      <x:c r="E731" s="17" t="n">
        <x:v>30064.95</x:v>
      </x:c>
      <x:c r="F731" s="13" t="str">
        <x:v>Conciliado</x:v>
      </x:c>
      <x:c r="G731" s="13" t="str">
        <x:v>Sem divergência</x:v>
      </x:c>
      <x:c r="H731" s="13" t="n">
        <x:v>0.06</x:v>
      </x:c>
      <x:c r="I731" s="13" t="str">
        <x:v>Operação Clareza</x:v>
      </x:c>
      <x:c r="J731" s="17" t="n">
        <x:f>E731-D731</x:f>
        <x:v>0</x:v>
      </x:c>
      <x:c r="K731" s="19" t="n">
        <x:f>IFERROR(ABS(J731/D731),0)</x:f>
        <x:v>0</x:v>
      </x:c>
    </x:row>
    <x:row r="732">
      <x:c r="A732" s="13" t="str">
        <x:v>CON-000731</x:v>
      </x:c>
      <x:c r="B732" s="23" t="n">
        <x:v>45913</x:v>
      </x:c>
      <x:c r="C732" s="13" t="str">
        <x:v>Nubank Serviços</x:v>
      </x:c>
      <x:c r="D732" s="17" t="n">
        <x:v>7518.54</x:v>
      </x:c>
      <x:c r="E732" s="17" t="n">
        <x:v>7518.54</x:v>
      </x:c>
      <x:c r="F732" s="13" t="str">
        <x:v>Conciliado</x:v>
      </x:c>
      <x:c r="G732" s="13" t="str">
        <x:v>Sem divergência</x:v>
      </x:c>
      <x:c r="H732" s="13" t="n">
        <x:v>0.31</x:v>
      </x:c>
      <x:c r="I732" s="13" t="str">
        <x:v>Operação Clareza</x:v>
      </x:c>
      <x:c r="J732" s="17" t="n">
        <x:f>E732-D732</x:f>
        <x:v>0</x:v>
      </x:c>
      <x:c r="K732" s="19" t="n">
        <x:f>IFERROR(ABS(J732/D732),0)</x:f>
        <x:v>0</x:v>
      </x:c>
    </x:row>
    <x:row r="733">
      <x:c r="A733" s="13" t="str">
        <x:v>CON-000732</x:v>
      </x:c>
      <x:c r="B733" s="23" t="n">
        <x:v>45925</x:v>
      </x:c>
      <x:c r="C733" s="13" t="str">
        <x:v>Itaú Operacional</x:v>
      </x:c>
      <x:c r="D733" s="17" t="n">
        <x:v>30195.42</x:v>
      </x:c>
      <x:c r="E733" s="17" t="n">
        <x:v>30195.42</x:v>
      </x:c>
      <x:c r="F733" s="13" t="str">
        <x:v>Conciliado</x:v>
      </x:c>
      <x:c r="G733" s="13" t="str">
        <x:v>Sem divergência</x:v>
      </x:c>
      <x:c r="H733" s="13" t="n">
        <x:v>0.07</x:v>
      </x:c>
      <x:c r="I733" s="13" t="str">
        <x:v>Operação Clareza</x:v>
      </x:c>
      <x:c r="J733" s="17" t="n">
        <x:f>E733-D733</x:f>
        <x:v>0</x:v>
      </x:c>
      <x:c r="K733" s="19" t="n">
        <x:f>IFERROR(ABS(J733/D733),0)</x:f>
        <x:v>0</x:v>
      </x:c>
    </x:row>
    <x:row r="734">
      <x:c r="A734" s="13" t="str">
        <x:v>CON-000733</x:v>
      </x:c>
      <x:c r="B734" s="23" t="n">
        <x:v>45915</x:v>
      </x:c>
      <x:c r="C734" s="13" t="str">
        <x:v>Santander Recebimentos</x:v>
      </x:c>
      <x:c r="D734" s="17" t="n">
        <x:v>33470.2</x:v>
      </x:c>
      <x:c r="E734" s="17" t="n">
        <x:v>33470.2</x:v>
      </x:c>
      <x:c r="F734" s="13" t="str">
        <x:v>Conciliado</x:v>
      </x:c>
      <x:c r="G734" s="13" t="str">
        <x:v>Sem divergência</x:v>
      </x:c>
      <x:c r="H734" s="13" t="n">
        <x:v>0.2</x:v>
      </x:c>
      <x:c r="I734" s="13" t="str">
        <x:v>Operação Clareza</x:v>
      </x:c>
      <x:c r="J734" s="17" t="n">
        <x:f>E734-D734</x:f>
        <x:v>0</x:v>
      </x:c>
      <x:c r="K734" s="19" t="n">
        <x:f>IFERROR(ABS(J734/D734),0)</x:f>
        <x:v>0</x:v>
      </x:c>
    </x:row>
    <x:row r="735">
      <x:c r="A735" s="13" t="str">
        <x:v>CON-000734</x:v>
      </x:c>
      <x:c r="B735" s="23" t="n">
        <x:v>45905</x:v>
      </x:c>
      <x:c r="C735" s="13" t="str">
        <x:v>Nubank Serviços</x:v>
      </x:c>
      <x:c r="D735" s="17" t="n">
        <x:v>16712.98</x:v>
      </x:c>
      <x:c r="E735" s="17" t="n">
        <x:v>16712.98</x:v>
      </x:c>
      <x:c r="F735" s="13" t="str">
        <x:v>Conciliado</x:v>
      </x:c>
      <x:c r="G735" s="13" t="str">
        <x:v>Sem divergência</x:v>
      </x:c>
      <x:c r="H735" s="13" t="n">
        <x:v>0.04</x:v>
      </x:c>
      <x:c r="I735" s="13" t="str">
        <x:v>Operação Clareza</x:v>
      </x:c>
      <x:c r="J735" s="17" t="n">
        <x:f>E735-D735</x:f>
        <x:v>0</x:v>
      </x:c>
      <x:c r="K735" s="19" t="n">
        <x:f>IFERROR(ABS(J735/D735),0)</x:f>
        <x:v>0</x:v>
      </x:c>
    </x:row>
    <x:row r="736">
      <x:c r="A736" s="13" t="str">
        <x:v>CON-000735</x:v>
      </x:c>
      <x:c r="B736" s="23" t="n">
        <x:v>45908</x:v>
      </x:c>
      <x:c r="C736" s="13" t="str">
        <x:v>Nubank Serviços</x:v>
      </x:c>
      <x:c r="D736" s="17" t="n">
        <x:v>15486.56</x:v>
      </x:c>
      <x:c r="E736" s="17" t="n">
        <x:v>15486.56</x:v>
      </x:c>
      <x:c r="F736" s="13" t="str">
        <x:v>Conciliado</x:v>
      </x:c>
      <x:c r="G736" s="13" t="str">
        <x:v>Sem divergência</x:v>
      </x:c>
      <x:c r="H736" s="13" t="n">
        <x:v>0.36</x:v>
      </x:c>
      <x:c r="I736" s="13" t="str">
        <x:v>Operação Clareza</x:v>
      </x:c>
      <x:c r="J736" s="17" t="n">
        <x:f>E736-D736</x:f>
        <x:v>0</x:v>
      </x:c>
      <x:c r="K736" s="19" t="n">
        <x:f>IFERROR(ABS(J736/D736),0)</x:f>
        <x:v>0</x:v>
      </x:c>
    </x:row>
    <x:row r="737">
      <x:c r="A737" s="13" t="str">
        <x:v>CON-000736</x:v>
      </x:c>
      <x:c r="B737" s="23" t="n">
        <x:v>45947</x:v>
      </x:c>
      <x:c r="C737" s="13" t="str">
        <x:v>Santander Recebimentos</x:v>
      </x:c>
      <x:c r="D737" s="17" t="n">
        <x:v>27438.45</x:v>
      </x:c>
      <x:c r="E737" s="17" t="n">
        <x:v>27438.45</x:v>
      </x:c>
      <x:c r="F737" s="13" t="str">
        <x:v>Conciliado</x:v>
      </x:c>
      <x:c r="G737" s="13" t="str">
        <x:v>Sem divergência</x:v>
      </x:c>
      <x:c r="H737" s="13" t="n">
        <x:v>0.18</x:v>
      </x:c>
      <x:c r="I737" s="13" t="str">
        <x:v>Operação Clareza</x:v>
      </x:c>
      <x:c r="J737" s="17" t="n">
        <x:f>E737-D737</x:f>
        <x:v>0</x:v>
      </x:c>
      <x:c r="K737" s="19" t="n">
        <x:f>IFERROR(ABS(J737/D737),0)</x:f>
        <x:v>0</x:v>
      </x:c>
    </x:row>
    <x:row r="738">
      <x:c r="A738" s="13" t="str">
        <x:v>CON-000737</x:v>
      </x:c>
      <x:c r="B738" s="23" t="n">
        <x:v>45950</x:v>
      </x:c>
      <x:c r="C738" s="13" t="str">
        <x:v>Itaú Operacional</x:v>
      </x:c>
      <x:c r="D738" s="17" t="n">
        <x:v>18385.58</x:v>
      </x:c>
      <x:c r="E738" s="17" t="n">
        <x:v>18385.58</x:v>
      </x:c>
      <x:c r="F738" s="13" t="str">
        <x:v>Conciliado</x:v>
      </x:c>
      <x:c r="G738" s="13" t="str">
        <x:v>Sem divergência</x:v>
      </x:c>
      <x:c r="H738" s="13" t="n">
        <x:v>0.11</x:v>
      </x:c>
      <x:c r="I738" s="13" t="str">
        <x:v>Operação Clareza</x:v>
      </x:c>
      <x:c r="J738" s="17" t="n">
        <x:f>E738-D738</x:f>
        <x:v>0</x:v>
      </x:c>
      <x:c r="K738" s="19" t="n">
        <x:f>IFERROR(ABS(J738/D738),0)</x:f>
        <x:v>0</x:v>
      </x:c>
    </x:row>
    <x:row r="739">
      <x:c r="A739" s="13" t="str">
        <x:v>CON-000738</x:v>
      </x:c>
      <x:c r="B739" s="23" t="n">
        <x:v>45931</x:v>
      </x:c>
      <x:c r="C739" s="13" t="str">
        <x:v>Santander Recebimentos</x:v>
      </x:c>
      <x:c r="D739" s="17" t="n">
        <x:v>17785.83</x:v>
      </x:c>
      <x:c r="E739" s="17" t="n">
        <x:v>17785.83</x:v>
      </x:c>
      <x:c r="F739" s="13" t="str">
        <x:v>Conciliado</x:v>
      </x:c>
      <x:c r="G739" s="13" t="str">
        <x:v>Sem divergência</x:v>
      </x:c>
      <x:c r="H739" s="13" t="n">
        <x:v>0.3</x:v>
      </x:c>
      <x:c r="I739" s="13" t="str">
        <x:v>Operação Clareza</x:v>
      </x:c>
      <x:c r="J739" s="17" t="n">
        <x:f>E739-D739</x:f>
        <x:v>0</x:v>
      </x:c>
      <x:c r="K739" s="19" t="n">
        <x:f>IFERROR(ABS(J739/D739),0)</x:f>
        <x:v>0</x:v>
      </x:c>
    </x:row>
    <x:row r="740">
      <x:c r="A740" s="13" t="str">
        <x:v>CON-000739</x:v>
      </x:c>
      <x:c r="B740" s="23" t="n">
        <x:v>45936</x:v>
      </x:c>
      <x:c r="C740" s="13" t="str">
        <x:v>Santander Recebimentos</x:v>
      </x:c>
      <x:c r="D740" s="17" t="n">
        <x:v>35080.42</x:v>
      </x:c>
      <x:c r="E740" s="17" t="n">
        <x:v>35080.42</x:v>
      </x:c>
      <x:c r="F740" s="13" t="str">
        <x:v>Conciliado</x:v>
      </x:c>
      <x:c r="G740" s="13" t="str">
        <x:v>Sem divergência</x:v>
      </x:c>
      <x:c r="H740" s="13" t="n">
        <x:v>0.42</x:v>
      </x:c>
      <x:c r="I740" s="13" t="str">
        <x:v>Operação Clareza</x:v>
      </x:c>
      <x:c r="J740" s="17" t="n">
        <x:f>E740-D740</x:f>
        <x:v>0</x:v>
      </x:c>
      <x:c r="K740" s="19" t="n">
        <x:f>IFERROR(ABS(J740/D740),0)</x:f>
        <x:v>0</x:v>
      </x:c>
    </x:row>
    <x:row r="741">
      <x:c r="A741" s="13" t="str">
        <x:v>CON-000740</x:v>
      </x:c>
      <x:c r="B741" s="23" t="n">
        <x:v>45954</x:v>
      </x:c>
      <x:c r="C741" s="13" t="str">
        <x:v>Santander Recebimentos</x:v>
      </x:c>
      <x:c r="D741" s="17" t="n">
        <x:v>26835.86</x:v>
      </x:c>
      <x:c r="E741" s="17" t="n">
        <x:v>26835.86</x:v>
      </x:c>
      <x:c r="F741" s="13" t="str">
        <x:v>Conciliado</x:v>
      </x:c>
      <x:c r="G741" s="13" t="str">
        <x:v>Sem divergência</x:v>
      </x:c>
      <x:c r="H741" s="13" t="n">
        <x:v>0.41</x:v>
      </x:c>
      <x:c r="I741" s="13" t="str">
        <x:v>Operação Clareza</x:v>
      </x:c>
      <x:c r="J741" s="17" t="n">
        <x:f>E741-D741</x:f>
        <x:v>0</x:v>
      </x:c>
      <x:c r="K741" s="19" t="n">
        <x:f>IFERROR(ABS(J741/D741),0)</x:f>
        <x:v>0</x:v>
      </x:c>
    </x:row>
    <x:row r="742">
      <x:c r="A742" s="13" t="str">
        <x:v>CON-000741</x:v>
      </x:c>
      <x:c r="B742" s="23" t="n">
        <x:v>45946</x:v>
      </x:c>
      <x:c r="C742" s="13" t="str">
        <x:v>Nubank Serviços</x:v>
      </x:c>
      <x:c r="D742" s="17" t="n">
        <x:v>44597.24</x:v>
      </x:c>
      <x:c r="E742" s="17" t="n">
        <x:v>44597.24</x:v>
      </x:c>
      <x:c r="F742" s="13" t="str">
        <x:v>Conciliado</x:v>
      </x:c>
      <x:c r="G742" s="13" t="str">
        <x:v>Sem divergência</x:v>
      </x:c>
      <x:c r="H742" s="13" t="n">
        <x:v>0.21</x:v>
      </x:c>
      <x:c r="I742" s="13" t="str">
        <x:v>Operação Clareza</x:v>
      </x:c>
      <x:c r="J742" s="17" t="n">
        <x:f>E742-D742</x:f>
        <x:v>0</x:v>
      </x:c>
      <x:c r="K742" s="19" t="n">
        <x:f>IFERROR(ABS(J742/D742),0)</x:f>
        <x:v>0</x:v>
      </x:c>
    </x:row>
    <x:row r="743">
      <x:c r="A743" s="13" t="str">
        <x:v>CON-000742</x:v>
      </x:c>
      <x:c r="B743" s="23" t="n">
        <x:v>45952</x:v>
      </x:c>
      <x:c r="C743" s="13" t="str">
        <x:v>Bradesco Pagamentos</x:v>
      </x:c>
      <x:c r="D743" s="17" t="n">
        <x:v>34900.92</x:v>
      </x:c>
      <x:c r="E743" s="17" t="n">
        <x:v>34900.92</x:v>
      </x:c>
      <x:c r="F743" s="13" t="str">
        <x:v>Conciliado</x:v>
      </x:c>
      <x:c r="G743" s="13" t="str">
        <x:v>Sem divergência</x:v>
      </x:c>
      <x:c r="H743" s="13" t="n">
        <x:v>0.25</x:v>
      </x:c>
      <x:c r="I743" s="13" t="str">
        <x:v>Operação Clareza</x:v>
      </x:c>
      <x:c r="J743" s="17" t="n">
        <x:f>E743-D743</x:f>
        <x:v>0</x:v>
      </x:c>
      <x:c r="K743" s="19" t="n">
        <x:f>IFERROR(ABS(J743/D743),0)</x:f>
        <x:v>0</x:v>
      </x:c>
    </x:row>
    <x:row r="744">
      <x:c r="A744" s="13" t="str">
        <x:v>CON-000743</x:v>
      </x:c>
      <x:c r="B744" s="23" t="n">
        <x:v>45948</x:v>
      </x:c>
      <x:c r="C744" s="13" t="str">
        <x:v>Bradesco Pagamentos</x:v>
      </x:c>
      <x:c r="D744" s="17" t="n">
        <x:v>5115.78</x:v>
      </x:c>
      <x:c r="E744" s="17" t="n">
        <x:v>5115.78</x:v>
      </x:c>
      <x:c r="F744" s="13" t="str">
        <x:v>Conciliado</x:v>
      </x:c>
      <x:c r="G744" s="13" t="str">
        <x:v>Sem divergência</x:v>
      </x:c>
      <x:c r="H744" s="13" t="n">
        <x:v>0.43</x:v>
      </x:c>
      <x:c r="I744" s="13" t="str">
        <x:v>Operação Clareza</x:v>
      </x:c>
      <x:c r="J744" s="17" t="n">
        <x:f>E744-D744</x:f>
        <x:v>0</x:v>
      </x:c>
      <x:c r="K744" s="19" t="n">
        <x:f>IFERROR(ABS(J744/D744),0)</x:f>
        <x:v>0</x:v>
      </x:c>
    </x:row>
    <x:row r="745">
      <x:c r="A745" s="13" t="str">
        <x:v>CON-000744</x:v>
      </x:c>
      <x:c r="B745" s="23" t="n">
        <x:v>45956</x:v>
      </x:c>
      <x:c r="C745" s="13" t="str">
        <x:v>Bradesco Pagamentos</x:v>
      </x:c>
      <x:c r="D745" s="17" t="n">
        <x:v>27090.77</x:v>
      </x:c>
      <x:c r="E745" s="17" t="n">
        <x:v>27090.77</x:v>
      </x:c>
      <x:c r="F745" s="13" t="str">
        <x:v>Conciliado</x:v>
      </x:c>
      <x:c r="G745" s="13" t="str">
        <x:v>Sem divergência</x:v>
      </x:c>
      <x:c r="H745" s="13" t="n">
        <x:v>0.07</x:v>
      </x:c>
      <x:c r="I745" s="13" t="str">
        <x:v>Operação Clareza</x:v>
      </x:c>
      <x:c r="J745" s="17" t="n">
        <x:f>E745-D745</x:f>
        <x:v>0</x:v>
      </x:c>
      <x:c r="K745" s="19" t="n">
        <x:f>IFERROR(ABS(J745/D745),0)</x:f>
        <x:v>0</x:v>
      </x:c>
    </x:row>
    <x:row r="746">
      <x:c r="A746" s="13" t="str">
        <x:v>CON-000745</x:v>
      </x:c>
      <x:c r="B746" s="23" t="n">
        <x:v>45957</x:v>
      </x:c>
      <x:c r="C746" s="13" t="str">
        <x:v>Santander Recebimentos</x:v>
      </x:c>
      <x:c r="D746" s="17" t="n">
        <x:v>7144.11</x:v>
      </x:c>
      <x:c r="E746" s="17" t="n">
        <x:v>7144.11</x:v>
      </x:c>
      <x:c r="F746" s="13" t="str">
        <x:v>Conciliado</x:v>
      </x:c>
      <x:c r="G746" s="13" t="str">
        <x:v>Sem divergência</x:v>
      </x:c>
      <x:c r="H746" s="13" t="n">
        <x:v>0.04</x:v>
      </x:c>
      <x:c r="I746" s="13" t="str">
        <x:v>Operação Clareza</x:v>
      </x:c>
      <x:c r="J746" s="17" t="n">
        <x:f>E746-D746</x:f>
        <x:v>0</x:v>
      </x:c>
      <x:c r="K746" s="19" t="n">
        <x:f>IFERROR(ABS(J746/D746),0)</x:f>
        <x:v>0</x:v>
      </x:c>
    </x:row>
    <x:row r="747">
      <x:c r="A747" s="13" t="str">
        <x:v>CON-000746</x:v>
      </x:c>
      <x:c r="B747" s="23" t="n">
        <x:v>45934</x:v>
      </x:c>
      <x:c r="C747" s="13" t="str">
        <x:v>Itaú Operacional</x:v>
      </x:c>
      <x:c r="D747" s="17" t="n">
        <x:v>916.46</x:v>
      </x:c>
      <x:c r="E747" s="17" t="n">
        <x:v>916.46</x:v>
      </x:c>
      <x:c r="F747" s="13" t="str">
        <x:v>Conciliado</x:v>
      </x:c>
      <x:c r="G747" s="13" t="str">
        <x:v>Sem divergência</x:v>
      </x:c>
      <x:c r="H747" s="13" t="n">
        <x:v>0.31</x:v>
      </x:c>
      <x:c r="I747" s="13" t="str">
        <x:v>Operação Clareza</x:v>
      </x:c>
      <x:c r="J747" s="17" t="n">
        <x:f>E747-D747</x:f>
        <x:v>0</x:v>
      </x:c>
      <x:c r="K747" s="19" t="n">
        <x:f>IFERROR(ABS(J747/D747),0)</x:f>
        <x:v>0</x:v>
      </x:c>
    </x:row>
    <x:row r="748">
      <x:c r="A748" s="13" t="str">
        <x:v>CON-000747</x:v>
      </x:c>
      <x:c r="B748" s="23" t="n">
        <x:v>45955</x:v>
      </x:c>
      <x:c r="C748" s="13" t="str">
        <x:v>Bradesco Pagamentos</x:v>
      </x:c>
      <x:c r="D748" s="17" t="n">
        <x:v>11724.14</x:v>
      </x:c>
      <x:c r="E748" s="17" t="n">
        <x:v>11724.14</x:v>
      </x:c>
      <x:c r="F748" s="13" t="str">
        <x:v>Conciliado</x:v>
      </x:c>
      <x:c r="G748" s="13" t="str">
        <x:v>Sem divergência</x:v>
      </x:c>
      <x:c r="H748" s="13" t="n">
        <x:v>0.17</x:v>
      </x:c>
      <x:c r="I748" s="13" t="str">
        <x:v>Operação Clareza</x:v>
      </x:c>
      <x:c r="J748" s="17" t="n">
        <x:f>E748-D748</x:f>
        <x:v>0</x:v>
      </x:c>
      <x:c r="K748" s="19" t="n">
        <x:f>IFERROR(ABS(J748/D748),0)</x:f>
        <x:v>0</x:v>
      </x:c>
    </x:row>
    <x:row r="749">
      <x:c r="A749" s="13" t="str">
        <x:v>CON-000748</x:v>
      </x:c>
      <x:c r="B749" s="23" t="n">
        <x:v>45939</x:v>
      </x:c>
      <x:c r="C749" s="13" t="str">
        <x:v>Nubank Serviços</x:v>
      </x:c>
      <x:c r="D749" s="17" t="n">
        <x:v>25890.87</x:v>
      </x:c>
      <x:c r="E749" s="17" t="n">
        <x:v>25890.87</x:v>
      </x:c>
      <x:c r="F749" s="13" t="str">
        <x:v>Conciliado</x:v>
      </x:c>
      <x:c r="G749" s="13" t="str">
        <x:v>Sem divergência</x:v>
      </x:c>
      <x:c r="H749" s="13" t="n">
        <x:v>0.12</x:v>
      </x:c>
      <x:c r="I749" s="13" t="str">
        <x:v>Operação Clareza</x:v>
      </x:c>
      <x:c r="J749" s="17" t="n">
        <x:f>E749-D749</x:f>
        <x:v>0</x:v>
      </x:c>
      <x:c r="K749" s="19" t="n">
        <x:f>IFERROR(ABS(J749/D749),0)</x:f>
        <x:v>0</x:v>
      </x:c>
    </x:row>
    <x:row r="750">
      <x:c r="A750" s="13" t="str">
        <x:v>CON-000749</x:v>
      </x:c>
      <x:c r="B750" s="23" t="n">
        <x:v>45939</x:v>
      </x:c>
      <x:c r="C750" s="13" t="str">
        <x:v>Itaú Operacional</x:v>
      </x:c>
      <x:c r="D750" s="17" t="n">
        <x:v>33566.35</x:v>
      </x:c>
      <x:c r="E750" s="17" t="n">
        <x:v>33566.35</x:v>
      </x:c>
      <x:c r="F750" s="13" t="str">
        <x:v>Conciliado</x:v>
      </x:c>
      <x:c r="G750" s="13" t="str">
        <x:v>Sem divergência</x:v>
      </x:c>
      <x:c r="H750" s="13" t="n">
        <x:v>0.43</x:v>
      </x:c>
      <x:c r="I750" s="13" t="str">
        <x:v>Operação Clareza</x:v>
      </x:c>
      <x:c r="J750" s="17" t="n">
        <x:f>E750-D750</x:f>
        <x:v>0</x:v>
      </x:c>
      <x:c r="K750" s="19" t="n">
        <x:f>IFERROR(ABS(J750/D750),0)</x:f>
        <x:v>0</x:v>
      </x:c>
    </x:row>
    <x:row r="751">
      <x:c r="A751" s="13" t="str">
        <x:v>CON-000750</x:v>
      </x:c>
      <x:c r="B751" s="23" t="n">
        <x:v>45938</x:v>
      </x:c>
      <x:c r="C751" s="13" t="str">
        <x:v>Nubank Serviços</x:v>
      </x:c>
      <x:c r="D751" s="17" t="n">
        <x:v>27406.48</x:v>
      </x:c>
      <x:c r="E751" s="17" t="n">
        <x:v>27406.48</x:v>
      </x:c>
      <x:c r="F751" s="13" t="str">
        <x:v>Conciliado</x:v>
      </x:c>
      <x:c r="G751" s="13" t="str">
        <x:v>Sem divergência</x:v>
      </x:c>
      <x:c r="H751" s="13" t="n">
        <x:v>0.12</x:v>
      </x:c>
      <x:c r="I751" s="13" t="str">
        <x:v>Operação Clareza</x:v>
      </x:c>
      <x:c r="J751" s="17" t="n">
        <x:f>E751-D751</x:f>
        <x:v>0</x:v>
      </x:c>
      <x:c r="K751" s="19" t="n">
        <x:f>IFERROR(ABS(J751/D751),0)</x:f>
        <x:v>0</x:v>
      </x:c>
    </x:row>
    <x:row r="752">
      <x:c r="A752" s="13" t="str">
        <x:v>CON-000751</x:v>
      </x:c>
      <x:c r="B752" s="23" t="n">
        <x:v>45949</x:v>
      </x:c>
      <x:c r="C752" s="13" t="str">
        <x:v>Nubank Serviços</x:v>
      </x:c>
      <x:c r="D752" s="17" t="n">
        <x:v>35444.56</x:v>
      </x:c>
      <x:c r="E752" s="17" t="n">
        <x:v>35444.56</x:v>
      </x:c>
      <x:c r="F752" s="13" t="str">
        <x:v>Conciliado</x:v>
      </x:c>
      <x:c r="G752" s="13" t="str">
        <x:v>Sem divergência</x:v>
      </x:c>
      <x:c r="H752" s="13" t="n">
        <x:v>0.05</x:v>
      </x:c>
      <x:c r="I752" s="13" t="str">
        <x:v>Operação Clareza</x:v>
      </x:c>
      <x:c r="J752" s="17" t="n">
        <x:f>E752-D752</x:f>
        <x:v>0</x:v>
      </x:c>
      <x:c r="K752" s="19" t="n">
        <x:f>IFERROR(ABS(J752/D752),0)</x:f>
        <x:v>0</x:v>
      </x:c>
    </x:row>
    <x:row r="753">
      <x:c r="A753" s="13" t="str">
        <x:v>CON-000752</x:v>
      </x:c>
      <x:c r="B753" s="23" t="n">
        <x:v>45939</x:v>
      </x:c>
      <x:c r="C753" s="13" t="str">
        <x:v>Itaú Operacional</x:v>
      </x:c>
      <x:c r="D753" s="17" t="n">
        <x:v>37808.03</x:v>
      </x:c>
      <x:c r="E753" s="17" t="n">
        <x:v>37808.03</x:v>
      </x:c>
      <x:c r="F753" s="13" t="str">
        <x:v>Conciliado</x:v>
      </x:c>
      <x:c r="G753" s="13" t="str">
        <x:v>Sem divergência</x:v>
      </x:c>
      <x:c r="H753" s="13" t="n">
        <x:v>0.06</x:v>
      </x:c>
      <x:c r="I753" s="13" t="str">
        <x:v>Operação Clareza</x:v>
      </x:c>
      <x:c r="J753" s="17" t="n">
        <x:f>E753-D753</x:f>
        <x:v>0</x:v>
      </x:c>
      <x:c r="K753" s="19" t="n">
        <x:f>IFERROR(ABS(J753/D753),0)</x:f>
        <x:v>0</x:v>
      </x:c>
    </x:row>
    <x:row r="754">
      <x:c r="A754" s="13" t="str">
        <x:v>CON-000753</x:v>
      </x:c>
      <x:c r="B754" s="23" t="n">
        <x:v>45935</x:v>
      </x:c>
      <x:c r="C754" s="13" t="str">
        <x:v>Bradesco Pagamentos</x:v>
      </x:c>
      <x:c r="D754" s="17" t="n">
        <x:v>14751.24</x:v>
      </x:c>
      <x:c r="E754" s="17" t="n">
        <x:v>14751.24</x:v>
      </x:c>
      <x:c r="F754" s="13" t="str">
        <x:v>Conciliado</x:v>
      </x:c>
      <x:c r="G754" s="13" t="str">
        <x:v>Sem divergência</x:v>
      </x:c>
      <x:c r="H754" s="13" t="n">
        <x:v>0.34</x:v>
      </x:c>
      <x:c r="I754" s="13" t="str">
        <x:v>Operação Clareza</x:v>
      </x:c>
      <x:c r="J754" s="17" t="n">
        <x:f>E754-D754</x:f>
        <x:v>0</x:v>
      </x:c>
      <x:c r="K754" s="19" t="n">
        <x:f>IFERROR(ABS(J754/D754),0)</x:f>
        <x:v>0</x:v>
      </x:c>
    </x:row>
    <x:row r="755">
      <x:c r="A755" s="13" t="str">
        <x:v>CON-000754</x:v>
      </x:c>
      <x:c r="B755" s="23" t="n">
        <x:v>45932</x:v>
      </x:c>
      <x:c r="C755" s="13" t="str">
        <x:v>Nubank Serviços</x:v>
      </x:c>
      <x:c r="D755" s="17" t="n">
        <x:v>4135.02</x:v>
      </x:c>
      <x:c r="E755" s="17" t="n">
        <x:v>4135.02</x:v>
      </x:c>
      <x:c r="F755" s="13" t="str">
        <x:v>Conciliado</x:v>
      </x:c>
      <x:c r="G755" s="13" t="str">
        <x:v>Sem divergência</x:v>
      </x:c>
      <x:c r="H755" s="13" t="n">
        <x:v>0.24</x:v>
      </x:c>
      <x:c r="I755" s="13" t="str">
        <x:v>Operação Clareza</x:v>
      </x:c>
      <x:c r="J755" s="17" t="n">
        <x:f>E755-D755</x:f>
        <x:v>0</x:v>
      </x:c>
      <x:c r="K755" s="19" t="n">
        <x:f>IFERROR(ABS(J755/D755),0)</x:f>
        <x:v>0</x:v>
      </x:c>
    </x:row>
    <x:row r="756">
      <x:c r="A756" s="13" t="str">
        <x:v>CON-000755</x:v>
      </x:c>
      <x:c r="B756" s="23" t="n">
        <x:v>45941</x:v>
      </x:c>
      <x:c r="C756" s="13" t="str">
        <x:v>Itaú Operacional</x:v>
      </x:c>
      <x:c r="D756" s="17" t="n">
        <x:v>32013.72</x:v>
      </x:c>
      <x:c r="E756" s="17" t="n">
        <x:v>32013.72</x:v>
      </x:c>
      <x:c r="F756" s="13" t="str">
        <x:v>Conciliado</x:v>
      </x:c>
      <x:c r="G756" s="13" t="str">
        <x:v>Sem divergência</x:v>
      </x:c>
      <x:c r="H756" s="13" t="n">
        <x:v>0.39</x:v>
      </x:c>
      <x:c r="I756" s="13" t="str">
        <x:v>Operação Clareza</x:v>
      </x:c>
      <x:c r="J756" s="17" t="n">
        <x:f>E756-D756</x:f>
        <x:v>0</x:v>
      </x:c>
      <x:c r="K756" s="19" t="n">
        <x:f>IFERROR(ABS(J756/D756),0)</x:f>
        <x:v>0</x:v>
      </x:c>
    </x:row>
    <x:row r="757">
      <x:c r="A757" s="13" t="str">
        <x:v>CON-000756</x:v>
      </x:c>
      <x:c r="B757" s="23" t="n">
        <x:v>45952</x:v>
      </x:c>
      <x:c r="C757" s="13" t="str">
        <x:v>Itaú Operacional</x:v>
      </x:c>
      <x:c r="D757" s="17" t="n">
        <x:v>20115.74</x:v>
      </x:c>
      <x:c r="E757" s="17" t="n">
        <x:v>20115.74</x:v>
      </x:c>
      <x:c r="F757" s="13" t="str">
        <x:v>Conciliado</x:v>
      </x:c>
      <x:c r="G757" s="13" t="str">
        <x:v>Sem divergência</x:v>
      </x:c>
      <x:c r="H757" s="13" t="n">
        <x:v>0.02</x:v>
      </x:c>
      <x:c r="I757" s="13" t="str">
        <x:v>Operação Clareza</x:v>
      </x:c>
      <x:c r="J757" s="17" t="n">
        <x:f>E757-D757</x:f>
        <x:v>0</x:v>
      </x:c>
      <x:c r="K757" s="19" t="n">
        <x:f>IFERROR(ABS(J757/D757),0)</x:f>
        <x:v>0</x:v>
      </x:c>
    </x:row>
    <x:row r="758">
      <x:c r="A758" s="13" t="str">
        <x:v>CON-000757</x:v>
      </x:c>
      <x:c r="B758" s="23" t="n">
        <x:v>45934</x:v>
      </x:c>
      <x:c r="C758" s="13" t="str">
        <x:v>Santander Recebimentos</x:v>
      </x:c>
      <x:c r="D758" s="17" t="n">
        <x:v>32910.89</x:v>
      </x:c>
      <x:c r="E758" s="17" t="n">
        <x:v>32910.89</x:v>
      </x:c>
      <x:c r="F758" s="13" t="str">
        <x:v>Conciliado</x:v>
      </x:c>
      <x:c r="G758" s="13" t="str">
        <x:v>Sem divergência</x:v>
      </x:c>
      <x:c r="H758" s="13" t="n">
        <x:v>0.16</x:v>
      </x:c>
      <x:c r="I758" s="13" t="str">
        <x:v>Operação Clareza</x:v>
      </x:c>
      <x:c r="J758" s="17" t="n">
        <x:f>E758-D758</x:f>
        <x:v>0</x:v>
      </x:c>
      <x:c r="K758" s="19" t="n">
        <x:f>IFERROR(ABS(J758/D758),0)</x:f>
        <x:v>0</x:v>
      </x:c>
    </x:row>
    <x:row r="759">
      <x:c r="A759" s="13" t="str">
        <x:v>CON-000758</x:v>
      </x:c>
      <x:c r="B759" s="23" t="n">
        <x:v>45931</x:v>
      </x:c>
      <x:c r="C759" s="13" t="str">
        <x:v>Santander Recebimentos</x:v>
      </x:c>
      <x:c r="D759" s="17" t="n">
        <x:v>29659.23</x:v>
      </x:c>
      <x:c r="E759" s="17" t="n">
        <x:v>29659.23</x:v>
      </x:c>
      <x:c r="F759" s="13" t="str">
        <x:v>Conciliado</x:v>
      </x:c>
      <x:c r="G759" s="13" t="str">
        <x:v>Sem divergência</x:v>
      </x:c>
      <x:c r="H759" s="13" t="n">
        <x:v>0.12</x:v>
      </x:c>
      <x:c r="I759" s="13" t="str">
        <x:v>Operação Clareza</x:v>
      </x:c>
      <x:c r="J759" s="17" t="n">
        <x:f>E759-D759</x:f>
        <x:v>0</x:v>
      </x:c>
      <x:c r="K759" s="19" t="n">
        <x:f>IFERROR(ABS(J759/D759),0)</x:f>
        <x:v>0</x:v>
      </x:c>
    </x:row>
    <x:row r="760">
      <x:c r="A760" s="13" t="str">
        <x:v>CON-000759</x:v>
      </x:c>
      <x:c r="B760" s="23" t="n">
        <x:v>45934</x:v>
      </x:c>
      <x:c r="C760" s="13" t="str">
        <x:v>Itaú Operacional</x:v>
      </x:c>
      <x:c r="D760" s="17" t="n">
        <x:v>27561.4</x:v>
      </x:c>
      <x:c r="E760" s="17" t="n">
        <x:v>27561.4</x:v>
      </x:c>
      <x:c r="F760" s="13" t="str">
        <x:v>Conciliado</x:v>
      </x:c>
      <x:c r="G760" s="13" t="str">
        <x:v>Sem divergência</x:v>
      </x:c>
      <x:c r="H760" s="13" t="n">
        <x:v>0.18</x:v>
      </x:c>
      <x:c r="I760" s="13" t="str">
        <x:v>Operação Clareza</x:v>
      </x:c>
      <x:c r="J760" s="17" t="n">
        <x:f>E760-D760</x:f>
        <x:v>0</x:v>
      </x:c>
      <x:c r="K760" s="19" t="n">
        <x:f>IFERROR(ABS(J760/D760),0)</x:f>
        <x:v>0</x:v>
      </x:c>
    </x:row>
    <x:row r="761">
      <x:c r="A761" s="13" t="str">
        <x:v>CON-000760</x:v>
      </x:c>
      <x:c r="B761" s="23" t="n">
        <x:v>45947</x:v>
      </x:c>
      <x:c r="C761" s="13" t="str">
        <x:v>Itaú Operacional</x:v>
      </x:c>
      <x:c r="D761" s="17" t="n">
        <x:v>36594.4</x:v>
      </x:c>
      <x:c r="E761" s="17" t="n">
        <x:v>36594.4</x:v>
      </x:c>
      <x:c r="F761" s="13" t="str">
        <x:v>Conciliado</x:v>
      </x:c>
      <x:c r="G761" s="13" t="str">
        <x:v>Sem divergência</x:v>
      </x:c>
      <x:c r="H761" s="13" t="n">
        <x:v>0.28</x:v>
      </x:c>
      <x:c r="I761" s="13" t="str">
        <x:v>Operação Clareza</x:v>
      </x:c>
      <x:c r="J761" s="17" t="n">
        <x:f>E761-D761</x:f>
        <x:v>0</x:v>
      </x:c>
      <x:c r="K761" s="19" t="n">
        <x:f>IFERROR(ABS(J761/D761),0)</x:f>
        <x:v>0</x:v>
      </x:c>
    </x:row>
    <x:row r="762">
      <x:c r="A762" s="13" t="str">
        <x:v>CON-000761</x:v>
      </x:c>
      <x:c r="B762" s="23" t="n">
        <x:v>45954</x:v>
      </x:c>
      <x:c r="C762" s="13" t="str">
        <x:v>Nubank Serviços</x:v>
      </x:c>
      <x:c r="D762" s="17" t="n">
        <x:v>4415.01</x:v>
      </x:c>
      <x:c r="E762" s="17" t="n">
        <x:v>4508.56</x:v>
      </x:c>
      <x:c r="F762" s="13" t="str">
        <x:v>Resolvido</x:v>
      </x:c>
      <x:c r="G762" s="13" t="str">
        <x:v>Lançamento sem documento</x:v>
      </x:c>
      <x:c r="H762" s="13" t="n">
        <x:v>11.67</x:v>
      </x:c>
      <x:c r="I762" s="13" t="str">
        <x:v>Operação Clareza</x:v>
      </x:c>
      <x:c r="J762" s="17" t="n">
        <x:f>E762-D762</x:f>
        <x:v>93.55000000000018</x:v>
      </x:c>
      <x:c r="K762" s="19" t="n">
        <x:f>IFERROR(ABS(J762/D762),0)</x:f>
        <x:v>0.021189079979433836</x:v>
      </x:c>
    </x:row>
    <x:row r="763">
      <x:c r="A763" s="13" t="str">
        <x:v>CON-000762</x:v>
      </x:c>
      <x:c r="B763" s="23" t="n">
        <x:v>45950</x:v>
      </x:c>
      <x:c r="C763" s="13" t="str">
        <x:v>Itaú Operacional</x:v>
      </x:c>
      <x:c r="D763" s="17" t="n">
        <x:v>14417.73</x:v>
      </x:c>
      <x:c r="E763" s="17" t="n">
        <x:v>14417.73</x:v>
      </x:c>
      <x:c r="F763" s="13" t="str">
        <x:v>Conciliado</x:v>
      </x:c>
      <x:c r="G763" s="13" t="str">
        <x:v>Sem divergência</x:v>
      </x:c>
      <x:c r="H763" s="13" t="n">
        <x:v>0.02</x:v>
      </x:c>
      <x:c r="I763" s="13" t="str">
        <x:v>Operação Clareza</x:v>
      </x:c>
      <x:c r="J763" s="17" t="n">
        <x:f>E763-D763</x:f>
        <x:v>0</x:v>
      </x:c>
      <x:c r="K763" s="19" t="n">
        <x:f>IFERROR(ABS(J763/D763),0)</x:f>
        <x:v>0</x:v>
      </x:c>
    </x:row>
    <x:row r="764">
      <x:c r="A764" s="13" t="str">
        <x:v>CON-000763</x:v>
      </x:c>
      <x:c r="B764" s="23" t="n">
        <x:v>45944</x:v>
      </x:c>
      <x:c r="C764" s="13" t="str">
        <x:v>Bradesco Pagamentos</x:v>
      </x:c>
      <x:c r="D764" s="17" t="n">
        <x:v>249.84</x:v>
      </x:c>
      <x:c r="E764" s="17" t="n">
        <x:v>249.84</x:v>
      </x:c>
      <x:c r="F764" s="13" t="str">
        <x:v>Conciliado</x:v>
      </x:c>
      <x:c r="G764" s="13" t="str">
        <x:v>Sem divergência</x:v>
      </x:c>
      <x:c r="H764" s="13" t="n">
        <x:v>0.41</x:v>
      </x:c>
      <x:c r="I764" s="13" t="str">
        <x:v>Operação Clareza</x:v>
      </x:c>
      <x:c r="J764" s="17" t="n">
        <x:f>E764-D764</x:f>
        <x:v>0</x:v>
      </x:c>
      <x:c r="K764" s="19" t="n">
        <x:f>IFERROR(ABS(J764/D764),0)</x:f>
        <x:v>0</x:v>
      </x:c>
    </x:row>
    <x:row r="765">
      <x:c r="A765" s="13" t="str">
        <x:v>CON-000764</x:v>
      </x:c>
      <x:c r="B765" s="23" t="n">
        <x:v>45951</x:v>
      </x:c>
      <x:c r="C765" s="13" t="str">
        <x:v>Bradesco Pagamentos</x:v>
      </x:c>
      <x:c r="D765" s="17" t="n">
        <x:v>17723.68</x:v>
      </x:c>
      <x:c r="E765" s="17" t="n">
        <x:v>17723.68</x:v>
      </x:c>
      <x:c r="F765" s="13" t="str">
        <x:v>Conciliado</x:v>
      </x:c>
      <x:c r="G765" s="13" t="str">
        <x:v>Sem divergência</x:v>
      </x:c>
      <x:c r="H765" s="13" t="n">
        <x:v>0.24</x:v>
      </x:c>
      <x:c r="I765" s="13" t="str">
        <x:v>Operação Clareza</x:v>
      </x:c>
      <x:c r="J765" s="17" t="n">
        <x:f>E765-D765</x:f>
        <x:v>0</x:v>
      </x:c>
      <x:c r="K765" s="19" t="n">
        <x:f>IFERROR(ABS(J765/D765),0)</x:f>
        <x:v>0</x:v>
      </x:c>
    </x:row>
    <x:row r="766">
      <x:c r="A766" s="13" t="str">
        <x:v>CON-000765</x:v>
      </x:c>
      <x:c r="B766" s="23" t="n">
        <x:v>45953</x:v>
      </x:c>
      <x:c r="C766" s="13" t="str">
        <x:v>Santander Recebimentos</x:v>
      </x:c>
      <x:c r="D766" s="17" t="n">
        <x:v>10852.46</x:v>
      </x:c>
      <x:c r="E766" s="17" t="n">
        <x:v>10852.46</x:v>
      </x:c>
      <x:c r="F766" s="13" t="str">
        <x:v>Conciliado</x:v>
      </x:c>
      <x:c r="G766" s="13" t="str">
        <x:v>Sem divergência</x:v>
      </x:c>
      <x:c r="H766" s="13" t="n">
        <x:v>0.32</x:v>
      </x:c>
      <x:c r="I766" s="13" t="str">
        <x:v>Operação Clareza</x:v>
      </x:c>
      <x:c r="J766" s="17" t="n">
        <x:f>E766-D766</x:f>
        <x:v>0</x:v>
      </x:c>
      <x:c r="K766" s="19" t="n">
        <x:f>IFERROR(ABS(J766/D766),0)</x:f>
        <x:v>0</x:v>
      </x:c>
    </x:row>
    <x:row r="767">
      <x:c r="A767" s="13" t="str">
        <x:v>CON-000766</x:v>
      </x:c>
      <x:c r="B767" s="23" t="n">
        <x:v>45939</x:v>
      </x:c>
      <x:c r="C767" s="13" t="str">
        <x:v>Itaú Operacional</x:v>
      </x:c>
      <x:c r="D767" s="17" t="n">
        <x:v>31142.92</x:v>
      </x:c>
      <x:c r="E767" s="17" t="n">
        <x:v>31142.92</x:v>
      </x:c>
      <x:c r="F767" s="13" t="str">
        <x:v>Conciliado</x:v>
      </x:c>
      <x:c r="G767" s="13" t="str">
        <x:v>Sem divergência</x:v>
      </x:c>
      <x:c r="H767" s="13" t="n">
        <x:v>0.35</x:v>
      </x:c>
      <x:c r="I767" s="13" t="str">
        <x:v>Operação Clareza</x:v>
      </x:c>
      <x:c r="J767" s="17" t="n">
        <x:f>E767-D767</x:f>
        <x:v>0</x:v>
      </x:c>
      <x:c r="K767" s="19" t="n">
        <x:f>IFERROR(ABS(J767/D767),0)</x:f>
        <x:v>0</x:v>
      </x:c>
    </x:row>
    <x:row r="768">
      <x:c r="A768" s="13" t="str">
        <x:v>CON-000767</x:v>
      </x:c>
      <x:c r="B768" s="23" t="n">
        <x:v>45952</x:v>
      </x:c>
      <x:c r="C768" s="13" t="str">
        <x:v>Itaú Operacional</x:v>
      </x:c>
      <x:c r="D768" s="17" t="n">
        <x:v>11940.19</x:v>
      </x:c>
      <x:c r="E768" s="17" t="n">
        <x:v>11940.19</x:v>
      </x:c>
      <x:c r="F768" s="13" t="str">
        <x:v>Conciliado</x:v>
      </x:c>
      <x:c r="G768" s="13" t="str">
        <x:v>Sem divergência</x:v>
      </x:c>
      <x:c r="H768" s="13" t="n">
        <x:v>0.29</x:v>
      </x:c>
      <x:c r="I768" s="13" t="str">
        <x:v>Operação Clareza</x:v>
      </x:c>
      <x:c r="J768" s="17" t="n">
        <x:f>E768-D768</x:f>
        <x:v>0</x:v>
      </x:c>
      <x:c r="K768" s="19" t="n">
        <x:f>IFERROR(ABS(J768/D768),0)</x:f>
        <x:v>0</x:v>
      </x:c>
    </x:row>
    <x:row r="769">
      <x:c r="A769" s="13" t="str">
        <x:v>CON-000768</x:v>
      </x:c>
      <x:c r="B769" s="23" t="n">
        <x:v>45940</x:v>
      </x:c>
      <x:c r="C769" s="13" t="str">
        <x:v>Nubank Serviços</x:v>
      </x:c>
      <x:c r="D769" s="17" t="n">
        <x:v>13369.78</x:v>
      </x:c>
      <x:c r="E769" s="17" t="n">
        <x:v>13369.78</x:v>
      </x:c>
      <x:c r="F769" s="13" t="str">
        <x:v>Conciliado</x:v>
      </x:c>
      <x:c r="G769" s="13" t="str">
        <x:v>Sem divergência</x:v>
      </x:c>
      <x:c r="H769" s="13" t="n">
        <x:v>0.36</x:v>
      </x:c>
      <x:c r="I769" s="13" t="str">
        <x:v>Operação Clareza</x:v>
      </x:c>
      <x:c r="J769" s="17" t="n">
        <x:f>E769-D769</x:f>
        <x:v>0</x:v>
      </x:c>
      <x:c r="K769" s="19" t="n">
        <x:f>IFERROR(ABS(J769/D769),0)</x:f>
        <x:v>0</x:v>
      </x:c>
    </x:row>
    <x:row r="770">
      <x:c r="A770" s="13" t="str">
        <x:v>CON-000769</x:v>
      </x:c>
      <x:c r="B770" s="23" t="n">
        <x:v>45933</x:v>
      </x:c>
      <x:c r="C770" s="13" t="str">
        <x:v>Santander Recebimentos</x:v>
      </x:c>
      <x:c r="D770" s="17" t="n">
        <x:v>771.11</x:v>
      </x:c>
      <x:c r="E770" s="17" t="n">
        <x:v>771.11</x:v>
      </x:c>
      <x:c r="F770" s="13" t="str">
        <x:v>Conciliado</x:v>
      </x:c>
      <x:c r="G770" s="13" t="str">
        <x:v>Sem divergência</x:v>
      </x:c>
      <x:c r="H770" s="13" t="n">
        <x:v>0.21</x:v>
      </x:c>
      <x:c r="I770" s="13" t="str">
        <x:v>Operação Clareza</x:v>
      </x:c>
      <x:c r="J770" s="17" t="n">
        <x:f>E770-D770</x:f>
        <x:v>0</x:v>
      </x:c>
      <x:c r="K770" s="19" t="n">
        <x:f>IFERROR(ABS(J770/D770),0)</x:f>
        <x:v>0</x:v>
      </x:c>
    </x:row>
    <x:row r="771">
      <x:c r="A771" s="13" t="str">
        <x:v>CON-000770</x:v>
      </x:c>
      <x:c r="B771" s="23" t="n">
        <x:v>45948</x:v>
      </x:c>
      <x:c r="C771" s="13" t="str">
        <x:v>Bradesco Pagamentos</x:v>
      </x:c>
      <x:c r="D771" s="17" t="n">
        <x:v>24837.74</x:v>
      </x:c>
      <x:c r="E771" s="17" t="n">
        <x:v>24837.74</x:v>
      </x:c>
      <x:c r="F771" s="13" t="str">
        <x:v>Conciliado</x:v>
      </x:c>
      <x:c r="G771" s="13" t="str">
        <x:v>Sem divergência</x:v>
      </x:c>
      <x:c r="H771" s="13" t="n">
        <x:v>0.44</x:v>
      </x:c>
      <x:c r="I771" s="13" t="str">
        <x:v>Operação Clareza</x:v>
      </x:c>
      <x:c r="J771" s="17" t="n">
        <x:f>E771-D771</x:f>
        <x:v>0</x:v>
      </x:c>
      <x:c r="K771" s="19" t="n">
        <x:f>IFERROR(ABS(J771/D771),0)</x:f>
        <x:v>0</x:v>
      </x:c>
    </x:row>
    <x:row r="772">
      <x:c r="A772" s="13" t="str">
        <x:v>CON-000771</x:v>
      </x:c>
      <x:c r="B772" s="23" t="n">
        <x:v>45980</x:v>
      </x:c>
      <x:c r="C772" s="13" t="str">
        <x:v>Bradesco Pagamentos</x:v>
      </x:c>
      <x:c r="D772" s="17" t="n">
        <x:v>23559.02</x:v>
      </x:c>
      <x:c r="E772" s="17" t="n">
        <x:v>23559.02</x:v>
      </x:c>
      <x:c r="F772" s="13" t="str">
        <x:v>Conciliado</x:v>
      </x:c>
      <x:c r="G772" s="13" t="str">
        <x:v>Sem divergência</x:v>
      </x:c>
      <x:c r="H772" s="13" t="n">
        <x:v>0.34</x:v>
      </x:c>
      <x:c r="I772" s="13" t="str">
        <x:v>Operação Clareza</x:v>
      </x:c>
      <x:c r="J772" s="17" t="n">
        <x:f>E772-D772</x:f>
        <x:v>0</x:v>
      </x:c>
      <x:c r="K772" s="19" t="n">
        <x:f>IFERROR(ABS(J772/D772),0)</x:f>
        <x:v>0</x:v>
      </x:c>
    </x:row>
    <x:row r="773">
      <x:c r="A773" s="13" t="str">
        <x:v>CON-000772</x:v>
      </x:c>
      <x:c r="B773" s="23" t="n">
        <x:v>45987</x:v>
      </x:c>
      <x:c r="C773" s="13" t="str">
        <x:v>Bradesco Pagamentos</x:v>
      </x:c>
      <x:c r="D773" s="17" t="n">
        <x:v>30372.81</x:v>
      </x:c>
      <x:c r="E773" s="17" t="n">
        <x:v>30372.81</x:v>
      </x:c>
      <x:c r="F773" s="13" t="str">
        <x:v>Conciliado</x:v>
      </x:c>
      <x:c r="G773" s="13" t="str">
        <x:v>Sem divergência</x:v>
      </x:c>
      <x:c r="H773" s="13" t="n">
        <x:v>0.25</x:v>
      </x:c>
      <x:c r="I773" s="13" t="str">
        <x:v>Operação Clareza</x:v>
      </x:c>
      <x:c r="J773" s="17" t="n">
        <x:f>E773-D773</x:f>
        <x:v>0</x:v>
      </x:c>
      <x:c r="K773" s="19" t="n">
        <x:f>IFERROR(ABS(J773/D773),0)</x:f>
        <x:v>0</x:v>
      </x:c>
    </x:row>
    <x:row r="774">
      <x:c r="A774" s="13" t="str">
        <x:v>CON-000773</x:v>
      </x:c>
      <x:c r="B774" s="23" t="n">
        <x:v>45964</x:v>
      </x:c>
      <x:c r="C774" s="13" t="str">
        <x:v>Itaú Operacional</x:v>
      </x:c>
      <x:c r="D774" s="17" t="n">
        <x:v>14124.1</x:v>
      </x:c>
      <x:c r="E774" s="17" t="n">
        <x:v>14124.1</x:v>
      </x:c>
      <x:c r="F774" s="13" t="str">
        <x:v>Conciliado</x:v>
      </x:c>
      <x:c r="G774" s="13" t="str">
        <x:v>Sem divergência</x:v>
      </x:c>
      <x:c r="H774" s="13" t="n">
        <x:v>0.07</x:v>
      </x:c>
      <x:c r="I774" s="13" t="str">
        <x:v>Operação Clareza</x:v>
      </x:c>
      <x:c r="J774" s="17" t="n">
        <x:f>E774-D774</x:f>
        <x:v>0</x:v>
      </x:c>
      <x:c r="K774" s="19" t="n">
        <x:f>IFERROR(ABS(J774/D774),0)</x:f>
        <x:v>0</x:v>
      </x:c>
    </x:row>
    <x:row r="775">
      <x:c r="A775" s="13" t="str">
        <x:v>CON-000774</x:v>
      </x:c>
      <x:c r="B775" s="23" t="n">
        <x:v>45966</x:v>
      </x:c>
      <x:c r="C775" s="13" t="str">
        <x:v>Santander Recebimentos</x:v>
      </x:c>
      <x:c r="D775" s="17" t="n">
        <x:v>38576.19</x:v>
      </x:c>
      <x:c r="E775" s="17" t="n">
        <x:v>38576.19</x:v>
      </x:c>
      <x:c r="F775" s="13" t="str">
        <x:v>Conciliado</x:v>
      </x:c>
      <x:c r="G775" s="13" t="str">
        <x:v>Sem divergência</x:v>
      </x:c>
      <x:c r="H775" s="13" t="n">
        <x:v>0.07</x:v>
      </x:c>
      <x:c r="I775" s="13" t="str">
        <x:v>Operação Clareza</x:v>
      </x:c>
      <x:c r="J775" s="17" t="n">
        <x:f>E775-D775</x:f>
        <x:v>0</x:v>
      </x:c>
      <x:c r="K775" s="19" t="n">
        <x:f>IFERROR(ABS(J775/D775),0)</x:f>
        <x:v>0</x:v>
      </x:c>
    </x:row>
    <x:row r="776">
      <x:c r="A776" s="13" t="str">
        <x:v>CON-000775</x:v>
      </x:c>
      <x:c r="B776" s="23" t="n">
        <x:v>45989</x:v>
      </x:c>
      <x:c r="C776" s="13" t="str">
        <x:v>Itaú Operacional</x:v>
      </x:c>
      <x:c r="D776" s="17" t="n">
        <x:v>22737.74</x:v>
      </x:c>
      <x:c r="E776" s="17" t="n">
        <x:v>22737.74</x:v>
      </x:c>
      <x:c r="F776" s="13" t="str">
        <x:v>Conciliado</x:v>
      </x:c>
      <x:c r="G776" s="13" t="str">
        <x:v>Sem divergência</x:v>
      </x:c>
      <x:c r="H776" s="13" t="n">
        <x:v>0.29</x:v>
      </x:c>
      <x:c r="I776" s="13" t="str">
        <x:v>Operação Clareza</x:v>
      </x:c>
      <x:c r="J776" s="17" t="n">
        <x:f>E776-D776</x:f>
        <x:v>0</x:v>
      </x:c>
      <x:c r="K776" s="19" t="n">
        <x:f>IFERROR(ABS(J776/D776),0)</x:f>
        <x:v>0</x:v>
      </x:c>
    </x:row>
    <x:row r="777">
      <x:c r="A777" s="13" t="str">
        <x:v>CON-000776</x:v>
      </x:c>
      <x:c r="B777" s="23" t="n">
        <x:v>45967</x:v>
      </x:c>
      <x:c r="C777" s="13" t="str">
        <x:v>Itaú Operacional</x:v>
      </x:c>
      <x:c r="D777" s="17" t="n">
        <x:v>5224.52</x:v>
      </x:c>
      <x:c r="E777" s="17" t="n">
        <x:v>5224.52</x:v>
      </x:c>
      <x:c r="F777" s="13" t="str">
        <x:v>Conciliado</x:v>
      </x:c>
      <x:c r="G777" s="13" t="str">
        <x:v>Sem divergência</x:v>
      </x:c>
      <x:c r="H777" s="13" t="n">
        <x:v>0.35</x:v>
      </x:c>
      <x:c r="I777" s="13" t="str">
        <x:v>Operação Clareza</x:v>
      </x:c>
      <x:c r="J777" s="17" t="n">
        <x:f>E777-D777</x:f>
        <x:v>0</x:v>
      </x:c>
      <x:c r="K777" s="19" t="n">
        <x:f>IFERROR(ABS(J777/D777),0)</x:f>
        <x:v>0</x:v>
      </x:c>
    </x:row>
    <x:row r="778">
      <x:c r="A778" s="13" t="str">
        <x:v>CON-000777</x:v>
      </x:c>
      <x:c r="B778" s="23" t="n">
        <x:v>45977</x:v>
      </x:c>
      <x:c r="C778" s="13" t="str">
        <x:v>Santander Recebimentos</x:v>
      </x:c>
      <x:c r="D778" s="17" t="n">
        <x:v>17181.32</x:v>
      </x:c>
      <x:c r="E778" s="17" t="n">
        <x:v>17181.32</x:v>
      </x:c>
      <x:c r="F778" s="13" t="str">
        <x:v>Conciliado</x:v>
      </x:c>
      <x:c r="G778" s="13" t="str">
        <x:v>Sem divergência</x:v>
      </x:c>
      <x:c r="H778" s="13" t="n">
        <x:v>0.03</x:v>
      </x:c>
      <x:c r="I778" s="13" t="str">
        <x:v>Operação Clareza</x:v>
      </x:c>
      <x:c r="J778" s="17" t="n">
        <x:f>E778-D778</x:f>
        <x:v>0</x:v>
      </x:c>
      <x:c r="K778" s="19" t="n">
        <x:f>IFERROR(ABS(J778/D778),0)</x:f>
        <x:v>0</x:v>
      </x:c>
    </x:row>
    <x:row r="779">
      <x:c r="A779" s="13" t="str">
        <x:v>CON-000778</x:v>
      </x:c>
      <x:c r="B779" s="23" t="n">
        <x:v>45989</x:v>
      </x:c>
      <x:c r="C779" s="13" t="str">
        <x:v>Santander Recebimentos</x:v>
      </x:c>
      <x:c r="D779" s="17" t="n">
        <x:v>19523.77</x:v>
      </x:c>
      <x:c r="E779" s="17" t="n">
        <x:v>19523.77</x:v>
      </x:c>
      <x:c r="F779" s="13" t="str">
        <x:v>Conciliado</x:v>
      </x:c>
      <x:c r="G779" s="13" t="str">
        <x:v>Sem divergência</x:v>
      </x:c>
      <x:c r="H779" s="13" t="n">
        <x:v>0.17</x:v>
      </x:c>
      <x:c r="I779" s="13" t="str">
        <x:v>Operação Clareza</x:v>
      </x:c>
      <x:c r="J779" s="17" t="n">
        <x:f>E779-D779</x:f>
        <x:v>0</x:v>
      </x:c>
      <x:c r="K779" s="19" t="n">
        <x:f>IFERROR(ABS(J779/D779),0)</x:f>
        <x:v>0</x:v>
      </x:c>
    </x:row>
    <x:row r="780">
      <x:c r="A780" s="13" t="str">
        <x:v>CON-000779</x:v>
      </x:c>
      <x:c r="B780" s="23" t="n">
        <x:v>45984</x:v>
      </x:c>
      <x:c r="C780" s="13" t="str">
        <x:v>Itaú Operacional</x:v>
      </x:c>
      <x:c r="D780" s="17" t="n">
        <x:v>43081.09</x:v>
      </x:c>
      <x:c r="E780" s="17" t="n">
        <x:v>43081.09</x:v>
      </x:c>
      <x:c r="F780" s="13" t="str">
        <x:v>Conciliado</x:v>
      </x:c>
      <x:c r="G780" s="13" t="str">
        <x:v>Sem divergência</x:v>
      </x:c>
      <x:c r="H780" s="13" t="n">
        <x:v>0.1</x:v>
      </x:c>
      <x:c r="I780" s="13" t="str">
        <x:v>Operação Clareza</x:v>
      </x:c>
      <x:c r="J780" s="17" t="n">
        <x:f>E780-D780</x:f>
        <x:v>0</x:v>
      </x:c>
      <x:c r="K780" s="19" t="n">
        <x:f>IFERROR(ABS(J780/D780),0)</x:f>
        <x:v>0</x:v>
      </x:c>
    </x:row>
    <x:row r="781">
      <x:c r="A781" s="13" t="str">
        <x:v>CON-000780</x:v>
      </x:c>
      <x:c r="B781" s="23" t="n">
        <x:v>45984</x:v>
      </x:c>
      <x:c r="C781" s="13" t="str">
        <x:v>Nubank Serviços</x:v>
      </x:c>
      <x:c r="D781" s="17" t="n">
        <x:v>33778.38</x:v>
      </x:c>
      <x:c r="E781" s="17" t="n">
        <x:v>33778.38</x:v>
      </x:c>
      <x:c r="F781" s="13" t="str">
        <x:v>Conciliado</x:v>
      </x:c>
      <x:c r="G781" s="13" t="str">
        <x:v>Sem divergência</x:v>
      </x:c>
      <x:c r="H781" s="13" t="n">
        <x:v>0.05</x:v>
      </x:c>
      <x:c r="I781" s="13" t="str">
        <x:v>Operação Clareza</x:v>
      </x:c>
      <x:c r="J781" s="17" t="n">
        <x:f>E781-D781</x:f>
        <x:v>0</x:v>
      </x:c>
      <x:c r="K781" s="19" t="n">
        <x:f>IFERROR(ABS(J781/D781),0)</x:f>
        <x:v>0</x:v>
      </x:c>
    </x:row>
    <x:row r="782">
      <x:c r="A782" s="13" t="str">
        <x:v>CON-000781</x:v>
      </x:c>
      <x:c r="B782" s="23" t="n">
        <x:v>45966</x:v>
      </x:c>
      <x:c r="C782" s="13" t="str">
        <x:v>Bradesco Pagamentos</x:v>
      </x:c>
      <x:c r="D782" s="17" t="n">
        <x:v>25543.37</x:v>
      </x:c>
      <x:c r="E782" s="17" t="n">
        <x:v>25543.37</x:v>
      </x:c>
      <x:c r="F782" s="13" t="str">
        <x:v>Conciliado</x:v>
      </x:c>
      <x:c r="G782" s="13" t="str">
        <x:v>Sem divergência</x:v>
      </x:c>
      <x:c r="H782" s="13" t="n">
        <x:v>0.16</x:v>
      </x:c>
      <x:c r="I782" s="13" t="str">
        <x:v>Operação Clareza</x:v>
      </x:c>
      <x:c r="J782" s="17" t="n">
        <x:f>E782-D782</x:f>
        <x:v>0</x:v>
      </x:c>
      <x:c r="K782" s="19" t="n">
        <x:f>IFERROR(ABS(J782/D782),0)</x:f>
        <x:v>0</x:v>
      </x:c>
    </x:row>
    <x:row r="783">
      <x:c r="A783" s="13" t="str">
        <x:v>CON-000782</x:v>
      </x:c>
      <x:c r="B783" s="23" t="n">
        <x:v>45966</x:v>
      </x:c>
      <x:c r="C783" s="13" t="str">
        <x:v>Itaú Operacional</x:v>
      </x:c>
      <x:c r="D783" s="17" t="n">
        <x:v>11526.62</x:v>
      </x:c>
      <x:c r="E783" s="17" t="n">
        <x:v>11526.62</x:v>
      </x:c>
      <x:c r="F783" s="13" t="str">
        <x:v>Conciliado</x:v>
      </x:c>
      <x:c r="G783" s="13" t="str">
        <x:v>Sem divergência</x:v>
      </x:c>
      <x:c r="H783" s="13" t="n">
        <x:v>0.18</x:v>
      </x:c>
      <x:c r="I783" s="13" t="str">
        <x:v>Operação Clareza</x:v>
      </x:c>
      <x:c r="J783" s="17" t="n">
        <x:f>E783-D783</x:f>
        <x:v>0</x:v>
      </x:c>
      <x:c r="K783" s="19" t="n">
        <x:f>IFERROR(ABS(J783/D783),0)</x:f>
        <x:v>0</x:v>
      </x:c>
    </x:row>
    <x:row r="784">
      <x:c r="A784" s="13" t="str">
        <x:v>CON-000783</x:v>
      </x:c>
      <x:c r="B784" s="23" t="n">
        <x:v>45972</x:v>
      </x:c>
      <x:c r="C784" s="13" t="str">
        <x:v>Nubank Serviços</x:v>
      </x:c>
      <x:c r="D784" s="17" t="n">
        <x:v>1977.74</x:v>
      </x:c>
      <x:c r="E784" s="17" t="n">
        <x:v>1977.74</x:v>
      </x:c>
      <x:c r="F784" s="13" t="str">
        <x:v>Conciliado</x:v>
      </x:c>
      <x:c r="G784" s="13" t="str">
        <x:v>Sem divergência</x:v>
      </x:c>
      <x:c r="H784" s="13" t="n">
        <x:v>0.13</x:v>
      </x:c>
      <x:c r="I784" s="13" t="str">
        <x:v>Operação Clareza</x:v>
      </x:c>
      <x:c r="J784" s="17" t="n">
        <x:f>E784-D784</x:f>
        <x:v>0</x:v>
      </x:c>
      <x:c r="K784" s="19" t="n">
        <x:f>IFERROR(ABS(J784/D784),0)</x:f>
        <x:v>0</x:v>
      </x:c>
    </x:row>
    <x:row r="785">
      <x:c r="A785" s="13" t="str">
        <x:v>CON-000784</x:v>
      </x:c>
      <x:c r="B785" s="23" t="n">
        <x:v>45964</x:v>
      </x:c>
      <x:c r="C785" s="13" t="str">
        <x:v>Bradesco Pagamentos</x:v>
      </x:c>
      <x:c r="D785" s="17" t="n">
        <x:v>23003.21</x:v>
      </x:c>
      <x:c r="E785" s="17" t="n">
        <x:v>23003.21</x:v>
      </x:c>
      <x:c r="F785" s="13" t="str">
        <x:v>Conciliado</x:v>
      </x:c>
      <x:c r="G785" s="13" t="str">
        <x:v>Sem divergência</x:v>
      </x:c>
      <x:c r="H785" s="13" t="n">
        <x:v>0.4</x:v>
      </x:c>
      <x:c r="I785" s="13" t="str">
        <x:v>Operação Clareza</x:v>
      </x:c>
      <x:c r="J785" s="17" t="n">
        <x:f>E785-D785</x:f>
        <x:v>0</x:v>
      </x:c>
      <x:c r="K785" s="19" t="n">
        <x:f>IFERROR(ABS(J785/D785),0)</x:f>
        <x:v>0</x:v>
      </x:c>
    </x:row>
    <x:row r="786">
      <x:c r="A786" s="13" t="str">
        <x:v>CON-000785</x:v>
      </x:c>
      <x:c r="B786" s="23" t="n">
        <x:v>45981</x:v>
      </x:c>
      <x:c r="C786" s="13" t="str">
        <x:v>Bradesco Pagamentos</x:v>
      </x:c>
      <x:c r="D786" s="17" t="n">
        <x:v>17559.45</x:v>
      </x:c>
      <x:c r="E786" s="17" t="n">
        <x:v>17559.45</x:v>
      </x:c>
      <x:c r="F786" s="13" t="str">
        <x:v>Conciliado</x:v>
      </x:c>
      <x:c r="G786" s="13" t="str">
        <x:v>Sem divergência</x:v>
      </x:c>
      <x:c r="H786" s="13" t="n">
        <x:v>0.17</x:v>
      </x:c>
      <x:c r="I786" s="13" t="str">
        <x:v>Operação Clareza</x:v>
      </x:c>
      <x:c r="J786" s="17" t="n">
        <x:f>E786-D786</x:f>
        <x:v>0</x:v>
      </x:c>
      <x:c r="K786" s="19" t="n">
        <x:f>IFERROR(ABS(J786/D786),0)</x:f>
        <x:v>0</x:v>
      </x:c>
    </x:row>
    <x:row r="787">
      <x:c r="A787" s="13" t="str">
        <x:v>CON-000786</x:v>
      </x:c>
      <x:c r="B787" s="23" t="n">
        <x:v>45967</x:v>
      </x:c>
      <x:c r="C787" s="13" t="str">
        <x:v>Santander Recebimentos</x:v>
      </x:c>
      <x:c r="D787" s="17" t="n">
        <x:v>44051.71</x:v>
      </x:c>
      <x:c r="E787" s="17" t="n">
        <x:v>44051.71</x:v>
      </x:c>
      <x:c r="F787" s="13" t="str">
        <x:v>Conciliado</x:v>
      </x:c>
      <x:c r="G787" s="13" t="str">
        <x:v>Sem divergência</x:v>
      </x:c>
      <x:c r="H787" s="13" t="n">
        <x:v>0.21</x:v>
      </x:c>
      <x:c r="I787" s="13" t="str">
        <x:v>Operação Clareza</x:v>
      </x:c>
      <x:c r="J787" s="17" t="n">
        <x:f>E787-D787</x:f>
        <x:v>0</x:v>
      </x:c>
      <x:c r="K787" s="19" t="n">
        <x:f>IFERROR(ABS(J787/D787),0)</x:f>
        <x:v>0</x:v>
      </x:c>
    </x:row>
    <x:row r="788">
      <x:c r="A788" s="13" t="str">
        <x:v>CON-000787</x:v>
      </x:c>
      <x:c r="B788" s="23" t="n">
        <x:v>45981</x:v>
      </x:c>
      <x:c r="C788" s="13" t="str">
        <x:v>Bradesco Pagamentos</x:v>
      </x:c>
      <x:c r="D788" s="17" t="n">
        <x:v>34364.2</x:v>
      </x:c>
      <x:c r="E788" s="17" t="n">
        <x:v>34364.2</x:v>
      </x:c>
      <x:c r="F788" s="13" t="str">
        <x:v>Conciliado</x:v>
      </x:c>
      <x:c r="G788" s="13" t="str">
        <x:v>Sem divergência</x:v>
      </x:c>
      <x:c r="H788" s="13" t="n">
        <x:v>0.43</x:v>
      </x:c>
      <x:c r="I788" s="13" t="str">
        <x:v>Operação Clareza</x:v>
      </x:c>
      <x:c r="J788" s="17" t="n">
        <x:f>E788-D788</x:f>
        <x:v>0</x:v>
      </x:c>
      <x:c r="K788" s="19" t="n">
        <x:f>IFERROR(ABS(J788/D788),0)</x:f>
        <x:v>0</x:v>
      </x:c>
    </x:row>
    <x:row r="789">
      <x:c r="A789" s="13" t="str">
        <x:v>CON-000788</x:v>
      </x:c>
      <x:c r="B789" s="23" t="n">
        <x:v>45973</x:v>
      </x:c>
      <x:c r="C789" s="13" t="str">
        <x:v>Santander Recebimentos</x:v>
      </x:c>
      <x:c r="D789" s="17" t="n">
        <x:v>44304.19</x:v>
      </x:c>
      <x:c r="E789" s="17" t="n">
        <x:v>44304.19</x:v>
      </x:c>
      <x:c r="F789" s="13" t="str">
        <x:v>Conciliado</x:v>
      </x:c>
      <x:c r="G789" s="13" t="str">
        <x:v>Sem divergência</x:v>
      </x:c>
      <x:c r="H789" s="13" t="n">
        <x:v>0.39</x:v>
      </x:c>
      <x:c r="I789" s="13" t="str">
        <x:v>Operação Clareza</x:v>
      </x:c>
      <x:c r="J789" s="17" t="n">
        <x:f>E789-D789</x:f>
        <x:v>0</x:v>
      </x:c>
      <x:c r="K789" s="19" t="n">
        <x:f>IFERROR(ABS(J789/D789),0)</x:f>
        <x:v>0</x:v>
      </x:c>
    </x:row>
    <x:row r="790">
      <x:c r="A790" s="13" t="str">
        <x:v>CON-000789</x:v>
      </x:c>
      <x:c r="B790" s="23" t="n">
        <x:v>45962</x:v>
      </x:c>
      <x:c r="C790" s="13" t="str">
        <x:v>Nubank Serviços</x:v>
      </x:c>
      <x:c r="D790" s="17" t="n">
        <x:v>31458.05</x:v>
      </x:c>
      <x:c r="E790" s="17" t="n">
        <x:v>31458.05</x:v>
      </x:c>
      <x:c r="F790" s="13" t="str">
        <x:v>Conciliado</x:v>
      </x:c>
      <x:c r="G790" s="13" t="str">
        <x:v>Sem divergência</x:v>
      </x:c>
      <x:c r="H790" s="13" t="n">
        <x:v>0.03</x:v>
      </x:c>
      <x:c r="I790" s="13" t="str">
        <x:v>Operação Clareza</x:v>
      </x:c>
      <x:c r="J790" s="17" t="n">
        <x:f>E790-D790</x:f>
        <x:v>0</x:v>
      </x:c>
      <x:c r="K790" s="19" t="n">
        <x:f>IFERROR(ABS(J790/D790),0)</x:f>
        <x:v>0</x:v>
      </x:c>
    </x:row>
    <x:row r="791">
      <x:c r="A791" s="13" t="str">
        <x:v>CON-000790</x:v>
      </x:c>
      <x:c r="B791" s="23" t="n">
        <x:v>45986</x:v>
      </x:c>
      <x:c r="C791" s="13" t="str">
        <x:v>Nubank Serviços</x:v>
      </x:c>
      <x:c r="D791" s="17" t="n">
        <x:v>17994.52</x:v>
      </x:c>
      <x:c r="E791" s="17" t="n">
        <x:v>17994.52</x:v>
      </x:c>
      <x:c r="F791" s="13" t="str">
        <x:v>Conciliado</x:v>
      </x:c>
      <x:c r="G791" s="13" t="str">
        <x:v>Sem divergência</x:v>
      </x:c>
      <x:c r="H791" s="13" t="n">
        <x:v>0.29</x:v>
      </x:c>
      <x:c r="I791" s="13" t="str">
        <x:v>Operação Clareza</x:v>
      </x:c>
      <x:c r="J791" s="17" t="n">
        <x:f>E791-D791</x:f>
        <x:v>0</x:v>
      </x:c>
      <x:c r="K791" s="19" t="n">
        <x:f>IFERROR(ABS(J791/D791),0)</x:f>
        <x:v>0</x:v>
      </x:c>
    </x:row>
    <x:row r="792">
      <x:c r="A792" s="13" t="str">
        <x:v>CON-000791</x:v>
      </x:c>
      <x:c r="B792" s="23" t="n">
        <x:v>45985</x:v>
      </x:c>
      <x:c r="C792" s="13" t="str">
        <x:v>Bradesco Pagamentos</x:v>
      </x:c>
      <x:c r="D792" s="17" t="n">
        <x:v>7150.52</x:v>
      </x:c>
      <x:c r="E792" s="17" t="n">
        <x:v>7150.52</x:v>
      </x:c>
      <x:c r="F792" s="13" t="str">
        <x:v>Conciliado</x:v>
      </x:c>
      <x:c r="G792" s="13" t="str">
        <x:v>Sem divergência</x:v>
      </x:c>
      <x:c r="H792" s="13" t="n">
        <x:v>0.2</x:v>
      </x:c>
      <x:c r="I792" s="13" t="str">
        <x:v>Operação Clareza</x:v>
      </x:c>
      <x:c r="J792" s="17" t="n">
        <x:f>E792-D792</x:f>
        <x:v>0</x:v>
      </x:c>
      <x:c r="K792" s="19" t="n">
        <x:f>IFERROR(ABS(J792/D792),0)</x:f>
        <x:v>0</x:v>
      </x:c>
    </x:row>
    <x:row r="793">
      <x:c r="A793" s="13" t="str">
        <x:v>CON-000792</x:v>
      </x:c>
      <x:c r="B793" s="23" t="n">
        <x:v>45988</x:v>
      </x:c>
      <x:c r="C793" s="13" t="str">
        <x:v>Nubank Serviços</x:v>
      </x:c>
      <x:c r="D793" s="17" t="n">
        <x:v>32918.35</x:v>
      </x:c>
      <x:c r="E793" s="17" t="n">
        <x:v>32918.35</x:v>
      </x:c>
      <x:c r="F793" s="13" t="str">
        <x:v>Conciliado</x:v>
      </x:c>
      <x:c r="G793" s="13" t="str">
        <x:v>Sem divergência</x:v>
      </x:c>
      <x:c r="H793" s="13" t="n">
        <x:v>0.32</x:v>
      </x:c>
      <x:c r="I793" s="13" t="str">
        <x:v>Operação Clareza</x:v>
      </x:c>
      <x:c r="J793" s="17" t="n">
        <x:f>E793-D793</x:f>
        <x:v>0</x:v>
      </x:c>
      <x:c r="K793" s="19" t="n">
        <x:f>IFERROR(ABS(J793/D793),0)</x:f>
        <x:v>0</x:v>
      </x:c>
    </x:row>
    <x:row r="794">
      <x:c r="A794" s="13" t="str">
        <x:v>CON-000793</x:v>
      </x:c>
      <x:c r="B794" s="23" t="n">
        <x:v>45971</x:v>
      </x:c>
      <x:c r="C794" s="13" t="str">
        <x:v>Nubank Serviços</x:v>
      </x:c>
      <x:c r="D794" s="17" t="n">
        <x:v>41728.09</x:v>
      </x:c>
      <x:c r="E794" s="17" t="n">
        <x:v>41728.09</x:v>
      </x:c>
      <x:c r="F794" s="13" t="str">
        <x:v>Conciliado</x:v>
      </x:c>
      <x:c r="G794" s="13" t="str">
        <x:v>Sem divergência</x:v>
      </x:c>
      <x:c r="H794" s="13" t="n">
        <x:v>0.13</x:v>
      </x:c>
      <x:c r="I794" s="13" t="str">
        <x:v>Operação Clareza</x:v>
      </x:c>
      <x:c r="J794" s="17" t="n">
        <x:f>E794-D794</x:f>
        <x:v>0</x:v>
      </x:c>
      <x:c r="K794" s="19" t="n">
        <x:f>IFERROR(ABS(J794/D794),0)</x:f>
        <x:v>0</x:v>
      </x:c>
    </x:row>
    <x:row r="795">
      <x:c r="A795" s="13" t="str">
        <x:v>CON-000794</x:v>
      </x:c>
      <x:c r="B795" s="23" t="n">
        <x:v>45975</x:v>
      </x:c>
      <x:c r="C795" s="13" t="str">
        <x:v>Bradesco Pagamentos</x:v>
      </x:c>
      <x:c r="D795" s="17" t="n">
        <x:v>1719.38</x:v>
      </x:c>
      <x:c r="E795" s="17" t="n">
        <x:v>1719.38</x:v>
      </x:c>
      <x:c r="F795" s="13" t="str">
        <x:v>Conciliado</x:v>
      </x:c>
      <x:c r="G795" s="13" t="str">
        <x:v>Sem divergência</x:v>
      </x:c>
      <x:c r="H795" s="13" t="n">
        <x:v>0.28</x:v>
      </x:c>
      <x:c r="I795" s="13" t="str">
        <x:v>Operação Clareza</x:v>
      </x:c>
      <x:c r="J795" s="17" t="n">
        <x:f>E795-D795</x:f>
        <x:v>0</x:v>
      </x:c>
      <x:c r="K795" s="19" t="n">
        <x:f>IFERROR(ABS(J795/D795),0)</x:f>
        <x:v>0</x:v>
      </x:c>
    </x:row>
    <x:row r="796">
      <x:c r="A796" s="13" t="str">
        <x:v>CON-000795</x:v>
      </x:c>
      <x:c r="B796" s="23" t="n">
        <x:v>45977</x:v>
      </x:c>
      <x:c r="C796" s="13" t="str">
        <x:v>Nubank Serviços</x:v>
      </x:c>
      <x:c r="D796" s="17" t="n">
        <x:v>6390.18</x:v>
      </x:c>
      <x:c r="E796" s="17" t="n">
        <x:v>6390.18</x:v>
      </x:c>
      <x:c r="F796" s="13" t="str">
        <x:v>Conciliado</x:v>
      </x:c>
      <x:c r="G796" s="13" t="str">
        <x:v>Sem divergência</x:v>
      </x:c>
      <x:c r="H796" s="13" t="n">
        <x:v>0.31</x:v>
      </x:c>
      <x:c r="I796" s="13" t="str">
        <x:v>Operação Clareza</x:v>
      </x:c>
      <x:c r="J796" s="17" t="n">
        <x:f>E796-D796</x:f>
        <x:v>0</x:v>
      </x:c>
      <x:c r="K796" s="19" t="n">
        <x:f>IFERROR(ABS(J796/D796),0)</x:f>
        <x:v>0</x:v>
      </x:c>
    </x:row>
    <x:row r="797">
      <x:c r="A797" s="13" t="str">
        <x:v>CON-000796</x:v>
      </x:c>
      <x:c r="B797" s="23" t="n">
        <x:v>45985</x:v>
      </x:c>
      <x:c r="C797" s="13" t="str">
        <x:v>Bradesco Pagamentos</x:v>
      </x:c>
      <x:c r="D797" s="17" t="n">
        <x:v>28507.31</x:v>
      </x:c>
      <x:c r="E797" s="17" t="n">
        <x:v>28507.31</x:v>
      </x:c>
      <x:c r="F797" s="13" t="str">
        <x:v>Conciliado</x:v>
      </x:c>
      <x:c r="G797" s="13" t="str">
        <x:v>Sem divergência</x:v>
      </x:c>
      <x:c r="H797" s="13" t="n">
        <x:v>0.3</x:v>
      </x:c>
      <x:c r="I797" s="13" t="str">
        <x:v>Operação Clareza</x:v>
      </x:c>
      <x:c r="J797" s="17" t="n">
        <x:f>E797-D797</x:f>
        <x:v>0</x:v>
      </x:c>
      <x:c r="K797" s="19" t="n">
        <x:f>IFERROR(ABS(J797/D797),0)</x:f>
        <x:v>0</x:v>
      </x:c>
    </x:row>
    <x:row r="798">
      <x:c r="A798" s="13" t="str">
        <x:v>CON-000797</x:v>
      </x:c>
      <x:c r="B798" s="23" t="n">
        <x:v>45975</x:v>
      </x:c>
      <x:c r="C798" s="13" t="str">
        <x:v>Itaú Operacional</x:v>
      </x:c>
      <x:c r="D798" s="17" t="n">
        <x:v>34204.61</x:v>
      </x:c>
      <x:c r="E798" s="17" t="n">
        <x:v>34204.61</x:v>
      </x:c>
      <x:c r="F798" s="13" t="str">
        <x:v>Conciliado</x:v>
      </x:c>
      <x:c r="G798" s="13" t="str">
        <x:v>Sem divergência</x:v>
      </x:c>
      <x:c r="H798" s="13" t="n">
        <x:v>0.17</x:v>
      </x:c>
      <x:c r="I798" s="13" t="str">
        <x:v>Operação Clareza</x:v>
      </x:c>
      <x:c r="J798" s="17" t="n">
        <x:f>E798-D798</x:f>
        <x:v>0</x:v>
      </x:c>
      <x:c r="K798" s="19" t="n">
        <x:f>IFERROR(ABS(J798/D798),0)</x:f>
        <x:v>0</x:v>
      </x:c>
    </x:row>
    <x:row r="799">
      <x:c r="A799" s="13" t="str">
        <x:v>CON-000798</x:v>
      </x:c>
      <x:c r="B799" s="23" t="n">
        <x:v>45966</x:v>
      </x:c>
      <x:c r="C799" s="13" t="str">
        <x:v>Itaú Operacional</x:v>
      </x:c>
      <x:c r="D799" s="17" t="n">
        <x:v>25137.72</x:v>
      </x:c>
      <x:c r="E799" s="17" t="n">
        <x:v>25137.72</x:v>
      </x:c>
      <x:c r="F799" s="13" t="str">
        <x:v>Conciliado</x:v>
      </x:c>
      <x:c r="G799" s="13" t="str">
        <x:v>Sem divergência</x:v>
      </x:c>
      <x:c r="H799" s="13" t="n">
        <x:v>0.16</x:v>
      </x:c>
      <x:c r="I799" s="13" t="str">
        <x:v>Operação Clareza</x:v>
      </x:c>
      <x:c r="J799" s="17" t="n">
        <x:f>E799-D799</x:f>
        <x:v>0</x:v>
      </x:c>
      <x:c r="K799" s="19" t="n">
        <x:f>IFERROR(ABS(J799/D799),0)</x:f>
        <x:v>0</x:v>
      </x:c>
    </x:row>
    <x:row r="800">
      <x:c r="A800" s="13" t="str">
        <x:v>CON-000799</x:v>
      </x:c>
      <x:c r="B800" s="23" t="n">
        <x:v>45981</x:v>
      </x:c>
      <x:c r="C800" s="13" t="str">
        <x:v>Santander Recebimentos</x:v>
      </x:c>
      <x:c r="D800" s="17" t="n">
        <x:v>4681.91</x:v>
      </x:c>
      <x:c r="E800" s="17" t="n">
        <x:v>4681.91</x:v>
      </x:c>
      <x:c r="F800" s="13" t="str">
        <x:v>Conciliado</x:v>
      </x:c>
      <x:c r="G800" s="13" t="str">
        <x:v>Sem divergência</x:v>
      </x:c>
      <x:c r="H800" s="13" t="n">
        <x:v>0.15</x:v>
      </x:c>
      <x:c r="I800" s="13" t="str">
        <x:v>Operação Clareza</x:v>
      </x:c>
      <x:c r="J800" s="17" t="n">
        <x:f>E800-D800</x:f>
        <x:v>0</x:v>
      </x:c>
      <x:c r="K800" s="19" t="n">
        <x:f>IFERROR(ABS(J800/D800),0)</x:f>
        <x:v>0</x:v>
      </x:c>
    </x:row>
    <x:row r="801">
      <x:c r="A801" s="13" t="str">
        <x:v>CON-000800</x:v>
      </x:c>
      <x:c r="B801" s="23" t="n">
        <x:v>45978</x:v>
      </x:c>
      <x:c r="C801" s="13" t="str">
        <x:v>Nubank Serviços</x:v>
      </x:c>
      <x:c r="D801" s="17" t="n">
        <x:v>23328.65</x:v>
      </x:c>
      <x:c r="E801" s="17" t="n">
        <x:v>23328.65</x:v>
      </x:c>
      <x:c r="F801" s="13" t="str">
        <x:v>Conciliado</x:v>
      </x:c>
      <x:c r="G801" s="13" t="str">
        <x:v>Sem divergência</x:v>
      </x:c>
      <x:c r="H801" s="13" t="n">
        <x:v>0.31</x:v>
      </x:c>
      <x:c r="I801" s="13" t="str">
        <x:v>Operação Clareza</x:v>
      </x:c>
      <x:c r="J801" s="17" t="n">
        <x:f>E801-D801</x:f>
        <x:v>0</x:v>
      </x:c>
      <x:c r="K801" s="19" t="n">
        <x:f>IFERROR(ABS(J801/D801),0)</x:f>
        <x:v>0</x:v>
      </x:c>
    </x:row>
    <x:row r="802">
      <x:c r="A802" s="13" t="str">
        <x:v>CON-000801</x:v>
      </x:c>
      <x:c r="B802" s="23" t="n">
        <x:v>45988</x:v>
      </x:c>
      <x:c r="C802" s="13" t="str">
        <x:v>Itaú Operacional</x:v>
      </x:c>
      <x:c r="D802" s="17" t="n">
        <x:v>3720.68</x:v>
      </x:c>
      <x:c r="E802" s="17" t="n">
        <x:v>3720.68</x:v>
      </x:c>
      <x:c r="F802" s="13" t="str">
        <x:v>Conciliado</x:v>
      </x:c>
      <x:c r="G802" s="13" t="str">
        <x:v>Sem divergência</x:v>
      </x:c>
      <x:c r="H802" s="13" t="n">
        <x:v>0.32</x:v>
      </x:c>
      <x:c r="I802" s="13" t="str">
        <x:v>Operação Clareza</x:v>
      </x:c>
      <x:c r="J802" s="17" t="n">
        <x:f>E802-D802</x:f>
        <x:v>0</x:v>
      </x:c>
      <x:c r="K802" s="19" t="n">
        <x:f>IFERROR(ABS(J802/D802),0)</x:f>
        <x:v>0</x:v>
      </x:c>
    </x:row>
    <x:row r="803">
      <x:c r="A803" s="13" t="str">
        <x:v>CON-000802</x:v>
      </x:c>
      <x:c r="B803" s="23" t="n">
        <x:v>45965</x:v>
      </x:c>
      <x:c r="C803" s="13" t="str">
        <x:v>Santander Recebimentos</x:v>
      </x:c>
      <x:c r="D803" s="17" t="n">
        <x:v>910.2</x:v>
      </x:c>
      <x:c r="E803" s="17" t="n">
        <x:v>910.2</x:v>
      </x:c>
      <x:c r="F803" s="13" t="str">
        <x:v>Conciliado</x:v>
      </x:c>
      <x:c r="G803" s="13" t="str">
        <x:v>Sem divergência</x:v>
      </x:c>
      <x:c r="H803" s="13" t="n">
        <x:v>0.27</x:v>
      </x:c>
      <x:c r="I803" s="13" t="str">
        <x:v>Operação Clareza</x:v>
      </x:c>
      <x:c r="J803" s="17" t="n">
        <x:f>E803-D803</x:f>
        <x:v>0</x:v>
      </x:c>
      <x:c r="K803" s="19" t="n">
        <x:f>IFERROR(ABS(J803/D803),0)</x:f>
        <x:v>0</x:v>
      </x:c>
    </x:row>
    <x:row r="804">
      <x:c r="A804" s="13" t="str">
        <x:v>CON-000803</x:v>
      </x:c>
      <x:c r="B804" s="23" t="n">
        <x:v>45972</x:v>
      </x:c>
      <x:c r="C804" s="13" t="str">
        <x:v>Bradesco Pagamentos</x:v>
      </x:c>
      <x:c r="D804" s="17" t="n">
        <x:v>41908.22</x:v>
      </x:c>
      <x:c r="E804" s="17" t="n">
        <x:v>41908.22</x:v>
      </x:c>
      <x:c r="F804" s="13" t="str">
        <x:v>Conciliado</x:v>
      </x:c>
      <x:c r="G804" s="13" t="str">
        <x:v>Sem divergência</x:v>
      </x:c>
      <x:c r="H804" s="13" t="n">
        <x:v>0.17</x:v>
      </x:c>
      <x:c r="I804" s="13" t="str">
        <x:v>Operação Clareza</x:v>
      </x:c>
      <x:c r="J804" s="17" t="n">
        <x:f>E804-D804</x:f>
        <x:v>0</x:v>
      </x:c>
      <x:c r="K804" s="19" t="n">
        <x:f>IFERROR(ABS(J804/D804),0)</x:f>
        <x:v>0</x:v>
      </x:c>
    </x:row>
    <x:row r="805">
      <x:c r="A805" s="13" t="str">
        <x:v>CON-000804</x:v>
      </x:c>
      <x:c r="B805" s="23" t="n">
        <x:v>45962</x:v>
      </x:c>
      <x:c r="C805" s="13" t="str">
        <x:v>Nubank Serviços</x:v>
      </x:c>
      <x:c r="D805" s="17" t="n">
        <x:v>43668.96</x:v>
      </x:c>
      <x:c r="E805" s="17" t="n">
        <x:v>43668.96</x:v>
      </x:c>
      <x:c r="F805" s="13" t="str">
        <x:v>Conciliado</x:v>
      </x:c>
      <x:c r="G805" s="13" t="str">
        <x:v>Sem divergência</x:v>
      </x:c>
      <x:c r="H805" s="13" t="n">
        <x:v>0.4</x:v>
      </x:c>
      <x:c r="I805" s="13" t="str">
        <x:v>Operação Clareza</x:v>
      </x:c>
      <x:c r="J805" s="17" t="n">
        <x:f>E805-D805</x:f>
        <x:v>0</x:v>
      </x:c>
      <x:c r="K805" s="19" t="n">
        <x:f>IFERROR(ABS(J805/D805),0)</x:f>
        <x:v>0</x:v>
      </x:c>
    </x:row>
    <x:row r="806">
      <x:c r="A806" s="13" t="str">
        <x:v>CON-000805</x:v>
      </x:c>
      <x:c r="B806" s="23" t="n">
        <x:v>45979</x:v>
      </x:c>
      <x:c r="C806" s="13" t="str">
        <x:v>Nubank Serviços</x:v>
      </x:c>
      <x:c r="D806" s="17" t="n">
        <x:v>18919.94</x:v>
      </x:c>
      <x:c r="E806" s="17" t="n">
        <x:v>18919.94</x:v>
      </x:c>
      <x:c r="F806" s="13" t="str">
        <x:v>Conciliado</x:v>
      </x:c>
      <x:c r="G806" s="13" t="str">
        <x:v>Sem divergência</x:v>
      </x:c>
      <x:c r="H806" s="13" t="n">
        <x:v>0.16</x:v>
      </x:c>
      <x:c r="I806" s="13" t="str">
        <x:v>Operação Clareza</x:v>
      </x:c>
      <x:c r="J806" s="17" t="n">
        <x:f>E806-D806</x:f>
        <x:v>0</x:v>
      </x:c>
      <x:c r="K806" s="19" t="n">
        <x:f>IFERROR(ABS(J806/D806),0)</x:f>
        <x:v>0</x:v>
      </x:c>
    </x:row>
    <x:row r="807">
      <x:c r="A807" s="13" t="str">
        <x:v>CON-000806</x:v>
      </x:c>
      <x:c r="B807" s="23" t="n">
        <x:v>46004</x:v>
      </x:c>
      <x:c r="C807" s="13" t="str">
        <x:v>Bradesco Pagamentos</x:v>
      </x:c>
      <x:c r="D807" s="17" t="n">
        <x:v>21007.89</x:v>
      </x:c>
      <x:c r="E807" s="17" t="n">
        <x:v>21007.89</x:v>
      </x:c>
      <x:c r="F807" s="13" t="str">
        <x:v>Conciliado</x:v>
      </x:c>
      <x:c r="G807" s="13" t="str">
        <x:v>Sem divergência</x:v>
      </x:c>
      <x:c r="H807" s="13" t="n">
        <x:v>0.15</x:v>
      </x:c>
      <x:c r="I807" s="13" t="str">
        <x:v>Operação Clareza</x:v>
      </x:c>
      <x:c r="J807" s="17" t="n">
        <x:f>E807-D807</x:f>
        <x:v>0</x:v>
      </x:c>
      <x:c r="K807" s="19" t="n">
        <x:f>IFERROR(ABS(J807/D807),0)</x:f>
        <x:v>0</x:v>
      </x:c>
    </x:row>
    <x:row r="808">
      <x:c r="A808" s="13" t="str">
        <x:v>CON-000807</x:v>
      </x:c>
      <x:c r="B808" s="23" t="n">
        <x:v>45995</x:v>
      </x:c>
      <x:c r="C808" s="13" t="str">
        <x:v>Bradesco Pagamentos</x:v>
      </x:c>
      <x:c r="D808" s="17" t="n">
        <x:v>20987.85</x:v>
      </x:c>
      <x:c r="E808" s="17" t="n">
        <x:v>20987.85</x:v>
      </x:c>
      <x:c r="F808" s="13" t="str">
        <x:v>Conciliado</x:v>
      </x:c>
      <x:c r="G808" s="13" t="str">
        <x:v>Sem divergência</x:v>
      </x:c>
      <x:c r="H808" s="13" t="n">
        <x:v>0.16</x:v>
      </x:c>
      <x:c r="I808" s="13" t="str">
        <x:v>Operação Clareza</x:v>
      </x:c>
      <x:c r="J808" s="17" t="n">
        <x:f>E808-D808</x:f>
        <x:v>0</x:v>
      </x:c>
      <x:c r="K808" s="19" t="n">
        <x:f>IFERROR(ABS(J808/D808),0)</x:f>
        <x:v>0</x:v>
      </x:c>
    </x:row>
    <x:row r="809">
      <x:c r="A809" s="13" t="str">
        <x:v>CON-000808</x:v>
      </x:c>
      <x:c r="B809" s="23" t="n">
        <x:v>45999</x:v>
      </x:c>
      <x:c r="C809" s="13" t="str">
        <x:v>Itaú Operacional</x:v>
      </x:c>
      <x:c r="D809" s="17" t="n">
        <x:v>2533.67</x:v>
      </x:c>
      <x:c r="E809" s="17" t="n">
        <x:v>2533.67</x:v>
      </x:c>
      <x:c r="F809" s="13" t="str">
        <x:v>Conciliado</x:v>
      </x:c>
      <x:c r="G809" s="13" t="str">
        <x:v>Sem divergência</x:v>
      </x:c>
      <x:c r="H809" s="13" t="n">
        <x:v>0.06</x:v>
      </x:c>
      <x:c r="I809" s="13" t="str">
        <x:v>Operação Clareza</x:v>
      </x:c>
      <x:c r="J809" s="17" t="n">
        <x:f>E809-D809</x:f>
        <x:v>0</x:v>
      </x:c>
      <x:c r="K809" s="19" t="n">
        <x:f>IFERROR(ABS(J809/D809),0)</x:f>
        <x:v>0</x:v>
      </x:c>
    </x:row>
    <x:row r="810">
      <x:c r="A810" s="13" t="str">
        <x:v>CON-000809</x:v>
      </x:c>
      <x:c r="B810" s="23" t="n">
        <x:v>45994</x:v>
      </x:c>
      <x:c r="C810" s="13" t="str">
        <x:v>Nubank Serviços</x:v>
      </x:c>
      <x:c r="D810" s="17" t="n">
        <x:v>16116.13</x:v>
      </x:c>
      <x:c r="E810" s="17" t="n">
        <x:v>16116.13</x:v>
      </x:c>
      <x:c r="F810" s="13" t="str">
        <x:v>Conciliado</x:v>
      </x:c>
      <x:c r="G810" s="13" t="str">
        <x:v>Sem divergência</x:v>
      </x:c>
      <x:c r="H810" s="13" t="n">
        <x:v>0.42</x:v>
      </x:c>
      <x:c r="I810" s="13" t="str">
        <x:v>Operação Clareza</x:v>
      </x:c>
      <x:c r="J810" s="17" t="n">
        <x:f>E810-D810</x:f>
        <x:v>0</x:v>
      </x:c>
      <x:c r="K810" s="19" t="n">
        <x:f>IFERROR(ABS(J810/D810),0)</x:f>
        <x:v>0</x:v>
      </x:c>
    </x:row>
    <x:row r="811">
      <x:c r="A811" s="13" t="str">
        <x:v>CON-000810</x:v>
      </x:c>
      <x:c r="B811" s="23" t="n">
        <x:v>46000</x:v>
      </x:c>
      <x:c r="C811" s="13" t="str">
        <x:v>Nubank Serviços</x:v>
      </x:c>
      <x:c r="D811" s="17" t="n">
        <x:v>30628.41</x:v>
      </x:c>
      <x:c r="E811" s="17" t="n">
        <x:v>30628.41</x:v>
      </x:c>
      <x:c r="F811" s="13" t="str">
        <x:v>Conciliado</x:v>
      </x:c>
      <x:c r="G811" s="13" t="str">
        <x:v>Sem divergência</x:v>
      </x:c>
      <x:c r="H811" s="13" t="n">
        <x:v>0.27</x:v>
      </x:c>
      <x:c r="I811" s="13" t="str">
        <x:v>Operação Clareza</x:v>
      </x:c>
      <x:c r="J811" s="17" t="n">
        <x:f>E811-D811</x:f>
        <x:v>0</x:v>
      </x:c>
      <x:c r="K811" s="19" t="n">
        <x:f>IFERROR(ABS(J811/D811),0)</x:f>
        <x:v>0</x:v>
      </x:c>
    </x:row>
    <x:row r="812">
      <x:c r="A812" s="13" t="str">
        <x:v>CON-000811</x:v>
      </x:c>
      <x:c r="B812" s="23" t="n">
        <x:v>46012</x:v>
      </x:c>
      <x:c r="C812" s="13" t="str">
        <x:v>Nubank Serviços</x:v>
      </x:c>
      <x:c r="D812" s="17" t="n">
        <x:v>32072.8</x:v>
      </x:c>
      <x:c r="E812" s="17" t="n">
        <x:v>32072.8</x:v>
      </x:c>
      <x:c r="F812" s="13" t="str">
        <x:v>Conciliado</x:v>
      </x:c>
      <x:c r="G812" s="13" t="str">
        <x:v>Sem divergência</x:v>
      </x:c>
      <x:c r="H812" s="13" t="n">
        <x:v>0.15</x:v>
      </x:c>
      <x:c r="I812" s="13" t="str">
        <x:v>Operação Clareza</x:v>
      </x:c>
      <x:c r="J812" s="17" t="n">
        <x:f>E812-D812</x:f>
        <x:v>0</x:v>
      </x:c>
      <x:c r="K812" s="19" t="n">
        <x:f>IFERROR(ABS(J812/D812),0)</x:f>
        <x:v>0</x:v>
      </x:c>
    </x:row>
    <x:row r="813">
      <x:c r="A813" s="13" t="str">
        <x:v>CON-000812</x:v>
      </x:c>
      <x:c r="B813" s="23" t="n">
        <x:v>45997</x:v>
      </x:c>
      <x:c r="C813" s="13" t="str">
        <x:v>Bradesco Pagamentos</x:v>
      </x:c>
      <x:c r="D813" s="17" t="n">
        <x:v>10772.77</x:v>
      </x:c>
      <x:c r="E813" s="17" t="n">
        <x:v>10772.77</x:v>
      </x:c>
      <x:c r="F813" s="13" t="str">
        <x:v>Conciliado</x:v>
      </x:c>
      <x:c r="G813" s="13" t="str">
        <x:v>Sem divergência</x:v>
      </x:c>
      <x:c r="H813" s="13" t="n">
        <x:v>0.07</x:v>
      </x:c>
      <x:c r="I813" s="13" t="str">
        <x:v>Operação Clareza</x:v>
      </x:c>
      <x:c r="J813" s="17" t="n">
        <x:f>E813-D813</x:f>
        <x:v>0</x:v>
      </x:c>
      <x:c r="K813" s="19" t="n">
        <x:f>IFERROR(ABS(J813/D813),0)</x:f>
        <x:v>0</x:v>
      </x:c>
    </x:row>
    <x:row r="814">
      <x:c r="A814" s="13" t="str">
        <x:v>CON-000813</x:v>
      </x:c>
      <x:c r="B814" s="23" t="n">
        <x:v>46010</x:v>
      </x:c>
      <x:c r="C814" s="13" t="str">
        <x:v>Bradesco Pagamentos</x:v>
      </x:c>
      <x:c r="D814" s="17" t="n">
        <x:v>38590</x:v>
      </x:c>
      <x:c r="E814" s="17" t="n">
        <x:v>38590</x:v>
      </x:c>
      <x:c r="F814" s="13" t="str">
        <x:v>Conciliado</x:v>
      </x:c>
      <x:c r="G814" s="13" t="str">
        <x:v>Sem divergência</x:v>
      </x:c>
      <x:c r="H814" s="13" t="n">
        <x:v>0.3</x:v>
      </x:c>
      <x:c r="I814" s="13" t="str">
        <x:v>Operação Clareza</x:v>
      </x:c>
      <x:c r="J814" s="17" t="n">
        <x:f>E814-D814</x:f>
        <x:v>0</x:v>
      </x:c>
      <x:c r="K814" s="19" t="n">
        <x:f>IFERROR(ABS(J814/D814),0)</x:f>
        <x:v>0</x:v>
      </x:c>
    </x:row>
    <x:row r="815">
      <x:c r="A815" s="13" t="str">
        <x:v>CON-000814</x:v>
      </x:c>
      <x:c r="B815" s="23" t="n">
        <x:v>45994</x:v>
      </x:c>
      <x:c r="C815" s="13" t="str">
        <x:v>Bradesco Pagamentos</x:v>
      </x:c>
      <x:c r="D815" s="17" t="n">
        <x:v>29124.16</x:v>
      </x:c>
      <x:c r="E815" s="17" t="n">
        <x:v>29124.16</x:v>
      </x:c>
      <x:c r="F815" s="13" t="str">
        <x:v>Conciliado</x:v>
      </x:c>
      <x:c r="G815" s="13" t="str">
        <x:v>Sem divergência</x:v>
      </x:c>
      <x:c r="H815" s="13" t="n">
        <x:v>0.37</x:v>
      </x:c>
      <x:c r="I815" s="13" t="str">
        <x:v>Operação Clareza</x:v>
      </x:c>
      <x:c r="J815" s="17" t="n">
        <x:f>E815-D815</x:f>
        <x:v>0</x:v>
      </x:c>
      <x:c r="K815" s="19" t="n">
        <x:f>IFERROR(ABS(J815/D815),0)</x:f>
        <x:v>0</x:v>
      </x:c>
    </x:row>
    <x:row r="816">
      <x:c r="A816" s="13" t="str">
        <x:v>CON-000815</x:v>
      </x:c>
      <x:c r="B816" s="23" t="n">
        <x:v>46015</x:v>
      </x:c>
      <x:c r="C816" s="13" t="str">
        <x:v>Bradesco Pagamentos</x:v>
      </x:c>
      <x:c r="D816" s="17" t="n">
        <x:v>43745.21</x:v>
      </x:c>
      <x:c r="E816" s="17" t="n">
        <x:v>43745.21</x:v>
      </x:c>
      <x:c r="F816" s="13" t="str">
        <x:v>Conciliado</x:v>
      </x:c>
      <x:c r="G816" s="13" t="str">
        <x:v>Sem divergência</x:v>
      </x:c>
      <x:c r="H816" s="13" t="n">
        <x:v>0.43</x:v>
      </x:c>
      <x:c r="I816" s="13" t="str">
        <x:v>Operação Clareza</x:v>
      </x:c>
      <x:c r="J816" s="17" t="n">
        <x:f>E816-D816</x:f>
        <x:v>0</x:v>
      </x:c>
      <x:c r="K816" s="19" t="n">
        <x:f>IFERROR(ABS(J816/D816),0)</x:f>
        <x:v>0</x:v>
      </x:c>
    </x:row>
    <x:row r="817">
      <x:c r="A817" s="13" t="str">
        <x:v>CON-000816</x:v>
      </x:c>
      <x:c r="B817" s="23" t="n">
        <x:v>45996</x:v>
      </x:c>
      <x:c r="C817" s="13" t="str">
        <x:v>Nubank Serviços</x:v>
      </x:c>
      <x:c r="D817" s="17" t="n">
        <x:v>9167.48</x:v>
      </x:c>
      <x:c r="E817" s="17" t="n">
        <x:v>9167.48</x:v>
      </x:c>
      <x:c r="F817" s="13" t="str">
        <x:v>Conciliado</x:v>
      </x:c>
      <x:c r="G817" s="13" t="str">
        <x:v>Sem divergência</x:v>
      </x:c>
      <x:c r="H817" s="13" t="n">
        <x:v>0.13</x:v>
      </x:c>
      <x:c r="I817" s="13" t="str">
        <x:v>Operação Clareza</x:v>
      </x:c>
      <x:c r="J817" s="17" t="n">
        <x:f>E817-D817</x:f>
        <x:v>0</x:v>
      </x:c>
      <x:c r="K817" s="19" t="n">
        <x:f>IFERROR(ABS(J817/D817),0)</x:f>
        <x:v>0</x:v>
      </x:c>
    </x:row>
    <x:row r="818">
      <x:c r="A818" s="13" t="str">
        <x:v>CON-000817</x:v>
      </x:c>
      <x:c r="B818" s="23" t="n">
        <x:v>45992</x:v>
      </x:c>
      <x:c r="C818" s="13" t="str">
        <x:v>Bradesco Pagamentos</x:v>
      </x:c>
      <x:c r="D818" s="17" t="n">
        <x:v>25319.06</x:v>
      </x:c>
      <x:c r="E818" s="17" t="n">
        <x:v>25319.06</x:v>
      </x:c>
      <x:c r="F818" s="13" t="str">
        <x:v>Conciliado</x:v>
      </x:c>
      <x:c r="G818" s="13" t="str">
        <x:v>Sem divergência</x:v>
      </x:c>
      <x:c r="H818" s="13" t="n">
        <x:v>0.13</x:v>
      </x:c>
      <x:c r="I818" s="13" t="str">
        <x:v>Operação Clareza</x:v>
      </x:c>
      <x:c r="J818" s="17" t="n">
        <x:f>E818-D818</x:f>
        <x:v>0</x:v>
      </x:c>
      <x:c r="K818" s="19" t="n">
        <x:f>IFERROR(ABS(J818/D818),0)</x:f>
        <x:v>0</x:v>
      </x:c>
    </x:row>
    <x:row r="819">
      <x:c r="A819" s="13" t="str">
        <x:v>CON-000818</x:v>
      </x:c>
      <x:c r="B819" s="23" t="n">
        <x:v>45999</x:v>
      </x:c>
      <x:c r="C819" s="13" t="str">
        <x:v>Itaú Operacional</x:v>
      </x:c>
      <x:c r="D819" s="17" t="n">
        <x:v>42906.52</x:v>
      </x:c>
      <x:c r="E819" s="17" t="n">
        <x:v>42906.52</x:v>
      </x:c>
      <x:c r="F819" s="13" t="str">
        <x:v>Conciliado</x:v>
      </x:c>
      <x:c r="G819" s="13" t="str">
        <x:v>Sem divergência</x:v>
      </x:c>
      <x:c r="H819" s="13" t="n">
        <x:v>0.4</x:v>
      </x:c>
      <x:c r="I819" s="13" t="str">
        <x:v>Operação Clareza</x:v>
      </x:c>
      <x:c r="J819" s="17" t="n">
        <x:f>E819-D819</x:f>
        <x:v>0</x:v>
      </x:c>
      <x:c r="K819" s="19" t="n">
        <x:f>IFERROR(ABS(J819/D819),0)</x:f>
        <x:v>0</x:v>
      </x:c>
    </x:row>
    <x:row r="820">
      <x:c r="A820" s="13" t="str">
        <x:v>CON-000819</x:v>
      </x:c>
      <x:c r="B820" s="23" t="n">
        <x:v>46001</x:v>
      </x:c>
      <x:c r="C820" s="13" t="str">
        <x:v>Santander Recebimentos</x:v>
      </x:c>
      <x:c r="D820" s="17" t="n">
        <x:v>32092.16</x:v>
      </x:c>
      <x:c r="E820" s="17" t="n">
        <x:v>32092.16</x:v>
      </x:c>
      <x:c r="F820" s="13" t="str">
        <x:v>Conciliado</x:v>
      </x:c>
      <x:c r="G820" s="13" t="str">
        <x:v>Sem divergência</x:v>
      </x:c>
      <x:c r="H820" s="13" t="n">
        <x:v>0.27</x:v>
      </x:c>
      <x:c r="I820" s="13" t="str">
        <x:v>Operação Clareza</x:v>
      </x:c>
      <x:c r="J820" s="17" t="n">
        <x:f>E820-D820</x:f>
        <x:v>0</x:v>
      </x:c>
      <x:c r="K820" s="19" t="n">
        <x:f>IFERROR(ABS(J820/D820),0)</x:f>
        <x:v>0</x:v>
      </x:c>
    </x:row>
    <x:row r="821">
      <x:c r="A821" s="13" t="str">
        <x:v>CON-000820</x:v>
      </x:c>
      <x:c r="B821" s="23" t="n">
        <x:v>45994</x:v>
      </x:c>
      <x:c r="C821" s="13" t="str">
        <x:v>Nubank Serviços</x:v>
      </x:c>
      <x:c r="D821" s="17" t="n">
        <x:v>13366.05</x:v>
      </x:c>
      <x:c r="E821" s="17" t="n">
        <x:v>13366.05</x:v>
      </x:c>
      <x:c r="F821" s="13" t="str">
        <x:v>Conciliado</x:v>
      </x:c>
      <x:c r="G821" s="13" t="str">
        <x:v>Sem divergência</x:v>
      </x:c>
      <x:c r="H821" s="13" t="n">
        <x:v>0.02</x:v>
      </x:c>
      <x:c r="I821" s="13" t="str">
        <x:v>Operação Clareza</x:v>
      </x:c>
      <x:c r="J821" s="17" t="n">
        <x:f>E821-D821</x:f>
        <x:v>0</x:v>
      </x:c>
      <x:c r="K821" s="19" t="n">
        <x:f>IFERROR(ABS(J821/D821),0)</x:f>
        <x:v>0</x:v>
      </x:c>
    </x:row>
    <x:row r="822">
      <x:c r="A822" s="13" t="str">
        <x:v>CON-000821</x:v>
      </x:c>
      <x:c r="B822" s="23" t="n">
        <x:v>46009</x:v>
      </x:c>
      <x:c r="C822" s="13" t="str">
        <x:v>Bradesco Pagamentos</x:v>
      </x:c>
      <x:c r="D822" s="17" t="n">
        <x:v>8069.69</x:v>
      </x:c>
      <x:c r="E822" s="17" t="n">
        <x:v>8069.69</x:v>
      </x:c>
      <x:c r="F822" s="13" t="str">
        <x:v>Conciliado</x:v>
      </x:c>
      <x:c r="G822" s="13" t="str">
        <x:v>Sem divergência</x:v>
      </x:c>
      <x:c r="H822" s="13" t="n">
        <x:v>0.25</x:v>
      </x:c>
      <x:c r="I822" s="13" t="str">
        <x:v>Operação Clareza</x:v>
      </x:c>
      <x:c r="J822" s="17" t="n">
        <x:f>E822-D822</x:f>
        <x:v>0</x:v>
      </x:c>
      <x:c r="K822" s="19" t="n">
        <x:f>IFERROR(ABS(J822/D822),0)</x:f>
        <x:v>0</x:v>
      </x:c>
    </x:row>
    <x:row r="823">
      <x:c r="A823" s="13" t="str">
        <x:v>CON-000822</x:v>
      </x:c>
      <x:c r="B823" s="23" t="n">
        <x:v>46000</x:v>
      </x:c>
      <x:c r="C823" s="13" t="str">
        <x:v>Bradesco Pagamentos</x:v>
      </x:c>
      <x:c r="D823" s="17" t="n">
        <x:v>8493.26</x:v>
      </x:c>
      <x:c r="E823" s="17" t="n">
        <x:v>8493.26</x:v>
      </x:c>
      <x:c r="F823" s="13" t="str">
        <x:v>Conciliado</x:v>
      </x:c>
      <x:c r="G823" s="13" t="str">
        <x:v>Sem divergência</x:v>
      </x:c>
      <x:c r="H823" s="13" t="n">
        <x:v>0.41</x:v>
      </x:c>
      <x:c r="I823" s="13" t="str">
        <x:v>Operação Clareza</x:v>
      </x:c>
      <x:c r="J823" s="17" t="n">
        <x:f>E823-D823</x:f>
        <x:v>0</x:v>
      </x:c>
      <x:c r="K823" s="19" t="n">
        <x:f>IFERROR(ABS(J823/D823),0)</x:f>
        <x:v>0</x:v>
      </x:c>
    </x:row>
    <x:row r="824">
      <x:c r="A824" s="13" t="str">
        <x:v>CON-000823</x:v>
      </x:c>
      <x:c r="B824" s="23" t="n">
        <x:v>46010</x:v>
      </x:c>
      <x:c r="C824" s="13" t="str">
        <x:v>Santander Recebimentos</x:v>
      </x:c>
      <x:c r="D824" s="17" t="n">
        <x:v>7369.78</x:v>
      </x:c>
      <x:c r="E824" s="17" t="n">
        <x:v>7369.78</x:v>
      </x:c>
      <x:c r="F824" s="13" t="str">
        <x:v>Conciliado</x:v>
      </x:c>
      <x:c r="G824" s="13" t="str">
        <x:v>Sem divergência</x:v>
      </x:c>
      <x:c r="H824" s="13" t="n">
        <x:v>0.17</x:v>
      </x:c>
      <x:c r="I824" s="13" t="str">
        <x:v>Operação Clareza</x:v>
      </x:c>
      <x:c r="J824" s="17" t="n">
        <x:f>E824-D824</x:f>
        <x:v>0</x:v>
      </x:c>
      <x:c r="K824" s="19" t="n">
        <x:f>IFERROR(ABS(J824/D824),0)</x:f>
        <x:v>0</x:v>
      </x:c>
    </x:row>
    <x:row r="825">
      <x:c r="A825" s="13" t="str">
        <x:v>CON-000824</x:v>
      </x:c>
      <x:c r="B825" s="23" t="n">
        <x:v>45992</x:v>
      </x:c>
      <x:c r="C825" s="13" t="str">
        <x:v>Bradesco Pagamentos</x:v>
      </x:c>
      <x:c r="D825" s="17" t="n">
        <x:v>43122.83</x:v>
      </x:c>
      <x:c r="E825" s="17" t="n">
        <x:v>43122.83</x:v>
      </x:c>
      <x:c r="F825" s="13" t="str">
        <x:v>Conciliado</x:v>
      </x:c>
      <x:c r="G825" s="13" t="str">
        <x:v>Sem divergência</x:v>
      </x:c>
      <x:c r="H825" s="13" t="n">
        <x:v>0.31</x:v>
      </x:c>
      <x:c r="I825" s="13" t="str">
        <x:v>Operação Clareza</x:v>
      </x:c>
      <x:c r="J825" s="17" t="n">
        <x:f>E825-D825</x:f>
        <x:v>0</x:v>
      </x:c>
      <x:c r="K825" s="19" t="n">
        <x:f>IFERROR(ABS(J825/D825),0)</x:f>
        <x:v>0</x:v>
      </x:c>
    </x:row>
    <x:row r="826">
      <x:c r="A826" s="13" t="str">
        <x:v>CON-000825</x:v>
      </x:c>
      <x:c r="B826" s="23" t="n">
        <x:v>45998</x:v>
      </x:c>
      <x:c r="C826" s="13" t="str">
        <x:v>Nubank Serviços</x:v>
      </x:c>
      <x:c r="D826" s="17" t="n">
        <x:v>20052.97</x:v>
      </x:c>
      <x:c r="E826" s="17" t="n">
        <x:v>20052.97</x:v>
      </x:c>
      <x:c r="F826" s="13" t="str">
        <x:v>Conciliado</x:v>
      </x:c>
      <x:c r="G826" s="13" t="str">
        <x:v>Sem divergência</x:v>
      </x:c>
      <x:c r="H826" s="13" t="n">
        <x:v>0.15</x:v>
      </x:c>
      <x:c r="I826" s="13" t="str">
        <x:v>Operação Clareza</x:v>
      </x:c>
      <x:c r="J826" s="17" t="n">
        <x:f>E826-D826</x:f>
        <x:v>0</x:v>
      </x:c>
      <x:c r="K826" s="19" t="n">
        <x:f>IFERROR(ABS(J826/D826),0)</x:f>
        <x:v>0</x:v>
      </x:c>
    </x:row>
    <x:row r="827">
      <x:c r="A827" s="13" t="str">
        <x:v>CON-000826</x:v>
      </x:c>
      <x:c r="B827" s="23" t="n">
        <x:v>45992</x:v>
      </x:c>
      <x:c r="C827" s="13" t="str">
        <x:v>Nubank Serviços</x:v>
      </x:c>
      <x:c r="D827" s="17" t="n">
        <x:v>18148.84</x:v>
      </x:c>
      <x:c r="E827" s="17" t="n">
        <x:v>18148.84</x:v>
      </x:c>
      <x:c r="F827" s="13" t="str">
        <x:v>Conciliado</x:v>
      </x:c>
      <x:c r="G827" s="13" t="str">
        <x:v>Sem divergência</x:v>
      </x:c>
      <x:c r="H827" s="13" t="n">
        <x:v>0.22</x:v>
      </x:c>
      <x:c r="I827" s="13" t="str">
        <x:v>Operação Clareza</x:v>
      </x:c>
      <x:c r="J827" s="17" t="n">
        <x:f>E827-D827</x:f>
        <x:v>0</x:v>
      </x:c>
      <x:c r="K827" s="19" t="n">
        <x:f>IFERROR(ABS(J827/D827),0)</x:f>
        <x:v>0</x:v>
      </x:c>
    </x:row>
    <x:row r="828">
      <x:c r="A828" s="13" t="str">
        <x:v>CON-000827</x:v>
      </x:c>
      <x:c r="B828" s="23" t="n">
        <x:v>46014</x:v>
      </x:c>
      <x:c r="C828" s="13" t="str">
        <x:v>Nubank Serviços</x:v>
      </x:c>
      <x:c r="D828" s="17" t="n">
        <x:v>28353.64</x:v>
      </x:c>
      <x:c r="E828" s="17" t="n">
        <x:v>28353.64</x:v>
      </x:c>
      <x:c r="F828" s="13" t="str">
        <x:v>Conciliado</x:v>
      </x:c>
      <x:c r="G828" s="13" t="str">
        <x:v>Sem divergência</x:v>
      </x:c>
      <x:c r="H828" s="13" t="n">
        <x:v>0.05</x:v>
      </x:c>
      <x:c r="I828" s="13" t="str">
        <x:v>Operação Clareza</x:v>
      </x:c>
      <x:c r="J828" s="17" t="n">
        <x:f>E828-D828</x:f>
        <x:v>0</x:v>
      </x:c>
      <x:c r="K828" s="19" t="n">
        <x:f>IFERROR(ABS(J828/D828),0)</x:f>
        <x:v>0</x:v>
      </x:c>
    </x:row>
    <x:row r="829">
      <x:c r="A829" s="13" t="str">
        <x:v>CON-000828</x:v>
      </x:c>
      <x:c r="B829" s="23" t="n">
        <x:v>45992</x:v>
      </x:c>
      <x:c r="C829" s="13" t="str">
        <x:v>Nubank Serviços</x:v>
      </x:c>
      <x:c r="D829" s="17" t="n">
        <x:v>24128.87</x:v>
      </x:c>
      <x:c r="E829" s="17" t="n">
        <x:v>24128.87</x:v>
      </x:c>
      <x:c r="F829" s="13" t="str">
        <x:v>Conciliado</x:v>
      </x:c>
      <x:c r="G829" s="13" t="str">
        <x:v>Sem divergência</x:v>
      </x:c>
      <x:c r="H829" s="13" t="n">
        <x:v>0.08</x:v>
      </x:c>
      <x:c r="I829" s="13" t="str">
        <x:v>Operação Clareza</x:v>
      </x:c>
      <x:c r="J829" s="17" t="n">
        <x:f>E829-D829</x:f>
        <x:v>0</x:v>
      </x:c>
      <x:c r="K829" s="19" t="n">
        <x:f>IFERROR(ABS(J829/D829),0)</x:f>
        <x:v>0</x:v>
      </x:c>
    </x:row>
    <x:row r="830">
      <x:c r="A830" s="13" t="str">
        <x:v>CON-000829</x:v>
      </x:c>
      <x:c r="B830" s="23" t="n">
        <x:v>46010</x:v>
      </x:c>
      <x:c r="C830" s="13" t="str">
        <x:v>Santander Recebimentos</x:v>
      </x:c>
      <x:c r="D830" s="17" t="n">
        <x:v>28450.76</x:v>
      </x:c>
      <x:c r="E830" s="17" t="n">
        <x:v>28450.76</x:v>
      </x:c>
      <x:c r="F830" s="13" t="str">
        <x:v>Conciliado</x:v>
      </x:c>
      <x:c r="G830" s="13" t="str">
        <x:v>Sem divergência</x:v>
      </x:c>
      <x:c r="H830" s="13" t="n">
        <x:v>0.38</x:v>
      </x:c>
      <x:c r="I830" s="13" t="str">
        <x:v>Operação Clareza</x:v>
      </x:c>
      <x:c r="J830" s="17" t="n">
        <x:f>E830-D830</x:f>
        <x:v>0</x:v>
      </x:c>
      <x:c r="K830" s="19" t="n">
        <x:f>IFERROR(ABS(J830/D830),0)</x:f>
        <x:v>0</x:v>
      </x:c>
    </x:row>
    <x:row r="831">
      <x:c r="A831" s="13" t="str">
        <x:v>CON-000830</x:v>
      </x:c>
      <x:c r="B831" s="23" t="n">
        <x:v>46011</x:v>
      </x:c>
      <x:c r="C831" s="13" t="str">
        <x:v>Itaú Operacional</x:v>
      </x:c>
      <x:c r="D831" s="17" t="n">
        <x:v>35749.59</x:v>
      </x:c>
      <x:c r="E831" s="17" t="n">
        <x:v>35749.59</x:v>
      </x:c>
      <x:c r="F831" s="13" t="str">
        <x:v>Conciliado</x:v>
      </x:c>
      <x:c r="G831" s="13" t="str">
        <x:v>Sem divergência</x:v>
      </x:c>
      <x:c r="H831" s="13" t="n">
        <x:v>0.11</x:v>
      </x:c>
      <x:c r="I831" s="13" t="str">
        <x:v>Operação Clareza</x:v>
      </x:c>
      <x:c r="J831" s="17" t="n">
        <x:f>E831-D831</x:f>
        <x:v>0</x:v>
      </x:c>
      <x:c r="K831" s="19" t="n">
        <x:f>IFERROR(ABS(J831/D831),0)</x:f>
        <x:v>0</x:v>
      </x:c>
    </x:row>
    <x:row r="832">
      <x:c r="A832" s="13" t="str">
        <x:v>CON-000831</x:v>
      </x:c>
      <x:c r="B832" s="23" t="n">
        <x:v>46002</x:v>
      </x:c>
      <x:c r="C832" s="13" t="str">
        <x:v>Santander Recebimentos</x:v>
      </x:c>
      <x:c r="D832" s="17" t="n">
        <x:v>976.75</x:v>
      </x:c>
      <x:c r="E832" s="17" t="n">
        <x:v>976.75</x:v>
      </x:c>
      <x:c r="F832" s="13" t="str">
        <x:v>Conciliado</x:v>
      </x:c>
      <x:c r="G832" s="13" t="str">
        <x:v>Sem divergência</x:v>
      </x:c>
      <x:c r="H832" s="13" t="n">
        <x:v>0.28</x:v>
      </x:c>
      <x:c r="I832" s="13" t="str">
        <x:v>Operação Clareza</x:v>
      </x:c>
      <x:c r="J832" s="17" t="n">
        <x:f>E832-D832</x:f>
        <x:v>0</x:v>
      </x:c>
      <x:c r="K832" s="19" t="n">
        <x:f>IFERROR(ABS(J832/D832),0)</x:f>
        <x:v>0</x:v>
      </x:c>
    </x:row>
    <x:row r="833">
      <x:c r="A833" s="13" t="str">
        <x:v>CON-000832</x:v>
      </x:c>
      <x:c r="B833" s="23" t="n">
        <x:v>46017</x:v>
      </x:c>
      <x:c r="C833" s="13" t="str">
        <x:v>Santander Recebimentos</x:v>
      </x:c>
      <x:c r="D833" s="17" t="n">
        <x:v>21821.61</x:v>
      </x:c>
      <x:c r="E833" s="17" t="n">
        <x:v>21821.61</x:v>
      </x:c>
      <x:c r="F833" s="13" t="str">
        <x:v>Conciliado</x:v>
      </x:c>
      <x:c r="G833" s="13" t="str">
        <x:v>Sem divergência</x:v>
      </x:c>
      <x:c r="H833" s="13" t="n">
        <x:v>0.27</x:v>
      </x:c>
      <x:c r="I833" s="13" t="str">
        <x:v>Operação Clareza</x:v>
      </x:c>
      <x:c r="J833" s="17" t="n">
        <x:f>E833-D833</x:f>
        <x:v>0</x:v>
      </x:c>
      <x:c r="K833" s="19" t="n">
        <x:f>IFERROR(ABS(J833/D833),0)</x:f>
        <x:v>0</x:v>
      </x:c>
    </x:row>
    <x:row r="834">
      <x:c r="A834" s="13" t="str">
        <x:v>CON-000833</x:v>
      </x:c>
      <x:c r="B834" s="23" t="n">
        <x:v>45995</x:v>
      </x:c>
      <x:c r="C834" s="13" t="str">
        <x:v>Itaú Operacional</x:v>
      </x:c>
      <x:c r="D834" s="17" t="n">
        <x:v>30054.41</x:v>
      </x:c>
      <x:c r="E834" s="17" t="n">
        <x:v>30054.41</x:v>
      </x:c>
      <x:c r="F834" s="13" t="str">
        <x:v>Conciliado</x:v>
      </x:c>
      <x:c r="G834" s="13" t="str">
        <x:v>Sem divergência</x:v>
      </x:c>
      <x:c r="H834" s="13" t="n">
        <x:v>0.41</x:v>
      </x:c>
      <x:c r="I834" s="13" t="str">
        <x:v>Operação Clareza</x:v>
      </x:c>
      <x:c r="J834" s="17" t="n">
        <x:f>E834-D834</x:f>
        <x:v>0</x:v>
      </x:c>
      <x:c r="K834" s="19" t="n">
        <x:f>IFERROR(ABS(J834/D834),0)</x:f>
        <x:v>0</x:v>
      </x:c>
    </x:row>
    <x:row r="835">
      <x:c r="A835" s="13" t="str">
        <x:v>CON-000834</x:v>
      </x:c>
      <x:c r="B835" s="23" t="n">
        <x:v>45997</x:v>
      </x:c>
      <x:c r="C835" s="13" t="str">
        <x:v>Itaú Operacional</x:v>
      </x:c>
      <x:c r="D835" s="17" t="n">
        <x:v>23856.92</x:v>
      </x:c>
      <x:c r="E835" s="17" t="n">
        <x:v>23856.92</x:v>
      </x:c>
      <x:c r="F835" s="13" t="str">
        <x:v>Conciliado</x:v>
      </x:c>
      <x:c r="G835" s="13" t="str">
        <x:v>Sem divergência</x:v>
      </x:c>
      <x:c r="H835" s="13" t="n">
        <x:v>0.18</x:v>
      </x:c>
      <x:c r="I835" s="13" t="str">
        <x:v>Operação Clareza</x:v>
      </x:c>
      <x:c r="J835" s="17" t="n">
        <x:f>E835-D835</x:f>
        <x:v>0</x:v>
      </x:c>
      <x:c r="K835" s="19" t="n">
        <x:f>IFERROR(ABS(J835/D835),0)</x:f>
        <x:v>0</x:v>
      </x:c>
    </x:row>
    <x:row r="836">
      <x:c r="A836" s="13" t="str">
        <x:v>CON-000835</x:v>
      </x:c>
      <x:c r="B836" s="23" t="n">
        <x:v>46006</x:v>
      </x:c>
      <x:c r="C836" s="13" t="str">
        <x:v>Itaú Operacional</x:v>
      </x:c>
      <x:c r="D836" s="17" t="n">
        <x:v>17723.28</x:v>
      </x:c>
      <x:c r="E836" s="17" t="n">
        <x:v>17723.28</x:v>
      </x:c>
      <x:c r="F836" s="13" t="str">
        <x:v>Conciliado</x:v>
      </x:c>
      <x:c r="G836" s="13" t="str">
        <x:v>Sem divergência</x:v>
      </x:c>
      <x:c r="H836" s="13" t="n">
        <x:v>0.09</x:v>
      </x:c>
      <x:c r="I836" s="13" t="str">
        <x:v>Operação Clareza</x:v>
      </x:c>
      <x:c r="J836" s="17" t="n">
        <x:f>E836-D836</x:f>
        <x:v>0</x:v>
      </x:c>
      <x:c r="K836" s="19" t="n">
        <x:f>IFERROR(ABS(J836/D836),0)</x:f>
        <x:v>0</x:v>
      </x:c>
    </x:row>
    <x:row r="837">
      <x:c r="A837" s="13" t="str">
        <x:v>CON-000836</x:v>
      </x:c>
      <x:c r="B837" s="23" t="n">
        <x:v>45993</x:v>
      </x:c>
      <x:c r="C837" s="13" t="str">
        <x:v>Bradesco Pagamentos</x:v>
      </x:c>
      <x:c r="D837" s="17" t="n">
        <x:v>43042.55</x:v>
      </x:c>
      <x:c r="E837" s="17" t="n">
        <x:v>43787.26</x:v>
      </x:c>
      <x:c r="F837" s="13" t="str">
        <x:v>Pendente</x:v>
      </x:c>
      <x:c r="G837" s="13" t="str">
        <x:v>Lançamento sem documento</x:v>
      </x:c>
      <x:c r="H837" s="13" t="n">
        <x:v>10.78</x:v>
      </x:c>
      <x:c r="I837" s="13" t="str">
        <x:v>Operação Clareza</x:v>
      </x:c>
      <x:c r="J837" s="17" t="n">
        <x:f>E837-D837</x:f>
        <x:v>744.7099999999991</x:v>
      </x:c>
      <x:c r="K837" s="19" t="n">
        <x:f>IFERROR(ABS(J837/D837),0)</x:f>
        <x:v>0.01730171655722068</x:v>
      </x:c>
    </x:row>
    <x:row r="838">
      <x:c r="A838" s="13" t="str">
        <x:v>CON-000837</x:v>
      </x:c>
      <x:c r="B838" s="23" t="n">
        <x:v>46008</x:v>
      </x:c>
      <x:c r="C838" s="13" t="str">
        <x:v>Bradesco Pagamentos</x:v>
      </x:c>
      <x:c r="D838" s="17" t="n">
        <x:v>20278.47</x:v>
      </x:c>
      <x:c r="E838" s="17" t="n">
        <x:v>20278.47</x:v>
      </x:c>
      <x:c r="F838" s="13" t="str">
        <x:v>Conciliado</x:v>
      </x:c>
      <x:c r="G838" s="13" t="str">
        <x:v>Sem divergência</x:v>
      </x:c>
      <x:c r="H838" s="13" t="n">
        <x:v>0.09</x:v>
      </x:c>
      <x:c r="I838" s="13" t="str">
        <x:v>Operação Clareza</x:v>
      </x:c>
      <x:c r="J838" s="17" t="n">
        <x:f>E838-D838</x:f>
        <x:v>0</x:v>
      </x:c>
      <x:c r="K838" s="19" t="n">
        <x:f>IFERROR(ABS(J838/D838),0)</x:f>
        <x:v>0</x:v>
      </x:c>
    </x:row>
    <x:row r="839">
      <x:c r="A839" s="13" t="str">
        <x:v>CON-000838</x:v>
      </x:c>
      <x:c r="B839" s="23" t="n">
        <x:v>46012</x:v>
      </x:c>
      <x:c r="C839" s="13" t="str">
        <x:v>Nubank Serviços</x:v>
      </x:c>
      <x:c r="D839" s="17" t="n">
        <x:v>12375.07</x:v>
      </x:c>
      <x:c r="E839" s="17" t="n">
        <x:v>12375.07</x:v>
      </x:c>
      <x:c r="F839" s="13" t="str">
        <x:v>Conciliado</x:v>
      </x:c>
      <x:c r="G839" s="13" t="str">
        <x:v>Sem divergência</x:v>
      </x:c>
      <x:c r="H839" s="13" t="n">
        <x:v>0.34</x:v>
      </x:c>
      <x:c r="I839" s="13" t="str">
        <x:v>Operação Clareza</x:v>
      </x:c>
      <x:c r="J839" s="17" t="n">
        <x:f>E839-D839</x:f>
        <x:v>0</x:v>
      </x:c>
      <x:c r="K839" s="19" t="n">
        <x:f>IFERROR(ABS(J839/D839),0)</x:f>
        <x:v>0</x:v>
      </x:c>
    </x:row>
    <x:row r="840">
      <x:c r="A840" s="13" t="str">
        <x:v>CON-000839</x:v>
      </x:c>
      <x:c r="B840" s="23" t="n">
        <x:v>45996</x:v>
      </x:c>
      <x:c r="C840" s="13" t="str">
        <x:v>Itaú Operacional</x:v>
      </x:c>
      <x:c r="D840" s="17" t="n">
        <x:v>21258.12</x:v>
      </x:c>
      <x:c r="E840" s="17" t="n">
        <x:v>21258.12</x:v>
      </x:c>
      <x:c r="F840" s="13" t="str">
        <x:v>Conciliado</x:v>
      </x:c>
      <x:c r="G840" s="13" t="str">
        <x:v>Sem divergência</x:v>
      </x:c>
      <x:c r="H840" s="13" t="n">
        <x:v>0.34</x:v>
      </x:c>
      <x:c r="I840" s="13" t="str">
        <x:v>Operação Clareza</x:v>
      </x:c>
      <x:c r="J840" s="17" t="n">
        <x:f>E840-D840</x:f>
        <x:v>0</x:v>
      </x:c>
      <x:c r="K840" s="19" t="n">
        <x:f>IFERROR(ABS(J840/D840),0)</x:f>
        <x:v>0</x:v>
      </x:c>
    </x:row>
    <x:row r="841">
      <x:c r="A841" s="13" t="str">
        <x:v>CON-000840</x:v>
      </x:c>
      <x:c r="B841" s="23" t="n">
        <x:v>46004</x:v>
      </x:c>
      <x:c r="C841" s="13" t="str">
        <x:v>Santander Recebimentos</x:v>
      </x:c>
      <x:c r="D841" s="17" t="n">
        <x:v>34833.51</x:v>
      </x:c>
      <x:c r="E841" s="17" t="n">
        <x:v>34833.51</x:v>
      </x:c>
      <x:c r="F841" s="13" t="str">
        <x:v>Conciliado</x:v>
      </x:c>
      <x:c r="G841" s="13" t="str">
        <x:v>Sem divergência</x:v>
      </x:c>
      <x:c r="H841" s="13" t="n">
        <x:v>0.4</x:v>
      </x:c>
      <x:c r="I841" s="13" t="str">
        <x:v>Operação Clareza</x:v>
      </x:c>
      <x:c r="J841" s="17" t="n">
        <x:f>E841-D841</x:f>
        <x:v>0</x:v>
      </x:c>
      <x:c r="K841" s="19" t="n">
        <x:f>IFERROR(ABS(J841/D841),0)</x:f>
        <x:v>0</x:v>
      </x:c>
    </x:row>
    <x:row r="842">
      <x:c r="A842" s="13" t="str">
        <x:v>CON-000841</x:v>
      </x:c>
      <x:c r="B842" s="23" t="n">
        <x:v>46040</x:v>
      </x:c>
      <x:c r="C842" s="13" t="str">
        <x:v>Itaú Operacional</x:v>
      </x:c>
      <x:c r="D842" s="17" t="n">
        <x:v>42422.78</x:v>
      </x:c>
      <x:c r="E842" s="17" t="n">
        <x:v>42422.78</x:v>
      </x:c>
      <x:c r="F842" s="13" t="str">
        <x:v>Conciliado</x:v>
      </x:c>
      <x:c r="G842" s="13" t="str">
        <x:v>Sem divergência</x:v>
      </x:c>
      <x:c r="H842" s="13" t="n">
        <x:v>0.27</x:v>
      </x:c>
      <x:c r="I842" s="13" t="str">
        <x:v>Escala inteligente</x:v>
      </x:c>
      <x:c r="J842" s="17" t="n">
        <x:f>E842-D842</x:f>
        <x:v>0</x:v>
      </x:c>
      <x:c r="K842" s="19" t="n">
        <x:f>IFERROR(ABS(J842/D842),0)</x:f>
        <x:v>0</x:v>
      </x:c>
    </x:row>
    <x:row r="843">
      <x:c r="A843" s="13" t="str">
        <x:v>CON-000842</x:v>
      </x:c>
      <x:c r="B843" s="23" t="n">
        <x:v>46029</x:v>
      </x:c>
      <x:c r="C843" s="13" t="str">
        <x:v>Nubank Serviços</x:v>
      </x:c>
      <x:c r="D843" s="17" t="n">
        <x:v>36690.51</x:v>
      </x:c>
      <x:c r="E843" s="17" t="n">
        <x:v>36690.51</x:v>
      </x:c>
      <x:c r="F843" s="13" t="str">
        <x:v>Conciliado</x:v>
      </x:c>
      <x:c r="G843" s="13" t="str">
        <x:v>Sem divergência</x:v>
      </x:c>
      <x:c r="H843" s="13" t="n">
        <x:v>0.05</x:v>
      </x:c>
      <x:c r="I843" s="13" t="str">
        <x:v>Escala inteligente</x:v>
      </x:c>
      <x:c r="J843" s="17" t="n">
        <x:f>E843-D843</x:f>
        <x:v>0</x:v>
      </x:c>
      <x:c r="K843" s="19" t="n">
        <x:f>IFERROR(ABS(J843/D843),0)</x:f>
        <x:v>0</x:v>
      </x:c>
    </x:row>
    <x:row r="844">
      <x:c r="A844" s="13" t="str">
        <x:v>CON-000843</x:v>
      </x:c>
      <x:c r="B844" s="23" t="n">
        <x:v>46045</x:v>
      </x:c>
      <x:c r="C844" s="13" t="str">
        <x:v>Itaú Operacional</x:v>
      </x:c>
      <x:c r="D844" s="17" t="n">
        <x:v>3751.33</x:v>
      </x:c>
      <x:c r="E844" s="17" t="n">
        <x:v>3751.33</x:v>
      </x:c>
      <x:c r="F844" s="13" t="str">
        <x:v>Conciliado</x:v>
      </x:c>
      <x:c r="G844" s="13" t="str">
        <x:v>Sem divergência</x:v>
      </x:c>
      <x:c r="H844" s="13" t="n">
        <x:v>0.09</x:v>
      </x:c>
      <x:c r="I844" s="13" t="str">
        <x:v>Escala inteligente</x:v>
      </x:c>
      <x:c r="J844" s="17" t="n">
        <x:f>E844-D844</x:f>
        <x:v>0</x:v>
      </x:c>
      <x:c r="K844" s="19" t="n">
        <x:f>IFERROR(ABS(J844/D844),0)</x:f>
        <x:v>0</x:v>
      </x:c>
    </x:row>
    <x:row r="845">
      <x:c r="A845" s="13" t="str">
        <x:v>CON-000844</x:v>
      </x:c>
      <x:c r="B845" s="23" t="n">
        <x:v>46030</x:v>
      </x:c>
      <x:c r="C845" s="13" t="str">
        <x:v>Nubank Serviços</x:v>
      </x:c>
      <x:c r="D845" s="17" t="n">
        <x:v>2944.08</x:v>
      </x:c>
      <x:c r="E845" s="17" t="n">
        <x:v>2944.08</x:v>
      </x:c>
      <x:c r="F845" s="13" t="str">
        <x:v>Conciliado</x:v>
      </x:c>
      <x:c r="G845" s="13" t="str">
        <x:v>Sem divergência</x:v>
      </x:c>
      <x:c r="H845" s="13" t="n">
        <x:v>0.41</x:v>
      </x:c>
      <x:c r="I845" s="13" t="str">
        <x:v>Escala inteligente</x:v>
      </x:c>
      <x:c r="J845" s="17" t="n">
        <x:f>E845-D845</x:f>
        <x:v>0</x:v>
      </x:c>
      <x:c r="K845" s="19" t="n">
        <x:f>IFERROR(ABS(J845/D845),0)</x:f>
        <x:v>0</x:v>
      </x:c>
    </x:row>
    <x:row r="846">
      <x:c r="A846" s="13" t="str">
        <x:v>CON-000845</x:v>
      </x:c>
      <x:c r="B846" s="23" t="n">
        <x:v>46048</x:v>
      </x:c>
      <x:c r="C846" s="13" t="str">
        <x:v>Santander Recebimentos</x:v>
      </x:c>
      <x:c r="D846" s="17" t="n">
        <x:v>10520.28</x:v>
      </x:c>
      <x:c r="E846" s="17" t="n">
        <x:v>10520.28</x:v>
      </x:c>
      <x:c r="F846" s="13" t="str">
        <x:v>Conciliado</x:v>
      </x:c>
      <x:c r="G846" s="13" t="str">
        <x:v>Sem divergência</x:v>
      </x:c>
      <x:c r="H846" s="13" t="n">
        <x:v>0.37</x:v>
      </x:c>
      <x:c r="I846" s="13" t="str">
        <x:v>Escala inteligente</x:v>
      </x:c>
      <x:c r="J846" s="17" t="n">
        <x:f>E846-D846</x:f>
        <x:v>0</x:v>
      </x:c>
      <x:c r="K846" s="19" t="n">
        <x:f>IFERROR(ABS(J846/D846),0)</x:f>
        <x:v>0</x:v>
      </x:c>
    </x:row>
    <x:row r="847">
      <x:c r="A847" s="13" t="str">
        <x:v>CON-000846</x:v>
      </x:c>
      <x:c r="B847" s="23" t="n">
        <x:v>46035</x:v>
      </x:c>
      <x:c r="C847" s="13" t="str">
        <x:v>Nubank Serviços</x:v>
      </x:c>
      <x:c r="D847" s="17" t="n">
        <x:v>2955.39</x:v>
      </x:c>
      <x:c r="E847" s="17" t="n">
        <x:v>2955.39</x:v>
      </x:c>
      <x:c r="F847" s="13" t="str">
        <x:v>Conciliado</x:v>
      </x:c>
      <x:c r="G847" s="13" t="str">
        <x:v>Sem divergência</x:v>
      </x:c>
      <x:c r="H847" s="13" t="n">
        <x:v>0.2</x:v>
      </x:c>
      <x:c r="I847" s="13" t="str">
        <x:v>Escala inteligente</x:v>
      </x:c>
      <x:c r="J847" s="17" t="n">
        <x:f>E847-D847</x:f>
        <x:v>0</x:v>
      </x:c>
      <x:c r="K847" s="19" t="n">
        <x:f>IFERROR(ABS(J847/D847),0)</x:f>
        <x:v>0</x:v>
      </x:c>
    </x:row>
    <x:row r="848">
      <x:c r="A848" s="13" t="str">
        <x:v>CON-000847</x:v>
      </x:c>
      <x:c r="B848" s="23" t="n">
        <x:v>46024</x:v>
      </x:c>
      <x:c r="C848" s="13" t="str">
        <x:v>Nubank Serviços</x:v>
      </x:c>
      <x:c r="D848" s="17" t="n">
        <x:v>13864.42</x:v>
      </x:c>
      <x:c r="E848" s="17" t="n">
        <x:v>13864.42</x:v>
      </x:c>
      <x:c r="F848" s="13" t="str">
        <x:v>Conciliado</x:v>
      </x:c>
      <x:c r="G848" s="13" t="str">
        <x:v>Sem divergência</x:v>
      </x:c>
      <x:c r="H848" s="13" t="n">
        <x:v>0.19</x:v>
      </x:c>
      <x:c r="I848" s="13" t="str">
        <x:v>Escala inteligente</x:v>
      </x:c>
      <x:c r="J848" s="17" t="n">
        <x:f>E848-D848</x:f>
        <x:v>0</x:v>
      </x:c>
      <x:c r="K848" s="19" t="n">
        <x:f>IFERROR(ABS(J848/D848),0)</x:f>
        <x:v>0</x:v>
      </x:c>
    </x:row>
    <x:row r="849">
      <x:c r="A849" s="13" t="str">
        <x:v>CON-000848</x:v>
      </x:c>
      <x:c r="B849" s="23" t="n">
        <x:v>46046</x:v>
      </x:c>
      <x:c r="C849" s="13" t="str">
        <x:v>Itaú Operacional</x:v>
      </x:c>
      <x:c r="D849" s="17" t="n">
        <x:v>32261.38</x:v>
      </x:c>
      <x:c r="E849" s="17" t="n">
        <x:v>32261.38</x:v>
      </x:c>
      <x:c r="F849" s="13" t="str">
        <x:v>Conciliado</x:v>
      </x:c>
      <x:c r="G849" s="13" t="str">
        <x:v>Sem divergência</x:v>
      </x:c>
      <x:c r="H849" s="13" t="n">
        <x:v>0.14</x:v>
      </x:c>
      <x:c r="I849" s="13" t="str">
        <x:v>Escala inteligente</x:v>
      </x:c>
      <x:c r="J849" s="17" t="n">
        <x:f>E849-D849</x:f>
        <x:v>0</x:v>
      </x:c>
      <x:c r="K849" s="19" t="n">
        <x:f>IFERROR(ABS(J849/D849),0)</x:f>
        <x:v>0</x:v>
      </x:c>
    </x:row>
    <x:row r="850">
      <x:c r="A850" s="13" t="str">
        <x:v>CON-000849</x:v>
      </x:c>
      <x:c r="B850" s="23" t="n">
        <x:v>46030</x:v>
      </x:c>
      <x:c r="C850" s="13" t="str">
        <x:v>Bradesco Pagamentos</x:v>
      </x:c>
      <x:c r="D850" s="17" t="n">
        <x:v>36793.52</x:v>
      </x:c>
      <x:c r="E850" s="17" t="n">
        <x:v>36793.52</x:v>
      </x:c>
      <x:c r="F850" s="13" t="str">
        <x:v>Conciliado</x:v>
      </x:c>
      <x:c r="G850" s="13" t="str">
        <x:v>Sem divergência</x:v>
      </x:c>
      <x:c r="H850" s="13" t="n">
        <x:v>0.26</x:v>
      </x:c>
      <x:c r="I850" s="13" t="str">
        <x:v>Escala inteligente</x:v>
      </x:c>
      <x:c r="J850" s="17" t="n">
        <x:f>E850-D850</x:f>
        <x:v>0</x:v>
      </x:c>
      <x:c r="K850" s="19" t="n">
        <x:f>IFERROR(ABS(J850/D850),0)</x:f>
        <x:v>0</x:v>
      </x:c>
    </x:row>
    <x:row r="851">
      <x:c r="A851" s="13" t="str">
        <x:v>CON-000850</x:v>
      </x:c>
      <x:c r="B851" s="23" t="n">
        <x:v>46027</x:v>
      </x:c>
      <x:c r="C851" s="13" t="str">
        <x:v>Itaú Operacional</x:v>
      </x:c>
      <x:c r="D851" s="17" t="n">
        <x:v>25715.62</x:v>
      </x:c>
      <x:c r="E851" s="17" t="n">
        <x:v>25715.62</x:v>
      </x:c>
      <x:c r="F851" s="13" t="str">
        <x:v>Conciliado</x:v>
      </x:c>
      <x:c r="G851" s="13" t="str">
        <x:v>Sem divergência</x:v>
      </x:c>
      <x:c r="H851" s="13" t="n">
        <x:v>0.27</x:v>
      </x:c>
      <x:c r="I851" s="13" t="str">
        <x:v>Escala inteligente</x:v>
      </x:c>
      <x:c r="J851" s="17" t="n">
        <x:f>E851-D851</x:f>
        <x:v>0</x:v>
      </x:c>
      <x:c r="K851" s="19" t="n">
        <x:f>IFERROR(ABS(J851/D851),0)</x:f>
        <x:v>0</x:v>
      </x:c>
    </x:row>
    <x:row r="852">
      <x:c r="A852" s="13" t="str">
        <x:v>CON-000851</x:v>
      </x:c>
      <x:c r="B852" s="23" t="n">
        <x:v>46030</x:v>
      </x:c>
      <x:c r="C852" s="13" t="str">
        <x:v>Nubank Serviços</x:v>
      </x:c>
      <x:c r="D852" s="17" t="n">
        <x:v>16448.4</x:v>
      </x:c>
      <x:c r="E852" s="17" t="n">
        <x:v>16448.4</x:v>
      </x:c>
      <x:c r="F852" s="13" t="str">
        <x:v>Conciliado</x:v>
      </x:c>
      <x:c r="G852" s="13" t="str">
        <x:v>Sem divergência</x:v>
      </x:c>
      <x:c r="H852" s="13" t="n">
        <x:v>0.19</x:v>
      </x:c>
      <x:c r="I852" s="13" t="str">
        <x:v>Escala inteligente</x:v>
      </x:c>
      <x:c r="J852" s="17" t="n">
        <x:f>E852-D852</x:f>
        <x:v>0</x:v>
      </x:c>
      <x:c r="K852" s="19" t="n">
        <x:f>IFERROR(ABS(J852/D852),0)</x:f>
        <x:v>0</x:v>
      </x:c>
    </x:row>
    <x:row r="853">
      <x:c r="A853" s="13" t="str">
        <x:v>CON-000852</x:v>
      </x:c>
      <x:c r="B853" s="23" t="n">
        <x:v>46039</x:v>
      </x:c>
      <x:c r="C853" s="13" t="str">
        <x:v>Nubank Serviços</x:v>
      </x:c>
      <x:c r="D853" s="17" t="n">
        <x:v>28701.5</x:v>
      </x:c>
      <x:c r="E853" s="17" t="n">
        <x:v>28701.5</x:v>
      </x:c>
      <x:c r="F853" s="13" t="str">
        <x:v>Conciliado</x:v>
      </x:c>
      <x:c r="G853" s="13" t="str">
        <x:v>Sem divergência</x:v>
      </x:c>
      <x:c r="H853" s="13" t="n">
        <x:v>0.38</x:v>
      </x:c>
      <x:c r="I853" s="13" t="str">
        <x:v>Escala inteligente</x:v>
      </x:c>
      <x:c r="J853" s="17" t="n">
        <x:f>E853-D853</x:f>
        <x:v>0</x:v>
      </x:c>
      <x:c r="K853" s="19" t="n">
        <x:f>IFERROR(ABS(J853/D853),0)</x:f>
        <x:v>0</x:v>
      </x:c>
    </x:row>
    <x:row r="854">
      <x:c r="A854" s="13" t="str">
        <x:v>CON-000853</x:v>
      </x:c>
      <x:c r="B854" s="23" t="n">
        <x:v>46030</x:v>
      </x:c>
      <x:c r="C854" s="13" t="str">
        <x:v>Santander Recebimentos</x:v>
      </x:c>
      <x:c r="D854" s="17" t="n">
        <x:v>16828.32</x:v>
      </x:c>
      <x:c r="E854" s="17" t="n">
        <x:v>16828.32</x:v>
      </x:c>
      <x:c r="F854" s="13" t="str">
        <x:v>Conciliado</x:v>
      </x:c>
      <x:c r="G854" s="13" t="str">
        <x:v>Sem divergência</x:v>
      </x:c>
      <x:c r="H854" s="13" t="n">
        <x:v>0.28</x:v>
      </x:c>
      <x:c r="I854" s="13" t="str">
        <x:v>Escala inteligente</x:v>
      </x:c>
      <x:c r="J854" s="17" t="n">
        <x:f>E854-D854</x:f>
        <x:v>0</x:v>
      </x:c>
      <x:c r="K854" s="19" t="n">
        <x:f>IFERROR(ABS(J854/D854),0)</x:f>
        <x:v>0</x:v>
      </x:c>
    </x:row>
    <x:row r="855">
      <x:c r="A855" s="13" t="str">
        <x:v>CON-000854</x:v>
      </x:c>
      <x:c r="B855" s="23" t="n">
        <x:v>46027</x:v>
      </x:c>
      <x:c r="C855" s="13" t="str">
        <x:v>Bradesco Pagamentos</x:v>
      </x:c>
      <x:c r="D855" s="17" t="n">
        <x:v>13540.58</x:v>
      </x:c>
      <x:c r="E855" s="17" t="n">
        <x:v>13540.58</x:v>
      </x:c>
      <x:c r="F855" s="13" t="str">
        <x:v>Conciliado</x:v>
      </x:c>
      <x:c r="G855" s="13" t="str">
        <x:v>Sem divergência</x:v>
      </x:c>
      <x:c r="H855" s="13" t="n">
        <x:v>0.1</x:v>
      </x:c>
      <x:c r="I855" s="13" t="str">
        <x:v>Escala inteligente</x:v>
      </x:c>
      <x:c r="J855" s="17" t="n">
        <x:f>E855-D855</x:f>
        <x:v>0</x:v>
      </x:c>
      <x:c r="K855" s="19" t="n">
        <x:f>IFERROR(ABS(J855/D855),0)</x:f>
        <x:v>0</x:v>
      </x:c>
    </x:row>
    <x:row r="856">
      <x:c r="A856" s="13" t="str">
        <x:v>CON-000855</x:v>
      </x:c>
      <x:c r="B856" s="23" t="n">
        <x:v>46037</x:v>
      </x:c>
      <x:c r="C856" s="13" t="str">
        <x:v>Bradesco Pagamentos</x:v>
      </x:c>
      <x:c r="D856" s="17" t="n">
        <x:v>6584.8</x:v>
      </x:c>
      <x:c r="E856" s="17" t="n">
        <x:v>6584.8</x:v>
      </x:c>
      <x:c r="F856" s="13" t="str">
        <x:v>Conciliado</x:v>
      </x:c>
      <x:c r="G856" s="13" t="str">
        <x:v>Sem divergência</x:v>
      </x:c>
      <x:c r="H856" s="13" t="n">
        <x:v>0.41</x:v>
      </x:c>
      <x:c r="I856" s="13" t="str">
        <x:v>Escala inteligente</x:v>
      </x:c>
      <x:c r="J856" s="17" t="n">
        <x:f>E856-D856</x:f>
        <x:v>0</x:v>
      </x:c>
      <x:c r="K856" s="19" t="n">
        <x:f>IFERROR(ABS(J856/D856),0)</x:f>
        <x:v>0</x:v>
      </x:c>
    </x:row>
    <x:row r="857">
      <x:c r="A857" s="13" t="str">
        <x:v>CON-000856</x:v>
      </x:c>
      <x:c r="B857" s="23" t="n">
        <x:v>46050</x:v>
      </x:c>
      <x:c r="C857" s="13" t="str">
        <x:v>Itaú Operacional</x:v>
      </x:c>
      <x:c r="D857" s="17" t="n">
        <x:v>43830.68</x:v>
      </x:c>
      <x:c r="E857" s="17" t="n">
        <x:v>43830.68</x:v>
      </x:c>
      <x:c r="F857" s="13" t="str">
        <x:v>Conciliado</x:v>
      </x:c>
      <x:c r="G857" s="13" t="str">
        <x:v>Sem divergência</x:v>
      </x:c>
      <x:c r="H857" s="13" t="n">
        <x:v>0.42</x:v>
      </x:c>
      <x:c r="I857" s="13" t="str">
        <x:v>Escala inteligente</x:v>
      </x:c>
      <x:c r="J857" s="17" t="n">
        <x:f>E857-D857</x:f>
        <x:v>0</x:v>
      </x:c>
      <x:c r="K857" s="19" t="n">
        <x:f>IFERROR(ABS(J857/D857),0)</x:f>
        <x:v>0</x:v>
      </x:c>
    </x:row>
    <x:row r="858">
      <x:c r="A858" s="13" t="str">
        <x:v>CON-000857</x:v>
      </x:c>
      <x:c r="B858" s="23" t="n">
        <x:v>46041</x:v>
      </x:c>
      <x:c r="C858" s="13" t="str">
        <x:v>Itaú Operacional</x:v>
      </x:c>
      <x:c r="D858" s="17" t="n">
        <x:v>14374.2</x:v>
      </x:c>
      <x:c r="E858" s="17" t="n">
        <x:v>14374.2</x:v>
      </x:c>
      <x:c r="F858" s="13" t="str">
        <x:v>Conciliado</x:v>
      </x:c>
      <x:c r="G858" s="13" t="str">
        <x:v>Sem divergência</x:v>
      </x:c>
      <x:c r="H858" s="13" t="n">
        <x:v>0.2</x:v>
      </x:c>
      <x:c r="I858" s="13" t="str">
        <x:v>Escala inteligente</x:v>
      </x:c>
      <x:c r="J858" s="17" t="n">
        <x:f>E858-D858</x:f>
        <x:v>0</x:v>
      </x:c>
      <x:c r="K858" s="19" t="n">
        <x:f>IFERROR(ABS(J858/D858),0)</x:f>
        <x:v>0</x:v>
      </x:c>
    </x:row>
    <x:row r="859">
      <x:c r="A859" s="13" t="str">
        <x:v>CON-000858</x:v>
      </x:c>
      <x:c r="B859" s="23" t="n">
        <x:v>46039</x:v>
      </x:c>
      <x:c r="C859" s="13" t="str">
        <x:v>Bradesco Pagamentos</x:v>
      </x:c>
      <x:c r="D859" s="17" t="n">
        <x:v>32664.99</x:v>
      </x:c>
      <x:c r="E859" s="17" t="n">
        <x:v>32664.99</x:v>
      </x:c>
      <x:c r="F859" s="13" t="str">
        <x:v>Conciliado</x:v>
      </x:c>
      <x:c r="G859" s="13" t="str">
        <x:v>Sem divergência</x:v>
      </x:c>
      <x:c r="H859" s="13" t="n">
        <x:v>0.27</x:v>
      </x:c>
      <x:c r="I859" s="13" t="str">
        <x:v>Escala inteligente</x:v>
      </x:c>
      <x:c r="J859" s="17" t="n">
        <x:f>E859-D859</x:f>
        <x:v>0</x:v>
      </x:c>
      <x:c r="K859" s="19" t="n">
        <x:f>IFERROR(ABS(J859/D859),0)</x:f>
        <x:v>0</x:v>
      </x:c>
    </x:row>
    <x:row r="860">
      <x:c r="A860" s="13" t="str">
        <x:v>CON-000859</x:v>
      </x:c>
      <x:c r="B860" s="23" t="n">
        <x:v>46040</x:v>
      </x:c>
      <x:c r="C860" s="13" t="str">
        <x:v>Nubank Serviços</x:v>
      </x:c>
      <x:c r="D860" s="17" t="n">
        <x:v>38918.56</x:v>
      </x:c>
      <x:c r="E860" s="17" t="n">
        <x:v>38918.56</x:v>
      </x:c>
      <x:c r="F860" s="13" t="str">
        <x:v>Conciliado</x:v>
      </x:c>
      <x:c r="G860" s="13" t="str">
        <x:v>Sem divergência</x:v>
      </x:c>
      <x:c r="H860" s="13" t="n">
        <x:v>0.2</x:v>
      </x:c>
      <x:c r="I860" s="13" t="str">
        <x:v>Escala inteligente</x:v>
      </x:c>
      <x:c r="J860" s="17" t="n">
        <x:f>E860-D860</x:f>
        <x:v>0</x:v>
      </x:c>
      <x:c r="K860" s="19" t="n">
        <x:f>IFERROR(ABS(J860/D860),0)</x:f>
        <x:v>0</x:v>
      </x:c>
    </x:row>
    <x:row r="861">
      <x:c r="A861" s="13" t="str">
        <x:v>CON-000860</x:v>
      </x:c>
      <x:c r="B861" s="23" t="n">
        <x:v>46023</x:v>
      </x:c>
      <x:c r="C861" s="13" t="str">
        <x:v>Itaú Operacional</x:v>
      </x:c>
      <x:c r="D861" s="17" t="n">
        <x:v>34026.66</x:v>
      </x:c>
      <x:c r="E861" s="17" t="n">
        <x:v>34026.66</x:v>
      </x:c>
      <x:c r="F861" s="13" t="str">
        <x:v>Conciliado</x:v>
      </x:c>
      <x:c r="G861" s="13" t="str">
        <x:v>Sem divergência</x:v>
      </x:c>
      <x:c r="H861" s="13" t="n">
        <x:v>0.27</x:v>
      </x:c>
      <x:c r="I861" s="13" t="str">
        <x:v>Escala inteligente</x:v>
      </x:c>
      <x:c r="J861" s="17" t="n">
        <x:f>E861-D861</x:f>
        <x:v>0</x:v>
      </x:c>
      <x:c r="K861" s="19" t="n">
        <x:f>IFERROR(ABS(J861/D861),0)</x:f>
        <x:v>0</x:v>
      </x:c>
    </x:row>
    <x:row r="862">
      <x:c r="A862" s="13" t="str">
        <x:v>CON-000861</x:v>
      </x:c>
      <x:c r="B862" s="23" t="n">
        <x:v>46034</x:v>
      </x:c>
      <x:c r="C862" s="13" t="str">
        <x:v>Santander Recebimentos</x:v>
      </x:c>
      <x:c r="D862" s="17" t="n">
        <x:v>21127.57</x:v>
      </x:c>
      <x:c r="E862" s="17" t="n">
        <x:v>21127.57</x:v>
      </x:c>
      <x:c r="F862" s="13" t="str">
        <x:v>Conciliado</x:v>
      </x:c>
      <x:c r="G862" s="13" t="str">
        <x:v>Sem divergência</x:v>
      </x:c>
      <x:c r="H862" s="13" t="n">
        <x:v>0.19</x:v>
      </x:c>
      <x:c r="I862" s="13" t="str">
        <x:v>Escala inteligente</x:v>
      </x:c>
      <x:c r="J862" s="17" t="n">
        <x:f>E862-D862</x:f>
        <x:v>0</x:v>
      </x:c>
      <x:c r="K862" s="19" t="n">
        <x:f>IFERROR(ABS(J862/D862),0)</x:f>
        <x:v>0</x:v>
      </x:c>
    </x:row>
    <x:row r="863">
      <x:c r="A863" s="13" t="str">
        <x:v>CON-000862</x:v>
      </x:c>
      <x:c r="B863" s="23" t="n">
        <x:v>46046</x:v>
      </x:c>
      <x:c r="C863" s="13" t="str">
        <x:v>Santander Recebimentos</x:v>
      </x:c>
      <x:c r="D863" s="17" t="n">
        <x:v>23928.28</x:v>
      </x:c>
      <x:c r="E863" s="17" t="n">
        <x:v>23928.28</x:v>
      </x:c>
      <x:c r="F863" s="13" t="str">
        <x:v>Conciliado</x:v>
      </x:c>
      <x:c r="G863" s="13" t="str">
        <x:v>Sem divergência</x:v>
      </x:c>
      <x:c r="H863" s="13" t="n">
        <x:v>0.24</x:v>
      </x:c>
      <x:c r="I863" s="13" t="str">
        <x:v>Escala inteligente</x:v>
      </x:c>
      <x:c r="J863" s="17" t="n">
        <x:f>E863-D863</x:f>
        <x:v>0</x:v>
      </x:c>
      <x:c r="K863" s="19" t="n">
        <x:f>IFERROR(ABS(J863/D863),0)</x:f>
        <x:v>0</x:v>
      </x:c>
    </x:row>
    <x:row r="864">
      <x:c r="A864" s="13" t="str">
        <x:v>CON-000863</x:v>
      </x:c>
      <x:c r="B864" s="23" t="n">
        <x:v>46026</x:v>
      </x:c>
      <x:c r="C864" s="13" t="str">
        <x:v>Itaú Operacional</x:v>
      </x:c>
      <x:c r="D864" s="17" t="n">
        <x:v>7391.88</x:v>
      </x:c>
      <x:c r="E864" s="17" t="n">
        <x:v>7391.88</x:v>
      </x:c>
      <x:c r="F864" s="13" t="str">
        <x:v>Conciliado</x:v>
      </x:c>
      <x:c r="G864" s="13" t="str">
        <x:v>Sem divergência</x:v>
      </x:c>
      <x:c r="H864" s="13" t="n">
        <x:v>0.23</x:v>
      </x:c>
      <x:c r="I864" s="13" t="str">
        <x:v>Escala inteligente</x:v>
      </x:c>
      <x:c r="J864" s="17" t="n">
        <x:f>E864-D864</x:f>
        <x:v>0</x:v>
      </x:c>
      <x:c r="K864" s="19" t="n">
        <x:f>IFERROR(ABS(J864/D864),0)</x:f>
        <x:v>0</x:v>
      </x:c>
    </x:row>
    <x:row r="865">
      <x:c r="A865" s="13" t="str">
        <x:v>CON-000864</x:v>
      </x:c>
      <x:c r="B865" s="23" t="n">
        <x:v>46039</x:v>
      </x:c>
      <x:c r="C865" s="13" t="str">
        <x:v>Nubank Serviços</x:v>
      </x:c>
      <x:c r="D865" s="17" t="n">
        <x:v>17457.85</x:v>
      </x:c>
      <x:c r="E865" s="17" t="n">
        <x:v>17457.85</x:v>
      </x:c>
      <x:c r="F865" s="13" t="str">
        <x:v>Conciliado</x:v>
      </x:c>
      <x:c r="G865" s="13" t="str">
        <x:v>Sem divergência</x:v>
      </x:c>
      <x:c r="H865" s="13" t="n">
        <x:v>0.19</x:v>
      </x:c>
      <x:c r="I865" s="13" t="str">
        <x:v>Escala inteligente</x:v>
      </x:c>
      <x:c r="J865" s="17" t="n">
        <x:f>E865-D865</x:f>
        <x:v>0</x:v>
      </x:c>
      <x:c r="K865" s="19" t="n">
        <x:f>IFERROR(ABS(J865/D865),0)</x:f>
        <x:v>0</x:v>
      </x:c>
    </x:row>
    <x:row r="866">
      <x:c r="A866" s="13" t="str">
        <x:v>CON-000865</x:v>
      </x:c>
      <x:c r="B866" s="23" t="n">
        <x:v>46037</x:v>
      </x:c>
      <x:c r="C866" s="13" t="str">
        <x:v>Nubank Serviços</x:v>
      </x:c>
      <x:c r="D866" s="17" t="n">
        <x:v>5283.88</x:v>
      </x:c>
      <x:c r="E866" s="17" t="n">
        <x:v>5283.88</x:v>
      </x:c>
      <x:c r="F866" s="13" t="str">
        <x:v>Conciliado</x:v>
      </x:c>
      <x:c r="G866" s="13" t="str">
        <x:v>Sem divergência</x:v>
      </x:c>
      <x:c r="H866" s="13" t="n">
        <x:v>0.28</x:v>
      </x:c>
      <x:c r="I866" s="13" t="str">
        <x:v>Escala inteligente</x:v>
      </x:c>
      <x:c r="J866" s="17" t="n">
        <x:f>E866-D866</x:f>
        <x:v>0</x:v>
      </x:c>
      <x:c r="K866" s="19" t="n">
        <x:f>IFERROR(ABS(J866/D866),0)</x:f>
        <x:v>0</x:v>
      </x:c>
    </x:row>
    <x:row r="867">
      <x:c r="A867" s="13" t="str">
        <x:v>CON-000866</x:v>
      </x:c>
      <x:c r="B867" s="23" t="n">
        <x:v>46037</x:v>
      </x:c>
      <x:c r="C867" s="13" t="str">
        <x:v>Itaú Operacional</x:v>
      </x:c>
      <x:c r="D867" s="17" t="n">
        <x:v>31326.64</x:v>
      </x:c>
      <x:c r="E867" s="17" t="n">
        <x:v>31326.64</x:v>
      </x:c>
      <x:c r="F867" s="13" t="str">
        <x:v>Conciliado</x:v>
      </x:c>
      <x:c r="G867" s="13" t="str">
        <x:v>Sem divergência</x:v>
      </x:c>
      <x:c r="H867" s="13" t="n">
        <x:v>0.14</x:v>
      </x:c>
      <x:c r="I867" s="13" t="str">
        <x:v>Escala inteligente</x:v>
      </x:c>
      <x:c r="J867" s="17" t="n">
        <x:f>E867-D867</x:f>
        <x:v>0</x:v>
      </x:c>
      <x:c r="K867" s="19" t="n">
        <x:f>IFERROR(ABS(J867/D867),0)</x:f>
        <x:v>0</x:v>
      </x:c>
    </x:row>
    <x:row r="868">
      <x:c r="A868" s="13" t="str">
        <x:v>CON-000867</x:v>
      </x:c>
      <x:c r="B868" s="23" t="n">
        <x:v>46026</x:v>
      </x:c>
      <x:c r="C868" s="13" t="str">
        <x:v>Bradesco Pagamentos</x:v>
      </x:c>
      <x:c r="D868" s="17" t="n">
        <x:v>8021.98</x:v>
      </x:c>
      <x:c r="E868" s="17" t="n">
        <x:v>8021.98</x:v>
      </x:c>
      <x:c r="F868" s="13" t="str">
        <x:v>Conciliado</x:v>
      </x:c>
      <x:c r="G868" s="13" t="str">
        <x:v>Sem divergência</x:v>
      </x:c>
      <x:c r="H868" s="13" t="n">
        <x:v>0.36</x:v>
      </x:c>
      <x:c r="I868" s="13" t="str">
        <x:v>Escala inteligente</x:v>
      </x:c>
      <x:c r="J868" s="17" t="n">
        <x:f>E868-D868</x:f>
        <x:v>0</x:v>
      </x:c>
      <x:c r="K868" s="19" t="n">
        <x:f>IFERROR(ABS(J868/D868),0)</x:f>
        <x:v>0</x:v>
      </x:c>
    </x:row>
    <x:row r="869">
      <x:c r="A869" s="13" t="str">
        <x:v>CON-000868</x:v>
      </x:c>
      <x:c r="B869" s="23" t="n">
        <x:v>46039</x:v>
      </x:c>
      <x:c r="C869" s="13" t="str">
        <x:v>Nubank Serviços</x:v>
      </x:c>
      <x:c r="D869" s="17" t="n">
        <x:v>38418.47</x:v>
      </x:c>
      <x:c r="E869" s="17" t="n">
        <x:v>38418.47</x:v>
      </x:c>
      <x:c r="F869" s="13" t="str">
        <x:v>Conciliado</x:v>
      </x:c>
      <x:c r="G869" s="13" t="str">
        <x:v>Sem divergência</x:v>
      </x:c>
      <x:c r="H869" s="13" t="n">
        <x:v>0.44</x:v>
      </x:c>
      <x:c r="I869" s="13" t="str">
        <x:v>Escala inteligente</x:v>
      </x:c>
      <x:c r="J869" s="17" t="n">
        <x:f>E869-D869</x:f>
        <x:v>0</x:v>
      </x:c>
      <x:c r="K869" s="19" t="n">
        <x:f>IFERROR(ABS(J869/D869),0)</x:f>
        <x:v>0</x:v>
      </x:c>
    </x:row>
    <x:row r="870">
      <x:c r="A870" s="13" t="str">
        <x:v>CON-000869</x:v>
      </x:c>
      <x:c r="B870" s="23" t="n">
        <x:v>46034</x:v>
      </x:c>
      <x:c r="C870" s="13" t="str">
        <x:v>Santander Recebimentos</x:v>
      </x:c>
      <x:c r="D870" s="17" t="n">
        <x:v>3929.83</x:v>
      </x:c>
      <x:c r="E870" s="17" t="n">
        <x:v>3929.83</x:v>
      </x:c>
      <x:c r="F870" s="13" t="str">
        <x:v>Conciliado</x:v>
      </x:c>
      <x:c r="G870" s="13" t="str">
        <x:v>Sem divergência</x:v>
      </x:c>
      <x:c r="H870" s="13" t="n">
        <x:v>0.39</x:v>
      </x:c>
      <x:c r="I870" s="13" t="str">
        <x:v>Escala inteligente</x:v>
      </x:c>
      <x:c r="J870" s="17" t="n">
        <x:f>E870-D870</x:f>
        <x:v>0</x:v>
      </x:c>
      <x:c r="K870" s="19" t="n">
        <x:f>IFERROR(ABS(J870/D870),0)</x:f>
        <x:v>0</x:v>
      </x:c>
    </x:row>
    <x:row r="871">
      <x:c r="A871" s="13" t="str">
        <x:v>CON-000870</x:v>
      </x:c>
      <x:c r="B871" s="23" t="n">
        <x:v>46031</x:v>
      </x:c>
      <x:c r="C871" s="13" t="str">
        <x:v>Nubank Serviços</x:v>
      </x:c>
      <x:c r="D871" s="17" t="n">
        <x:v>9654.14</x:v>
      </x:c>
      <x:c r="E871" s="17" t="n">
        <x:v>9654.14</x:v>
      </x:c>
      <x:c r="F871" s="13" t="str">
        <x:v>Conciliado</x:v>
      </x:c>
      <x:c r="G871" s="13" t="str">
        <x:v>Sem divergência</x:v>
      </x:c>
      <x:c r="H871" s="13" t="n">
        <x:v>0.31</x:v>
      </x:c>
      <x:c r="I871" s="13" t="str">
        <x:v>Escala inteligente</x:v>
      </x:c>
      <x:c r="J871" s="17" t="n">
        <x:f>E871-D871</x:f>
        <x:v>0</x:v>
      </x:c>
      <x:c r="K871" s="19" t="n">
        <x:f>IFERROR(ABS(J871/D871),0)</x:f>
        <x:v>0</x:v>
      </x:c>
    </x:row>
    <x:row r="872">
      <x:c r="A872" s="13" t="str">
        <x:v>CON-000871</x:v>
      </x:c>
      <x:c r="B872" s="23" t="n">
        <x:v>46035</x:v>
      </x:c>
      <x:c r="C872" s="13" t="str">
        <x:v>Bradesco Pagamentos</x:v>
      </x:c>
      <x:c r="D872" s="17" t="n">
        <x:v>7501.52</x:v>
      </x:c>
      <x:c r="E872" s="17" t="n">
        <x:v>7501.52</x:v>
      </x:c>
      <x:c r="F872" s="13" t="str">
        <x:v>Conciliado</x:v>
      </x:c>
      <x:c r="G872" s="13" t="str">
        <x:v>Sem divergência</x:v>
      </x:c>
      <x:c r="H872" s="13" t="n">
        <x:v>0.26</x:v>
      </x:c>
      <x:c r="I872" s="13" t="str">
        <x:v>Escala inteligente</x:v>
      </x:c>
      <x:c r="J872" s="17" t="n">
        <x:f>E872-D872</x:f>
        <x:v>0</x:v>
      </x:c>
      <x:c r="K872" s="19" t="n">
        <x:f>IFERROR(ABS(J872/D872),0)</x:f>
        <x:v>0</x:v>
      </x:c>
    </x:row>
    <x:row r="873">
      <x:c r="A873" s="13" t="str">
        <x:v>CON-000872</x:v>
      </x:c>
      <x:c r="B873" s="23" t="n">
        <x:v>46029</x:v>
      </x:c>
      <x:c r="C873" s="13" t="str">
        <x:v>Itaú Operacional</x:v>
      </x:c>
      <x:c r="D873" s="17" t="n">
        <x:v>22801.96</x:v>
      </x:c>
      <x:c r="E873" s="17" t="n">
        <x:v>22801.96</x:v>
      </x:c>
      <x:c r="F873" s="13" t="str">
        <x:v>Conciliado</x:v>
      </x:c>
      <x:c r="G873" s="13" t="str">
        <x:v>Sem divergência</x:v>
      </x:c>
      <x:c r="H873" s="13" t="n">
        <x:v>0.24</x:v>
      </x:c>
      <x:c r="I873" s="13" t="str">
        <x:v>Escala inteligente</x:v>
      </x:c>
      <x:c r="J873" s="17" t="n">
        <x:f>E873-D873</x:f>
        <x:v>0</x:v>
      </x:c>
      <x:c r="K873" s="19" t="n">
        <x:f>IFERROR(ABS(J873/D873),0)</x:f>
        <x:v>0</x:v>
      </x:c>
    </x:row>
    <x:row r="874">
      <x:c r="A874" s="13" t="str">
        <x:v>CON-000873</x:v>
      </x:c>
      <x:c r="B874" s="23" t="n">
        <x:v>46024</x:v>
      </x:c>
      <x:c r="C874" s="13" t="str">
        <x:v>Nubank Serviços</x:v>
      </x:c>
      <x:c r="D874" s="17" t="n">
        <x:v>35302.38</x:v>
      </x:c>
      <x:c r="E874" s="17" t="n">
        <x:v>35302.38</x:v>
      </x:c>
      <x:c r="F874" s="13" t="str">
        <x:v>Conciliado</x:v>
      </x:c>
      <x:c r="G874" s="13" t="str">
        <x:v>Sem divergência</x:v>
      </x:c>
      <x:c r="H874" s="13" t="n">
        <x:v>0.07</x:v>
      </x:c>
      <x:c r="I874" s="13" t="str">
        <x:v>Escala inteligente</x:v>
      </x:c>
      <x:c r="J874" s="17" t="n">
        <x:f>E874-D874</x:f>
        <x:v>0</x:v>
      </x:c>
      <x:c r="K874" s="19" t="n">
        <x:f>IFERROR(ABS(J874/D874),0)</x:f>
        <x:v>0</x:v>
      </x:c>
    </x:row>
    <x:row r="875">
      <x:c r="A875" s="13" t="str">
        <x:v>CON-000874</x:v>
      </x:c>
      <x:c r="B875" s="23" t="n">
        <x:v>46034</x:v>
      </x:c>
      <x:c r="C875" s="13" t="str">
        <x:v>Santander Recebimentos</x:v>
      </x:c>
      <x:c r="D875" s="17" t="n">
        <x:v>38701.05</x:v>
      </x:c>
      <x:c r="E875" s="17" t="n">
        <x:v>38701.05</x:v>
      </x:c>
      <x:c r="F875" s="13" t="str">
        <x:v>Conciliado</x:v>
      </x:c>
      <x:c r="G875" s="13" t="str">
        <x:v>Sem divergência</x:v>
      </x:c>
      <x:c r="H875" s="13" t="n">
        <x:v>0.44</x:v>
      </x:c>
      <x:c r="I875" s="13" t="str">
        <x:v>Escala inteligente</x:v>
      </x:c>
      <x:c r="J875" s="17" t="n">
        <x:f>E875-D875</x:f>
        <x:v>0</x:v>
      </x:c>
      <x:c r="K875" s="19" t="n">
        <x:f>IFERROR(ABS(J875/D875),0)</x:f>
        <x:v>0</x:v>
      </x:c>
    </x:row>
    <x:row r="876">
      <x:c r="A876" s="13" t="str">
        <x:v>CON-000875</x:v>
      </x:c>
      <x:c r="B876" s="23" t="n">
        <x:v>46025</x:v>
      </x:c>
      <x:c r="C876" s="13" t="str">
        <x:v>Itaú Operacional</x:v>
      </x:c>
      <x:c r="D876" s="17" t="n">
        <x:v>44771.18</x:v>
      </x:c>
      <x:c r="E876" s="17" t="n">
        <x:v>44771.18</x:v>
      </x:c>
      <x:c r="F876" s="13" t="str">
        <x:v>Conciliado</x:v>
      </x:c>
      <x:c r="G876" s="13" t="str">
        <x:v>Sem divergência</x:v>
      </x:c>
      <x:c r="H876" s="13" t="n">
        <x:v>0.45</x:v>
      </x:c>
      <x:c r="I876" s="13" t="str">
        <x:v>Escala inteligente</x:v>
      </x:c>
      <x:c r="J876" s="17" t="n">
        <x:f>E876-D876</x:f>
        <x:v>0</x:v>
      </x:c>
      <x:c r="K876" s="19" t="n">
        <x:f>IFERROR(ABS(J876/D876),0)</x:f>
        <x:v>0</x:v>
      </x:c>
    </x:row>
    <x:row r="877">
      <x:c r="A877" s="13" t="str">
        <x:v>CON-000876</x:v>
      </x:c>
      <x:c r="B877" s="23" t="n">
        <x:v>46064</x:v>
      </x:c>
      <x:c r="C877" s="13" t="str">
        <x:v>Itaú Operacional</x:v>
      </x:c>
      <x:c r="D877" s="17" t="n">
        <x:v>380.65</x:v>
      </x:c>
      <x:c r="E877" s="17" t="n">
        <x:v>380.65</x:v>
      </x:c>
      <x:c r="F877" s="13" t="str">
        <x:v>Conciliado</x:v>
      </x:c>
      <x:c r="G877" s="13" t="str">
        <x:v>Sem divergência</x:v>
      </x:c>
      <x:c r="H877" s="13" t="n">
        <x:v>0.42</x:v>
      </x:c>
      <x:c r="I877" s="13" t="str">
        <x:v>Escala inteligente</x:v>
      </x:c>
      <x:c r="J877" s="17" t="n">
        <x:f>E877-D877</x:f>
        <x:v>0</x:v>
      </x:c>
      <x:c r="K877" s="19" t="n">
        <x:f>IFERROR(ABS(J877/D877),0)</x:f>
        <x:v>0</x:v>
      </x:c>
    </x:row>
    <x:row r="878">
      <x:c r="A878" s="13" t="str">
        <x:v>CON-000877</x:v>
      </x:c>
      <x:c r="B878" s="23" t="n">
        <x:v>46063</x:v>
      </x:c>
      <x:c r="C878" s="13" t="str">
        <x:v>Bradesco Pagamentos</x:v>
      </x:c>
      <x:c r="D878" s="17" t="n">
        <x:v>6697.71</x:v>
      </x:c>
      <x:c r="E878" s="17" t="n">
        <x:v>6697.71</x:v>
      </x:c>
      <x:c r="F878" s="13" t="str">
        <x:v>Conciliado</x:v>
      </x:c>
      <x:c r="G878" s="13" t="str">
        <x:v>Sem divergência</x:v>
      </x:c>
      <x:c r="H878" s="13" t="n">
        <x:v>0.33</x:v>
      </x:c>
      <x:c r="I878" s="13" t="str">
        <x:v>Escala inteligente</x:v>
      </x:c>
      <x:c r="J878" s="17" t="n">
        <x:f>E878-D878</x:f>
        <x:v>0</x:v>
      </x:c>
      <x:c r="K878" s="19" t="n">
        <x:f>IFERROR(ABS(J878/D878),0)</x:f>
        <x:v>0</x:v>
      </x:c>
    </x:row>
    <x:row r="879">
      <x:c r="A879" s="13" t="str">
        <x:v>CON-000878</x:v>
      </x:c>
      <x:c r="B879" s="23" t="n">
        <x:v>46068</x:v>
      </x:c>
      <x:c r="C879" s="13" t="str">
        <x:v>Itaú Operacional</x:v>
      </x:c>
      <x:c r="D879" s="17" t="n">
        <x:v>44604.19</x:v>
      </x:c>
      <x:c r="E879" s="17" t="n">
        <x:v>44604.19</x:v>
      </x:c>
      <x:c r="F879" s="13" t="str">
        <x:v>Conciliado</x:v>
      </x:c>
      <x:c r="G879" s="13" t="str">
        <x:v>Sem divergência</x:v>
      </x:c>
      <x:c r="H879" s="13" t="n">
        <x:v>0.42</x:v>
      </x:c>
      <x:c r="I879" s="13" t="str">
        <x:v>Escala inteligente</x:v>
      </x:c>
      <x:c r="J879" s="17" t="n">
        <x:f>E879-D879</x:f>
        <x:v>0</x:v>
      </x:c>
      <x:c r="K879" s="19" t="n">
        <x:f>IFERROR(ABS(J879/D879),0)</x:f>
        <x:v>0</x:v>
      </x:c>
    </x:row>
    <x:row r="880">
      <x:c r="A880" s="13" t="str">
        <x:v>CON-000879</x:v>
      </x:c>
      <x:c r="B880" s="23" t="n">
        <x:v>46065</x:v>
      </x:c>
      <x:c r="C880" s="13" t="str">
        <x:v>Itaú Operacional</x:v>
      </x:c>
      <x:c r="D880" s="17" t="n">
        <x:v>11509.45</x:v>
      </x:c>
      <x:c r="E880" s="17" t="n">
        <x:v>11509.45</x:v>
      </x:c>
      <x:c r="F880" s="13" t="str">
        <x:v>Conciliado</x:v>
      </x:c>
      <x:c r="G880" s="13" t="str">
        <x:v>Sem divergência</x:v>
      </x:c>
      <x:c r="H880" s="13" t="n">
        <x:v>0.3</x:v>
      </x:c>
      <x:c r="I880" s="13" t="str">
        <x:v>Escala inteligente</x:v>
      </x:c>
      <x:c r="J880" s="17" t="n">
        <x:f>E880-D880</x:f>
        <x:v>0</x:v>
      </x:c>
      <x:c r="K880" s="19" t="n">
        <x:f>IFERROR(ABS(J880/D880),0)</x:f>
        <x:v>0</x:v>
      </x:c>
    </x:row>
    <x:row r="881">
      <x:c r="A881" s="13" t="str">
        <x:v>CON-000880</x:v>
      </x:c>
      <x:c r="B881" s="23" t="n">
        <x:v>46066</x:v>
      </x:c>
      <x:c r="C881" s="13" t="str">
        <x:v>Bradesco Pagamentos</x:v>
      </x:c>
      <x:c r="D881" s="17" t="n">
        <x:v>1305.82</x:v>
      </x:c>
      <x:c r="E881" s="17" t="n">
        <x:v>1305.82</x:v>
      </x:c>
      <x:c r="F881" s="13" t="str">
        <x:v>Conciliado</x:v>
      </x:c>
      <x:c r="G881" s="13" t="str">
        <x:v>Sem divergência</x:v>
      </x:c>
      <x:c r="H881" s="13" t="n">
        <x:v>0.37</x:v>
      </x:c>
      <x:c r="I881" s="13" t="str">
        <x:v>Escala inteligente</x:v>
      </x:c>
      <x:c r="J881" s="17" t="n">
        <x:f>E881-D881</x:f>
        <x:v>0</x:v>
      </x:c>
      <x:c r="K881" s="19" t="n">
        <x:f>IFERROR(ABS(J881/D881),0)</x:f>
        <x:v>0</x:v>
      </x:c>
    </x:row>
    <x:row r="882">
      <x:c r="A882" s="13" t="str">
        <x:v>CON-000881</x:v>
      </x:c>
      <x:c r="B882" s="23" t="n">
        <x:v>46080</x:v>
      </x:c>
      <x:c r="C882" s="13" t="str">
        <x:v>Bradesco Pagamentos</x:v>
      </x:c>
      <x:c r="D882" s="17" t="n">
        <x:v>1981.9</x:v>
      </x:c>
      <x:c r="E882" s="17" t="n">
        <x:v>1981.9</x:v>
      </x:c>
      <x:c r="F882" s="13" t="str">
        <x:v>Conciliado</x:v>
      </x:c>
      <x:c r="G882" s="13" t="str">
        <x:v>Sem divergência</x:v>
      </x:c>
      <x:c r="H882" s="13" t="n">
        <x:v>0.26</x:v>
      </x:c>
      <x:c r="I882" s="13" t="str">
        <x:v>Escala inteligente</x:v>
      </x:c>
      <x:c r="J882" s="17" t="n">
        <x:f>E882-D882</x:f>
        <x:v>0</x:v>
      </x:c>
      <x:c r="K882" s="19" t="n">
        <x:f>IFERROR(ABS(J882/D882),0)</x:f>
        <x:v>0</x:v>
      </x:c>
    </x:row>
    <x:row r="883">
      <x:c r="A883" s="13" t="str">
        <x:v>CON-000882</x:v>
      </x:c>
      <x:c r="B883" s="23" t="n">
        <x:v>46081</x:v>
      </x:c>
      <x:c r="C883" s="13" t="str">
        <x:v>Itaú Operacional</x:v>
      </x:c>
      <x:c r="D883" s="17" t="n">
        <x:v>12508.64</x:v>
      </x:c>
      <x:c r="E883" s="17" t="n">
        <x:v>12508.64</x:v>
      </x:c>
      <x:c r="F883" s="13" t="str">
        <x:v>Conciliado</x:v>
      </x:c>
      <x:c r="G883" s="13" t="str">
        <x:v>Sem divergência</x:v>
      </x:c>
      <x:c r="H883" s="13" t="n">
        <x:v>0.34</x:v>
      </x:c>
      <x:c r="I883" s="13" t="str">
        <x:v>Escala inteligente</x:v>
      </x:c>
      <x:c r="J883" s="17" t="n">
        <x:f>E883-D883</x:f>
        <x:v>0</x:v>
      </x:c>
      <x:c r="K883" s="19" t="n">
        <x:f>IFERROR(ABS(J883/D883),0)</x:f>
        <x:v>0</x:v>
      </x:c>
    </x:row>
    <x:row r="884">
      <x:c r="A884" s="13" t="str">
        <x:v>CON-000883</x:v>
      </x:c>
      <x:c r="B884" s="23" t="n">
        <x:v>46075</x:v>
      </x:c>
      <x:c r="C884" s="13" t="str">
        <x:v>Bradesco Pagamentos</x:v>
      </x:c>
      <x:c r="D884" s="17" t="n">
        <x:v>6305.39</x:v>
      </x:c>
      <x:c r="E884" s="17" t="n">
        <x:v>6305.39</x:v>
      </x:c>
      <x:c r="F884" s="13" t="str">
        <x:v>Conciliado</x:v>
      </x:c>
      <x:c r="G884" s="13" t="str">
        <x:v>Sem divergência</x:v>
      </x:c>
      <x:c r="H884" s="13" t="n">
        <x:v>0.1</x:v>
      </x:c>
      <x:c r="I884" s="13" t="str">
        <x:v>Escala inteligente</x:v>
      </x:c>
      <x:c r="J884" s="17" t="n">
        <x:f>E884-D884</x:f>
        <x:v>0</x:v>
      </x:c>
      <x:c r="K884" s="19" t="n">
        <x:f>IFERROR(ABS(J884/D884),0)</x:f>
        <x:v>0</x:v>
      </x:c>
    </x:row>
    <x:row r="885">
      <x:c r="A885" s="13" t="str">
        <x:v>CON-000884</x:v>
      </x:c>
      <x:c r="B885" s="23" t="n">
        <x:v>46066</x:v>
      </x:c>
      <x:c r="C885" s="13" t="str">
        <x:v>Nubank Serviços</x:v>
      </x:c>
      <x:c r="D885" s="17" t="n">
        <x:v>1031.85</x:v>
      </x:c>
      <x:c r="E885" s="17" t="n">
        <x:v>1031.85</x:v>
      </x:c>
      <x:c r="F885" s="13" t="str">
        <x:v>Conciliado</x:v>
      </x:c>
      <x:c r="G885" s="13" t="str">
        <x:v>Sem divergência</x:v>
      </x:c>
      <x:c r="H885" s="13" t="n">
        <x:v>0.2</x:v>
      </x:c>
      <x:c r="I885" s="13" t="str">
        <x:v>Escala inteligente</x:v>
      </x:c>
      <x:c r="J885" s="17" t="n">
        <x:f>E885-D885</x:f>
        <x:v>0</x:v>
      </x:c>
      <x:c r="K885" s="19" t="n">
        <x:f>IFERROR(ABS(J885/D885),0)</x:f>
        <x:v>0</x:v>
      </x:c>
    </x:row>
    <x:row r="886">
      <x:c r="A886" s="13" t="str">
        <x:v>CON-000885</x:v>
      </x:c>
      <x:c r="B886" s="23" t="n">
        <x:v>46062</x:v>
      </x:c>
      <x:c r="C886" s="13" t="str">
        <x:v>Nubank Serviços</x:v>
      </x:c>
      <x:c r="D886" s="17" t="n">
        <x:v>40289.41</x:v>
      </x:c>
      <x:c r="E886" s="17" t="n">
        <x:v>40289.41</x:v>
      </x:c>
      <x:c r="F886" s="13" t="str">
        <x:v>Conciliado</x:v>
      </x:c>
      <x:c r="G886" s="13" t="str">
        <x:v>Sem divergência</x:v>
      </x:c>
      <x:c r="H886" s="13" t="n">
        <x:v>0.19</x:v>
      </x:c>
      <x:c r="I886" s="13" t="str">
        <x:v>Escala inteligente</x:v>
      </x:c>
      <x:c r="J886" s="17" t="n">
        <x:f>E886-D886</x:f>
        <x:v>0</x:v>
      </x:c>
      <x:c r="K886" s="19" t="n">
        <x:f>IFERROR(ABS(J886/D886),0)</x:f>
        <x:v>0</x:v>
      </x:c>
    </x:row>
    <x:row r="887">
      <x:c r="A887" s="13" t="str">
        <x:v>CON-000886</x:v>
      </x:c>
      <x:c r="B887" s="23" t="n">
        <x:v>46069</x:v>
      </x:c>
      <x:c r="C887" s="13" t="str">
        <x:v>Santander Recebimentos</x:v>
      </x:c>
      <x:c r="D887" s="17" t="n">
        <x:v>4286.97</x:v>
      </x:c>
      <x:c r="E887" s="17" t="n">
        <x:v>4286.97</x:v>
      </x:c>
      <x:c r="F887" s="13" t="str">
        <x:v>Conciliado</x:v>
      </x:c>
      <x:c r="G887" s="13" t="str">
        <x:v>Sem divergência</x:v>
      </x:c>
      <x:c r="H887" s="13" t="n">
        <x:v>0.08</x:v>
      </x:c>
      <x:c r="I887" s="13" t="str">
        <x:v>Escala inteligente</x:v>
      </x:c>
      <x:c r="J887" s="17" t="n">
        <x:f>E887-D887</x:f>
        <x:v>0</x:v>
      </x:c>
      <x:c r="K887" s="19" t="n">
        <x:f>IFERROR(ABS(J887/D887),0)</x:f>
        <x:v>0</x:v>
      </x:c>
    </x:row>
    <x:row r="888">
      <x:c r="A888" s="13" t="str">
        <x:v>CON-000887</x:v>
      </x:c>
      <x:c r="B888" s="23" t="n">
        <x:v>46078</x:v>
      </x:c>
      <x:c r="C888" s="13" t="str">
        <x:v>Bradesco Pagamentos</x:v>
      </x:c>
      <x:c r="D888" s="17" t="n">
        <x:v>35549.48</x:v>
      </x:c>
      <x:c r="E888" s="17" t="n">
        <x:v>35549.48</x:v>
      </x:c>
      <x:c r="F888" s="13" t="str">
        <x:v>Conciliado</x:v>
      </x:c>
      <x:c r="G888" s="13" t="str">
        <x:v>Sem divergência</x:v>
      </x:c>
      <x:c r="H888" s="13" t="n">
        <x:v>0.19</x:v>
      </x:c>
      <x:c r="I888" s="13" t="str">
        <x:v>Escala inteligente</x:v>
      </x:c>
      <x:c r="J888" s="17" t="n">
        <x:f>E888-D888</x:f>
        <x:v>0</x:v>
      </x:c>
      <x:c r="K888" s="19" t="n">
        <x:f>IFERROR(ABS(J888/D888),0)</x:f>
        <x:v>0</x:v>
      </x:c>
    </x:row>
    <x:row r="889">
      <x:c r="A889" s="13" t="str">
        <x:v>CON-000888</x:v>
      </x:c>
      <x:c r="B889" s="23" t="n">
        <x:v>46067</x:v>
      </x:c>
      <x:c r="C889" s="13" t="str">
        <x:v>Bradesco Pagamentos</x:v>
      </x:c>
      <x:c r="D889" s="17" t="n">
        <x:v>29481.27</x:v>
      </x:c>
      <x:c r="E889" s="17" t="n">
        <x:v>29481.27</x:v>
      </x:c>
      <x:c r="F889" s="13" t="str">
        <x:v>Conciliado</x:v>
      </x:c>
      <x:c r="G889" s="13" t="str">
        <x:v>Sem divergência</x:v>
      </x:c>
      <x:c r="H889" s="13" t="n">
        <x:v>0.23</x:v>
      </x:c>
      <x:c r="I889" s="13" t="str">
        <x:v>Escala inteligente</x:v>
      </x:c>
      <x:c r="J889" s="17" t="n">
        <x:f>E889-D889</x:f>
        <x:v>0</x:v>
      </x:c>
      <x:c r="K889" s="19" t="n">
        <x:f>IFERROR(ABS(J889/D889),0)</x:f>
        <x:v>0</x:v>
      </x:c>
    </x:row>
    <x:row r="890">
      <x:c r="A890" s="13" t="str">
        <x:v>CON-000889</x:v>
      </x:c>
      <x:c r="B890" s="23" t="n">
        <x:v>46067</x:v>
      </x:c>
      <x:c r="C890" s="13" t="str">
        <x:v>Nubank Serviços</x:v>
      </x:c>
      <x:c r="D890" s="17" t="n">
        <x:v>19168.4</x:v>
      </x:c>
      <x:c r="E890" s="17" t="n">
        <x:v>19168.4</x:v>
      </x:c>
      <x:c r="F890" s="13" t="str">
        <x:v>Conciliado</x:v>
      </x:c>
      <x:c r="G890" s="13" t="str">
        <x:v>Sem divergência</x:v>
      </x:c>
      <x:c r="H890" s="13" t="n">
        <x:v>0.42</x:v>
      </x:c>
      <x:c r="I890" s="13" t="str">
        <x:v>Escala inteligente</x:v>
      </x:c>
      <x:c r="J890" s="17" t="n">
        <x:f>E890-D890</x:f>
        <x:v>0</x:v>
      </x:c>
      <x:c r="K890" s="19" t="n">
        <x:f>IFERROR(ABS(J890/D890),0)</x:f>
        <x:v>0</x:v>
      </x:c>
    </x:row>
    <x:row r="891">
      <x:c r="A891" s="13" t="str">
        <x:v>CON-000890</x:v>
      </x:c>
      <x:c r="B891" s="23" t="n">
        <x:v>46064</x:v>
      </x:c>
      <x:c r="C891" s="13" t="str">
        <x:v>Itaú Operacional</x:v>
      </x:c>
      <x:c r="D891" s="17" t="n">
        <x:v>37583.33</x:v>
      </x:c>
      <x:c r="E891" s="17" t="n">
        <x:v>37583.33</x:v>
      </x:c>
      <x:c r="F891" s="13" t="str">
        <x:v>Conciliado</x:v>
      </x:c>
      <x:c r="G891" s="13" t="str">
        <x:v>Sem divergência</x:v>
      </x:c>
      <x:c r="H891" s="13" t="n">
        <x:v>0.31</x:v>
      </x:c>
      <x:c r="I891" s="13" t="str">
        <x:v>Escala inteligente</x:v>
      </x:c>
      <x:c r="J891" s="17" t="n">
        <x:f>E891-D891</x:f>
        <x:v>0</x:v>
      </x:c>
      <x:c r="K891" s="19" t="n">
        <x:f>IFERROR(ABS(J891/D891),0)</x:f>
        <x:v>0</x:v>
      </x:c>
    </x:row>
    <x:row r="892">
      <x:c r="A892" s="13" t="str">
        <x:v>CON-000891</x:v>
      </x:c>
      <x:c r="B892" s="23" t="n">
        <x:v>46062</x:v>
      </x:c>
      <x:c r="C892" s="13" t="str">
        <x:v>Bradesco Pagamentos</x:v>
      </x:c>
      <x:c r="D892" s="17" t="n">
        <x:v>25232.12</x:v>
      </x:c>
      <x:c r="E892" s="17" t="n">
        <x:v>25232.12</x:v>
      </x:c>
      <x:c r="F892" s="13" t="str">
        <x:v>Conciliado</x:v>
      </x:c>
      <x:c r="G892" s="13" t="str">
        <x:v>Sem divergência</x:v>
      </x:c>
      <x:c r="H892" s="13" t="n">
        <x:v>0.37</x:v>
      </x:c>
      <x:c r="I892" s="13" t="str">
        <x:v>Escala inteligente</x:v>
      </x:c>
      <x:c r="J892" s="17" t="n">
        <x:f>E892-D892</x:f>
        <x:v>0</x:v>
      </x:c>
      <x:c r="K892" s="19" t="n">
        <x:f>IFERROR(ABS(J892/D892),0)</x:f>
        <x:v>0</x:v>
      </x:c>
    </x:row>
    <x:row r="893">
      <x:c r="A893" s="13" t="str">
        <x:v>CON-000892</x:v>
      </x:c>
      <x:c r="B893" s="23" t="n">
        <x:v>46080</x:v>
      </x:c>
      <x:c r="C893" s="13" t="str">
        <x:v>Bradesco Pagamentos</x:v>
      </x:c>
      <x:c r="D893" s="17" t="n">
        <x:v>42337.67</x:v>
      </x:c>
      <x:c r="E893" s="17" t="n">
        <x:v>42337.67</x:v>
      </x:c>
      <x:c r="F893" s="13" t="str">
        <x:v>Conciliado</x:v>
      </x:c>
      <x:c r="G893" s="13" t="str">
        <x:v>Sem divergência</x:v>
      </x:c>
      <x:c r="H893" s="13" t="n">
        <x:v>0.37</x:v>
      </x:c>
      <x:c r="I893" s="13" t="str">
        <x:v>Escala inteligente</x:v>
      </x:c>
      <x:c r="J893" s="17" t="n">
        <x:f>E893-D893</x:f>
        <x:v>0</x:v>
      </x:c>
      <x:c r="K893" s="19" t="n">
        <x:f>IFERROR(ABS(J893/D893),0)</x:f>
        <x:v>0</x:v>
      </x:c>
    </x:row>
    <x:row r="894">
      <x:c r="A894" s="13" t="str">
        <x:v>CON-000893</x:v>
      </x:c>
      <x:c r="B894" s="23" t="n">
        <x:v>46064</x:v>
      </x:c>
      <x:c r="C894" s="13" t="str">
        <x:v>Nubank Serviços</x:v>
      </x:c>
      <x:c r="D894" s="17" t="n">
        <x:v>18253.67</x:v>
      </x:c>
      <x:c r="E894" s="17" t="n">
        <x:v>18253.67</x:v>
      </x:c>
      <x:c r="F894" s="13" t="str">
        <x:v>Conciliado</x:v>
      </x:c>
      <x:c r="G894" s="13" t="str">
        <x:v>Sem divergência</x:v>
      </x:c>
      <x:c r="H894" s="13" t="n">
        <x:v>0.37</x:v>
      </x:c>
      <x:c r="I894" s="13" t="str">
        <x:v>Escala inteligente</x:v>
      </x:c>
      <x:c r="J894" s="17" t="n">
        <x:f>E894-D894</x:f>
        <x:v>0</x:v>
      </x:c>
      <x:c r="K894" s="19" t="n">
        <x:f>IFERROR(ABS(J894/D894),0)</x:f>
        <x:v>0</x:v>
      </x:c>
    </x:row>
    <x:row r="895">
      <x:c r="A895" s="13" t="str">
        <x:v>CON-000894</x:v>
      </x:c>
      <x:c r="B895" s="23" t="n">
        <x:v>46067</x:v>
      </x:c>
      <x:c r="C895" s="13" t="str">
        <x:v>Itaú Operacional</x:v>
      </x:c>
      <x:c r="D895" s="17" t="n">
        <x:v>12854.09</x:v>
      </x:c>
      <x:c r="E895" s="17" t="n">
        <x:v>12854.09</x:v>
      </x:c>
      <x:c r="F895" s="13" t="str">
        <x:v>Conciliado</x:v>
      </x:c>
      <x:c r="G895" s="13" t="str">
        <x:v>Sem divergência</x:v>
      </x:c>
      <x:c r="H895" s="13" t="n">
        <x:v>0.36</x:v>
      </x:c>
      <x:c r="I895" s="13" t="str">
        <x:v>Escala inteligente</x:v>
      </x:c>
      <x:c r="J895" s="17" t="n">
        <x:f>E895-D895</x:f>
        <x:v>0</x:v>
      </x:c>
      <x:c r="K895" s="19" t="n">
        <x:f>IFERROR(ABS(J895/D895),0)</x:f>
        <x:v>0</x:v>
      </x:c>
    </x:row>
    <x:row r="896">
      <x:c r="A896" s="13" t="str">
        <x:v>CON-000895</x:v>
      </x:c>
      <x:c r="B896" s="23" t="n">
        <x:v>46058</x:v>
      </x:c>
      <x:c r="C896" s="13" t="str">
        <x:v>Nubank Serviços</x:v>
      </x:c>
      <x:c r="D896" s="17" t="n">
        <x:v>23058.03</x:v>
      </x:c>
      <x:c r="E896" s="17" t="n">
        <x:v>22771.6</x:v>
      </x:c>
      <x:c r="F896" s="13" t="str">
        <x:v>Pendente</x:v>
      </x:c>
      <x:c r="G896" s="13" t="str">
        <x:v>Valor divergente</x:v>
      </x:c>
      <x:c r="H896" s="13" t="n">
        <x:v>5.84</x:v>
      </x:c>
      <x:c r="I896" s="13" t="str">
        <x:v>Escala inteligente</x:v>
      </x:c>
      <x:c r="J896" s="17" t="n">
        <x:f>E896-D896</x:f>
        <x:v>-286.4300000000003</x:v>
      </x:c>
      <x:c r="K896" s="19" t="n">
        <x:f>IFERROR(ABS(J896/D896),0)</x:f>
        <x:v>0.012422136669958376</x:v>
      </x:c>
    </x:row>
    <x:row r="897">
      <x:c r="A897" s="13" t="str">
        <x:v>CON-000896</x:v>
      </x:c>
      <x:c r="B897" s="23" t="n">
        <x:v>46076</x:v>
      </x:c>
      <x:c r="C897" s="13" t="str">
        <x:v>Bradesco Pagamentos</x:v>
      </x:c>
      <x:c r="D897" s="17" t="n">
        <x:v>22129.33</x:v>
      </x:c>
      <x:c r="E897" s="17" t="n">
        <x:v>22129.33</x:v>
      </x:c>
      <x:c r="F897" s="13" t="str">
        <x:v>Conciliado</x:v>
      </x:c>
      <x:c r="G897" s="13" t="str">
        <x:v>Sem divergência</x:v>
      </x:c>
      <x:c r="H897" s="13" t="n">
        <x:v>0.23</x:v>
      </x:c>
      <x:c r="I897" s="13" t="str">
        <x:v>Escala inteligente</x:v>
      </x:c>
      <x:c r="J897" s="17" t="n">
        <x:f>E897-D897</x:f>
        <x:v>0</x:v>
      </x:c>
      <x:c r="K897" s="19" t="n">
        <x:f>IFERROR(ABS(J897/D897),0)</x:f>
        <x:v>0</x:v>
      </x:c>
    </x:row>
    <x:row r="898">
      <x:c r="A898" s="13" t="str">
        <x:v>CON-000897</x:v>
      </x:c>
      <x:c r="B898" s="23" t="n">
        <x:v>46078</x:v>
      </x:c>
      <x:c r="C898" s="13" t="str">
        <x:v>Itaú Operacional</x:v>
      </x:c>
      <x:c r="D898" s="17" t="n">
        <x:v>24982.96</x:v>
      </x:c>
      <x:c r="E898" s="17" t="n">
        <x:v>25714.47</x:v>
      </x:c>
      <x:c r="F898" s="13" t="str">
        <x:v>Pendente</x:v>
      </x:c>
      <x:c r="G898" s="13" t="str">
        <x:v>Duplicidade</x:v>
      </x:c>
      <x:c r="H898" s="13" t="n">
        <x:v>10.63</x:v>
      </x:c>
      <x:c r="I898" s="13" t="str">
        <x:v>Escala inteligente</x:v>
      </x:c>
      <x:c r="J898" s="17" t="n">
        <x:f>E898-D898</x:f>
        <x:v>731.510000000002</x:v>
      </x:c>
      <x:c r="K898" s="19" t="n">
        <x:f>IFERROR(ABS(J898/D898),0)</x:f>
        <x:v>0.029280357491666402</x:v>
      </x:c>
    </x:row>
    <x:row r="899">
      <x:c r="A899" s="13" t="str">
        <x:v>CON-000898</x:v>
      </x:c>
      <x:c r="B899" s="23" t="n">
        <x:v>46067</x:v>
      </x:c>
      <x:c r="C899" s="13" t="str">
        <x:v>Bradesco Pagamentos</x:v>
      </x:c>
      <x:c r="D899" s="17" t="n">
        <x:v>40242.84</x:v>
      </x:c>
      <x:c r="E899" s="17" t="n">
        <x:v>40242.84</x:v>
      </x:c>
      <x:c r="F899" s="13" t="str">
        <x:v>Conciliado</x:v>
      </x:c>
      <x:c r="G899" s="13" t="str">
        <x:v>Sem divergência</x:v>
      </x:c>
      <x:c r="H899" s="13" t="n">
        <x:v>0.33</x:v>
      </x:c>
      <x:c r="I899" s="13" t="str">
        <x:v>Escala inteligente</x:v>
      </x:c>
      <x:c r="J899" s="17" t="n">
        <x:f>E899-D899</x:f>
        <x:v>0</x:v>
      </x:c>
      <x:c r="K899" s="19" t="n">
        <x:f>IFERROR(ABS(J899/D899),0)</x:f>
        <x:v>0</x:v>
      </x:c>
    </x:row>
    <x:row r="900">
      <x:c r="A900" s="13" t="str">
        <x:v>CON-000899</x:v>
      </x:c>
      <x:c r="B900" s="23" t="n">
        <x:v>46075</x:v>
      </x:c>
      <x:c r="C900" s="13" t="str">
        <x:v>Santander Recebimentos</x:v>
      </x:c>
      <x:c r="D900" s="17" t="n">
        <x:v>25352.36</x:v>
      </x:c>
      <x:c r="E900" s="17" t="n">
        <x:v>25352.36</x:v>
      </x:c>
      <x:c r="F900" s="13" t="str">
        <x:v>Conciliado</x:v>
      </x:c>
      <x:c r="G900" s="13" t="str">
        <x:v>Sem divergência</x:v>
      </x:c>
      <x:c r="H900" s="13" t="n">
        <x:v>0.04</x:v>
      </x:c>
      <x:c r="I900" s="13" t="str">
        <x:v>Escala inteligente</x:v>
      </x:c>
      <x:c r="J900" s="17" t="n">
        <x:f>E900-D900</x:f>
        <x:v>0</x:v>
      </x:c>
      <x:c r="K900" s="19" t="n">
        <x:f>IFERROR(ABS(J900/D900),0)</x:f>
        <x:v>0</x:v>
      </x:c>
    </x:row>
    <x:row r="901">
      <x:c r="A901" s="13" t="str">
        <x:v>CON-000900</x:v>
      </x:c>
      <x:c r="B901" s="23" t="n">
        <x:v>46068</x:v>
      </x:c>
      <x:c r="C901" s="13" t="str">
        <x:v>Itaú Operacional</x:v>
      </x:c>
      <x:c r="D901" s="17" t="n">
        <x:v>26228.73</x:v>
      </x:c>
      <x:c r="E901" s="17" t="n">
        <x:v>26228.73</x:v>
      </x:c>
      <x:c r="F901" s="13" t="str">
        <x:v>Conciliado</x:v>
      </x:c>
      <x:c r="G901" s="13" t="str">
        <x:v>Sem divergência</x:v>
      </x:c>
      <x:c r="H901" s="13" t="n">
        <x:v>0.3</x:v>
      </x:c>
      <x:c r="I901" s="13" t="str">
        <x:v>Escala inteligente</x:v>
      </x:c>
      <x:c r="J901" s="17" t="n">
        <x:f>E901-D901</x:f>
        <x:v>0</x:v>
      </x:c>
      <x:c r="K901" s="19" t="n">
        <x:f>IFERROR(ABS(J901/D901),0)</x:f>
        <x:v>0</x:v>
      </x:c>
    </x:row>
    <x:row r="902">
      <x:c r="A902" s="13" t="str">
        <x:v>CON-000901</x:v>
      </x:c>
      <x:c r="B902" s="23" t="n">
        <x:v>46074</x:v>
      </x:c>
      <x:c r="C902" s="13" t="str">
        <x:v>Nubank Serviços</x:v>
      </x:c>
      <x:c r="D902" s="17" t="n">
        <x:v>16607.8</x:v>
      </x:c>
      <x:c r="E902" s="17" t="n">
        <x:v>16607.8</x:v>
      </x:c>
      <x:c r="F902" s="13" t="str">
        <x:v>Conciliado</x:v>
      </x:c>
      <x:c r="G902" s="13" t="str">
        <x:v>Sem divergência</x:v>
      </x:c>
      <x:c r="H902" s="13" t="n">
        <x:v>0.12</x:v>
      </x:c>
      <x:c r="I902" s="13" t="str">
        <x:v>Escala inteligente</x:v>
      </x:c>
      <x:c r="J902" s="17" t="n">
        <x:f>E902-D902</x:f>
        <x:v>0</x:v>
      </x:c>
      <x:c r="K902" s="19" t="n">
        <x:f>IFERROR(ABS(J902/D902),0)</x:f>
        <x:v>0</x:v>
      </x:c>
    </x:row>
    <x:row r="903">
      <x:c r="A903" s="13" t="str">
        <x:v>CON-000902</x:v>
      </x:c>
      <x:c r="B903" s="23" t="n">
        <x:v>46080</x:v>
      </x:c>
      <x:c r="C903" s="13" t="str">
        <x:v>Nubank Serviços</x:v>
      </x:c>
      <x:c r="D903" s="17" t="n">
        <x:v>30836</x:v>
      </x:c>
      <x:c r="E903" s="17" t="n">
        <x:v>30836</x:v>
      </x:c>
      <x:c r="F903" s="13" t="str">
        <x:v>Conciliado</x:v>
      </x:c>
      <x:c r="G903" s="13" t="str">
        <x:v>Sem divergência</x:v>
      </x:c>
      <x:c r="H903" s="13" t="n">
        <x:v>0.1</x:v>
      </x:c>
      <x:c r="I903" s="13" t="str">
        <x:v>Escala inteligente</x:v>
      </x:c>
      <x:c r="J903" s="17" t="n">
        <x:f>E903-D903</x:f>
        <x:v>0</x:v>
      </x:c>
      <x:c r="K903" s="19" t="n">
        <x:f>IFERROR(ABS(J903/D903),0)</x:f>
        <x:v>0</x:v>
      </x:c>
    </x:row>
    <x:row r="904">
      <x:c r="A904" s="13" t="str">
        <x:v>CON-000903</x:v>
      </x:c>
      <x:c r="B904" s="23" t="n">
        <x:v>46059</x:v>
      </x:c>
      <x:c r="C904" s="13" t="str">
        <x:v>Itaú Operacional</x:v>
      </x:c>
      <x:c r="D904" s="17" t="n">
        <x:v>44430.99</x:v>
      </x:c>
      <x:c r="E904" s="17" t="n">
        <x:v>44430.99</x:v>
      </x:c>
      <x:c r="F904" s="13" t="str">
        <x:v>Conciliado</x:v>
      </x:c>
      <x:c r="G904" s="13" t="str">
        <x:v>Sem divergência</x:v>
      </x:c>
      <x:c r="H904" s="13" t="n">
        <x:v>0.04</x:v>
      </x:c>
      <x:c r="I904" s="13" t="str">
        <x:v>Escala inteligente</x:v>
      </x:c>
      <x:c r="J904" s="17" t="n">
        <x:f>E904-D904</x:f>
        <x:v>0</x:v>
      </x:c>
      <x:c r="K904" s="19" t="n">
        <x:f>IFERROR(ABS(J904/D904),0)</x:f>
        <x:v>0</x:v>
      </x:c>
    </x:row>
    <x:row r="905">
      <x:c r="A905" s="13" t="str">
        <x:v>CON-000904</x:v>
      </x:c>
      <x:c r="B905" s="23" t="n">
        <x:v>46064</x:v>
      </x:c>
      <x:c r="C905" s="13" t="str">
        <x:v>Itaú Operacional</x:v>
      </x:c>
      <x:c r="D905" s="17" t="n">
        <x:v>17908.63</x:v>
      </x:c>
      <x:c r="E905" s="17" t="n">
        <x:v>17908.63</x:v>
      </x:c>
      <x:c r="F905" s="13" t="str">
        <x:v>Conciliado</x:v>
      </x:c>
      <x:c r="G905" s="13" t="str">
        <x:v>Sem divergência</x:v>
      </x:c>
      <x:c r="H905" s="13" t="n">
        <x:v>0.1</x:v>
      </x:c>
      <x:c r="I905" s="13" t="str">
        <x:v>Escala inteligente</x:v>
      </x:c>
      <x:c r="J905" s="17" t="n">
        <x:f>E905-D905</x:f>
        <x:v>0</x:v>
      </x:c>
      <x:c r="K905" s="19" t="n">
        <x:f>IFERROR(ABS(J905/D905),0)</x:f>
        <x:v>0</x:v>
      </x:c>
    </x:row>
    <x:row r="906">
      <x:c r="A906" s="13" t="str">
        <x:v>CON-000905</x:v>
      </x:c>
      <x:c r="B906" s="23" t="n">
        <x:v>46054</x:v>
      </x:c>
      <x:c r="C906" s="13" t="str">
        <x:v>Nubank Serviços</x:v>
      </x:c>
      <x:c r="D906" s="17" t="n">
        <x:v>794.44</x:v>
      </x:c>
      <x:c r="E906" s="17" t="n">
        <x:v>794.44</x:v>
      </x:c>
      <x:c r="F906" s="13" t="str">
        <x:v>Conciliado</x:v>
      </x:c>
      <x:c r="G906" s="13" t="str">
        <x:v>Sem divergência</x:v>
      </x:c>
      <x:c r="H906" s="13" t="n">
        <x:v>0.39</x:v>
      </x:c>
      <x:c r="I906" s="13" t="str">
        <x:v>Escala inteligente</x:v>
      </x:c>
      <x:c r="J906" s="17" t="n">
        <x:f>E906-D906</x:f>
        <x:v>0</x:v>
      </x:c>
      <x:c r="K906" s="19" t="n">
        <x:f>IFERROR(ABS(J906/D906),0)</x:f>
        <x:v>0</x:v>
      </x:c>
    </x:row>
    <x:row r="907">
      <x:c r="A907" s="13" t="str">
        <x:v>CON-000906</x:v>
      </x:c>
      <x:c r="B907" s="23" t="n">
        <x:v>46071</x:v>
      </x:c>
      <x:c r="C907" s="13" t="str">
        <x:v>Nubank Serviços</x:v>
      </x:c>
      <x:c r="D907" s="17" t="n">
        <x:v>434.32</x:v>
      </x:c>
      <x:c r="E907" s="17" t="n">
        <x:v>434.32</x:v>
      </x:c>
      <x:c r="F907" s="13" t="str">
        <x:v>Conciliado</x:v>
      </x:c>
      <x:c r="G907" s="13" t="str">
        <x:v>Sem divergência</x:v>
      </x:c>
      <x:c r="H907" s="13" t="n">
        <x:v>0.42</x:v>
      </x:c>
      <x:c r="I907" s="13" t="str">
        <x:v>Escala inteligente</x:v>
      </x:c>
      <x:c r="J907" s="17" t="n">
        <x:f>E907-D907</x:f>
        <x:v>0</x:v>
      </x:c>
      <x:c r="K907" s="19" t="n">
        <x:f>IFERROR(ABS(J907/D907),0)</x:f>
        <x:v>0</x:v>
      </x:c>
    </x:row>
    <x:row r="908">
      <x:c r="A908" s="13" t="str">
        <x:v>CON-000907</x:v>
      </x:c>
      <x:c r="B908" s="23" t="n">
        <x:v>46056</x:v>
      </x:c>
      <x:c r="C908" s="13" t="str">
        <x:v>Bradesco Pagamentos</x:v>
      </x:c>
      <x:c r="D908" s="17" t="n">
        <x:v>20855.72</x:v>
      </x:c>
      <x:c r="E908" s="17" t="n">
        <x:v>20855.72</x:v>
      </x:c>
      <x:c r="F908" s="13" t="str">
        <x:v>Conciliado</x:v>
      </x:c>
      <x:c r="G908" s="13" t="str">
        <x:v>Sem divergência</x:v>
      </x:c>
      <x:c r="H908" s="13" t="n">
        <x:v>0.09</x:v>
      </x:c>
      <x:c r="I908" s="13" t="str">
        <x:v>Escala inteligente</x:v>
      </x:c>
      <x:c r="J908" s="17" t="n">
        <x:f>E908-D908</x:f>
        <x:v>0</x:v>
      </x:c>
      <x:c r="K908" s="19" t="n">
        <x:f>IFERROR(ABS(J908/D908),0)</x:f>
        <x:v>0</x:v>
      </x:c>
    </x:row>
    <x:row r="909">
      <x:c r="A909" s="13" t="str">
        <x:v>CON-000908</x:v>
      </x:c>
      <x:c r="B909" s="23" t="n">
        <x:v>46064</x:v>
      </x:c>
      <x:c r="C909" s="13" t="str">
        <x:v>Nubank Serviços</x:v>
      </x:c>
      <x:c r="D909" s="17" t="n">
        <x:v>34696.42</x:v>
      </x:c>
      <x:c r="E909" s="17" t="n">
        <x:v>34696.42</x:v>
      </x:c>
      <x:c r="F909" s="13" t="str">
        <x:v>Conciliado</x:v>
      </x:c>
      <x:c r="G909" s="13" t="str">
        <x:v>Sem divergência</x:v>
      </x:c>
      <x:c r="H909" s="13" t="n">
        <x:v>0.16</x:v>
      </x:c>
      <x:c r="I909" s="13" t="str">
        <x:v>Escala inteligente</x:v>
      </x:c>
      <x:c r="J909" s="17" t="n">
        <x:f>E909-D909</x:f>
        <x:v>0</x:v>
      </x:c>
      <x:c r="K909" s="19" t="n">
        <x:f>IFERROR(ABS(J909/D909),0)</x:f>
        <x:v>0</x:v>
      </x:c>
    </x:row>
    <x:row r="910">
      <x:c r="A910" s="13" t="str">
        <x:v>CON-000909</x:v>
      </x:c>
      <x:c r="B910" s="23" t="n">
        <x:v>46070</x:v>
      </x:c>
      <x:c r="C910" s="13" t="str">
        <x:v>Nubank Serviços</x:v>
      </x:c>
      <x:c r="D910" s="17" t="n">
        <x:v>763.87</x:v>
      </x:c>
      <x:c r="E910" s="17" t="n">
        <x:v>763.87</x:v>
      </x:c>
      <x:c r="F910" s="13" t="str">
        <x:v>Conciliado</x:v>
      </x:c>
      <x:c r="G910" s="13" t="str">
        <x:v>Sem divergência</x:v>
      </x:c>
      <x:c r="H910" s="13" t="n">
        <x:v>0.33</x:v>
      </x:c>
      <x:c r="I910" s="13" t="str">
        <x:v>Escala inteligente</x:v>
      </x:c>
      <x:c r="J910" s="17" t="n">
        <x:f>E910-D910</x:f>
        <x:v>0</x:v>
      </x:c>
      <x:c r="K910" s="19" t="n">
        <x:f>IFERROR(ABS(J910/D910),0)</x:f>
        <x:v>0</x:v>
      </x:c>
    </x:row>
    <x:row r="911">
      <x:c r="A911" s="13" t="str">
        <x:v>CON-000910</x:v>
      </x:c>
      <x:c r="B911" s="23" t="n">
        <x:v>46062</x:v>
      </x:c>
      <x:c r="C911" s="13" t="str">
        <x:v>Itaú Operacional</x:v>
      </x:c>
      <x:c r="D911" s="17" t="n">
        <x:v>1513.54</x:v>
      </x:c>
      <x:c r="E911" s="17" t="n">
        <x:v>1513.54</x:v>
      </x:c>
      <x:c r="F911" s="13" t="str">
        <x:v>Conciliado</x:v>
      </x:c>
      <x:c r="G911" s="13" t="str">
        <x:v>Sem divergência</x:v>
      </x:c>
      <x:c r="H911" s="13" t="n">
        <x:v>0.3</x:v>
      </x:c>
      <x:c r="I911" s="13" t="str">
        <x:v>Escala inteligente</x:v>
      </x:c>
      <x:c r="J911" s="17" t="n">
        <x:f>E911-D911</x:f>
        <x:v>0</x:v>
      </x:c>
      <x:c r="K911" s="19" t="n">
        <x:f>IFERROR(ABS(J911/D911),0)</x:f>
        <x:v>0</x:v>
      </x:c>
    </x:row>
    <x:row r="912">
      <x:c r="A912" s="13" t="str">
        <x:v>CON-000911</x:v>
      </x:c>
      <x:c r="B912" s="23" t="n">
        <x:v>46092</x:v>
      </x:c>
      <x:c r="C912" s="13" t="str">
        <x:v>Itaú Operacional</x:v>
      </x:c>
      <x:c r="D912" s="17" t="n">
        <x:v>2570.02</x:v>
      </x:c>
      <x:c r="E912" s="17" t="n">
        <x:v>2570.02</x:v>
      </x:c>
      <x:c r="F912" s="13" t="str">
        <x:v>Conciliado</x:v>
      </x:c>
      <x:c r="G912" s="13" t="str">
        <x:v>Sem divergência</x:v>
      </x:c>
      <x:c r="H912" s="13" t="n">
        <x:v>0.12</x:v>
      </x:c>
      <x:c r="I912" s="13" t="str">
        <x:v>Escala inteligente</x:v>
      </x:c>
      <x:c r="J912" s="17" t="n">
        <x:f>E912-D912</x:f>
        <x:v>0</x:v>
      </x:c>
      <x:c r="K912" s="19" t="n">
        <x:f>IFERROR(ABS(J912/D912),0)</x:f>
        <x:v>0</x:v>
      </x:c>
    </x:row>
    <x:row r="913">
      <x:c r="A913" s="13" t="str">
        <x:v>CON-000912</x:v>
      </x:c>
      <x:c r="B913" s="23" t="n">
        <x:v>46091</x:v>
      </x:c>
      <x:c r="C913" s="13" t="str">
        <x:v>Bradesco Pagamentos</x:v>
      </x:c>
      <x:c r="D913" s="17" t="n">
        <x:v>28012.89</x:v>
      </x:c>
      <x:c r="E913" s="17" t="n">
        <x:v>28012.89</x:v>
      </x:c>
      <x:c r="F913" s="13" t="str">
        <x:v>Conciliado</x:v>
      </x:c>
      <x:c r="G913" s="13" t="str">
        <x:v>Sem divergência</x:v>
      </x:c>
      <x:c r="H913" s="13" t="n">
        <x:v>0.29</x:v>
      </x:c>
      <x:c r="I913" s="13" t="str">
        <x:v>Escala inteligente</x:v>
      </x:c>
      <x:c r="J913" s="17" t="n">
        <x:f>E913-D913</x:f>
        <x:v>0</x:v>
      </x:c>
      <x:c r="K913" s="19" t="n">
        <x:f>IFERROR(ABS(J913/D913),0)</x:f>
        <x:v>0</x:v>
      </x:c>
    </x:row>
    <x:row r="914">
      <x:c r="A914" s="13" t="str">
        <x:v>CON-000913</x:v>
      </x:c>
      <x:c r="B914" s="23" t="n">
        <x:v>46098</x:v>
      </x:c>
      <x:c r="C914" s="13" t="str">
        <x:v>Itaú Operacional</x:v>
      </x:c>
      <x:c r="D914" s="17" t="n">
        <x:v>26542.8</x:v>
      </x:c>
      <x:c r="E914" s="17" t="n">
        <x:v>26542.8</x:v>
      </x:c>
      <x:c r="F914" s="13" t="str">
        <x:v>Conciliado</x:v>
      </x:c>
      <x:c r="G914" s="13" t="str">
        <x:v>Sem divergência</x:v>
      </x:c>
      <x:c r="H914" s="13" t="n">
        <x:v>0.18</x:v>
      </x:c>
      <x:c r="I914" s="13" t="str">
        <x:v>Escala inteligente</x:v>
      </x:c>
      <x:c r="J914" s="17" t="n">
        <x:f>E914-D914</x:f>
        <x:v>0</x:v>
      </x:c>
      <x:c r="K914" s="19" t="n">
        <x:f>IFERROR(ABS(J914/D914),0)</x:f>
        <x:v>0</x:v>
      </x:c>
    </x:row>
    <x:row r="915">
      <x:c r="A915" s="13" t="str">
        <x:v>CON-000914</x:v>
      </x:c>
      <x:c r="B915" s="23" t="n">
        <x:v>46085</x:v>
      </x:c>
      <x:c r="C915" s="13" t="str">
        <x:v>Nubank Serviços</x:v>
      </x:c>
      <x:c r="D915" s="17" t="n">
        <x:v>7277.12</x:v>
      </x:c>
      <x:c r="E915" s="17" t="n">
        <x:v>7277.12</x:v>
      </x:c>
      <x:c r="F915" s="13" t="str">
        <x:v>Conciliado</x:v>
      </x:c>
      <x:c r="G915" s="13" t="str">
        <x:v>Sem divergência</x:v>
      </x:c>
      <x:c r="H915" s="13" t="n">
        <x:v>0.19</x:v>
      </x:c>
      <x:c r="I915" s="13" t="str">
        <x:v>Escala inteligente</x:v>
      </x:c>
      <x:c r="J915" s="17" t="n">
        <x:f>E915-D915</x:f>
        <x:v>0</x:v>
      </x:c>
      <x:c r="K915" s="19" t="n">
        <x:f>IFERROR(ABS(J915/D915),0)</x:f>
        <x:v>0</x:v>
      </x:c>
    </x:row>
    <x:row r="916">
      <x:c r="A916" s="13" t="str">
        <x:v>CON-000915</x:v>
      </x:c>
      <x:c r="B916" s="23" t="n">
        <x:v>46091</x:v>
      </x:c>
      <x:c r="C916" s="13" t="str">
        <x:v>Nubank Serviços</x:v>
      </x:c>
      <x:c r="D916" s="17" t="n">
        <x:v>4088.92</x:v>
      </x:c>
      <x:c r="E916" s="17" t="n">
        <x:v>4088.92</x:v>
      </x:c>
      <x:c r="F916" s="13" t="str">
        <x:v>Conciliado</x:v>
      </x:c>
      <x:c r="G916" s="13" t="str">
        <x:v>Sem divergência</x:v>
      </x:c>
      <x:c r="H916" s="13" t="n">
        <x:v>0.07</x:v>
      </x:c>
      <x:c r="I916" s="13" t="str">
        <x:v>Escala inteligente</x:v>
      </x:c>
      <x:c r="J916" s="17" t="n">
        <x:f>E916-D916</x:f>
        <x:v>0</x:v>
      </x:c>
      <x:c r="K916" s="19" t="n">
        <x:f>IFERROR(ABS(J916/D916),0)</x:f>
        <x:v>0</x:v>
      </x:c>
    </x:row>
    <x:row r="917">
      <x:c r="A917" s="13" t="str">
        <x:v>CON-000916</x:v>
      </x:c>
      <x:c r="B917" s="23" t="n">
        <x:v>46084</x:v>
      </x:c>
      <x:c r="C917" s="13" t="str">
        <x:v>Itaú Operacional</x:v>
      </x:c>
      <x:c r="D917" s="17" t="n">
        <x:v>44241.52</x:v>
      </x:c>
      <x:c r="E917" s="17" t="n">
        <x:v>44241.52</x:v>
      </x:c>
      <x:c r="F917" s="13" t="str">
        <x:v>Conciliado</x:v>
      </x:c>
      <x:c r="G917" s="13" t="str">
        <x:v>Sem divergência</x:v>
      </x:c>
      <x:c r="H917" s="13" t="n">
        <x:v>0.17</x:v>
      </x:c>
      <x:c r="I917" s="13" t="str">
        <x:v>Escala inteligente</x:v>
      </x:c>
      <x:c r="J917" s="17" t="n">
        <x:f>E917-D917</x:f>
        <x:v>0</x:v>
      </x:c>
      <x:c r="K917" s="19" t="n">
        <x:f>IFERROR(ABS(J917/D917),0)</x:f>
        <x:v>0</x:v>
      </x:c>
    </x:row>
    <x:row r="918">
      <x:c r="A918" s="13" t="str">
        <x:v>CON-000917</x:v>
      </x:c>
      <x:c r="B918" s="23" t="n">
        <x:v>46093</x:v>
      </x:c>
      <x:c r="C918" s="13" t="str">
        <x:v>Nubank Serviços</x:v>
      </x:c>
      <x:c r="D918" s="17" t="n">
        <x:v>35096.42</x:v>
      </x:c>
      <x:c r="E918" s="17" t="n">
        <x:v>35096.42</x:v>
      </x:c>
      <x:c r="F918" s="13" t="str">
        <x:v>Conciliado</x:v>
      </x:c>
      <x:c r="G918" s="13" t="str">
        <x:v>Sem divergência</x:v>
      </x:c>
      <x:c r="H918" s="13" t="n">
        <x:v>0.29</x:v>
      </x:c>
      <x:c r="I918" s="13" t="str">
        <x:v>Escala inteligente</x:v>
      </x:c>
      <x:c r="J918" s="17" t="n">
        <x:f>E918-D918</x:f>
        <x:v>0</x:v>
      </x:c>
      <x:c r="K918" s="19" t="n">
        <x:f>IFERROR(ABS(J918/D918),0)</x:f>
        <x:v>0</x:v>
      </x:c>
    </x:row>
    <x:row r="919">
      <x:c r="A919" s="13" t="str">
        <x:v>CON-000918</x:v>
      </x:c>
      <x:c r="B919" s="23" t="n">
        <x:v>46106</x:v>
      </x:c>
      <x:c r="C919" s="13" t="str">
        <x:v>Itaú Operacional</x:v>
      </x:c>
      <x:c r="D919" s="17" t="n">
        <x:v>25271.37</x:v>
      </x:c>
      <x:c r="E919" s="17" t="n">
        <x:v>25271.37</x:v>
      </x:c>
      <x:c r="F919" s="13" t="str">
        <x:v>Conciliado</x:v>
      </x:c>
      <x:c r="G919" s="13" t="str">
        <x:v>Sem divergência</x:v>
      </x:c>
      <x:c r="H919" s="13" t="n">
        <x:v>0.03</x:v>
      </x:c>
      <x:c r="I919" s="13" t="str">
        <x:v>Escala inteligente</x:v>
      </x:c>
      <x:c r="J919" s="17" t="n">
        <x:f>E919-D919</x:f>
        <x:v>0</x:v>
      </x:c>
      <x:c r="K919" s="19" t="n">
        <x:f>IFERROR(ABS(J919/D919),0)</x:f>
        <x:v>0</x:v>
      </x:c>
    </x:row>
    <x:row r="920">
      <x:c r="A920" s="13" t="str">
        <x:v>CON-000919</x:v>
      </x:c>
      <x:c r="B920" s="23" t="n">
        <x:v>46089</x:v>
      </x:c>
      <x:c r="C920" s="13" t="str">
        <x:v>Bradesco Pagamentos</x:v>
      </x:c>
      <x:c r="D920" s="17" t="n">
        <x:v>16802.5</x:v>
      </x:c>
      <x:c r="E920" s="17" t="n">
        <x:v>16802.5</x:v>
      </x:c>
      <x:c r="F920" s="13" t="str">
        <x:v>Conciliado</x:v>
      </x:c>
      <x:c r="G920" s="13" t="str">
        <x:v>Sem divergência</x:v>
      </x:c>
      <x:c r="H920" s="13" t="n">
        <x:v>0.29</x:v>
      </x:c>
      <x:c r="I920" s="13" t="str">
        <x:v>Escala inteligente</x:v>
      </x:c>
      <x:c r="J920" s="17" t="n">
        <x:f>E920-D920</x:f>
        <x:v>0</x:v>
      </x:c>
      <x:c r="K920" s="19" t="n">
        <x:f>IFERROR(ABS(J920/D920),0)</x:f>
        <x:v>0</x:v>
      </x:c>
    </x:row>
    <x:row r="921">
      <x:c r="A921" s="13" t="str">
        <x:v>CON-000920</x:v>
      </x:c>
      <x:c r="B921" s="23" t="n">
        <x:v>46084</x:v>
      </x:c>
      <x:c r="C921" s="13" t="str">
        <x:v>Itaú Operacional</x:v>
      </x:c>
      <x:c r="D921" s="17" t="n">
        <x:v>22031.71</x:v>
      </x:c>
      <x:c r="E921" s="17" t="n">
        <x:v>22031.71</x:v>
      </x:c>
      <x:c r="F921" s="13" t="str">
        <x:v>Conciliado</x:v>
      </x:c>
      <x:c r="G921" s="13" t="str">
        <x:v>Sem divergência</x:v>
      </x:c>
      <x:c r="H921" s="13" t="n">
        <x:v>0.09</x:v>
      </x:c>
      <x:c r="I921" s="13" t="str">
        <x:v>Escala inteligente</x:v>
      </x:c>
      <x:c r="J921" s="17" t="n">
        <x:f>E921-D921</x:f>
        <x:v>0</x:v>
      </x:c>
      <x:c r="K921" s="19" t="n">
        <x:f>IFERROR(ABS(J921/D921),0)</x:f>
        <x:v>0</x:v>
      </x:c>
    </x:row>
    <x:row r="922">
      <x:c r="A922" s="13" t="str">
        <x:v>CON-000921</x:v>
      </x:c>
      <x:c r="B922" s="23" t="n">
        <x:v>46103</x:v>
      </x:c>
      <x:c r="C922" s="13" t="str">
        <x:v>Bradesco Pagamentos</x:v>
      </x:c>
      <x:c r="D922" s="17" t="n">
        <x:v>29413.69</x:v>
      </x:c>
      <x:c r="E922" s="17" t="n">
        <x:v>29413.69</x:v>
      </x:c>
      <x:c r="F922" s="13" t="str">
        <x:v>Conciliado</x:v>
      </x:c>
      <x:c r="G922" s="13" t="str">
        <x:v>Sem divergência</x:v>
      </x:c>
      <x:c r="H922" s="13" t="n">
        <x:v>0.37</x:v>
      </x:c>
      <x:c r="I922" s="13" t="str">
        <x:v>Escala inteligente</x:v>
      </x:c>
      <x:c r="J922" s="17" t="n">
        <x:f>E922-D922</x:f>
        <x:v>0</x:v>
      </x:c>
      <x:c r="K922" s="19" t="n">
        <x:f>IFERROR(ABS(J922/D922),0)</x:f>
        <x:v>0</x:v>
      </x:c>
    </x:row>
    <x:row r="923">
      <x:c r="A923" s="13" t="str">
        <x:v>CON-000922</x:v>
      </x:c>
      <x:c r="B923" s="23" t="n">
        <x:v>46095</x:v>
      </x:c>
      <x:c r="C923" s="13" t="str">
        <x:v>Nubank Serviços</x:v>
      </x:c>
      <x:c r="D923" s="17" t="n">
        <x:v>479.48</x:v>
      </x:c>
      <x:c r="E923" s="17" t="n">
        <x:v>479.48</x:v>
      </x:c>
      <x:c r="F923" s="13" t="str">
        <x:v>Conciliado</x:v>
      </x:c>
      <x:c r="G923" s="13" t="str">
        <x:v>Sem divergência</x:v>
      </x:c>
      <x:c r="H923" s="13" t="n">
        <x:v>0.05</x:v>
      </x:c>
      <x:c r="I923" s="13" t="str">
        <x:v>Escala inteligente</x:v>
      </x:c>
      <x:c r="J923" s="17" t="n">
        <x:f>E923-D923</x:f>
        <x:v>0</x:v>
      </x:c>
      <x:c r="K923" s="19" t="n">
        <x:f>IFERROR(ABS(J923/D923),0)</x:f>
        <x:v>0</x:v>
      </x:c>
    </x:row>
    <x:row r="924">
      <x:c r="A924" s="13" t="str">
        <x:v>CON-000923</x:v>
      </x:c>
      <x:c r="B924" s="23" t="n">
        <x:v>46093</x:v>
      </x:c>
      <x:c r="C924" s="13" t="str">
        <x:v>Nubank Serviços</x:v>
      </x:c>
      <x:c r="D924" s="17" t="n">
        <x:v>8800.64</x:v>
      </x:c>
      <x:c r="E924" s="17" t="n">
        <x:v>8800.64</x:v>
      </x:c>
      <x:c r="F924" s="13" t="str">
        <x:v>Conciliado</x:v>
      </x:c>
      <x:c r="G924" s="13" t="str">
        <x:v>Sem divergência</x:v>
      </x:c>
      <x:c r="H924" s="13" t="n">
        <x:v>0.18</x:v>
      </x:c>
      <x:c r="I924" s="13" t="str">
        <x:v>Escala inteligente</x:v>
      </x:c>
      <x:c r="J924" s="17" t="n">
        <x:f>E924-D924</x:f>
        <x:v>0</x:v>
      </x:c>
      <x:c r="K924" s="19" t="n">
        <x:f>IFERROR(ABS(J924/D924),0)</x:f>
        <x:v>0</x:v>
      </x:c>
    </x:row>
    <x:row r="925">
      <x:c r="A925" s="13" t="str">
        <x:v>CON-000924</x:v>
      </x:c>
      <x:c r="B925" s="23" t="n">
        <x:v>46091</x:v>
      </x:c>
      <x:c r="C925" s="13" t="str">
        <x:v>Santander Recebimentos</x:v>
      </x:c>
      <x:c r="D925" s="17" t="n">
        <x:v>24976.25</x:v>
      </x:c>
      <x:c r="E925" s="17" t="n">
        <x:v>24976.25</x:v>
      </x:c>
      <x:c r="F925" s="13" t="str">
        <x:v>Conciliado</x:v>
      </x:c>
      <x:c r="G925" s="13" t="str">
        <x:v>Sem divergência</x:v>
      </x:c>
      <x:c r="H925" s="13" t="n">
        <x:v>0.24</x:v>
      </x:c>
      <x:c r="I925" s="13" t="str">
        <x:v>Escala inteligente</x:v>
      </x:c>
      <x:c r="J925" s="17" t="n">
        <x:f>E925-D925</x:f>
        <x:v>0</x:v>
      </x:c>
      <x:c r="K925" s="19" t="n">
        <x:f>IFERROR(ABS(J925/D925),0)</x:f>
        <x:v>0</x:v>
      </x:c>
    </x:row>
    <x:row r="926">
      <x:c r="A926" s="13" t="str">
        <x:v>CON-000925</x:v>
      </x:c>
      <x:c r="B926" s="23" t="n">
        <x:v>46090</x:v>
      </x:c>
      <x:c r="C926" s="13" t="str">
        <x:v>Itaú Operacional</x:v>
      </x:c>
      <x:c r="D926" s="17" t="n">
        <x:v>5545.93</x:v>
      </x:c>
      <x:c r="E926" s="17" t="n">
        <x:v>5545.93</x:v>
      </x:c>
      <x:c r="F926" s="13" t="str">
        <x:v>Conciliado</x:v>
      </x:c>
      <x:c r="G926" s="13" t="str">
        <x:v>Sem divergência</x:v>
      </x:c>
      <x:c r="H926" s="13" t="n">
        <x:v>0.21</x:v>
      </x:c>
      <x:c r="I926" s="13" t="str">
        <x:v>Escala inteligente</x:v>
      </x:c>
      <x:c r="J926" s="17" t="n">
        <x:f>E926-D926</x:f>
        <x:v>0</x:v>
      </x:c>
      <x:c r="K926" s="19" t="n">
        <x:f>IFERROR(ABS(J926/D926),0)</x:f>
        <x:v>0</x:v>
      </x:c>
    </x:row>
    <x:row r="927">
      <x:c r="A927" s="13" t="str">
        <x:v>CON-000926</x:v>
      </x:c>
      <x:c r="B927" s="23" t="n">
        <x:v>46085</x:v>
      </x:c>
      <x:c r="C927" s="13" t="str">
        <x:v>Itaú Operacional</x:v>
      </x:c>
      <x:c r="D927" s="17" t="n">
        <x:v>41314.82</x:v>
      </x:c>
      <x:c r="E927" s="17" t="n">
        <x:v>41314.82</x:v>
      </x:c>
      <x:c r="F927" s="13" t="str">
        <x:v>Conciliado</x:v>
      </x:c>
      <x:c r="G927" s="13" t="str">
        <x:v>Sem divergência</x:v>
      </x:c>
      <x:c r="H927" s="13" t="n">
        <x:v>0.14</x:v>
      </x:c>
      <x:c r="I927" s="13" t="str">
        <x:v>Escala inteligente</x:v>
      </x:c>
      <x:c r="J927" s="17" t="n">
        <x:f>E927-D927</x:f>
        <x:v>0</x:v>
      </x:c>
      <x:c r="K927" s="19" t="n">
        <x:f>IFERROR(ABS(J927/D927),0)</x:f>
        <x:v>0</x:v>
      </x:c>
    </x:row>
    <x:row r="928">
      <x:c r="A928" s="13" t="str">
        <x:v>CON-000927</x:v>
      </x:c>
      <x:c r="B928" s="23" t="n">
        <x:v>46084</x:v>
      </x:c>
      <x:c r="C928" s="13" t="str">
        <x:v>Bradesco Pagamentos</x:v>
      </x:c>
      <x:c r="D928" s="17" t="n">
        <x:v>463.52</x:v>
      </x:c>
      <x:c r="E928" s="17" t="n">
        <x:v>463.52</x:v>
      </x:c>
      <x:c r="F928" s="13" t="str">
        <x:v>Conciliado</x:v>
      </x:c>
      <x:c r="G928" s="13" t="str">
        <x:v>Sem divergência</x:v>
      </x:c>
      <x:c r="H928" s="13" t="n">
        <x:v>0.41</x:v>
      </x:c>
      <x:c r="I928" s="13" t="str">
        <x:v>Escala inteligente</x:v>
      </x:c>
      <x:c r="J928" s="17" t="n">
        <x:f>E928-D928</x:f>
        <x:v>0</x:v>
      </x:c>
      <x:c r="K928" s="19" t="n">
        <x:f>IFERROR(ABS(J928/D928),0)</x:f>
        <x:v>0</x:v>
      </x:c>
    </x:row>
    <x:row r="929">
      <x:c r="A929" s="13" t="str">
        <x:v>CON-000928</x:v>
      </x:c>
      <x:c r="B929" s="23" t="n">
        <x:v>46101</x:v>
      </x:c>
      <x:c r="C929" s="13" t="str">
        <x:v>Itaú Operacional</x:v>
      </x:c>
      <x:c r="D929" s="17" t="n">
        <x:v>16105.15</x:v>
      </x:c>
      <x:c r="E929" s="17" t="n">
        <x:v>16105.15</x:v>
      </x:c>
      <x:c r="F929" s="13" t="str">
        <x:v>Conciliado</x:v>
      </x:c>
      <x:c r="G929" s="13" t="str">
        <x:v>Sem divergência</x:v>
      </x:c>
      <x:c r="H929" s="13" t="n">
        <x:v>0.14</x:v>
      </x:c>
      <x:c r="I929" s="13" t="str">
        <x:v>Escala inteligente</x:v>
      </x:c>
      <x:c r="J929" s="17" t="n">
        <x:f>E929-D929</x:f>
        <x:v>0</x:v>
      </x:c>
      <x:c r="K929" s="19" t="n">
        <x:f>IFERROR(ABS(J929/D929),0)</x:f>
        <x:v>0</x:v>
      </x:c>
    </x:row>
    <x:row r="930">
      <x:c r="A930" s="13" t="str">
        <x:v>CON-000929</x:v>
      </x:c>
      <x:c r="B930" s="23" t="n">
        <x:v>46097</x:v>
      </x:c>
      <x:c r="C930" s="13" t="str">
        <x:v>Nubank Serviços</x:v>
      </x:c>
      <x:c r="D930" s="17" t="n">
        <x:v>32822.4</x:v>
      </x:c>
      <x:c r="E930" s="17" t="n">
        <x:v>32822.4</x:v>
      </x:c>
      <x:c r="F930" s="13" t="str">
        <x:v>Conciliado</x:v>
      </x:c>
      <x:c r="G930" s="13" t="str">
        <x:v>Sem divergência</x:v>
      </x:c>
      <x:c r="H930" s="13" t="n">
        <x:v>0.27</x:v>
      </x:c>
      <x:c r="I930" s="13" t="str">
        <x:v>Escala inteligente</x:v>
      </x:c>
      <x:c r="J930" s="17" t="n">
        <x:f>E930-D930</x:f>
        <x:v>0</x:v>
      </x:c>
      <x:c r="K930" s="19" t="n">
        <x:f>IFERROR(ABS(J930/D930),0)</x:f>
        <x:v>0</x:v>
      </x:c>
    </x:row>
    <x:row r="931">
      <x:c r="A931" s="13" t="str">
        <x:v>CON-000930</x:v>
      </x:c>
      <x:c r="B931" s="23" t="n">
        <x:v>46103</x:v>
      </x:c>
      <x:c r="C931" s="13" t="str">
        <x:v>Santander Recebimentos</x:v>
      </x:c>
      <x:c r="D931" s="17" t="n">
        <x:v>24648.74</x:v>
      </x:c>
      <x:c r="E931" s="17" t="n">
        <x:v>24648.74</x:v>
      </x:c>
      <x:c r="F931" s="13" t="str">
        <x:v>Conciliado</x:v>
      </x:c>
      <x:c r="G931" s="13" t="str">
        <x:v>Sem divergência</x:v>
      </x:c>
      <x:c r="H931" s="13" t="n">
        <x:v>0.45</x:v>
      </x:c>
      <x:c r="I931" s="13" t="str">
        <x:v>Escala inteligente</x:v>
      </x:c>
      <x:c r="J931" s="17" t="n">
        <x:f>E931-D931</x:f>
        <x:v>0</x:v>
      </x:c>
      <x:c r="K931" s="19" t="n">
        <x:f>IFERROR(ABS(J931/D931),0)</x:f>
        <x:v>0</x:v>
      </x:c>
    </x:row>
    <x:row r="932">
      <x:c r="A932" s="13" t="str">
        <x:v>CON-000931</x:v>
      </x:c>
      <x:c r="B932" s="23" t="n">
        <x:v>46089</x:v>
      </x:c>
      <x:c r="C932" s="13" t="str">
        <x:v>Itaú Operacional</x:v>
      </x:c>
      <x:c r="D932" s="17" t="n">
        <x:v>28735.79</x:v>
      </x:c>
      <x:c r="E932" s="17" t="n">
        <x:v>28735.79</x:v>
      </x:c>
      <x:c r="F932" s="13" t="str">
        <x:v>Conciliado</x:v>
      </x:c>
      <x:c r="G932" s="13" t="str">
        <x:v>Sem divergência</x:v>
      </x:c>
      <x:c r="H932" s="13" t="n">
        <x:v>0.25</x:v>
      </x:c>
      <x:c r="I932" s="13" t="str">
        <x:v>Escala inteligente</x:v>
      </x:c>
      <x:c r="J932" s="17" t="n">
        <x:f>E932-D932</x:f>
        <x:v>0</x:v>
      </x:c>
      <x:c r="K932" s="19" t="n">
        <x:f>IFERROR(ABS(J932/D932),0)</x:f>
        <x:v>0</x:v>
      </x:c>
    </x:row>
    <x:row r="933">
      <x:c r="A933" s="13" t="str">
        <x:v>CON-000932</x:v>
      </x:c>
      <x:c r="B933" s="23" t="n">
        <x:v>46093</x:v>
      </x:c>
      <x:c r="C933" s="13" t="str">
        <x:v>Santander Recebimentos</x:v>
      </x:c>
      <x:c r="D933" s="17" t="n">
        <x:v>32518.79</x:v>
      </x:c>
      <x:c r="E933" s="17" t="n">
        <x:v>32518.79</x:v>
      </x:c>
      <x:c r="F933" s="13" t="str">
        <x:v>Conciliado</x:v>
      </x:c>
      <x:c r="G933" s="13" t="str">
        <x:v>Sem divergência</x:v>
      </x:c>
      <x:c r="H933" s="13" t="n">
        <x:v>0.32</x:v>
      </x:c>
      <x:c r="I933" s="13" t="str">
        <x:v>Escala inteligente</x:v>
      </x:c>
      <x:c r="J933" s="17" t="n">
        <x:f>E933-D933</x:f>
        <x:v>0</x:v>
      </x:c>
      <x:c r="K933" s="19" t="n">
        <x:f>IFERROR(ABS(J933/D933),0)</x:f>
        <x:v>0</x:v>
      </x:c>
    </x:row>
    <x:row r="934">
      <x:c r="A934" s="13" t="str">
        <x:v>CON-000933</x:v>
      </x:c>
      <x:c r="B934" s="23" t="n">
        <x:v>46097</x:v>
      </x:c>
      <x:c r="C934" s="13" t="str">
        <x:v>Santander Recebimentos</x:v>
      </x:c>
      <x:c r="D934" s="17" t="n">
        <x:v>15187.18</x:v>
      </x:c>
      <x:c r="E934" s="17" t="n">
        <x:v>15187.18</x:v>
      </x:c>
      <x:c r="F934" s="13" t="str">
        <x:v>Conciliado</x:v>
      </x:c>
      <x:c r="G934" s="13" t="str">
        <x:v>Sem divergência</x:v>
      </x:c>
      <x:c r="H934" s="13" t="n">
        <x:v>0.38</x:v>
      </x:c>
      <x:c r="I934" s="13" t="str">
        <x:v>Escala inteligente</x:v>
      </x:c>
      <x:c r="J934" s="17" t="n">
        <x:f>E934-D934</x:f>
        <x:v>0</x:v>
      </x:c>
      <x:c r="K934" s="19" t="n">
        <x:f>IFERROR(ABS(J934/D934),0)</x:f>
        <x:v>0</x:v>
      </x:c>
    </x:row>
    <x:row r="935">
      <x:c r="A935" s="13" t="str">
        <x:v>CON-000934</x:v>
      </x:c>
      <x:c r="B935" s="23" t="n">
        <x:v>46092</x:v>
      </x:c>
      <x:c r="C935" s="13" t="str">
        <x:v>Itaú Operacional</x:v>
      </x:c>
      <x:c r="D935" s="17" t="n">
        <x:v>2933.01</x:v>
      </x:c>
      <x:c r="E935" s="17" t="n">
        <x:v>2933.01</x:v>
      </x:c>
      <x:c r="F935" s="13" t="str">
        <x:v>Conciliado</x:v>
      </x:c>
      <x:c r="G935" s="13" t="str">
        <x:v>Sem divergência</x:v>
      </x:c>
      <x:c r="H935" s="13" t="n">
        <x:v>0.26</x:v>
      </x:c>
      <x:c r="I935" s="13" t="str">
        <x:v>Escala inteligente</x:v>
      </x:c>
      <x:c r="J935" s="17" t="n">
        <x:f>E935-D935</x:f>
        <x:v>0</x:v>
      </x:c>
      <x:c r="K935" s="19" t="n">
        <x:f>IFERROR(ABS(J935/D935),0)</x:f>
        <x:v>0</x:v>
      </x:c>
    </x:row>
    <x:row r="936">
      <x:c r="A936" s="13" t="str">
        <x:v>CON-000935</x:v>
      </x:c>
      <x:c r="B936" s="23" t="n">
        <x:v>46090</x:v>
      </x:c>
      <x:c r="C936" s="13" t="str">
        <x:v>Nubank Serviços</x:v>
      </x:c>
      <x:c r="D936" s="17" t="n">
        <x:v>1666.65</x:v>
      </x:c>
      <x:c r="E936" s="17" t="n">
        <x:v>1666.65</x:v>
      </x:c>
      <x:c r="F936" s="13" t="str">
        <x:v>Conciliado</x:v>
      </x:c>
      <x:c r="G936" s="13" t="str">
        <x:v>Sem divergência</x:v>
      </x:c>
      <x:c r="H936" s="13" t="n">
        <x:v>0.31</x:v>
      </x:c>
      <x:c r="I936" s="13" t="str">
        <x:v>Escala inteligente</x:v>
      </x:c>
      <x:c r="J936" s="17" t="n">
        <x:f>E936-D936</x:f>
        <x:v>0</x:v>
      </x:c>
      <x:c r="K936" s="19" t="n">
        <x:f>IFERROR(ABS(J936/D936),0)</x:f>
        <x:v>0</x:v>
      </x:c>
    </x:row>
    <x:row r="937">
      <x:c r="A937" s="13" t="str">
        <x:v>CON-000936</x:v>
      </x:c>
      <x:c r="B937" s="23" t="n">
        <x:v>46086</x:v>
      </x:c>
      <x:c r="C937" s="13" t="str">
        <x:v>Bradesco Pagamentos</x:v>
      </x:c>
      <x:c r="D937" s="17" t="n">
        <x:v>25579.65</x:v>
      </x:c>
      <x:c r="E937" s="17" t="n">
        <x:v>25579.65</x:v>
      </x:c>
      <x:c r="F937" s="13" t="str">
        <x:v>Conciliado</x:v>
      </x:c>
      <x:c r="G937" s="13" t="str">
        <x:v>Sem divergência</x:v>
      </x:c>
      <x:c r="H937" s="13" t="n">
        <x:v>0.07</x:v>
      </x:c>
      <x:c r="I937" s="13" t="str">
        <x:v>Escala inteligente</x:v>
      </x:c>
      <x:c r="J937" s="17" t="n">
        <x:f>E937-D937</x:f>
        <x:v>0</x:v>
      </x:c>
      <x:c r="K937" s="19" t="n">
        <x:f>IFERROR(ABS(J937/D937),0)</x:f>
        <x:v>0</x:v>
      </x:c>
    </x:row>
    <x:row r="938">
      <x:c r="A938" s="13" t="str">
        <x:v>CON-000937</x:v>
      </x:c>
      <x:c r="B938" s="23" t="n">
        <x:v>46099</x:v>
      </x:c>
      <x:c r="C938" s="13" t="str">
        <x:v>Bradesco Pagamentos</x:v>
      </x:c>
      <x:c r="D938" s="17" t="n">
        <x:v>19708.44</x:v>
      </x:c>
      <x:c r="E938" s="17" t="n">
        <x:v>19708.44</x:v>
      </x:c>
      <x:c r="F938" s="13" t="str">
        <x:v>Conciliado</x:v>
      </x:c>
      <x:c r="G938" s="13" t="str">
        <x:v>Sem divergência</x:v>
      </x:c>
      <x:c r="H938" s="13" t="n">
        <x:v>0.05</x:v>
      </x:c>
      <x:c r="I938" s="13" t="str">
        <x:v>Escala inteligente</x:v>
      </x:c>
      <x:c r="J938" s="17" t="n">
        <x:f>E938-D938</x:f>
        <x:v>0</x:v>
      </x:c>
      <x:c r="K938" s="19" t="n">
        <x:f>IFERROR(ABS(J938/D938),0)</x:f>
        <x:v>0</x:v>
      </x:c>
    </x:row>
    <x:row r="939">
      <x:c r="A939" s="13" t="str">
        <x:v>CON-000938</x:v>
      </x:c>
      <x:c r="B939" s="23" t="n">
        <x:v>46097</x:v>
      </x:c>
      <x:c r="C939" s="13" t="str">
        <x:v>Santander Recebimentos</x:v>
      </x:c>
      <x:c r="D939" s="17" t="n">
        <x:v>3737.72</x:v>
      </x:c>
      <x:c r="E939" s="17" t="n">
        <x:v>3737.72</x:v>
      </x:c>
      <x:c r="F939" s="13" t="str">
        <x:v>Conciliado</x:v>
      </x:c>
      <x:c r="G939" s="13" t="str">
        <x:v>Sem divergência</x:v>
      </x:c>
      <x:c r="H939" s="13" t="n">
        <x:v>0.28</x:v>
      </x:c>
      <x:c r="I939" s="13" t="str">
        <x:v>Escala inteligente</x:v>
      </x:c>
      <x:c r="J939" s="17" t="n">
        <x:f>E939-D939</x:f>
        <x:v>0</x:v>
      </x:c>
      <x:c r="K939" s="19" t="n">
        <x:f>IFERROR(ABS(J939/D939),0)</x:f>
        <x:v>0</x:v>
      </x:c>
    </x:row>
    <x:row r="940">
      <x:c r="A940" s="13" t="str">
        <x:v>CON-000939</x:v>
      </x:c>
      <x:c r="B940" s="23" t="n">
        <x:v>46094</x:v>
      </x:c>
      <x:c r="C940" s="13" t="str">
        <x:v>Nubank Serviços</x:v>
      </x:c>
      <x:c r="D940" s="17" t="n">
        <x:v>43455.94</x:v>
      </x:c>
      <x:c r="E940" s="17" t="n">
        <x:v>43455.94</x:v>
      </x:c>
      <x:c r="F940" s="13" t="str">
        <x:v>Conciliado</x:v>
      </x:c>
      <x:c r="G940" s="13" t="str">
        <x:v>Sem divergência</x:v>
      </x:c>
      <x:c r="H940" s="13" t="n">
        <x:v>0.3</x:v>
      </x:c>
      <x:c r="I940" s="13" t="str">
        <x:v>Escala inteligente</x:v>
      </x:c>
      <x:c r="J940" s="17" t="n">
        <x:f>E940-D940</x:f>
        <x:v>0</x:v>
      </x:c>
      <x:c r="K940" s="19" t="n">
        <x:f>IFERROR(ABS(J940/D940),0)</x:f>
        <x:v>0</x:v>
      </x:c>
    </x:row>
    <x:row r="941">
      <x:c r="A941" s="13" t="str">
        <x:v>CON-000940</x:v>
      </x:c>
      <x:c r="B941" s="23" t="n">
        <x:v>46095</x:v>
      </x:c>
      <x:c r="C941" s="13" t="str">
        <x:v>Nubank Serviços</x:v>
      </x:c>
      <x:c r="D941" s="17" t="n">
        <x:v>23964.93</x:v>
      </x:c>
      <x:c r="E941" s="17" t="n">
        <x:v>23964.93</x:v>
      </x:c>
      <x:c r="F941" s="13" t="str">
        <x:v>Conciliado</x:v>
      </x:c>
      <x:c r="G941" s="13" t="str">
        <x:v>Sem divergência</x:v>
      </x:c>
      <x:c r="H941" s="13" t="n">
        <x:v>0.27</x:v>
      </x:c>
      <x:c r="I941" s="13" t="str">
        <x:v>Escala inteligente</x:v>
      </x:c>
      <x:c r="J941" s="17" t="n">
        <x:f>E941-D941</x:f>
        <x:v>0</x:v>
      </x:c>
      <x:c r="K941" s="19" t="n">
        <x:f>IFERROR(ABS(J941/D941),0)</x:f>
        <x:v>0</x:v>
      </x:c>
    </x:row>
    <x:row r="942">
      <x:c r="A942" s="13" t="str">
        <x:v>CON-000941</x:v>
      </x:c>
      <x:c r="B942" s="23" t="n">
        <x:v>46105</x:v>
      </x:c>
      <x:c r="C942" s="13" t="str">
        <x:v>Santander Recebimentos</x:v>
      </x:c>
      <x:c r="D942" s="17" t="n">
        <x:v>20162.08</x:v>
      </x:c>
      <x:c r="E942" s="17" t="n">
        <x:v>20162.08</x:v>
      </x:c>
      <x:c r="F942" s="13" t="str">
        <x:v>Conciliado</x:v>
      </x:c>
      <x:c r="G942" s="13" t="str">
        <x:v>Sem divergência</x:v>
      </x:c>
      <x:c r="H942" s="13" t="n">
        <x:v>0.22</x:v>
      </x:c>
      <x:c r="I942" s="13" t="str">
        <x:v>Escala inteligente</x:v>
      </x:c>
      <x:c r="J942" s="17" t="n">
        <x:f>E942-D942</x:f>
        <x:v>0</x:v>
      </x:c>
      <x:c r="K942" s="19" t="n">
        <x:f>IFERROR(ABS(J942/D942),0)</x:f>
        <x:v>0</x:v>
      </x:c>
    </x:row>
    <x:row r="943">
      <x:c r="A943" s="13" t="str">
        <x:v>CON-000942</x:v>
      </x:c>
      <x:c r="B943" s="23" t="n">
        <x:v>46109</x:v>
      </x:c>
      <x:c r="C943" s="13" t="str">
        <x:v>Bradesco Pagamentos</x:v>
      </x:c>
      <x:c r="D943" s="17" t="n">
        <x:v>42750</x:v>
      </x:c>
      <x:c r="E943" s="17" t="n">
        <x:v>42750</x:v>
      </x:c>
      <x:c r="F943" s="13" t="str">
        <x:v>Conciliado</x:v>
      </x:c>
      <x:c r="G943" s="13" t="str">
        <x:v>Sem divergência</x:v>
      </x:c>
      <x:c r="H943" s="13" t="n">
        <x:v>0.26</x:v>
      </x:c>
      <x:c r="I943" s="13" t="str">
        <x:v>Escala inteligente</x:v>
      </x:c>
      <x:c r="J943" s="17" t="n">
        <x:f>E943-D943</x:f>
        <x:v>0</x:v>
      </x:c>
      <x:c r="K943" s="19" t="n">
        <x:f>IFERROR(ABS(J943/D943),0)</x:f>
        <x:v>0</x:v>
      </x:c>
    </x:row>
    <x:row r="944">
      <x:c r="A944" s="13" t="str">
        <x:v>CON-000943</x:v>
      </x:c>
      <x:c r="B944" s="23" t="n">
        <x:v>46083</x:v>
      </x:c>
      <x:c r="C944" s="13" t="str">
        <x:v>Itaú Operacional</x:v>
      </x:c>
      <x:c r="D944" s="17" t="n">
        <x:v>34530.78</x:v>
      </x:c>
      <x:c r="E944" s="17" t="n">
        <x:v>34530.78</x:v>
      </x:c>
      <x:c r="F944" s="13" t="str">
        <x:v>Conciliado</x:v>
      </x:c>
      <x:c r="G944" s="13" t="str">
        <x:v>Sem divergência</x:v>
      </x:c>
      <x:c r="H944" s="13" t="n">
        <x:v>0.02</x:v>
      </x:c>
      <x:c r="I944" s="13" t="str">
        <x:v>Escala inteligente</x:v>
      </x:c>
      <x:c r="J944" s="17" t="n">
        <x:f>E944-D944</x:f>
        <x:v>0</x:v>
      </x:c>
      <x:c r="K944" s="19" t="n">
        <x:f>IFERROR(ABS(J944/D944),0)</x:f>
        <x:v>0</x:v>
      </x:c>
    </x:row>
    <x:row r="945">
      <x:c r="A945" s="13" t="str">
        <x:v>CON-000944</x:v>
      </x:c>
      <x:c r="B945" s="23" t="n">
        <x:v>46082</x:v>
      </x:c>
      <x:c r="C945" s="13" t="str">
        <x:v>Nubank Serviços</x:v>
      </x:c>
      <x:c r="D945" s="17" t="n">
        <x:v>5506.04</x:v>
      </x:c>
      <x:c r="E945" s="17" t="n">
        <x:v>5506.04</x:v>
      </x:c>
      <x:c r="F945" s="13" t="str">
        <x:v>Conciliado</x:v>
      </x:c>
      <x:c r="G945" s="13" t="str">
        <x:v>Sem divergência</x:v>
      </x:c>
      <x:c r="H945" s="13" t="n">
        <x:v>0.22</x:v>
      </x:c>
      <x:c r="I945" s="13" t="str">
        <x:v>Escala inteligente</x:v>
      </x:c>
      <x:c r="J945" s="17" t="n">
        <x:f>E945-D945</x:f>
        <x:v>0</x:v>
      </x:c>
      <x:c r="K945" s="19" t="n">
        <x:f>IFERROR(ABS(J945/D945),0)</x:f>
        <x:v>0</x:v>
      </x:c>
    </x:row>
    <x:row r="946">
      <x:c r="A946" s="13" t="str">
        <x:v>CON-000945</x:v>
      </x:c>
      <x:c r="B946" s="23" t="n">
        <x:v>46099</x:v>
      </x:c>
      <x:c r="C946" s="13" t="str">
        <x:v>Itaú Operacional</x:v>
      </x:c>
      <x:c r="D946" s="17" t="n">
        <x:v>10269.02</x:v>
      </x:c>
      <x:c r="E946" s="17" t="n">
        <x:v>10269.02</x:v>
      </x:c>
      <x:c r="F946" s="13" t="str">
        <x:v>Conciliado</x:v>
      </x:c>
      <x:c r="G946" s="13" t="str">
        <x:v>Sem divergência</x:v>
      </x:c>
      <x:c r="H946" s="13" t="n">
        <x:v>0.25</x:v>
      </x:c>
      <x:c r="I946" s="13" t="str">
        <x:v>Escala inteligente</x:v>
      </x:c>
      <x:c r="J946" s="17" t="n">
        <x:f>E946-D946</x:f>
        <x:v>0</x:v>
      </x:c>
      <x:c r="K946" s="19" t="n">
        <x:f>IFERROR(ABS(J946/D946),0)</x:f>
        <x:v>0</x:v>
      </x:c>
    </x:row>
    <x:row r="947">
      <x:c r="A947" s="13" t="str">
        <x:v>CON-000946</x:v>
      </x:c>
      <x:c r="B947" s="23" t="n">
        <x:v>46133</x:v>
      </x:c>
      <x:c r="C947" s="13" t="str">
        <x:v>Bradesco Pagamentos</x:v>
      </x:c>
      <x:c r="D947" s="17" t="n">
        <x:v>13249.56</x:v>
      </x:c>
      <x:c r="E947" s="17" t="n">
        <x:v>13249.56</x:v>
      </x:c>
      <x:c r="F947" s="13" t="str">
        <x:v>Conciliado</x:v>
      </x:c>
      <x:c r="G947" s="13" t="str">
        <x:v>Sem divergência</x:v>
      </x:c>
      <x:c r="H947" s="13" t="n">
        <x:v>0.11</x:v>
      </x:c>
      <x:c r="I947" s="13" t="str">
        <x:v>Escala inteligente</x:v>
      </x:c>
      <x:c r="J947" s="17" t="n">
        <x:f>E947-D947</x:f>
        <x:v>0</x:v>
      </x:c>
      <x:c r="K947" s="19" t="n">
        <x:f>IFERROR(ABS(J947/D947),0)</x:f>
        <x:v>0</x:v>
      </x:c>
    </x:row>
    <x:row r="948">
      <x:c r="A948" s="13" t="str">
        <x:v>CON-000947</x:v>
      </x:c>
      <x:c r="B948" s="23" t="n">
        <x:v>46126</x:v>
      </x:c>
      <x:c r="C948" s="13" t="str">
        <x:v>Santander Recebimentos</x:v>
      </x:c>
      <x:c r="D948" s="17" t="n">
        <x:v>24862.11</x:v>
      </x:c>
      <x:c r="E948" s="17" t="n">
        <x:v>24862.11</x:v>
      </x:c>
      <x:c r="F948" s="13" t="str">
        <x:v>Conciliado</x:v>
      </x:c>
      <x:c r="G948" s="13" t="str">
        <x:v>Sem divergência</x:v>
      </x:c>
      <x:c r="H948" s="13" t="n">
        <x:v>0.24</x:v>
      </x:c>
      <x:c r="I948" s="13" t="str">
        <x:v>Escala inteligente</x:v>
      </x:c>
      <x:c r="J948" s="17" t="n">
        <x:f>E948-D948</x:f>
        <x:v>0</x:v>
      </x:c>
      <x:c r="K948" s="19" t="n">
        <x:f>IFERROR(ABS(J948/D948),0)</x:f>
        <x:v>0</x:v>
      </x:c>
    </x:row>
    <x:row r="949">
      <x:c r="A949" s="13" t="str">
        <x:v>CON-000948</x:v>
      </x:c>
      <x:c r="B949" s="23" t="n">
        <x:v>46129</x:v>
      </x:c>
      <x:c r="C949" s="13" t="str">
        <x:v>Itaú Operacional</x:v>
      </x:c>
      <x:c r="D949" s="17" t="n">
        <x:v>26158.96</x:v>
      </x:c>
      <x:c r="E949" s="17" t="n">
        <x:v>26158.96</x:v>
      </x:c>
      <x:c r="F949" s="13" t="str">
        <x:v>Conciliado</x:v>
      </x:c>
      <x:c r="G949" s="13" t="str">
        <x:v>Sem divergência</x:v>
      </x:c>
      <x:c r="H949" s="13" t="n">
        <x:v>0.38</x:v>
      </x:c>
      <x:c r="I949" s="13" t="str">
        <x:v>Escala inteligente</x:v>
      </x:c>
      <x:c r="J949" s="17" t="n">
        <x:f>E949-D949</x:f>
        <x:v>0</x:v>
      </x:c>
      <x:c r="K949" s="19" t="n">
        <x:f>IFERROR(ABS(J949/D949),0)</x:f>
        <x:v>0</x:v>
      </x:c>
    </x:row>
    <x:row r="950">
      <x:c r="A950" s="13" t="str">
        <x:v>CON-000949</x:v>
      </x:c>
      <x:c r="B950" s="23" t="n">
        <x:v>46137</x:v>
      </x:c>
      <x:c r="C950" s="13" t="str">
        <x:v>Itaú Operacional</x:v>
      </x:c>
      <x:c r="D950" s="17" t="n">
        <x:v>10533.68</x:v>
      </x:c>
      <x:c r="E950" s="17" t="n">
        <x:v>10533.68</x:v>
      </x:c>
      <x:c r="F950" s="13" t="str">
        <x:v>Conciliado</x:v>
      </x:c>
      <x:c r="G950" s="13" t="str">
        <x:v>Sem divergência</x:v>
      </x:c>
      <x:c r="H950" s="13" t="n">
        <x:v>0.18</x:v>
      </x:c>
      <x:c r="I950" s="13" t="str">
        <x:v>Escala inteligente</x:v>
      </x:c>
      <x:c r="J950" s="17" t="n">
        <x:f>E950-D950</x:f>
        <x:v>0</x:v>
      </x:c>
      <x:c r="K950" s="19" t="n">
        <x:f>IFERROR(ABS(J950/D950),0)</x:f>
        <x:v>0</x:v>
      </x:c>
    </x:row>
    <x:row r="951">
      <x:c r="A951" s="13" t="str">
        <x:v>CON-000950</x:v>
      </x:c>
      <x:c r="B951" s="23" t="n">
        <x:v>46114</x:v>
      </x:c>
      <x:c r="C951" s="13" t="str">
        <x:v>Santander Recebimentos</x:v>
      </x:c>
      <x:c r="D951" s="17" t="n">
        <x:v>19842.66</x:v>
      </x:c>
      <x:c r="E951" s="17" t="n">
        <x:v>19842.66</x:v>
      </x:c>
      <x:c r="F951" s="13" t="str">
        <x:v>Conciliado</x:v>
      </x:c>
      <x:c r="G951" s="13" t="str">
        <x:v>Sem divergência</x:v>
      </x:c>
      <x:c r="H951" s="13" t="n">
        <x:v>0.09</x:v>
      </x:c>
      <x:c r="I951" s="13" t="str">
        <x:v>Escala inteligente</x:v>
      </x:c>
      <x:c r="J951" s="17" t="n">
        <x:f>E951-D951</x:f>
        <x:v>0</x:v>
      </x:c>
      <x:c r="K951" s="19" t="n">
        <x:f>IFERROR(ABS(J951/D951),0)</x:f>
        <x:v>0</x:v>
      </x:c>
    </x:row>
    <x:row r="952">
      <x:c r="A952" s="13" t="str">
        <x:v>CON-000951</x:v>
      </x:c>
      <x:c r="B952" s="23" t="n">
        <x:v>46132</x:v>
      </x:c>
      <x:c r="C952" s="13" t="str">
        <x:v>Bradesco Pagamentos</x:v>
      </x:c>
      <x:c r="D952" s="17" t="n">
        <x:v>42982.63</x:v>
      </x:c>
      <x:c r="E952" s="17" t="n">
        <x:v>42982.63</x:v>
      </x:c>
      <x:c r="F952" s="13" t="str">
        <x:v>Conciliado</x:v>
      </x:c>
      <x:c r="G952" s="13" t="str">
        <x:v>Sem divergência</x:v>
      </x:c>
      <x:c r="H952" s="13" t="n">
        <x:v>0.36</x:v>
      </x:c>
      <x:c r="I952" s="13" t="str">
        <x:v>Escala inteligente</x:v>
      </x:c>
      <x:c r="J952" s="17" t="n">
        <x:f>E952-D952</x:f>
        <x:v>0</x:v>
      </x:c>
      <x:c r="K952" s="19" t="n">
        <x:f>IFERROR(ABS(J952/D952),0)</x:f>
        <x:v>0</x:v>
      </x:c>
    </x:row>
    <x:row r="953">
      <x:c r="A953" s="13" t="str">
        <x:v>CON-000952</x:v>
      </x:c>
      <x:c r="B953" s="23" t="n">
        <x:v>46118</x:v>
      </x:c>
      <x:c r="C953" s="13" t="str">
        <x:v>Bradesco Pagamentos</x:v>
      </x:c>
      <x:c r="D953" s="17" t="n">
        <x:v>43062.17</x:v>
      </x:c>
      <x:c r="E953" s="17" t="n">
        <x:v>43062.17</x:v>
      </x:c>
      <x:c r="F953" s="13" t="str">
        <x:v>Conciliado</x:v>
      </x:c>
      <x:c r="G953" s="13" t="str">
        <x:v>Sem divergência</x:v>
      </x:c>
      <x:c r="H953" s="13" t="n">
        <x:v>0.06</x:v>
      </x:c>
      <x:c r="I953" s="13" t="str">
        <x:v>Escala inteligente</x:v>
      </x:c>
      <x:c r="J953" s="17" t="n">
        <x:f>E953-D953</x:f>
        <x:v>0</x:v>
      </x:c>
      <x:c r="K953" s="19" t="n">
        <x:f>IFERROR(ABS(J953/D953),0)</x:f>
        <x:v>0</x:v>
      </x:c>
    </x:row>
    <x:row r="954">
      <x:c r="A954" s="13" t="str">
        <x:v>CON-000953</x:v>
      </x:c>
      <x:c r="B954" s="23" t="n">
        <x:v>46122</x:v>
      </x:c>
      <x:c r="C954" s="13" t="str">
        <x:v>Nubank Serviços</x:v>
      </x:c>
      <x:c r="D954" s="17" t="n">
        <x:v>15138.99</x:v>
      </x:c>
      <x:c r="E954" s="17" t="n">
        <x:v>15138.99</x:v>
      </x:c>
      <x:c r="F954" s="13" t="str">
        <x:v>Conciliado</x:v>
      </x:c>
      <x:c r="G954" s="13" t="str">
        <x:v>Sem divergência</x:v>
      </x:c>
      <x:c r="H954" s="13" t="n">
        <x:v>0.41</x:v>
      </x:c>
      <x:c r="I954" s="13" t="str">
        <x:v>Escala inteligente</x:v>
      </x:c>
      <x:c r="J954" s="17" t="n">
        <x:f>E954-D954</x:f>
        <x:v>0</x:v>
      </x:c>
      <x:c r="K954" s="19" t="n">
        <x:f>IFERROR(ABS(J954/D954),0)</x:f>
        <x:v>0</x:v>
      </x:c>
    </x:row>
    <x:row r="955">
      <x:c r="A955" s="13" t="str">
        <x:v>CON-000954</x:v>
      </x:c>
      <x:c r="B955" s="23" t="n">
        <x:v>46125</x:v>
      </x:c>
      <x:c r="C955" s="13" t="str">
        <x:v>Itaú Operacional</x:v>
      </x:c>
      <x:c r="D955" s="17" t="n">
        <x:v>35580.93</x:v>
      </x:c>
      <x:c r="E955" s="17" t="n">
        <x:v>35580.93</x:v>
      </x:c>
      <x:c r="F955" s="13" t="str">
        <x:v>Conciliado</x:v>
      </x:c>
      <x:c r="G955" s="13" t="str">
        <x:v>Sem divergência</x:v>
      </x:c>
      <x:c r="H955" s="13" t="n">
        <x:v>0.3</x:v>
      </x:c>
      <x:c r="I955" s="13" t="str">
        <x:v>Escala inteligente</x:v>
      </x:c>
      <x:c r="J955" s="17" t="n">
        <x:f>E955-D955</x:f>
        <x:v>0</x:v>
      </x:c>
      <x:c r="K955" s="19" t="n">
        <x:f>IFERROR(ABS(J955/D955),0)</x:f>
        <x:v>0</x:v>
      </x:c>
    </x:row>
    <x:row r="956">
      <x:c r="A956" s="13" t="str">
        <x:v>CON-000955</x:v>
      </x:c>
      <x:c r="B956" s="23" t="n">
        <x:v>46120</x:v>
      </x:c>
      <x:c r="C956" s="13" t="str">
        <x:v>Nubank Serviços</x:v>
      </x:c>
      <x:c r="D956" s="17" t="n">
        <x:v>31051.33</x:v>
      </x:c>
      <x:c r="E956" s="17" t="n">
        <x:v>31051.33</x:v>
      </x:c>
      <x:c r="F956" s="13" t="str">
        <x:v>Conciliado</x:v>
      </x:c>
      <x:c r="G956" s="13" t="str">
        <x:v>Sem divergência</x:v>
      </x:c>
      <x:c r="H956" s="13" t="n">
        <x:v>0.2</x:v>
      </x:c>
      <x:c r="I956" s="13" t="str">
        <x:v>Escala inteligente</x:v>
      </x:c>
      <x:c r="J956" s="17" t="n">
        <x:f>E956-D956</x:f>
        <x:v>0</x:v>
      </x:c>
      <x:c r="K956" s="19" t="n">
        <x:f>IFERROR(ABS(J956/D956),0)</x:f>
        <x:v>0</x:v>
      </x:c>
    </x:row>
    <x:row r="957">
      <x:c r="A957" s="13" t="str">
        <x:v>CON-000956</x:v>
      </x:c>
      <x:c r="B957" s="23" t="n">
        <x:v>46138</x:v>
      </x:c>
      <x:c r="C957" s="13" t="str">
        <x:v>Nubank Serviços</x:v>
      </x:c>
      <x:c r="D957" s="17" t="n">
        <x:v>18308.41</x:v>
      </x:c>
      <x:c r="E957" s="17" t="n">
        <x:v>18308.41</x:v>
      </x:c>
      <x:c r="F957" s="13" t="str">
        <x:v>Conciliado</x:v>
      </x:c>
      <x:c r="G957" s="13" t="str">
        <x:v>Sem divergência</x:v>
      </x:c>
      <x:c r="H957" s="13" t="n">
        <x:v>0.11</x:v>
      </x:c>
      <x:c r="I957" s="13" t="str">
        <x:v>Escala inteligente</x:v>
      </x:c>
      <x:c r="J957" s="17" t="n">
        <x:f>E957-D957</x:f>
        <x:v>0</x:v>
      </x:c>
      <x:c r="K957" s="19" t="n">
        <x:f>IFERROR(ABS(J957/D957),0)</x:f>
        <x:v>0</x:v>
      </x:c>
    </x:row>
    <x:row r="958">
      <x:c r="A958" s="13" t="str">
        <x:v>CON-000957</x:v>
      </x:c>
      <x:c r="B958" s="23" t="n">
        <x:v>46139</x:v>
      </x:c>
      <x:c r="C958" s="13" t="str">
        <x:v>Nubank Serviços</x:v>
      </x:c>
      <x:c r="D958" s="17" t="n">
        <x:v>12131.21</x:v>
      </x:c>
      <x:c r="E958" s="17" t="n">
        <x:v>12131.21</x:v>
      </x:c>
      <x:c r="F958" s="13" t="str">
        <x:v>Conciliado</x:v>
      </x:c>
      <x:c r="G958" s="13" t="str">
        <x:v>Sem divergência</x:v>
      </x:c>
      <x:c r="H958" s="13" t="n">
        <x:v>0.14</x:v>
      </x:c>
      <x:c r="I958" s="13" t="str">
        <x:v>Escala inteligente</x:v>
      </x:c>
      <x:c r="J958" s="17" t="n">
        <x:f>E958-D958</x:f>
        <x:v>0</x:v>
      </x:c>
      <x:c r="K958" s="19" t="n">
        <x:f>IFERROR(ABS(J958/D958),0)</x:f>
        <x:v>0</x:v>
      </x:c>
    </x:row>
    <x:row r="959">
      <x:c r="A959" s="13" t="str">
        <x:v>CON-000958</x:v>
      </x:c>
      <x:c r="B959" s="23" t="n">
        <x:v>46132</x:v>
      </x:c>
      <x:c r="C959" s="13" t="str">
        <x:v>Nubank Serviços</x:v>
      </x:c>
      <x:c r="D959" s="17" t="n">
        <x:v>2567.61</x:v>
      </x:c>
      <x:c r="E959" s="17" t="n">
        <x:v>2567.61</x:v>
      </x:c>
      <x:c r="F959" s="13" t="str">
        <x:v>Conciliado</x:v>
      </x:c>
      <x:c r="G959" s="13" t="str">
        <x:v>Sem divergência</x:v>
      </x:c>
      <x:c r="H959" s="13" t="n">
        <x:v>0.22</x:v>
      </x:c>
      <x:c r="I959" s="13" t="str">
        <x:v>Escala inteligente</x:v>
      </x:c>
      <x:c r="J959" s="17" t="n">
        <x:f>E959-D959</x:f>
        <x:v>0</x:v>
      </x:c>
      <x:c r="K959" s="19" t="n">
        <x:f>IFERROR(ABS(J959/D959),0)</x:f>
        <x:v>0</x:v>
      </x:c>
    </x:row>
    <x:row r="960">
      <x:c r="A960" s="13" t="str">
        <x:v>CON-000959</x:v>
      </x:c>
      <x:c r="B960" s="23" t="n">
        <x:v>46122</x:v>
      </x:c>
      <x:c r="C960" s="13" t="str">
        <x:v>Nubank Serviços</x:v>
      </x:c>
      <x:c r="D960" s="17" t="n">
        <x:v>11570.68</x:v>
      </x:c>
      <x:c r="E960" s="17" t="n">
        <x:v>11570.68</x:v>
      </x:c>
      <x:c r="F960" s="13" t="str">
        <x:v>Conciliado</x:v>
      </x:c>
      <x:c r="G960" s="13" t="str">
        <x:v>Sem divergência</x:v>
      </x:c>
      <x:c r="H960" s="13" t="n">
        <x:v>0.2</x:v>
      </x:c>
      <x:c r="I960" s="13" t="str">
        <x:v>Escala inteligente</x:v>
      </x:c>
      <x:c r="J960" s="17" t="n">
        <x:f>E960-D960</x:f>
        <x:v>0</x:v>
      </x:c>
      <x:c r="K960" s="19" t="n">
        <x:f>IFERROR(ABS(J960/D960),0)</x:f>
        <x:v>0</x:v>
      </x:c>
    </x:row>
    <x:row r="961">
      <x:c r="A961" s="13" t="str">
        <x:v>CON-000960</x:v>
      </x:c>
      <x:c r="B961" s="23" t="n">
        <x:v>46118</x:v>
      </x:c>
      <x:c r="C961" s="13" t="str">
        <x:v>Itaú Operacional</x:v>
      </x:c>
      <x:c r="D961" s="17" t="n">
        <x:v>12080.05</x:v>
      </x:c>
      <x:c r="E961" s="17" t="n">
        <x:v>12080.05</x:v>
      </x:c>
      <x:c r="F961" s="13" t="str">
        <x:v>Conciliado</x:v>
      </x:c>
      <x:c r="G961" s="13" t="str">
        <x:v>Sem divergência</x:v>
      </x:c>
      <x:c r="H961" s="13" t="n">
        <x:v>0.19</x:v>
      </x:c>
      <x:c r="I961" s="13" t="str">
        <x:v>Escala inteligente</x:v>
      </x:c>
      <x:c r="J961" s="17" t="n">
        <x:f>E961-D961</x:f>
        <x:v>0</x:v>
      </x:c>
      <x:c r="K961" s="19" t="n">
        <x:f>IFERROR(ABS(J961/D961),0)</x:f>
        <x:v>0</x:v>
      </x:c>
    </x:row>
    <x:row r="962">
      <x:c r="A962" s="13" t="str">
        <x:v>CON-000961</x:v>
      </x:c>
      <x:c r="B962" s="23" t="n">
        <x:v>46140</x:v>
      </x:c>
      <x:c r="C962" s="13" t="str">
        <x:v>Itaú Operacional</x:v>
      </x:c>
      <x:c r="D962" s="17" t="n">
        <x:v>27518.04</x:v>
      </x:c>
      <x:c r="E962" s="17" t="n">
        <x:v>27518.04</x:v>
      </x:c>
      <x:c r="F962" s="13" t="str">
        <x:v>Conciliado</x:v>
      </x:c>
      <x:c r="G962" s="13" t="str">
        <x:v>Sem divergência</x:v>
      </x:c>
      <x:c r="H962" s="13" t="n">
        <x:v>0.38</x:v>
      </x:c>
      <x:c r="I962" s="13" t="str">
        <x:v>Escala inteligente</x:v>
      </x:c>
      <x:c r="J962" s="17" t="n">
        <x:f>E962-D962</x:f>
        <x:v>0</x:v>
      </x:c>
      <x:c r="K962" s="19" t="n">
        <x:f>IFERROR(ABS(J962/D962),0)</x:f>
        <x:v>0</x:v>
      </x:c>
    </x:row>
    <x:row r="963">
      <x:c r="A963" s="13" t="str">
        <x:v>CON-000962</x:v>
      </x:c>
      <x:c r="B963" s="23" t="n">
        <x:v>46135</x:v>
      </x:c>
      <x:c r="C963" s="13" t="str">
        <x:v>Nubank Serviços</x:v>
      </x:c>
      <x:c r="D963" s="17" t="n">
        <x:v>40542.13</x:v>
      </x:c>
      <x:c r="E963" s="17" t="n">
        <x:v>40542.13</x:v>
      </x:c>
      <x:c r="F963" s="13" t="str">
        <x:v>Conciliado</x:v>
      </x:c>
      <x:c r="G963" s="13" t="str">
        <x:v>Sem divergência</x:v>
      </x:c>
      <x:c r="H963" s="13" t="n">
        <x:v>0.34</x:v>
      </x:c>
      <x:c r="I963" s="13" t="str">
        <x:v>Escala inteligente</x:v>
      </x:c>
      <x:c r="J963" s="17" t="n">
        <x:f>E963-D963</x:f>
        <x:v>0</x:v>
      </x:c>
      <x:c r="K963" s="19" t="n">
        <x:f>IFERROR(ABS(J963/D963),0)</x:f>
        <x:v>0</x:v>
      </x:c>
    </x:row>
    <x:row r="964">
      <x:c r="A964" s="13" t="str">
        <x:v>CON-000963</x:v>
      </x:c>
      <x:c r="B964" s="23" t="n">
        <x:v>46135</x:v>
      </x:c>
      <x:c r="C964" s="13" t="str">
        <x:v>Bradesco Pagamentos</x:v>
      </x:c>
      <x:c r="D964" s="17" t="n">
        <x:v>31102.42</x:v>
      </x:c>
      <x:c r="E964" s="17" t="n">
        <x:v>31102.42</x:v>
      </x:c>
      <x:c r="F964" s="13" t="str">
        <x:v>Conciliado</x:v>
      </x:c>
      <x:c r="G964" s="13" t="str">
        <x:v>Sem divergência</x:v>
      </x:c>
      <x:c r="H964" s="13" t="n">
        <x:v>0.14</x:v>
      </x:c>
      <x:c r="I964" s="13" t="str">
        <x:v>Escala inteligente</x:v>
      </x:c>
      <x:c r="J964" s="17" t="n">
        <x:f>E964-D964</x:f>
        <x:v>0</x:v>
      </x:c>
      <x:c r="K964" s="19" t="n">
        <x:f>IFERROR(ABS(J964/D964),0)</x:f>
        <x:v>0</x:v>
      </x:c>
    </x:row>
    <x:row r="965">
      <x:c r="A965" s="13" t="str">
        <x:v>CON-000964</x:v>
      </x:c>
      <x:c r="B965" s="23" t="n">
        <x:v>46128</x:v>
      </x:c>
      <x:c r="C965" s="13" t="str">
        <x:v>Santander Recebimentos</x:v>
      </x:c>
      <x:c r="D965" s="17" t="n">
        <x:v>724.74</x:v>
      </x:c>
      <x:c r="E965" s="17" t="n">
        <x:v>724.74</x:v>
      </x:c>
      <x:c r="F965" s="13" t="str">
        <x:v>Conciliado</x:v>
      </x:c>
      <x:c r="G965" s="13" t="str">
        <x:v>Sem divergência</x:v>
      </x:c>
      <x:c r="H965" s="13" t="n">
        <x:v>0.22</x:v>
      </x:c>
      <x:c r="I965" s="13" t="str">
        <x:v>Escala inteligente</x:v>
      </x:c>
      <x:c r="J965" s="17" t="n">
        <x:f>E965-D965</x:f>
        <x:v>0</x:v>
      </x:c>
      <x:c r="K965" s="19" t="n">
        <x:f>IFERROR(ABS(J965/D965),0)</x:f>
        <x:v>0</x:v>
      </x:c>
    </x:row>
    <x:row r="966">
      <x:c r="A966" s="13" t="str">
        <x:v>CON-000965</x:v>
      </x:c>
      <x:c r="B966" s="23" t="n">
        <x:v>46136</x:v>
      </x:c>
      <x:c r="C966" s="13" t="str">
        <x:v>Nubank Serviços</x:v>
      </x:c>
      <x:c r="D966" s="17" t="n">
        <x:v>2798.33</x:v>
      </x:c>
      <x:c r="E966" s="17" t="n">
        <x:v>2798.33</x:v>
      </x:c>
      <x:c r="F966" s="13" t="str">
        <x:v>Conciliado</x:v>
      </x:c>
      <x:c r="G966" s="13" t="str">
        <x:v>Sem divergência</x:v>
      </x:c>
      <x:c r="H966" s="13" t="n">
        <x:v>0.13</x:v>
      </x:c>
      <x:c r="I966" s="13" t="str">
        <x:v>Escala inteligente</x:v>
      </x:c>
      <x:c r="J966" s="17" t="n">
        <x:f>E966-D966</x:f>
        <x:v>0</x:v>
      </x:c>
      <x:c r="K966" s="19" t="n">
        <x:f>IFERROR(ABS(J966/D966),0)</x:f>
        <x:v>0</x:v>
      </x:c>
    </x:row>
    <x:row r="967">
      <x:c r="A967" s="13" t="str">
        <x:v>CON-000966</x:v>
      </x:c>
      <x:c r="B967" s="23" t="n">
        <x:v>46125</x:v>
      </x:c>
      <x:c r="C967" s="13" t="str">
        <x:v>Bradesco Pagamentos</x:v>
      </x:c>
      <x:c r="D967" s="17" t="n">
        <x:v>17533.44</x:v>
      </x:c>
      <x:c r="E967" s="17" t="n">
        <x:v>17533.44</x:v>
      </x:c>
      <x:c r="F967" s="13" t="str">
        <x:v>Conciliado</x:v>
      </x:c>
      <x:c r="G967" s="13" t="str">
        <x:v>Sem divergência</x:v>
      </x:c>
      <x:c r="H967" s="13" t="n">
        <x:v>0.31</x:v>
      </x:c>
      <x:c r="I967" s="13" t="str">
        <x:v>Escala inteligente</x:v>
      </x:c>
      <x:c r="J967" s="17" t="n">
        <x:f>E967-D967</x:f>
        <x:v>0</x:v>
      </x:c>
      <x:c r="K967" s="19" t="n">
        <x:f>IFERROR(ABS(J967/D967),0)</x:f>
        <x:v>0</x:v>
      </x:c>
    </x:row>
    <x:row r="968">
      <x:c r="A968" s="13" t="str">
        <x:v>CON-000967</x:v>
      </x:c>
      <x:c r="B968" s="23" t="n">
        <x:v>46127</x:v>
      </x:c>
      <x:c r="C968" s="13" t="str">
        <x:v>Bradesco Pagamentos</x:v>
      </x:c>
      <x:c r="D968" s="17" t="n">
        <x:v>19099.61</x:v>
      </x:c>
      <x:c r="E968" s="17" t="n">
        <x:v>19099.61</x:v>
      </x:c>
      <x:c r="F968" s="13" t="str">
        <x:v>Conciliado</x:v>
      </x:c>
      <x:c r="G968" s="13" t="str">
        <x:v>Sem divergência</x:v>
      </x:c>
      <x:c r="H968" s="13" t="n">
        <x:v>0.4</x:v>
      </x:c>
      <x:c r="I968" s="13" t="str">
        <x:v>Escala inteligente</x:v>
      </x:c>
      <x:c r="J968" s="17" t="n">
        <x:f>E968-D968</x:f>
        <x:v>0</x:v>
      </x:c>
      <x:c r="K968" s="19" t="n">
        <x:f>IFERROR(ABS(J968/D968),0)</x:f>
        <x:v>0</x:v>
      </x:c>
    </x:row>
    <x:row r="969">
      <x:c r="A969" s="13" t="str">
        <x:v>CON-000968</x:v>
      </x:c>
      <x:c r="B969" s="23" t="n">
        <x:v>46125</x:v>
      </x:c>
      <x:c r="C969" s="13" t="str">
        <x:v>Santander Recebimentos</x:v>
      </x:c>
      <x:c r="D969" s="17" t="n">
        <x:v>43595.27</x:v>
      </x:c>
      <x:c r="E969" s="17" t="n">
        <x:v>43595.27</x:v>
      </x:c>
      <x:c r="F969" s="13" t="str">
        <x:v>Conciliado</x:v>
      </x:c>
      <x:c r="G969" s="13" t="str">
        <x:v>Sem divergência</x:v>
      </x:c>
      <x:c r="H969" s="13" t="n">
        <x:v>0.04</x:v>
      </x:c>
      <x:c r="I969" s="13" t="str">
        <x:v>Escala inteligente</x:v>
      </x:c>
      <x:c r="J969" s="17" t="n">
        <x:f>E969-D969</x:f>
        <x:v>0</x:v>
      </x:c>
      <x:c r="K969" s="19" t="n">
        <x:f>IFERROR(ABS(J969/D969),0)</x:f>
        <x:v>0</x:v>
      </x:c>
    </x:row>
    <x:row r="970">
      <x:c r="A970" s="13" t="str">
        <x:v>CON-000969</x:v>
      </x:c>
      <x:c r="B970" s="23" t="n">
        <x:v>46121</x:v>
      </x:c>
      <x:c r="C970" s="13" t="str">
        <x:v>Nubank Serviços</x:v>
      </x:c>
      <x:c r="D970" s="17" t="n">
        <x:v>13540.09</x:v>
      </x:c>
      <x:c r="E970" s="17" t="n">
        <x:v>13540.09</x:v>
      </x:c>
      <x:c r="F970" s="13" t="str">
        <x:v>Conciliado</x:v>
      </x:c>
      <x:c r="G970" s="13" t="str">
        <x:v>Sem divergência</x:v>
      </x:c>
      <x:c r="H970" s="13" t="n">
        <x:v>0.38</x:v>
      </x:c>
      <x:c r="I970" s="13" t="str">
        <x:v>Escala inteligente</x:v>
      </x:c>
      <x:c r="J970" s="17" t="n">
        <x:f>E970-D970</x:f>
        <x:v>0</x:v>
      </x:c>
      <x:c r="K970" s="19" t="n">
        <x:f>IFERROR(ABS(J970/D970),0)</x:f>
        <x:v>0</x:v>
      </x:c>
    </x:row>
    <x:row r="971">
      <x:c r="A971" s="13" t="str">
        <x:v>CON-000970</x:v>
      </x:c>
      <x:c r="B971" s="23" t="n">
        <x:v>46126</x:v>
      </x:c>
      <x:c r="C971" s="13" t="str">
        <x:v>Bradesco Pagamentos</x:v>
      </x:c>
      <x:c r="D971" s="17" t="n">
        <x:v>10310.64</x:v>
      </x:c>
      <x:c r="E971" s="17" t="n">
        <x:v>10310.64</x:v>
      </x:c>
      <x:c r="F971" s="13" t="str">
        <x:v>Conciliado</x:v>
      </x:c>
      <x:c r="G971" s="13" t="str">
        <x:v>Sem divergência</x:v>
      </x:c>
      <x:c r="H971" s="13" t="n">
        <x:v>0.43</x:v>
      </x:c>
      <x:c r="I971" s="13" t="str">
        <x:v>Escala inteligente</x:v>
      </x:c>
      <x:c r="J971" s="17" t="n">
        <x:f>E971-D971</x:f>
        <x:v>0</x:v>
      </x:c>
      <x:c r="K971" s="19" t="n">
        <x:f>IFERROR(ABS(J971/D971),0)</x:f>
        <x:v>0</x:v>
      </x:c>
    </x:row>
    <x:row r="972">
      <x:c r="A972" s="13" t="str">
        <x:v>CON-000971</x:v>
      </x:c>
      <x:c r="B972" s="23" t="n">
        <x:v>46140</x:v>
      </x:c>
      <x:c r="C972" s="13" t="str">
        <x:v>Santander Recebimentos</x:v>
      </x:c>
      <x:c r="D972" s="17" t="n">
        <x:v>29167.22</x:v>
      </x:c>
      <x:c r="E972" s="17" t="n">
        <x:v>29167.22</x:v>
      </x:c>
      <x:c r="F972" s="13" t="str">
        <x:v>Conciliado</x:v>
      </x:c>
      <x:c r="G972" s="13" t="str">
        <x:v>Sem divergência</x:v>
      </x:c>
      <x:c r="H972" s="13" t="n">
        <x:v>0.1</x:v>
      </x:c>
      <x:c r="I972" s="13" t="str">
        <x:v>Escala inteligente</x:v>
      </x:c>
      <x:c r="J972" s="17" t="n">
        <x:f>E972-D972</x:f>
        <x:v>0</x:v>
      </x:c>
      <x:c r="K972" s="19" t="n">
        <x:f>IFERROR(ABS(J972/D972),0)</x:f>
        <x:v>0</x:v>
      </x:c>
    </x:row>
    <x:row r="973">
      <x:c r="A973" s="13" t="str">
        <x:v>CON-000972</x:v>
      </x:c>
      <x:c r="B973" s="23" t="n">
        <x:v>46130</x:v>
      </x:c>
      <x:c r="C973" s="13" t="str">
        <x:v>Santander Recebimentos</x:v>
      </x:c>
      <x:c r="D973" s="17" t="n">
        <x:v>990.02</x:v>
      </x:c>
      <x:c r="E973" s="17" t="n">
        <x:v>990.02</x:v>
      </x:c>
      <x:c r="F973" s="13" t="str">
        <x:v>Conciliado</x:v>
      </x:c>
      <x:c r="G973" s="13" t="str">
        <x:v>Sem divergência</x:v>
      </x:c>
      <x:c r="H973" s="13" t="n">
        <x:v>0.08</x:v>
      </x:c>
      <x:c r="I973" s="13" t="str">
        <x:v>Escala inteligente</x:v>
      </x:c>
      <x:c r="J973" s="17" t="n">
        <x:f>E973-D973</x:f>
        <x:v>0</x:v>
      </x:c>
      <x:c r="K973" s="19" t="n">
        <x:f>IFERROR(ABS(J973/D973),0)</x:f>
        <x:v>0</x:v>
      </x:c>
    </x:row>
    <x:row r="974">
      <x:c r="A974" s="13" t="str">
        <x:v>CON-000973</x:v>
      </x:c>
      <x:c r="B974" s="23" t="n">
        <x:v>46113</x:v>
      </x:c>
      <x:c r="C974" s="13" t="str">
        <x:v>Bradesco Pagamentos</x:v>
      </x:c>
      <x:c r="D974" s="17" t="n">
        <x:v>23052.07</x:v>
      </x:c>
      <x:c r="E974" s="17" t="n">
        <x:v>23052.07</x:v>
      </x:c>
      <x:c r="F974" s="13" t="str">
        <x:v>Conciliado</x:v>
      </x:c>
      <x:c r="G974" s="13" t="str">
        <x:v>Sem divergência</x:v>
      </x:c>
      <x:c r="H974" s="13" t="n">
        <x:v>0.24</x:v>
      </x:c>
      <x:c r="I974" s="13" t="str">
        <x:v>Escala inteligente</x:v>
      </x:c>
      <x:c r="J974" s="17" t="n">
        <x:f>E974-D974</x:f>
        <x:v>0</x:v>
      </x:c>
      <x:c r="K974" s="19" t="n">
        <x:f>IFERROR(ABS(J974/D974),0)</x:f>
        <x:v>0</x:v>
      </x:c>
    </x:row>
    <x:row r="975">
      <x:c r="A975" s="13" t="str">
        <x:v>CON-000974</x:v>
      </x:c>
      <x:c r="B975" s="23" t="n">
        <x:v>46126</x:v>
      </x:c>
      <x:c r="C975" s="13" t="str">
        <x:v>Bradesco Pagamentos</x:v>
      </x:c>
      <x:c r="D975" s="17" t="n">
        <x:v>13020.95</x:v>
      </x:c>
      <x:c r="E975" s="17" t="n">
        <x:v>13020.95</x:v>
      </x:c>
      <x:c r="F975" s="13" t="str">
        <x:v>Conciliado</x:v>
      </x:c>
      <x:c r="G975" s="13" t="str">
        <x:v>Sem divergência</x:v>
      </x:c>
      <x:c r="H975" s="13" t="n">
        <x:v>0.3</x:v>
      </x:c>
      <x:c r="I975" s="13" t="str">
        <x:v>Escala inteligente</x:v>
      </x:c>
      <x:c r="J975" s="17" t="n">
        <x:f>E975-D975</x:f>
        <x:v>0</x:v>
      </x:c>
      <x:c r="K975" s="19" t="n">
        <x:f>IFERROR(ABS(J975/D975),0)</x:f>
        <x:v>0</x:v>
      </x:c>
    </x:row>
    <x:row r="976">
      <x:c r="A976" s="13" t="str">
        <x:v>CON-000975</x:v>
      </x:c>
      <x:c r="B976" s="23" t="n">
        <x:v>46121</x:v>
      </x:c>
      <x:c r="C976" s="13" t="str">
        <x:v>Bradesco Pagamentos</x:v>
      </x:c>
      <x:c r="D976" s="17" t="n">
        <x:v>36788.75</x:v>
      </x:c>
      <x:c r="E976" s="17" t="n">
        <x:v>36788.75</x:v>
      </x:c>
      <x:c r="F976" s="13" t="str">
        <x:v>Conciliado</x:v>
      </x:c>
      <x:c r="G976" s="13" t="str">
        <x:v>Sem divergência</x:v>
      </x:c>
      <x:c r="H976" s="13" t="n">
        <x:v>0.05</x:v>
      </x:c>
      <x:c r="I976" s="13" t="str">
        <x:v>Escala inteligente</x:v>
      </x:c>
      <x:c r="J976" s="17" t="n">
        <x:f>E976-D976</x:f>
        <x:v>0</x:v>
      </x:c>
      <x:c r="K976" s="19" t="n">
        <x:f>IFERROR(ABS(J976/D976),0)</x:f>
        <x:v>0</x:v>
      </x:c>
    </x:row>
    <x:row r="977">
      <x:c r="A977" s="13" t="str">
        <x:v>CON-000976</x:v>
      </x:c>
      <x:c r="B977" s="23" t="n">
        <x:v>46135</x:v>
      </x:c>
      <x:c r="C977" s="13" t="str">
        <x:v>Itaú Operacional</x:v>
      </x:c>
      <x:c r="D977" s="17" t="n">
        <x:v>40450.96</x:v>
      </x:c>
      <x:c r="E977" s="17" t="n">
        <x:v>40450.96</x:v>
      </x:c>
      <x:c r="F977" s="13" t="str">
        <x:v>Conciliado</x:v>
      </x:c>
      <x:c r="G977" s="13" t="str">
        <x:v>Sem divergência</x:v>
      </x:c>
      <x:c r="H977" s="13" t="n">
        <x:v>0.03</x:v>
      </x:c>
      <x:c r="I977" s="13" t="str">
        <x:v>Escala inteligente</x:v>
      </x:c>
      <x:c r="J977" s="17" t="n">
        <x:f>E977-D977</x:f>
        <x:v>0</x:v>
      </x:c>
      <x:c r="K977" s="19" t="n">
        <x:f>IFERROR(ABS(J977/D977),0)</x:f>
        <x:v>0</x:v>
      </x:c>
    </x:row>
    <x:row r="978">
      <x:c r="A978" s="13" t="str">
        <x:v>CON-000977</x:v>
      </x:c>
      <x:c r="B978" s="23" t="n">
        <x:v>46115</x:v>
      </x:c>
      <x:c r="C978" s="13" t="str">
        <x:v>Itaú Operacional</x:v>
      </x:c>
      <x:c r="D978" s="17" t="n">
        <x:v>26817.2</x:v>
      </x:c>
      <x:c r="E978" s="17" t="n">
        <x:v>26817.2</x:v>
      </x:c>
      <x:c r="F978" s="13" t="str">
        <x:v>Conciliado</x:v>
      </x:c>
      <x:c r="G978" s="13" t="str">
        <x:v>Sem divergência</x:v>
      </x:c>
      <x:c r="H978" s="13" t="n">
        <x:v>0.29</x:v>
      </x:c>
      <x:c r="I978" s="13" t="str">
        <x:v>Escala inteligente</x:v>
      </x:c>
      <x:c r="J978" s="17" t="n">
        <x:f>E978-D978</x:f>
        <x:v>0</x:v>
      </x:c>
      <x:c r="K978" s="19" t="n">
        <x:f>IFERROR(ABS(J978/D978),0)</x:f>
        <x:v>0</x:v>
      </x:c>
    </x:row>
    <x:row r="979">
      <x:c r="A979" s="13" t="str">
        <x:v>CON-000978</x:v>
      </x:c>
      <x:c r="B979" s="23" t="n">
        <x:v>46136</x:v>
      </x:c>
      <x:c r="C979" s="13" t="str">
        <x:v>Itaú Operacional</x:v>
      </x:c>
      <x:c r="D979" s="17" t="n">
        <x:v>40967.2</x:v>
      </x:c>
      <x:c r="E979" s="17" t="n">
        <x:v>40967.2</x:v>
      </x:c>
      <x:c r="F979" s="13" t="str">
        <x:v>Conciliado</x:v>
      </x:c>
      <x:c r="G979" s="13" t="str">
        <x:v>Sem divergência</x:v>
      </x:c>
      <x:c r="H979" s="13" t="n">
        <x:v>0.44</x:v>
      </x:c>
      <x:c r="I979" s="13" t="str">
        <x:v>Escala inteligente</x:v>
      </x:c>
      <x:c r="J979" s="17" t="n">
        <x:f>E979-D979</x:f>
        <x:v>0</x:v>
      </x:c>
      <x:c r="K979" s="19" t="n">
        <x:f>IFERROR(ABS(J979/D979),0)</x:f>
        <x:v>0</x:v>
      </x:c>
    </x:row>
    <x:row r="980">
      <x:c r="A980" s="13" t="str">
        <x:v>CON-000979</x:v>
      </x:c>
      <x:c r="B980" s="23" t="n">
        <x:v>46139</x:v>
      </x:c>
      <x:c r="C980" s="13" t="str">
        <x:v>Itaú Operacional</x:v>
      </x:c>
      <x:c r="D980" s="17" t="n">
        <x:v>16598.64</x:v>
      </x:c>
      <x:c r="E980" s="17" t="n">
        <x:v>16598.64</x:v>
      </x:c>
      <x:c r="F980" s="13" t="str">
        <x:v>Conciliado</x:v>
      </x:c>
      <x:c r="G980" s="13" t="str">
        <x:v>Sem divergência</x:v>
      </x:c>
      <x:c r="H980" s="13" t="n">
        <x:v>0.15</x:v>
      </x:c>
      <x:c r="I980" s="13" t="str">
        <x:v>Escala inteligente</x:v>
      </x:c>
      <x:c r="J980" s="17" t="n">
        <x:f>E980-D980</x:f>
        <x:v>0</x:v>
      </x:c>
      <x:c r="K980" s="19" t="n">
        <x:f>IFERROR(ABS(J980/D980),0)</x:f>
        <x:v>0</x:v>
      </x:c>
    </x:row>
    <x:row r="981">
      <x:c r="A981" s="13" t="str">
        <x:v>CON-000980</x:v>
      </x:c>
      <x:c r="B981" s="23" t="n">
        <x:v>46129</x:v>
      </x:c>
      <x:c r="C981" s="13" t="str">
        <x:v>Santander Recebimentos</x:v>
      </x:c>
      <x:c r="D981" s="17" t="n">
        <x:v>4752.34</x:v>
      </x:c>
      <x:c r="E981" s="17" t="n">
        <x:v>4752.34</x:v>
      </x:c>
      <x:c r="F981" s="13" t="str">
        <x:v>Conciliado</x:v>
      </x:c>
      <x:c r="G981" s="13" t="str">
        <x:v>Sem divergência</x:v>
      </x:c>
      <x:c r="H981" s="13" t="n">
        <x:v>0.08</x:v>
      </x:c>
      <x:c r="I981" s="13" t="str">
        <x:v>Escala inteligente</x:v>
      </x:c>
      <x:c r="J981" s="17" t="n">
        <x:f>E981-D981</x:f>
        <x:v>0</x:v>
      </x:c>
      <x:c r="K981" s="19" t="n">
        <x:f>IFERROR(ABS(J981/D981),0)</x:f>
        <x:v>0</x:v>
      </x:c>
    </x:row>
    <x:row r="982">
      <x:c r="A982" s="13" t="str">
        <x:v>CON-000981</x:v>
      </x:c>
      <x:c r="B982" s="23" t="n">
        <x:v>46159</x:v>
      </x:c>
      <x:c r="C982" s="13" t="str">
        <x:v>Bradesco Pagamentos</x:v>
      </x:c>
      <x:c r="D982" s="17" t="n">
        <x:v>42527.15</x:v>
      </x:c>
      <x:c r="E982" s="17" t="n">
        <x:v>42527.15</x:v>
      </x:c>
      <x:c r="F982" s="13" t="str">
        <x:v>Conciliado</x:v>
      </x:c>
      <x:c r="G982" s="13" t="str">
        <x:v>Sem divergência</x:v>
      </x:c>
      <x:c r="H982" s="13" t="n">
        <x:v>0.05</x:v>
      </x:c>
      <x:c r="I982" s="13" t="str">
        <x:v>Escala inteligente</x:v>
      </x:c>
      <x:c r="J982" s="17" t="n">
        <x:f>E982-D982</x:f>
        <x:v>0</x:v>
      </x:c>
      <x:c r="K982" s="19" t="n">
        <x:f>IFERROR(ABS(J982/D982),0)</x:f>
        <x:v>0</x:v>
      </x:c>
    </x:row>
    <x:row r="983">
      <x:c r="A983" s="13" t="str">
        <x:v>CON-000982</x:v>
      </x:c>
      <x:c r="B983" s="23" t="n">
        <x:v>46146</x:v>
      </x:c>
      <x:c r="C983" s="13" t="str">
        <x:v>Itaú Operacional</x:v>
      </x:c>
      <x:c r="D983" s="17" t="n">
        <x:v>34578.12</x:v>
      </x:c>
      <x:c r="E983" s="17" t="n">
        <x:v>34578.12</x:v>
      </x:c>
      <x:c r="F983" s="13" t="str">
        <x:v>Conciliado</x:v>
      </x:c>
      <x:c r="G983" s="13" t="str">
        <x:v>Sem divergência</x:v>
      </x:c>
      <x:c r="H983" s="13" t="n">
        <x:v>0.13</x:v>
      </x:c>
      <x:c r="I983" s="13" t="str">
        <x:v>Escala inteligente</x:v>
      </x:c>
      <x:c r="J983" s="17" t="n">
        <x:f>E983-D983</x:f>
        <x:v>0</x:v>
      </x:c>
      <x:c r="K983" s="19" t="n">
        <x:f>IFERROR(ABS(J983/D983),0)</x:f>
        <x:v>0</x:v>
      </x:c>
    </x:row>
    <x:row r="984">
      <x:c r="A984" s="13" t="str">
        <x:v>CON-000983</x:v>
      </x:c>
      <x:c r="B984" s="23" t="n">
        <x:v>46163</x:v>
      </x:c>
      <x:c r="C984" s="13" t="str">
        <x:v>Santander Recebimentos</x:v>
      </x:c>
      <x:c r="D984" s="17" t="n">
        <x:v>11023.86</x:v>
      </x:c>
      <x:c r="E984" s="17" t="n">
        <x:v>11023.86</x:v>
      </x:c>
      <x:c r="F984" s="13" t="str">
        <x:v>Conciliado</x:v>
      </x:c>
      <x:c r="G984" s="13" t="str">
        <x:v>Sem divergência</x:v>
      </x:c>
      <x:c r="H984" s="13" t="n">
        <x:v>0.09</x:v>
      </x:c>
      <x:c r="I984" s="13" t="str">
        <x:v>Escala inteligente</x:v>
      </x:c>
      <x:c r="J984" s="17" t="n">
        <x:f>E984-D984</x:f>
        <x:v>0</x:v>
      </x:c>
      <x:c r="K984" s="19" t="n">
        <x:f>IFERROR(ABS(J984/D984),0)</x:f>
        <x:v>0</x:v>
      </x:c>
    </x:row>
    <x:row r="985">
      <x:c r="A985" s="13" t="str">
        <x:v>CON-000984</x:v>
      </x:c>
      <x:c r="B985" s="23" t="n">
        <x:v>46160</x:v>
      </x:c>
      <x:c r="C985" s="13" t="str">
        <x:v>Santander Recebimentos</x:v>
      </x:c>
      <x:c r="D985" s="17" t="n">
        <x:v>16220.62</x:v>
      </x:c>
      <x:c r="E985" s="17" t="n">
        <x:v>16220.62</x:v>
      </x:c>
      <x:c r="F985" s="13" t="str">
        <x:v>Conciliado</x:v>
      </x:c>
      <x:c r="G985" s="13" t="str">
        <x:v>Sem divergência</x:v>
      </x:c>
      <x:c r="H985" s="13" t="n">
        <x:v>0.04</x:v>
      </x:c>
      <x:c r="I985" s="13" t="str">
        <x:v>Escala inteligente</x:v>
      </x:c>
      <x:c r="J985" s="17" t="n">
        <x:f>E985-D985</x:f>
        <x:v>0</x:v>
      </x:c>
      <x:c r="K985" s="19" t="n">
        <x:f>IFERROR(ABS(J985/D985),0)</x:f>
        <x:v>0</x:v>
      </x:c>
    </x:row>
    <x:row r="986">
      <x:c r="A986" s="13" t="str">
        <x:v>CON-000985</x:v>
      </x:c>
      <x:c r="B986" s="23" t="n">
        <x:v>46145</x:v>
      </x:c>
      <x:c r="C986" s="13" t="str">
        <x:v>Santander Recebimentos</x:v>
      </x:c>
      <x:c r="D986" s="17" t="n">
        <x:v>10457.43</x:v>
      </x:c>
      <x:c r="E986" s="17" t="n">
        <x:v>10457.43</x:v>
      </x:c>
      <x:c r="F986" s="13" t="str">
        <x:v>Conciliado</x:v>
      </x:c>
      <x:c r="G986" s="13" t="str">
        <x:v>Sem divergência</x:v>
      </x:c>
      <x:c r="H986" s="13" t="n">
        <x:v>0.22</x:v>
      </x:c>
      <x:c r="I986" s="13" t="str">
        <x:v>Escala inteligente</x:v>
      </x:c>
      <x:c r="J986" s="17" t="n">
        <x:f>E986-D986</x:f>
        <x:v>0</x:v>
      </x:c>
      <x:c r="K986" s="19" t="n">
        <x:f>IFERROR(ABS(J986/D986),0)</x:f>
        <x:v>0</x:v>
      </x:c>
    </x:row>
    <x:row r="987">
      <x:c r="A987" s="13" t="str">
        <x:v>CON-000986</x:v>
      </x:c>
      <x:c r="B987" s="23" t="n">
        <x:v>46168</x:v>
      </x:c>
      <x:c r="C987" s="13" t="str">
        <x:v>Santander Recebimentos</x:v>
      </x:c>
      <x:c r="D987" s="17" t="n">
        <x:v>40487.66</x:v>
      </x:c>
      <x:c r="E987" s="17" t="n">
        <x:v>40487.66</x:v>
      </x:c>
      <x:c r="F987" s="13" t="str">
        <x:v>Conciliado</x:v>
      </x:c>
      <x:c r="G987" s="13" t="str">
        <x:v>Sem divergência</x:v>
      </x:c>
      <x:c r="H987" s="13" t="n">
        <x:v>0.42</x:v>
      </x:c>
      <x:c r="I987" s="13" t="str">
        <x:v>Escala inteligente</x:v>
      </x:c>
      <x:c r="J987" s="17" t="n">
        <x:f>E987-D987</x:f>
        <x:v>0</x:v>
      </x:c>
      <x:c r="K987" s="19" t="n">
        <x:f>IFERROR(ABS(J987/D987),0)</x:f>
        <x:v>0</x:v>
      </x:c>
    </x:row>
    <x:row r="988">
      <x:c r="A988" s="13" t="str">
        <x:v>CON-000987</x:v>
      </x:c>
      <x:c r="B988" s="23" t="n">
        <x:v>46158</x:v>
      </x:c>
      <x:c r="C988" s="13" t="str">
        <x:v>Itaú Operacional</x:v>
      </x:c>
      <x:c r="D988" s="17" t="n">
        <x:v>5810.25</x:v>
      </x:c>
      <x:c r="E988" s="17" t="n">
        <x:v>5810.25</x:v>
      </x:c>
      <x:c r="F988" s="13" t="str">
        <x:v>Conciliado</x:v>
      </x:c>
      <x:c r="G988" s="13" t="str">
        <x:v>Sem divergência</x:v>
      </x:c>
      <x:c r="H988" s="13" t="n">
        <x:v>0.28</x:v>
      </x:c>
      <x:c r="I988" s="13" t="str">
        <x:v>Escala inteligente</x:v>
      </x:c>
      <x:c r="J988" s="17" t="n">
        <x:f>E988-D988</x:f>
        <x:v>0</x:v>
      </x:c>
      <x:c r="K988" s="19" t="n">
        <x:f>IFERROR(ABS(J988/D988),0)</x:f>
        <x:v>0</x:v>
      </x:c>
    </x:row>
    <x:row r="989">
      <x:c r="A989" s="13" t="str">
        <x:v>CON-000988</x:v>
      </x:c>
      <x:c r="B989" s="23" t="n">
        <x:v>46162</x:v>
      </x:c>
      <x:c r="C989" s="13" t="str">
        <x:v>Bradesco Pagamentos</x:v>
      </x:c>
      <x:c r="D989" s="17" t="n">
        <x:v>44868.96</x:v>
      </x:c>
      <x:c r="E989" s="17" t="n">
        <x:v>44868.96</x:v>
      </x:c>
      <x:c r="F989" s="13" t="str">
        <x:v>Conciliado</x:v>
      </x:c>
      <x:c r="G989" s="13" t="str">
        <x:v>Sem divergência</x:v>
      </x:c>
      <x:c r="H989" s="13" t="n">
        <x:v>0.44</x:v>
      </x:c>
      <x:c r="I989" s="13" t="str">
        <x:v>Escala inteligente</x:v>
      </x:c>
      <x:c r="J989" s="17" t="n">
        <x:f>E989-D989</x:f>
        <x:v>0</x:v>
      </x:c>
      <x:c r="K989" s="19" t="n">
        <x:f>IFERROR(ABS(J989/D989),0)</x:f>
        <x:v>0</x:v>
      </x:c>
    </x:row>
    <x:row r="990">
      <x:c r="A990" s="13" t="str">
        <x:v>CON-000989</x:v>
      </x:c>
      <x:c r="B990" s="23" t="n">
        <x:v>46153</x:v>
      </x:c>
      <x:c r="C990" s="13" t="str">
        <x:v>Santander Recebimentos</x:v>
      </x:c>
      <x:c r="D990" s="17" t="n">
        <x:v>31493.95</x:v>
      </x:c>
      <x:c r="E990" s="17" t="n">
        <x:v>31493.95</x:v>
      </x:c>
      <x:c r="F990" s="13" t="str">
        <x:v>Conciliado</x:v>
      </x:c>
      <x:c r="G990" s="13" t="str">
        <x:v>Sem divergência</x:v>
      </x:c>
      <x:c r="H990" s="13" t="n">
        <x:v>0.05</x:v>
      </x:c>
      <x:c r="I990" s="13" t="str">
        <x:v>Escala inteligente</x:v>
      </x:c>
      <x:c r="J990" s="17" t="n">
        <x:f>E990-D990</x:f>
        <x:v>0</x:v>
      </x:c>
      <x:c r="K990" s="19" t="n">
        <x:f>IFERROR(ABS(J990/D990),0)</x:f>
        <x:v>0</x:v>
      </x:c>
    </x:row>
    <x:row r="991">
      <x:c r="A991" s="13" t="str">
        <x:v>CON-000990</x:v>
      </x:c>
      <x:c r="B991" s="23" t="n">
        <x:v>46170</x:v>
      </x:c>
      <x:c r="C991" s="13" t="str">
        <x:v>Nubank Serviços</x:v>
      </x:c>
      <x:c r="D991" s="17" t="n">
        <x:v>2290.91</x:v>
      </x:c>
      <x:c r="E991" s="17" t="n">
        <x:v>2290.91</x:v>
      </x:c>
      <x:c r="F991" s="13" t="str">
        <x:v>Conciliado</x:v>
      </x:c>
      <x:c r="G991" s="13" t="str">
        <x:v>Sem divergência</x:v>
      </x:c>
      <x:c r="H991" s="13" t="n">
        <x:v>0.1</x:v>
      </x:c>
      <x:c r="I991" s="13" t="str">
        <x:v>Escala inteligente</x:v>
      </x:c>
      <x:c r="J991" s="17" t="n">
        <x:f>E991-D991</x:f>
        <x:v>0</x:v>
      </x:c>
      <x:c r="K991" s="19" t="n">
        <x:f>IFERROR(ABS(J991/D991),0)</x:f>
        <x:v>0</x:v>
      </x:c>
    </x:row>
    <x:row r="992">
      <x:c r="A992" s="13" t="str">
        <x:v>CON-000991</x:v>
      </x:c>
      <x:c r="B992" s="23" t="n">
        <x:v>46153</x:v>
      </x:c>
      <x:c r="C992" s="13" t="str">
        <x:v>Santander Recebimentos</x:v>
      </x:c>
      <x:c r="D992" s="17" t="n">
        <x:v>30044.99</x:v>
      </x:c>
      <x:c r="E992" s="17" t="n">
        <x:v>30044.99</x:v>
      </x:c>
      <x:c r="F992" s="13" t="str">
        <x:v>Conciliado</x:v>
      </x:c>
      <x:c r="G992" s="13" t="str">
        <x:v>Sem divergência</x:v>
      </x:c>
      <x:c r="H992" s="13" t="n">
        <x:v>0.12</x:v>
      </x:c>
      <x:c r="I992" s="13" t="str">
        <x:v>Escala inteligente</x:v>
      </x:c>
      <x:c r="J992" s="17" t="n">
        <x:f>E992-D992</x:f>
        <x:v>0</x:v>
      </x:c>
      <x:c r="K992" s="19" t="n">
        <x:f>IFERROR(ABS(J992/D992),0)</x:f>
        <x:v>0</x:v>
      </x:c>
    </x:row>
    <x:row r="993">
      <x:c r="A993" s="13" t="str">
        <x:v>CON-000992</x:v>
      </x:c>
      <x:c r="B993" s="23" t="n">
        <x:v>46163</x:v>
      </x:c>
      <x:c r="C993" s="13" t="str">
        <x:v>Itaú Operacional</x:v>
      </x:c>
      <x:c r="D993" s="17" t="n">
        <x:v>11591.76</x:v>
      </x:c>
      <x:c r="E993" s="17" t="n">
        <x:v>11591.76</x:v>
      </x:c>
      <x:c r="F993" s="13" t="str">
        <x:v>Conciliado</x:v>
      </x:c>
      <x:c r="G993" s="13" t="str">
        <x:v>Sem divergência</x:v>
      </x:c>
      <x:c r="H993" s="13" t="n">
        <x:v>0.19</x:v>
      </x:c>
      <x:c r="I993" s="13" t="str">
        <x:v>Escala inteligente</x:v>
      </x:c>
      <x:c r="J993" s="17" t="n">
        <x:f>E993-D993</x:f>
        <x:v>0</x:v>
      </x:c>
      <x:c r="K993" s="19" t="n">
        <x:f>IFERROR(ABS(J993/D993),0)</x:f>
        <x:v>0</x:v>
      </x:c>
    </x:row>
    <x:row r="994">
      <x:c r="A994" s="13" t="str">
        <x:v>CON-000993</x:v>
      </x:c>
      <x:c r="B994" s="23" t="n">
        <x:v>46152</x:v>
      </x:c>
      <x:c r="C994" s="13" t="str">
        <x:v>Santander Recebimentos</x:v>
      </x:c>
      <x:c r="D994" s="17" t="n">
        <x:v>4019.32</x:v>
      </x:c>
      <x:c r="E994" s="17" t="n">
        <x:v>4019.32</x:v>
      </x:c>
      <x:c r="F994" s="13" t="str">
        <x:v>Conciliado</x:v>
      </x:c>
      <x:c r="G994" s="13" t="str">
        <x:v>Sem divergência</x:v>
      </x:c>
      <x:c r="H994" s="13" t="n">
        <x:v>0.17</x:v>
      </x:c>
      <x:c r="I994" s="13" t="str">
        <x:v>Escala inteligente</x:v>
      </x:c>
      <x:c r="J994" s="17" t="n">
        <x:f>E994-D994</x:f>
        <x:v>0</x:v>
      </x:c>
      <x:c r="K994" s="19" t="n">
        <x:f>IFERROR(ABS(J994/D994),0)</x:f>
        <x:v>0</x:v>
      </x:c>
    </x:row>
    <x:row r="995">
      <x:c r="A995" s="13" t="str">
        <x:v>CON-000994</x:v>
      </x:c>
      <x:c r="B995" s="23" t="n">
        <x:v>46144</x:v>
      </x:c>
      <x:c r="C995" s="13" t="str">
        <x:v>Itaú Operacional</x:v>
      </x:c>
      <x:c r="D995" s="17" t="n">
        <x:v>37367.77</x:v>
      </x:c>
      <x:c r="E995" s="17" t="n">
        <x:v>37367.77</x:v>
      </x:c>
      <x:c r="F995" s="13" t="str">
        <x:v>Conciliado</x:v>
      </x:c>
      <x:c r="G995" s="13" t="str">
        <x:v>Sem divergência</x:v>
      </x:c>
      <x:c r="H995" s="13" t="n">
        <x:v>0.41</x:v>
      </x:c>
      <x:c r="I995" s="13" t="str">
        <x:v>Escala inteligente</x:v>
      </x:c>
      <x:c r="J995" s="17" t="n">
        <x:f>E995-D995</x:f>
        <x:v>0</x:v>
      </x:c>
      <x:c r="K995" s="19" t="n">
        <x:f>IFERROR(ABS(J995/D995),0)</x:f>
        <x:v>0</x:v>
      </x:c>
    </x:row>
    <x:row r="996">
      <x:c r="A996" s="13" t="str">
        <x:v>CON-000995</x:v>
      </x:c>
      <x:c r="B996" s="23" t="n">
        <x:v>46169</x:v>
      </x:c>
      <x:c r="C996" s="13" t="str">
        <x:v>Santander Recebimentos</x:v>
      </x:c>
      <x:c r="D996" s="17" t="n">
        <x:v>26497.05</x:v>
      </x:c>
      <x:c r="E996" s="17" t="n">
        <x:v>26497.05</x:v>
      </x:c>
      <x:c r="F996" s="13" t="str">
        <x:v>Conciliado</x:v>
      </x:c>
      <x:c r="G996" s="13" t="str">
        <x:v>Sem divergência</x:v>
      </x:c>
      <x:c r="H996" s="13" t="n">
        <x:v>0.11</x:v>
      </x:c>
      <x:c r="I996" s="13" t="str">
        <x:v>Escala inteligente</x:v>
      </x:c>
      <x:c r="J996" s="17" t="n">
        <x:f>E996-D996</x:f>
        <x:v>0</x:v>
      </x:c>
      <x:c r="K996" s="19" t="n">
        <x:f>IFERROR(ABS(J996/D996),0)</x:f>
        <x:v>0</x:v>
      </x:c>
    </x:row>
    <x:row r="997">
      <x:c r="A997" s="13" t="str">
        <x:v>CON-000996</x:v>
      </x:c>
      <x:c r="B997" s="23" t="n">
        <x:v>46164</x:v>
      </x:c>
      <x:c r="C997" s="13" t="str">
        <x:v>Santander Recebimentos</x:v>
      </x:c>
      <x:c r="D997" s="17" t="n">
        <x:v>15681.1</x:v>
      </x:c>
      <x:c r="E997" s="17" t="n">
        <x:v>15681.1</x:v>
      </x:c>
      <x:c r="F997" s="13" t="str">
        <x:v>Conciliado</x:v>
      </x:c>
      <x:c r="G997" s="13" t="str">
        <x:v>Sem divergência</x:v>
      </x:c>
      <x:c r="H997" s="13" t="n">
        <x:v>0.43</x:v>
      </x:c>
      <x:c r="I997" s="13" t="str">
        <x:v>Escala inteligente</x:v>
      </x:c>
      <x:c r="J997" s="17" t="n">
        <x:f>E997-D997</x:f>
        <x:v>0</x:v>
      </x:c>
      <x:c r="K997" s="19" t="n">
        <x:f>IFERROR(ABS(J997/D997),0)</x:f>
        <x:v>0</x:v>
      </x:c>
    </x:row>
    <x:row r="998">
      <x:c r="A998" s="13" t="str">
        <x:v>CON-000997</x:v>
      </x:c>
      <x:c r="B998" s="23" t="n">
        <x:v>46169</x:v>
      </x:c>
      <x:c r="C998" s="13" t="str">
        <x:v>Bradesco Pagamentos</x:v>
      </x:c>
      <x:c r="D998" s="17" t="n">
        <x:v>19246.3</x:v>
      </x:c>
      <x:c r="E998" s="17" t="n">
        <x:v>19246.3</x:v>
      </x:c>
      <x:c r="F998" s="13" t="str">
        <x:v>Conciliado</x:v>
      </x:c>
      <x:c r="G998" s="13" t="str">
        <x:v>Sem divergência</x:v>
      </x:c>
      <x:c r="H998" s="13" t="n">
        <x:v>0.35</x:v>
      </x:c>
      <x:c r="I998" s="13" t="str">
        <x:v>Escala inteligente</x:v>
      </x:c>
      <x:c r="J998" s="17" t="n">
        <x:f>E998-D998</x:f>
        <x:v>0</x:v>
      </x:c>
      <x:c r="K998" s="19" t="n">
        <x:f>IFERROR(ABS(J998/D998),0)</x:f>
        <x:v>0</x:v>
      </x:c>
    </x:row>
    <x:row r="999">
      <x:c r="A999" s="13" t="str">
        <x:v>CON-000998</x:v>
      </x:c>
      <x:c r="B999" s="23" t="n">
        <x:v>46147</x:v>
      </x:c>
      <x:c r="C999" s="13" t="str">
        <x:v>Santander Recebimentos</x:v>
      </x:c>
      <x:c r="D999" s="17" t="n">
        <x:v>5531.37</x:v>
      </x:c>
      <x:c r="E999" s="17" t="n">
        <x:v>5531.37</x:v>
      </x:c>
      <x:c r="F999" s="13" t="str">
        <x:v>Conciliado</x:v>
      </x:c>
      <x:c r="G999" s="13" t="str">
        <x:v>Sem divergência</x:v>
      </x:c>
      <x:c r="H999" s="13" t="n">
        <x:v>0.13</x:v>
      </x:c>
      <x:c r="I999" s="13" t="str">
        <x:v>Escala inteligente</x:v>
      </x:c>
      <x:c r="J999" s="17" t="n">
        <x:f>E999-D999</x:f>
        <x:v>0</x:v>
      </x:c>
      <x:c r="K999" s="19" t="n">
        <x:f>IFERROR(ABS(J999/D999),0)</x:f>
        <x:v>0</x:v>
      </x:c>
    </x:row>
    <x:row r="1000">
      <x:c r="A1000" s="13" t="str">
        <x:v>CON-000999</x:v>
      </x:c>
      <x:c r="B1000" s="23" t="n">
        <x:v>46156</x:v>
      </x:c>
      <x:c r="C1000" s="13" t="str">
        <x:v>Nubank Serviços</x:v>
      </x:c>
      <x:c r="D1000" s="17" t="n">
        <x:v>8409.5</x:v>
      </x:c>
      <x:c r="E1000" s="17" t="n">
        <x:v>8409.5</x:v>
      </x:c>
      <x:c r="F1000" s="13" t="str">
        <x:v>Conciliado</x:v>
      </x:c>
      <x:c r="G1000" s="13" t="str">
        <x:v>Sem divergência</x:v>
      </x:c>
      <x:c r="H1000" s="13" t="n">
        <x:v>0.06</x:v>
      </x:c>
      <x:c r="I1000" s="13" t="str">
        <x:v>Escala inteligente</x:v>
      </x:c>
      <x:c r="J1000" s="17" t="n">
        <x:f>E1000-D1000</x:f>
        <x:v>0</x:v>
      </x:c>
      <x:c r="K1000" s="19" t="n">
        <x:f>IFERROR(ABS(J1000/D1000),0)</x:f>
        <x:v>0</x:v>
      </x:c>
    </x:row>
    <x:row r="1001">
      <x:c r="A1001" s="13" t="str">
        <x:v>CON-001000</x:v>
      </x:c>
      <x:c r="B1001" s="23" t="n">
        <x:v>46157</x:v>
      </x:c>
      <x:c r="C1001" s="13" t="str">
        <x:v>Bradesco Pagamentos</x:v>
      </x:c>
      <x:c r="D1001" s="17" t="n">
        <x:v>22582.62</x:v>
      </x:c>
      <x:c r="E1001" s="17" t="n">
        <x:v>22582.62</x:v>
      </x:c>
      <x:c r="F1001" s="13" t="str">
        <x:v>Conciliado</x:v>
      </x:c>
      <x:c r="G1001" s="13" t="str">
        <x:v>Sem divergência</x:v>
      </x:c>
      <x:c r="H1001" s="13" t="n">
        <x:v>0.29</x:v>
      </x:c>
      <x:c r="I1001" s="13" t="str">
        <x:v>Escala inteligente</x:v>
      </x:c>
      <x:c r="J1001" s="17" t="n">
        <x:f>E1001-D1001</x:f>
        <x:v>0</x:v>
      </x:c>
      <x:c r="K1001" s="19" t="n">
        <x:f>IFERROR(ABS(J1001/D1001),0)</x:f>
        <x:v>0</x:v>
      </x:c>
    </x:row>
    <x:row r="1002">
      <x:c r="A1002" s="13" t="str">
        <x:v>CON-001001</x:v>
      </x:c>
      <x:c r="B1002" s="23" t="n">
        <x:v>46151</x:v>
      </x:c>
      <x:c r="C1002" s="13" t="str">
        <x:v>Nubank Serviços</x:v>
      </x:c>
      <x:c r="D1002" s="17" t="n">
        <x:v>1789.58</x:v>
      </x:c>
      <x:c r="E1002" s="17" t="n">
        <x:v>1789.58</x:v>
      </x:c>
      <x:c r="F1002" s="13" t="str">
        <x:v>Conciliado</x:v>
      </x:c>
      <x:c r="G1002" s="13" t="str">
        <x:v>Sem divergência</x:v>
      </x:c>
      <x:c r="H1002" s="13" t="n">
        <x:v>0.32</x:v>
      </x:c>
      <x:c r="I1002" s="13" t="str">
        <x:v>Escala inteligente</x:v>
      </x:c>
      <x:c r="J1002" s="17" t="n">
        <x:f>E1002-D1002</x:f>
        <x:v>0</x:v>
      </x:c>
      <x:c r="K1002" s="19" t="n">
        <x:f>IFERROR(ABS(J1002/D1002),0)</x:f>
        <x:v>0</x:v>
      </x:c>
    </x:row>
    <x:row r="1003">
      <x:c r="A1003" s="13" t="str">
        <x:v>CON-001002</x:v>
      </x:c>
      <x:c r="B1003" s="23" t="n">
        <x:v>46165</x:v>
      </x:c>
      <x:c r="C1003" s="13" t="str">
        <x:v>Santander Recebimentos</x:v>
      </x:c>
      <x:c r="D1003" s="17" t="n">
        <x:v>6693.87</x:v>
      </x:c>
      <x:c r="E1003" s="17" t="n">
        <x:v>6693.87</x:v>
      </x:c>
      <x:c r="F1003" s="13" t="str">
        <x:v>Conciliado</x:v>
      </x:c>
      <x:c r="G1003" s="13" t="str">
        <x:v>Sem divergência</x:v>
      </x:c>
      <x:c r="H1003" s="13" t="n">
        <x:v>0.14</x:v>
      </x:c>
      <x:c r="I1003" s="13" t="str">
        <x:v>Escala inteligente</x:v>
      </x:c>
      <x:c r="J1003" s="17" t="n">
        <x:f>E1003-D1003</x:f>
        <x:v>0</x:v>
      </x:c>
      <x:c r="K1003" s="19" t="n">
        <x:f>IFERROR(ABS(J1003/D1003),0)</x:f>
        <x:v>0</x:v>
      </x:c>
    </x:row>
    <x:row r="1004">
      <x:c r="A1004" s="13" t="str">
        <x:v>CON-001003</x:v>
      </x:c>
      <x:c r="B1004" s="23" t="n">
        <x:v>46169</x:v>
      </x:c>
      <x:c r="C1004" s="13" t="str">
        <x:v>Nubank Serviços</x:v>
      </x:c>
      <x:c r="D1004" s="17" t="n">
        <x:v>29460.22</x:v>
      </x:c>
      <x:c r="E1004" s="17" t="n">
        <x:v>29460.22</x:v>
      </x:c>
      <x:c r="F1004" s="13" t="str">
        <x:v>Conciliado</x:v>
      </x:c>
      <x:c r="G1004" s="13" t="str">
        <x:v>Sem divergência</x:v>
      </x:c>
      <x:c r="H1004" s="13" t="n">
        <x:v>0.23</x:v>
      </x:c>
      <x:c r="I1004" s="13" t="str">
        <x:v>Escala inteligente</x:v>
      </x:c>
      <x:c r="J1004" s="17" t="n">
        <x:f>E1004-D1004</x:f>
        <x:v>0</x:v>
      </x:c>
      <x:c r="K1004" s="19" t="n">
        <x:f>IFERROR(ABS(J1004/D1004),0)</x:f>
        <x:v>0</x:v>
      </x:c>
    </x:row>
    <x:row r="1005">
      <x:c r="A1005" s="13" t="str">
        <x:v>CON-001004</x:v>
      </x:c>
      <x:c r="B1005" s="23" t="n">
        <x:v>46155</x:v>
      </x:c>
      <x:c r="C1005" s="13" t="str">
        <x:v>Bradesco Pagamentos</x:v>
      </x:c>
      <x:c r="D1005" s="17" t="n">
        <x:v>41943.98</x:v>
      </x:c>
      <x:c r="E1005" s="17" t="n">
        <x:v>41943.98</x:v>
      </x:c>
      <x:c r="F1005" s="13" t="str">
        <x:v>Conciliado</x:v>
      </x:c>
      <x:c r="G1005" s="13" t="str">
        <x:v>Sem divergência</x:v>
      </x:c>
      <x:c r="H1005" s="13" t="n">
        <x:v>0.18</x:v>
      </x:c>
      <x:c r="I1005" s="13" t="str">
        <x:v>Escala inteligente</x:v>
      </x:c>
      <x:c r="J1005" s="17" t="n">
        <x:f>E1005-D1005</x:f>
        <x:v>0</x:v>
      </x:c>
      <x:c r="K1005" s="19" t="n">
        <x:f>IFERROR(ABS(J1005/D1005),0)</x:f>
        <x:v>0</x:v>
      </x:c>
    </x:row>
    <x:row r="1006">
      <x:c r="A1006" s="13" t="str">
        <x:v>CON-001005</x:v>
      </x:c>
      <x:c r="B1006" s="23" t="n">
        <x:v>46150</x:v>
      </x:c>
      <x:c r="C1006" s="13" t="str">
        <x:v>Santander Recebimentos</x:v>
      </x:c>
      <x:c r="D1006" s="17" t="n">
        <x:v>9622.97</x:v>
      </x:c>
      <x:c r="E1006" s="17" t="n">
        <x:v>9622.97</x:v>
      </x:c>
      <x:c r="F1006" s="13" t="str">
        <x:v>Conciliado</x:v>
      </x:c>
      <x:c r="G1006" s="13" t="str">
        <x:v>Sem divergência</x:v>
      </x:c>
      <x:c r="H1006" s="13" t="n">
        <x:v>0.11</x:v>
      </x:c>
      <x:c r="I1006" s="13" t="str">
        <x:v>Escala inteligente</x:v>
      </x:c>
      <x:c r="J1006" s="17" t="n">
        <x:f>E1006-D1006</x:f>
        <x:v>0</x:v>
      </x:c>
      <x:c r="K1006" s="19" t="n">
        <x:f>IFERROR(ABS(J1006/D1006),0)</x:f>
        <x:v>0</x:v>
      </x:c>
    </x:row>
    <x:row r="1007">
      <x:c r="A1007" s="13" t="str">
        <x:v>CON-001006</x:v>
      </x:c>
      <x:c r="B1007" s="23" t="n">
        <x:v>46168</x:v>
      </x:c>
      <x:c r="C1007" s="13" t="str">
        <x:v>Bradesco Pagamentos</x:v>
      </x:c>
      <x:c r="D1007" s="17" t="n">
        <x:v>29563.1</x:v>
      </x:c>
      <x:c r="E1007" s="17" t="n">
        <x:v>29563.1</x:v>
      </x:c>
      <x:c r="F1007" s="13" t="str">
        <x:v>Conciliado</x:v>
      </x:c>
      <x:c r="G1007" s="13" t="str">
        <x:v>Sem divergência</x:v>
      </x:c>
      <x:c r="H1007" s="13" t="n">
        <x:v>0.45</x:v>
      </x:c>
      <x:c r="I1007" s="13" t="str">
        <x:v>Escala inteligente</x:v>
      </x:c>
      <x:c r="J1007" s="17" t="n">
        <x:f>E1007-D1007</x:f>
        <x:v>0</x:v>
      </x:c>
      <x:c r="K1007" s="19" t="n">
        <x:f>IFERROR(ABS(J1007/D1007),0)</x:f>
        <x:v>0</x:v>
      </x:c>
    </x:row>
    <x:row r="1008">
      <x:c r="A1008" s="13" t="str">
        <x:v>CON-001007</x:v>
      </x:c>
      <x:c r="B1008" s="23" t="n">
        <x:v>46168</x:v>
      </x:c>
      <x:c r="C1008" s="13" t="str">
        <x:v>Itaú Operacional</x:v>
      </x:c>
      <x:c r="D1008" s="17" t="n">
        <x:v>1387.16</x:v>
      </x:c>
      <x:c r="E1008" s="17" t="n">
        <x:v>1387.16</x:v>
      </x:c>
      <x:c r="F1008" s="13" t="str">
        <x:v>Conciliado</x:v>
      </x:c>
      <x:c r="G1008" s="13" t="str">
        <x:v>Sem divergência</x:v>
      </x:c>
      <x:c r="H1008" s="13" t="n">
        <x:v>0.15</x:v>
      </x:c>
      <x:c r="I1008" s="13" t="str">
        <x:v>Escala inteligente</x:v>
      </x:c>
      <x:c r="J1008" s="17" t="n">
        <x:f>E1008-D1008</x:f>
        <x:v>0</x:v>
      </x:c>
      <x:c r="K1008" s="19" t="n">
        <x:f>IFERROR(ABS(J1008/D1008),0)</x:f>
        <x:v>0</x:v>
      </x:c>
    </x:row>
    <x:row r="1009">
      <x:c r="A1009" s="13" t="str">
        <x:v>CON-001008</x:v>
      </x:c>
      <x:c r="B1009" s="23" t="n">
        <x:v>46149</x:v>
      </x:c>
      <x:c r="C1009" s="13" t="str">
        <x:v>Bradesco Pagamentos</x:v>
      </x:c>
      <x:c r="D1009" s="17" t="n">
        <x:v>32760.64</x:v>
      </x:c>
      <x:c r="E1009" s="17" t="n">
        <x:v>32760.64</x:v>
      </x:c>
      <x:c r="F1009" s="13" t="str">
        <x:v>Conciliado</x:v>
      </x:c>
      <x:c r="G1009" s="13" t="str">
        <x:v>Sem divergência</x:v>
      </x:c>
      <x:c r="H1009" s="13" t="n">
        <x:v>0.41</x:v>
      </x:c>
      <x:c r="I1009" s="13" t="str">
        <x:v>Escala inteligente</x:v>
      </x:c>
      <x:c r="J1009" s="17" t="n">
        <x:f>E1009-D1009</x:f>
        <x:v>0</x:v>
      </x:c>
      <x:c r="K1009" s="19" t="n">
        <x:f>IFERROR(ABS(J1009/D1009),0)</x:f>
        <x:v>0</x:v>
      </x:c>
    </x:row>
    <x:row r="1010">
      <x:c r="A1010" s="13" t="str">
        <x:v>CON-001009</x:v>
      </x:c>
      <x:c r="B1010" s="23" t="n">
        <x:v>46166</x:v>
      </x:c>
      <x:c r="C1010" s="13" t="str">
        <x:v>Nubank Serviços</x:v>
      </x:c>
      <x:c r="D1010" s="17" t="n">
        <x:v>34301.87</x:v>
      </x:c>
      <x:c r="E1010" s="17" t="n">
        <x:v>34301.87</x:v>
      </x:c>
      <x:c r="F1010" s="13" t="str">
        <x:v>Conciliado</x:v>
      </x:c>
      <x:c r="G1010" s="13" t="str">
        <x:v>Sem divergência</x:v>
      </x:c>
      <x:c r="H1010" s="13" t="n">
        <x:v>0.02</x:v>
      </x:c>
      <x:c r="I1010" s="13" t="str">
        <x:v>Escala inteligente</x:v>
      </x:c>
      <x:c r="J1010" s="17" t="n">
        <x:f>E1010-D1010</x:f>
        <x:v>0</x:v>
      </x:c>
      <x:c r="K1010" s="19" t="n">
        <x:f>IFERROR(ABS(J1010/D1010),0)</x:f>
        <x:v>0</x:v>
      </x:c>
    </x:row>
    <x:row r="1011">
      <x:c r="A1011" s="13" t="str">
        <x:v>CON-001010</x:v>
      </x:c>
      <x:c r="B1011" s="23" t="n">
        <x:v>46168</x:v>
      </x:c>
      <x:c r="C1011" s="13" t="str">
        <x:v>Bradesco Pagamentos</x:v>
      </x:c>
      <x:c r="D1011" s="17" t="n">
        <x:v>4140.81</x:v>
      </x:c>
      <x:c r="E1011" s="17" t="n">
        <x:v>4140.81</x:v>
      </x:c>
      <x:c r="F1011" s="13" t="str">
        <x:v>Conciliado</x:v>
      </x:c>
      <x:c r="G1011" s="13" t="str">
        <x:v>Sem divergência</x:v>
      </x:c>
      <x:c r="H1011" s="13" t="n">
        <x:v>0.24</x:v>
      </x:c>
      <x:c r="I1011" s="13" t="str">
        <x:v>Escala inteligente</x:v>
      </x:c>
      <x:c r="J1011" s="17" t="n">
        <x:f>E1011-D1011</x:f>
        <x:v>0</x:v>
      </x:c>
      <x:c r="K1011" s="19" t="n">
        <x:f>IFERROR(ABS(J1011/D1011),0)</x:f>
        <x:v>0</x:v>
      </x:c>
    </x:row>
    <x:row r="1012">
      <x:c r="A1012" s="13" t="str">
        <x:v>CON-001011</x:v>
      </x:c>
      <x:c r="B1012" s="23" t="n">
        <x:v>46157</x:v>
      </x:c>
      <x:c r="C1012" s="13" t="str">
        <x:v>Nubank Serviços</x:v>
      </x:c>
      <x:c r="D1012" s="17" t="n">
        <x:v>29579.46</x:v>
      </x:c>
      <x:c r="E1012" s="17" t="n">
        <x:v>29579.46</x:v>
      </x:c>
      <x:c r="F1012" s="13" t="str">
        <x:v>Conciliado</x:v>
      </x:c>
      <x:c r="G1012" s="13" t="str">
        <x:v>Sem divergência</x:v>
      </x:c>
      <x:c r="H1012" s="13" t="n">
        <x:v>0.32</x:v>
      </x:c>
      <x:c r="I1012" s="13" t="str">
        <x:v>Escala inteligente</x:v>
      </x:c>
      <x:c r="J1012" s="17" t="n">
        <x:f>E1012-D1012</x:f>
        <x:v>0</x:v>
      </x:c>
      <x:c r="K1012" s="19" t="n">
        <x:f>IFERROR(ABS(J1012/D1012),0)</x:f>
        <x:v>0</x:v>
      </x:c>
    </x:row>
    <x:row r="1013">
      <x:c r="A1013" s="13" t="str">
        <x:v>CON-001012</x:v>
      </x:c>
      <x:c r="B1013" s="23" t="n">
        <x:v>46167</x:v>
      </x:c>
      <x:c r="C1013" s="13" t="str">
        <x:v>Nubank Serviços</x:v>
      </x:c>
      <x:c r="D1013" s="17" t="n">
        <x:v>28983.4</x:v>
      </x:c>
      <x:c r="E1013" s="17" t="n">
        <x:v>28983.4</x:v>
      </x:c>
      <x:c r="F1013" s="13" t="str">
        <x:v>Conciliado</x:v>
      </x:c>
      <x:c r="G1013" s="13" t="str">
        <x:v>Sem divergência</x:v>
      </x:c>
      <x:c r="H1013" s="13" t="n">
        <x:v>0.08</x:v>
      </x:c>
      <x:c r="I1013" s="13" t="str">
        <x:v>Escala inteligente</x:v>
      </x:c>
      <x:c r="J1013" s="17" t="n">
        <x:f>E1013-D1013</x:f>
        <x:v>0</x:v>
      </x:c>
      <x:c r="K1013" s="19" t="n">
        <x:f>IFERROR(ABS(J1013/D1013),0)</x:f>
        <x:v>0</x:v>
      </x:c>
    </x:row>
    <x:row r="1014">
      <x:c r="A1014" s="13" t="str">
        <x:v>CON-001013</x:v>
      </x:c>
      <x:c r="B1014" s="23" t="n">
        <x:v>46145</x:v>
      </x:c>
      <x:c r="C1014" s="13" t="str">
        <x:v>Itaú Operacional</x:v>
      </x:c>
      <x:c r="D1014" s="17" t="n">
        <x:v>3622.96</x:v>
      </x:c>
      <x:c r="E1014" s="17" t="n">
        <x:v>3622.96</x:v>
      </x:c>
      <x:c r="F1014" s="13" t="str">
        <x:v>Conciliado</x:v>
      </x:c>
      <x:c r="G1014" s="13" t="str">
        <x:v>Sem divergência</x:v>
      </x:c>
      <x:c r="H1014" s="13" t="n">
        <x:v>0.31</x:v>
      </x:c>
      <x:c r="I1014" s="13" t="str">
        <x:v>Escala inteligente</x:v>
      </x:c>
      <x:c r="J1014" s="17" t="n">
        <x:f>E1014-D1014</x:f>
        <x:v>0</x:v>
      </x:c>
      <x:c r="K1014" s="19" t="n">
        <x:f>IFERROR(ABS(J1014/D1014),0)</x:f>
        <x:v>0</x:v>
      </x:c>
    </x:row>
    <x:row r="1015">
      <x:c r="A1015" s="13" t="str">
        <x:v>CON-001014</x:v>
      </x:c>
      <x:c r="B1015" s="23" t="n">
        <x:v>46149</x:v>
      </x:c>
      <x:c r="C1015" s="13" t="str">
        <x:v>Bradesco Pagamentos</x:v>
      </x:c>
      <x:c r="D1015" s="17" t="n">
        <x:v>44475.45</x:v>
      </x:c>
      <x:c r="E1015" s="17" t="n">
        <x:v>44475.45</x:v>
      </x:c>
      <x:c r="F1015" s="13" t="str">
        <x:v>Conciliado</x:v>
      </x:c>
      <x:c r="G1015" s="13" t="str">
        <x:v>Sem divergência</x:v>
      </x:c>
      <x:c r="H1015" s="13" t="n">
        <x:v>0.04</x:v>
      </x:c>
      <x:c r="I1015" s="13" t="str">
        <x:v>Escala inteligente</x:v>
      </x:c>
      <x:c r="J1015" s="17" t="n">
        <x:f>E1015-D1015</x:f>
        <x:v>0</x:v>
      </x:c>
      <x:c r="K1015" s="19" t="n">
        <x:f>IFERROR(ABS(J1015/D1015),0)</x:f>
        <x:v>0</x:v>
      </x:c>
    </x:row>
    <x:row r="1016">
      <x:c r="A1016" s="13" t="str">
        <x:v>CON-001015</x:v>
      </x:c>
      <x:c r="B1016" s="23" t="n">
        <x:v>46148</x:v>
      </x:c>
      <x:c r="C1016" s="13" t="str">
        <x:v>Itaú Operacional</x:v>
      </x:c>
      <x:c r="D1016" s="17" t="n">
        <x:v>13099.35</x:v>
      </x:c>
      <x:c r="E1016" s="17" t="n">
        <x:v>13099.35</x:v>
      </x:c>
      <x:c r="F1016" s="13" t="str">
        <x:v>Conciliado</x:v>
      </x:c>
      <x:c r="G1016" s="13" t="str">
        <x:v>Sem divergência</x:v>
      </x:c>
      <x:c r="H1016" s="13" t="n">
        <x:v>0.24</x:v>
      </x:c>
      <x:c r="I1016" s="13" t="str">
        <x:v>Escala inteligente</x:v>
      </x:c>
      <x:c r="J1016" s="17" t="n">
        <x:f>E1016-D1016</x:f>
        <x:v>0</x:v>
      </x:c>
      <x:c r="K1016" s="19" t="n">
        <x:f>IFERROR(ABS(J1016/D1016),0)</x:f>
        <x:v>0</x:v>
      </x:c>
    </x:row>
    <x:row r="1017">
      <x:c r="A1017" s="13" t="str">
        <x:v>CON-001016</x:v>
      </x:c>
      <x:c r="B1017" s="23" t="n">
        <x:v>46184</x:v>
      </x:c>
      <x:c r="C1017" s="13" t="str">
        <x:v>Bradesco Pagamentos</x:v>
      </x:c>
      <x:c r="D1017" s="17" t="n">
        <x:v>970.85</x:v>
      </x:c>
      <x:c r="E1017" s="17" t="n">
        <x:v>970.85</x:v>
      </x:c>
      <x:c r="F1017" s="13" t="str">
        <x:v>Conciliado</x:v>
      </x:c>
      <x:c r="G1017" s="13" t="str">
        <x:v>Sem divergência</x:v>
      </x:c>
      <x:c r="H1017" s="13" t="n">
        <x:v>0.08</x:v>
      </x:c>
      <x:c r="I1017" s="13" t="str">
        <x:v>Escala inteligente</x:v>
      </x:c>
      <x:c r="J1017" s="17" t="n">
        <x:f>E1017-D1017</x:f>
        <x:v>0</x:v>
      </x:c>
      <x:c r="K1017" s="19" t="n">
        <x:f>IFERROR(ABS(J1017/D1017),0)</x:f>
        <x:v>0</x:v>
      </x:c>
    </x:row>
    <x:row r="1018">
      <x:c r="A1018" s="13" t="str">
        <x:v>CON-001017</x:v>
      </x:c>
      <x:c r="B1018" s="23" t="n">
        <x:v>46192</x:v>
      </x:c>
      <x:c r="C1018" s="13" t="str">
        <x:v>Bradesco Pagamentos</x:v>
      </x:c>
      <x:c r="D1018" s="17" t="n">
        <x:v>8222.39</x:v>
      </x:c>
      <x:c r="E1018" s="17" t="n">
        <x:v>8222.39</x:v>
      </x:c>
      <x:c r="F1018" s="13" t="str">
        <x:v>Conciliado</x:v>
      </x:c>
      <x:c r="G1018" s="13" t="str">
        <x:v>Sem divergência</x:v>
      </x:c>
      <x:c r="H1018" s="13" t="n">
        <x:v>0.26</x:v>
      </x:c>
      <x:c r="I1018" s="13" t="str">
        <x:v>Escala inteligente</x:v>
      </x:c>
      <x:c r="J1018" s="17" t="n">
        <x:f>E1018-D1018</x:f>
        <x:v>0</x:v>
      </x:c>
      <x:c r="K1018" s="19" t="n">
        <x:f>IFERROR(ABS(J1018/D1018),0)</x:f>
        <x:v>0</x:v>
      </x:c>
    </x:row>
    <x:row r="1019">
      <x:c r="A1019" s="13" t="str">
        <x:v>CON-001018</x:v>
      </x:c>
      <x:c r="B1019" s="23" t="n">
        <x:v>46201</x:v>
      </x:c>
      <x:c r="C1019" s="13" t="str">
        <x:v>Santander Recebimentos</x:v>
      </x:c>
      <x:c r="D1019" s="17" t="n">
        <x:v>9333.54</x:v>
      </x:c>
      <x:c r="E1019" s="17" t="n">
        <x:v>9333.54</x:v>
      </x:c>
      <x:c r="F1019" s="13" t="str">
        <x:v>Conciliado</x:v>
      </x:c>
      <x:c r="G1019" s="13" t="str">
        <x:v>Sem divergência</x:v>
      </x:c>
      <x:c r="H1019" s="13" t="n">
        <x:v>0.38</x:v>
      </x:c>
      <x:c r="I1019" s="13" t="str">
        <x:v>Escala inteligente</x:v>
      </x:c>
      <x:c r="J1019" s="17" t="n">
        <x:f>E1019-D1019</x:f>
        <x:v>0</x:v>
      </x:c>
      <x:c r="K1019" s="19" t="n">
        <x:f>IFERROR(ABS(J1019/D1019),0)</x:f>
        <x:v>0</x:v>
      </x:c>
    </x:row>
    <x:row r="1020">
      <x:c r="A1020" s="13" t="str">
        <x:v>CON-001019</x:v>
      </x:c>
      <x:c r="B1020" s="23" t="n">
        <x:v>46197</x:v>
      </x:c>
      <x:c r="C1020" s="13" t="str">
        <x:v>Bradesco Pagamentos</x:v>
      </x:c>
      <x:c r="D1020" s="17" t="n">
        <x:v>15429.43</x:v>
      </x:c>
      <x:c r="E1020" s="17" t="n">
        <x:v>15429.43</x:v>
      </x:c>
      <x:c r="F1020" s="13" t="str">
        <x:v>Conciliado</x:v>
      </x:c>
      <x:c r="G1020" s="13" t="str">
        <x:v>Sem divergência</x:v>
      </x:c>
      <x:c r="H1020" s="13" t="n">
        <x:v>0.22</x:v>
      </x:c>
      <x:c r="I1020" s="13" t="str">
        <x:v>Escala inteligente</x:v>
      </x:c>
      <x:c r="J1020" s="17" t="n">
        <x:f>E1020-D1020</x:f>
        <x:v>0</x:v>
      </x:c>
      <x:c r="K1020" s="19" t="n">
        <x:f>IFERROR(ABS(J1020/D1020),0)</x:f>
        <x:v>0</x:v>
      </x:c>
    </x:row>
    <x:row r="1021">
      <x:c r="A1021" s="13" t="str">
        <x:v>CON-001020</x:v>
      </x:c>
      <x:c r="B1021" s="23" t="n">
        <x:v>46177</x:v>
      </x:c>
      <x:c r="C1021" s="13" t="str">
        <x:v>Santander Recebimentos</x:v>
      </x:c>
      <x:c r="D1021" s="17" t="n">
        <x:v>27189.55</x:v>
      </x:c>
      <x:c r="E1021" s="17" t="n">
        <x:v>27189.55</x:v>
      </x:c>
      <x:c r="F1021" s="13" t="str">
        <x:v>Conciliado</x:v>
      </x:c>
      <x:c r="G1021" s="13" t="str">
        <x:v>Sem divergência</x:v>
      </x:c>
      <x:c r="H1021" s="13" t="n">
        <x:v>0.4</x:v>
      </x:c>
      <x:c r="I1021" s="13" t="str">
        <x:v>Escala inteligente</x:v>
      </x:c>
      <x:c r="J1021" s="17" t="n">
        <x:f>E1021-D1021</x:f>
        <x:v>0</x:v>
      </x:c>
      <x:c r="K1021" s="19" t="n">
        <x:f>IFERROR(ABS(J1021/D1021),0)</x:f>
        <x:v>0</x:v>
      </x:c>
    </x:row>
    <x:row r="1022">
      <x:c r="A1022" s="13" t="str">
        <x:v>CON-001021</x:v>
      </x:c>
      <x:c r="B1022" s="23" t="n">
        <x:v>46179</x:v>
      </x:c>
      <x:c r="C1022" s="13" t="str">
        <x:v>Nubank Serviços</x:v>
      </x:c>
      <x:c r="D1022" s="17" t="n">
        <x:v>20279.92</x:v>
      </x:c>
      <x:c r="E1022" s="17" t="n">
        <x:v>20279.92</x:v>
      </x:c>
      <x:c r="F1022" s="13" t="str">
        <x:v>Conciliado</x:v>
      </x:c>
      <x:c r="G1022" s="13" t="str">
        <x:v>Sem divergência</x:v>
      </x:c>
      <x:c r="H1022" s="13" t="n">
        <x:v>0.19</x:v>
      </x:c>
      <x:c r="I1022" s="13" t="str">
        <x:v>Escala inteligente</x:v>
      </x:c>
      <x:c r="J1022" s="17" t="n">
        <x:f>E1022-D1022</x:f>
        <x:v>0</x:v>
      </x:c>
      <x:c r="K1022" s="19" t="n">
        <x:f>IFERROR(ABS(J1022/D1022),0)</x:f>
        <x:v>0</x:v>
      </x:c>
    </x:row>
    <x:row r="1023">
      <x:c r="A1023" s="13" t="str">
        <x:v>CON-001022</x:v>
      </x:c>
      <x:c r="B1023" s="23" t="n">
        <x:v>46198</x:v>
      </x:c>
      <x:c r="C1023" s="13" t="str">
        <x:v>Nubank Serviços</x:v>
      </x:c>
      <x:c r="D1023" s="17" t="n">
        <x:v>38553.42</x:v>
      </x:c>
      <x:c r="E1023" s="17" t="n">
        <x:v>38553.42</x:v>
      </x:c>
      <x:c r="F1023" s="13" t="str">
        <x:v>Conciliado</x:v>
      </x:c>
      <x:c r="G1023" s="13" t="str">
        <x:v>Sem divergência</x:v>
      </x:c>
      <x:c r="H1023" s="13" t="n">
        <x:v>0.42</x:v>
      </x:c>
      <x:c r="I1023" s="13" t="str">
        <x:v>Escala inteligente</x:v>
      </x:c>
      <x:c r="J1023" s="17" t="n">
        <x:f>E1023-D1023</x:f>
        <x:v>0</x:v>
      </x:c>
      <x:c r="K1023" s="19" t="n">
        <x:f>IFERROR(ABS(J1023/D1023),0)</x:f>
        <x:v>0</x:v>
      </x:c>
    </x:row>
    <x:row r="1024">
      <x:c r="A1024" s="13" t="str">
        <x:v>CON-001023</x:v>
      </x:c>
      <x:c r="B1024" s="23" t="n">
        <x:v>46194</x:v>
      </x:c>
      <x:c r="C1024" s="13" t="str">
        <x:v>Nubank Serviços</x:v>
      </x:c>
      <x:c r="D1024" s="17" t="n">
        <x:v>21465.59</x:v>
      </x:c>
      <x:c r="E1024" s="17" t="n">
        <x:v>21465.59</x:v>
      </x:c>
      <x:c r="F1024" s="13" t="str">
        <x:v>Conciliado</x:v>
      </x:c>
      <x:c r="G1024" s="13" t="str">
        <x:v>Sem divergência</x:v>
      </x:c>
      <x:c r="H1024" s="13" t="n">
        <x:v>0.4</x:v>
      </x:c>
      <x:c r="I1024" s="13" t="str">
        <x:v>Escala inteligente</x:v>
      </x:c>
      <x:c r="J1024" s="17" t="n">
        <x:f>E1024-D1024</x:f>
        <x:v>0</x:v>
      </x:c>
      <x:c r="K1024" s="19" t="n">
        <x:f>IFERROR(ABS(J1024/D1024),0)</x:f>
        <x:v>0</x:v>
      </x:c>
    </x:row>
    <x:row r="1025">
      <x:c r="A1025" s="13" t="str">
        <x:v>CON-001024</x:v>
      </x:c>
      <x:c r="B1025" s="23" t="n">
        <x:v>46189</x:v>
      </x:c>
      <x:c r="C1025" s="13" t="str">
        <x:v>Bradesco Pagamentos</x:v>
      </x:c>
      <x:c r="D1025" s="17" t="n">
        <x:v>5895.24</x:v>
      </x:c>
      <x:c r="E1025" s="17" t="n">
        <x:v>5895.24</x:v>
      </x:c>
      <x:c r="F1025" s="13" t="str">
        <x:v>Conciliado</x:v>
      </x:c>
      <x:c r="G1025" s="13" t="str">
        <x:v>Sem divergência</x:v>
      </x:c>
      <x:c r="H1025" s="13" t="n">
        <x:v>0.27</x:v>
      </x:c>
      <x:c r="I1025" s="13" t="str">
        <x:v>Escala inteligente</x:v>
      </x:c>
      <x:c r="J1025" s="17" t="n">
        <x:f>E1025-D1025</x:f>
        <x:v>0</x:v>
      </x:c>
      <x:c r="K1025" s="19" t="n">
        <x:f>IFERROR(ABS(J1025/D1025),0)</x:f>
        <x:v>0</x:v>
      </x:c>
    </x:row>
    <x:row r="1026">
      <x:c r="A1026" s="13" t="str">
        <x:v>CON-001025</x:v>
      </x:c>
      <x:c r="B1026" s="23" t="n">
        <x:v>46197</x:v>
      </x:c>
      <x:c r="C1026" s="13" t="str">
        <x:v>Itaú Operacional</x:v>
      </x:c>
      <x:c r="D1026" s="17" t="n">
        <x:v>35537.11</x:v>
      </x:c>
      <x:c r="E1026" s="17" t="n">
        <x:v>35537.11</x:v>
      </x:c>
      <x:c r="F1026" s="13" t="str">
        <x:v>Conciliado</x:v>
      </x:c>
      <x:c r="G1026" s="13" t="str">
        <x:v>Sem divergência</x:v>
      </x:c>
      <x:c r="H1026" s="13" t="n">
        <x:v>0.27</x:v>
      </x:c>
      <x:c r="I1026" s="13" t="str">
        <x:v>Escala inteligente</x:v>
      </x:c>
      <x:c r="J1026" s="17" t="n">
        <x:f>E1026-D1026</x:f>
        <x:v>0</x:v>
      </x:c>
      <x:c r="K1026" s="19" t="n">
        <x:f>IFERROR(ABS(J1026/D1026),0)</x:f>
        <x:v>0</x:v>
      </x:c>
    </x:row>
    <x:row r="1027">
      <x:c r="A1027" s="13" t="str">
        <x:v>CON-001026</x:v>
      </x:c>
      <x:c r="B1027" s="23" t="n">
        <x:v>46185</x:v>
      </x:c>
      <x:c r="C1027" s="13" t="str">
        <x:v>Santander Recebimentos</x:v>
      </x:c>
      <x:c r="D1027" s="17" t="n">
        <x:v>6608.73</x:v>
      </x:c>
      <x:c r="E1027" s="17" t="n">
        <x:v>6608.73</x:v>
      </x:c>
      <x:c r="F1027" s="13" t="str">
        <x:v>Conciliado</x:v>
      </x:c>
      <x:c r="G1027" s="13" t="str">
        <x:v>Sem divergência</x:v>
      </x:c>
      <x:c r="H1027" s="13" t="n">
        <x:v>0.45</x:v>
      </x:c>
      <x:c r="I1027" s="13" t="str">
        <x:v>Escala inteligente</x:v>
      </x:c>
      <x:c r="J1027" s="17" t="n">
        <x:f>E1027-D1027</x:f>
        <x:v>0</x:v>
      </x:c>
      <x:c r="K1027" s="19" t="n">
        <x:f>IFERROR(ABS(J1027/D1027),0)</x:f>
        <x:v>0</x:v>
      </x:c>
    </x:row>
    <x:row r="1028">
      <x:c r="A1028" s="13" t="str">
        <x:v>CON-001027</x:v>
      </x:c>
      <x:c r="B1028" s="23" t="n">
        <x:v>46190</x:v>
      </x:c>
      <x:c r="C1028" s="13" t="str">
        <x:v>Santander Recebimentos</x:v>
      </x:c>
      <x:c r="D1028" s="17" t="n">
        <x:v>24473.41</x:v>
      </x:c>
      <x:c r="E1028" s="17" t="n">
        <x:v>24473.41</x:v>
      </x:c>
      <x:c r="F1028" s="13" t="str">
        <x:v>Conciliado</x:v>
      </x:c>
      <x:c r="G1028" s="13" t="str">
        <x:v>Sem divergência</x:v>
      </x:c>
      <x:c r="H1028" s="13" t="n">
        <x:v>0.29</x:v>
      </x:c>
      <x:c r="I1028" s="13" t="str">
        <x:v>Escala inteligente</x:v>
      </x:c>
      <x:c r="J1028" s="17" t="n">
        <x:f>E1028-D1028</x:f>
        <x:v>0</x:v>
      </x:c>
      <x:c r="K1028" s="19" t="n">
        <x:f>IFERROR(ABS(J1028/D1028),0)</x:f>
        <x:v>0</x:v>
      </x:c>
    </x:row>
    <x:row r="1029">
      <x:c r="A1029" s="13" t="str">
        <x:v>CON-001028</x:v>
      </x:c>
      <x:c r="B1029" s="23" t="n">
        <x:v>46191</x:v>
      </x:c>
      <x:c r="C1029" s="13" t="str">
        <x:v>Itaú Operacional</x:v>
      </x:c>
      <x:c r="D1029" s="17" t="n">
        <x:v>33379.19</x:v>
      </x:c>
      <x:c r="E1029" s="17" t="n">
        <x:v>33379.19</x:v>
      </x:c>
      <x:c r="F1029" s="13" t="str">
        <x:v>Conciliado</x:v>
      </x:c>
      <x:c r="G1029" s="13" t="str">
        <x:v>Sem divergência</x:v>
      </x:c>
      <x:c r="H1029" s="13" t="n">
        <x:v>0.42</x:v>
      </x:c>
      <x:c r="I1029" s="13" t="str">
        <x:v>Escala inteligente</x:v>
      </x:c>
      <x:c r="J1029" s="17" t="n">
        <x:f>E1029-D1029</x:f>
        <x:v>0</x:v>
      </x:c>
      <x:c r="K1029" s="19" t="n">
        <x:f>IFERROR(ABS(J1029/D1029),0)</x:f>
        <x:v>0</x:v>
      </x:c>
    </x:row>
    <x:row r="1030">
      <x:c r="A1030" s="13" t="str">
        <x:v>CON-001029</x:v>
      </x:c>
      <x:c r="B1030" s="23" t="n">
        <x:v>46193</x:v>
      </x:c>
      <x:c r="C1030" s="13" t="str">
        <x:v>Nubank Serviços</x:v>
      </x:c>
      <x:c r="D1030" s="17" t="n">
        <x:v>24911.21</x:v>
      </x:c>
      <x:c r="E1030" s="17" t="n">
        <x:v>24911.21</x:v>
      </x:c>
      <x:c r="F1030" s="13" t="str">
        <x:v>Conciliado</x:v>
      </x:c>
      <x:c r="G1030" s="13" t="str">
        <x:v>Sem divergência</x:v>
      </x:c>
      <x:c r="H1030" s="13" t="n">
        <x:v>0.36</x:v>
      </x:c>
      <x:c r="I1030" s="13" t="str">
        <x:v>Escala inteligente</x:v>
      </x:c>
      <x:c r="J1030" s="17" t="n">
        <x:f>E1030-D1030</x:f>
        <x:v>0</x:v>
      </x:c>
      <x:c r="K1030" s="19" t="n">
        <x:f>IFERROR(ABS(J1030/D1030),0)</x:f>
        <x:v>0</x:v>
      </x:c>
    </x:row>
    <x:row r="1031">
      <x:c r="A1031" s="13" t="str">
        <x:v>CON-001030</x:v>
      </x:c>
      <x:c r="B1031" s="23" t="n">
        <x:v>46182</x:v>
      </x:c>
      <x:c r="C1031" s="13" t="str">
        <x:v>Santander Recebimentos</x:v>
      </x:c>
      <x:c r="D1031" s="17" t="n">
        <x:v>13700.07</x:v>
      </x:c>
      <x:c r="E1031" s="17" t="n">
        <x:v>13700.07</x:v>
      </x:c>
      <x:c r="F1031" s="13" t="str">
        <x:v>Conciliado</x:v>
      </x:c>
      <x:c r="G1031" s="13" t="str">
        <x:v>Sem divergência</x:v>
      </x:c>
      <x:c r="H1031" s="13" t="n">
        <x:v>0.19</x:v>
      </x:c>
      <x:c r="I1031" s="13" t="str">
        <x:v>Escala inteligente</x:v>
      </x:c>
      <x:c r="J1031" s="17" t="n">
        <x:f>E1031-D1031</x:f>
        <x:v>0</x:v>
      </x:c>
      <x:c r="K1031" s="19" t="n">
        <x:f>IFERROR(ABS(J1031/D1031),0)</x:f>
        <x:v>0</x:v>
      </x:c>
    </x:row>
    <x:row r="1032">
      <x:c r="A1032" s="13" t="str">
        <x:v>CON-001031</x:v>
      </x:c>
      <x:c r="B1032" s="23" t="n">
        <x:v>46195</x:v>
      </x:c>
      <x:c r="C1032" s="13" t="str">
        <x:v>Bradesco Pagamentos</x:v>
      </x:c>
      <x:c r="D1032" s="17" t="n">
        <x:v>41688.21</x:v>
      </x:c>
      <x:c r="E1032" s="17" t="n">
        <x:v>41688.21</x:v>
      </x:c>
      <x:c r="F1032" s="13" t="str">
        <x:v>Conciliado</x:v>
      </x:c>
      <x:c r="G1032" s="13" t="str">
        <x:v>Sem divergência</x:v>
      </x:c>
      <x:c r="H1032" s="13" t="n">
        <x:v>0.16</x:v>
      </x:c>
      <x:c r="I1032" s="13" t="str">
        <x:v>Escala inteligente</x:v>
      </x:c>
      <x:c r="J1032" s="17" t="n">
        <x:f>E1032-D1032</x:f>
        <x:v>0</x:v>
      </x:c>
      <x:c r="K1032" s="19" t="n">
        <x:f>IFERROR(ABS(J1032/D1032),0)</x:f>
        <x:v>0</x:v>
      </x:c>
    </x:row>
    <x:row r="1033">
      <x:c r="A1033" s="13" t="str">
        <x:v>CON-001032</x:v>
      </x:c>
      <x:c r="B1033" s="23" t="n">
        <x:v>46188</x:v>
      </x:c>
      <x:c r="C1033" s="13" t="str">
        <x:v>Bradesco Pagamentos</x:v>
      </x:c>
      <x:c r="D1033" s="17" t="n">
        <x:v>9964.25</x:v>
      </x:c>
      <x:c r="E1033" s="17" t="n">
        <x:v>9964.25</x:v>
      </x:c>
      <x:c r="F1033" s="13" t="str">
        <x:v>Conciliado</x:v>
      </x:c>
      <x:c r="G1033" s="13" t="str">
        <x:v>Sem divergência</x:v>
      </x:c>
      <x:c r="H1033" s="13" t="n">
        <x:v>0.03</x:v>
      </x:c>
      <x:c r="I1033" s="13" t="str">
        <x:v>Escala inteligente</x:v>
      </x:c>
      <x:c r="J1033" s="17" t="n">
        <x:f>E1033-D1033</x:f>
        <x:v>0</x:v>
      </x:c>
      <x:c r="K1033" s="19" t="n">
        <x:f>IFERROR(ABS(J1033/D1033),0)</x:f>
        <x:v>0</x:v>
      </x:c>
    </x:row>
    <x:row r="1034">
      <x:c r="A1034" s="13" t="str">
        <x:v>CON-001033</x:v>
      </x:c>
      <x:c r="B1034" s="23" t="n">
        <x:v>46175</x:v>
      </x:c>
      <x:c r="C1034" s="13" t="str">
        <x:v>Santander Recebimentos</x:v>
      </x:c>
      <x:c r="D1034" s="17" t="n">
        <x:v>28046.46</x:v>
      </x:c>
      <x:c r="E1034" s="17" t="n">
        <x:v>28046.46</x:v>
      </x:c>
      <x:c r="F1034" s="13" t="str">
        <x:v>Conciliado</x:v>
      </x:c>
      <x:c r="G1034" s="13" t="str">
        <x:v>Sem divergência</x:v>
      </x:c>
      <x:c r="H1034" s="13" t="n">
        <x:v>0.28</x:v>
      </x:c>
      <x:c r="I1034" s="13" t="str">
        <x:v>Escala inteligente</x:v>
      </x:c>
      <x:c r="J1034" s="17" t="n">
        <x:f>E1034-D1034</x:f>
        <x:v>0</x:v>
      </x:c>
      <x:c r="K1034" s="19" t="n">
        <x:f>IFERROR(ABS(J1034/D1034),0)</x:f>
        <x:v>0</x:v>
      </x:c>
    </x:row>
    <x:row r="1035">
      <x:c r="A1035" s="13" t="str">
        <x:v>CON-001034</x:v>
      </x:c>
      <x:c r="B1035" s="23" t="n">
        <x:v>46196</x:v>
      </x:c>
      <x:c r="C1035" s="13" t="str">
        <x:v>Nubank Serviços</x:v>
      </x:c>
      <x:c r="D1035" s="17" t="n">
        <x:v>20752.9</x:v>
      </x:c>
      <x:c r="E1035" s="17" t="n">
        <x:v>20752.9</x:v>
      </x:c>
      <x:c r="F1035" s="13" t="str">
        <x:v>Conciliado</x:v>
      </x:c>
      <x:c r="G1035" s="13" t="str">
        <x:v>Sem divergência</x:v>
      </x:c>
      <x:c r="H1035" s="13" t="n">
        <x:v>0.34</x:v>
      </x:c>
      <x:c r="I1035" s="13" t="str">
        <x:v>Escala inteligente</x:v>
      </x:c>
      <x:c r="J1035" s="17" t="n">
        <x:f>E1035-D1035</x:f>
        <x:v>0</x:v>
      </x:c>
      <x:c r="K1035" s="19" t="n">
        <x:f>IFERROR(ABS(J1035/D1035),0)</x:f>
        <x:v>0</x:v>
      </x:c>
    </x:row>
    <x:row r="1036">
      <x:c r="A1036" s="13" t="str">
        <x:v>CON-001035</x:v>
      </x:c>
      <x:c r="B1036" s="23" t="n">
        <x:v>46201</x:v>
      </x:c>
      <x:c r="C1036" s="13" t="str">
        <x:v>Itaú Operacional</x:v>
      </x:c>
      <x:c r="D1036" s="17" t="n">
        <x:v>28700.63</x:v>
      </x:c>
      <x:c r="E1036" s="17" t="n">
        <x:v>28700.63</x:v>
      </x:c>
      <x:c r="F1036" s="13" t="str">
        <x:v>Conciliado</x:v>
      </x:c>
      <x:c r="G1036" s="13" t="str">
        <x:v>Sem divergência</x:v>
      </x:c>
      <x:c r="H1036" s="13" t="n">
        <x:v>0.23</x:v>
      </x:c>
      <x:c r="I1036" s="13" t="str">
        <x:v>Escala inteligente</x:v>
      </x:c>
      <x:c r="J1036" s="17" t="n">
        <x:f>E1036-D1036</x:f>
        <x:v>0</x:v>
      </x:c>
      <x:c r="K1036" s="19" t="n">
        <x:f>IFERROR(ABS(J1036/D1036),0)</x:f>
        <x:v>0</x:v>
      </x:c>
    </x:row>
    <x:row r="1037">
      <x:c r="A1037" s="13" t="str">
        <x:v>CON-001036</x:v>
      </x:c>
      <x:c r="B1037" s="23" t="n">
        <x:v>46183</x:v>
      </x:c>
      <x:c r="C1037" s="13" t="str">
        <x:v>Santander Recebimentos</x:v>
      </x:c>
      <x:c r="D1037" s="17" t="n">
        <x:v>1326.05</x:v>
      </x:c>
      <x:c r="E1037" s="17" t="n">
        <x:v>1326.05</x:v>
      </x:c>
      <x:c r="F1037" s="13" t="str">
        <x:v>Conciliado</x:v>
      </x:c>
      <x:c r="G1037" s="13" t="str">
        <x:v>Sem divergência</x:v>
      </x:c>
      <x:c r="H1037" s="13" t="n">
        <x:v>0.4</x:v>
      </x:c>
      <x:c r="I1037" s="13" t="str">
        <x:v>Escala inteligente</x:v>
      </x:c>
      <x:c r="J1037" s="17" t="n">
        <x:f>E1037-D1037</x:f>
        <x:v>0</x:v>
      </x:c>
      <x:c r="K1037" s="19" t="n">
        <x:f>IFERROR(ABS(J1037/D1037),0)</x:f>
        <x:v>0</x:v>
      </x:c>
    </x:row>
    <x:row r="1038">
      <x:c r="A1038" s="13" t="str">
        <x:v>CON-001037</x:v>
      </x:c>
      <x:c r="B1038" s="23" t="n">
        <x:v>46181</x:v>
      </x:c>
      <x:c r="C1038" s="13" t="str">
        <x:v>Bradesco Pagamentos</x:v>
      </x:c>
      <x:c r="D1038" s="17" t="n">
        <x:v>2260.2</x:v>
      </x:c>
      <x:c r="E1038" s="17" t="n">
        <x:v>2260.2</x:v>
      </x:c>
      <x:c r="F1038" s="13" t="str">
        <x:v>Conciliado</x:v>
      </x:c>
      <x:c r="G1038" s="13" t="str">
        <x:v>Sem divergência</x:v>
      </x:c>
      <x:c r="H1038" s="13" t="n">
        <x:v>0.07</x:v>
      </x:c>
      <x:c r="I1038" s="13" t="str">
        <x:v>Escala inteligente</x:v>
      </x:c>
      <x:c r="J1038" s="17" t="n">
        <x:f>E1038-D1038</x:f>
        <x:v>0</x:v>
      </x:c>
      <x:c r="K1038" s="19" t="n">
        <x:f>IFERROR(ABS(J1038/D1038),0)</x:f>
        <x:v>0</x:v>
      </x:c>
    </x:row>
    <x:row r="1039">
      <x:c r="A1039" s="13" t="str">
        <x:v>CON-001038</x:v>
      </x:c>
      <x:c r="B1039" s="23" t="n">
        <x:v>46187</x:v>
      </x:c>
      <x:c r="C1039" s="13" t="str">
        <x:v>Itaú Operacional</x:v>
      </x:c>
      <x:c r="D1039" s="17" t="n">
        <x:v>14644.71</x:v>
      </x:c>
      <x:c r="E1039" s="17" t="n">
        <x:v>14644.71</x:v>
      </x:c>
      <x:c r="F1039" s="13" t="str">
        <x:v>Conciliado</x:v>
      </x:c>
      <x:c r="G1039" s="13" t="str">
        <x:v>Sem divergência</x:v>
      </x:c>
      <x:c r="H1039" s="13" t="n">
        <x:v>0.16</x:v>
      </x:c>
      <x:c r="I1039" s="13" t="str">
        <x:v>Escala inteligente</x:v>
      </x:c>
      <x:c r="J1039" s="17" t="n">
        <x:f>E1039-D1039</x:f>
        <x:v>0</x:v>
      </x:c>
      <x:c r="K1039" s="19" t="n">
        <x:f>IFERROR(ABS(J1039/D1039),0)</x:f>
        <x:v>0</x:v>
      </x:c>
    </x:row>
    <x:row r="1040">
      <x:c r="A1040" s="13" t="str">
        <x:v>CON-001039</x:v>
      </x:c>
      <x:c r="B1040" s="23" t="n">
        <x:v>46183</x:v>
      </x:c>
      <x:c r="C1040" s="13" t="str">
        <x:v>Itaú Operacional</x:v>
      </x:c>
      <x:c r="D1040" s="17" t="n">
        <x:v>35140.83</x:v>
      </x:c>
      <x:c r="E1040" s="17" t="n">
        <x:v>35140.83</x:v>
      </x:c>
      <x:c r="F1040" s="13" t="str">
        <x:v>Conciliado</x:v>
      </x:c>
      <x:c r="G1040" s="13" t="str">
        <x:v>Sem divergência</x:v>
      </x:c>
      <x:c r="H1040" s="13" t="n">
        <x:v>0.34</x:v>
      </x:c>
      <x:c r="I1040" s="13" t="str">
        <x:v>Escala inteligente</x:v>
      </x:c>
      <x:c r="J1040" s="17" t="n">
        <x:f>E1040-D1040</x:f>
        <x:v>0</x:v>
      </x:c>
      <x:c r="K1040" s="19" t="n">
        <x:f>IFERROR(ABS(J1040/D1040),0)</x:f>
        <x:v>0</x:v>
      </x:c>
    </x:row>
    <x:row r="1041">
      <x:c r="A1041" s="13" t="str">
        <x:v>CON-001040</x:v>
      </x:c>
      <x:c r="B1041" s="23" t="n">
        <x:v>46195</x:v>
      </x:c>
      <x:c r="C1041" s="13" t="str">
        <x:v>Itaú Operacional</x:v>
      </x:c>
      <x:c r="D1041" s="17" t="n">
        <x:v>22841.48</x:v>
      </x:c>
      <x:c r="E1041" s="17" t="n">
        <x:v>22841.48</x:v>
      </x:c>
      <x:c r="F1041" s="13" t="str">
        <x:v>Conciliado</x:v>
      </x:c>
      <x:c r="G1041" s="13" t="str">
        <x:v>Sem divergência</x:v>
      </x:c>
      <x:c r="H1041" s="13" t="n">
        <x:v>0.18</x:v>
      </x:c>
      <x:c r="I1041" s="13" t="str">
        <x:v>Escala inteligente</x:v>
      </x:c>
      <x:c r="J1041" s="17" t="n">
        <x:f>E1041-D1041</x:f>
        <x:v>0</x:v>
      </x:c>
      <x:c r="K1041" s="19" t="n">
        <x:f>IFERROR(ABS(J1041/D1041),0)</x:f>
        <x:v>0</x:v>
      </x:c>
    </x:row>
    <x:row r="1042">
      <x:c r="A1042" s="13" t="str">
        <x:v>CON-001041</x:v>
      </x:c>
      <x:c r="B1042" s="23" t="n">
        <x:v>46198</x:v>
      </x:c>
      <x:c r="C1042" s="13" t="str">
        <x:v>Nubank Serviços</x:v>
      </x:c>
      <x:c r="D1042" s="17" t="n">
        <x:v>39611.49</x:v>
      </x:c>
      <x:c r="E1042" s="17" t="n">
        <x:v>39611.49</x:v>
      </x:c>
      <x:c r="F1042" s="13" t="str">
        <x:v>Conciliado</x:v>
      </x:c>
      <x:c r="G1042" s="13" t="str">
        <x:v>Sem divergência</x:v>
      </x:c>
      <x:c r="H1042" s="13" t="n">
        <x:v>0.28</x:v>
      </x:c>
      <x:c r="I1042" s="13" t="str">
        <x:v>Escala inteligente</x:v>
      </x:c>
      <x:c r="J1042" s="17" t="n">
        <x:f>E1042-D1042</x:f>
        <x:v>0</x:v>
      </x:c>
      <x:c r="K1042" s="19" t="n">
        <x:f>IFERROR(ABS(J1042/D1042),0)</x:f>
        <x:v>0</x:v>
      </x:c>
    </x:row>
    <x:row r="1043">
      <x:c r="A1043" s="13" t="str">
        <x:v>CON-001042</x:v>
      </x:c>
      <x:c r="B1043" s="23" t="n">
        <x:v>46200</x:v>
      </x:c>
      <x:c r="C1043" s="13" t="str">
        <x:v>Itaú Operacional</x:v>
      </x:c>
      <x:c r="D1043" s="17" t="n">
        <x:v>7709.42</x:v>
      </x:c>
      <x:c r="E1043" s="17" t="n">
        <x:v>7709.42</x:v>
      </x:c>
      <x:c r="F1043" s="13" t="str">
        <x:v>Conciliado</x:v>
      </x:c>
      <x:c r="G1043" s="13" t="str">
        <x:v>Sem divergência</x:v>
      </x:c>
      <x:c r="H1043" s="13" t="n">
        <x:v>0.14</x:v>
      </x:c>
      <x:c r="I1043" s="13" t="str">
        <x:v>Escala inteligente</x:v>
      </x:c>
      <x:c r="J1043" s="17" t="n">
        <x:f>E1043-D1043</x:f>
        <x:v>0</x:v>
      </x:c>
      <x:c r="K1043" s="19" t="n">
        <x:f>IFERROR(ABS(J1043/D1043),0)</x:f>
        <x:v>0</x:v>
      </x:c>
    </x:row>
    <x:row r="1044">
      <x:c r="A1044" s="13" t="str">
        <x:v>CON-001043</x:v>
      </x:c>
      <x:c r="B1044" s="23" t="n">
        <x:v>46184</x:v>
      </x:c>
      <x:c r="C1044" s="13" t="str">
        <x:v>Itaú Operacional</x:v>
      </x:c>
      <x:c r="D1044" s="17" t="n">
        <x:v>7144.36</x:v>
      </x:c>
      <x:c r="E1044" s="17" t="n">
        <x:v>7144.36</x:v>
      </x:c>
      <x:c r="F1044" s="13" t="str">
        <x:v>Conciliado</x:v>
      </x:c>
      <x:c r="G1044" s="13" t="str">
        <x:v>Sem divergência</x:v>
      </x:c>
      <x:c r="H1044" s="13" t="n">
        <x:v>0.03</x:v>
      </x:c>
      <x:c r="I1044" s="13" t="str">
        <x:v>Escala inteligente</x:v>
      </x:c>
      <x:c r="J1044" s="17" t="n">
        <x:f>E1044-D1044</x:f>
        <x:v>0</x:v>
      </x:c>
      <x:c r="K1044" s="19" t="n">
        <x:f>IFERROR(ABS(J1044/D1044),0)</x:f>
        <x:v>0</x:v>
      </x:c>
    </x:row>
    <x:row r="1045">
      <x:c r="A1045" s="13" t="str">
        <x:v>CON-001044</x:v>
      </x:c>
      <x:c r="B1045" s="23" t="n">
        <x:v>46176</x:v>
      </x:c>
      <x:c r="C1045" s="13" t="str">
        <x:v>Nubank Serviços</x:v>
      </x:c>
      <x:c r="D1045" s="17" t="n">
        <x:v>18975.43</x:v>
      </x:c>
      <x:c r="E1045" s="17" t="n">
        <x:v>18975.43</x:v>
      </x:c>
      <x:c r="F1045" s="13" t="str">
        <x:v>Conciliado</x:v>
      </x:c>
      <x:c r="G1045" s="13" t="str">
        <x:v>Sem divergência</x:v>
      </x:c>
      <x:c r="H1045" s="13" t="n">
        <x:v>0.31</x:v>
      </x:c>
      <x:c r="I1045" s="13" t="str">
        <x:v>Escala inteligente</x:v>
      </x:c>
      <x:c r="J1045" s="17" t="n">
        <x:f>E1045-D1045</x:f>
        <x:v>0</x:v>
      </x:c>
      <x:c r="K1045" s="19" t="n">
        <x:f>IFERROR(ABS(J1045/D1045),0)</x:f>
        <x:v>0</x:v>
      </x:c>
    </x:row>
    <x:row r="1046">
      <x:c r="A1046" s="13" t="str">
        <x:v>CON-001045</x:v>
      </x:c>
      <x:c r="B1046" s="23" t="n">
        <x:v>46176</x:v>
      </x:c>
      <x:c r="C1046" s="13" t="str">
        <x:v>Nubank Serviços</x:v>
      </x:c>
      <x:c r="D1046" s="17" t="n">
        <x:v>17735.43</x:v>
      </x:c>
      <x:c r="E1046" s="17" t="n">
        <x:v>17735.43</x:v>
      </x:c>
      <x:c r="F1046" s="13" t="str">
        <x:v>Conciliado</x:v>
      </x:c>
      <x:c r="G1046" s="13" t="str">
        <x:v>Sem divergência</x:v>
      </x:c>
      <x:c r="H1046" s="13" t="n">
        <x:v>0.22</x:v>
      </x:c>
      <x:c r="I1046" s="13" t="str">
        <x:v>Escala inteligente</x:v>
      </x:c>
      <x:c r="J1046" s="17" t="n">
        <x:f>E1046-D1046</x:f>
        <x:v>0</x:v>
      </x:c>
      <x:c r="K1046" s="19" t="n">
        <x:f>IFERROR(ABS(J1046/D1046),0)</x:f>
        <x:v>0</x:v>
      </x:c>
    </x:row>
    <x:row r="1047">
      <x:c r="A1047" s="13" t="str">
        <x:v>CON-001046</x:v>
      </x:c>
      <x:c r="B1047" s="23" t="n">
        <x:v>46188</x:v>
      </x:c>
      <x:c r="C1047" s="13" t="str">
        <x:v>Itaú Operacional</x:v>
      </x:c>
      <x:c r="D1047" s="17" t="n">
        <x:v>37778.54</x:v>
      </x:c>
      <x:c r="E1047" s="17" t="n">
        <x:v>37778.54</x:v>
      </x:c>
      <x:c r="F1047" s="13" t="str">
        <x:v>Conciliado</x:v>
      </x:c>
      <x:c r="G1047" s="13" t="str">
        <x:v>Sem divergência</x:v>
      </x:c>
      <x:c r="H1047" s="13" t="n">
        <x:v>0.18</x:v>
      </x:c>
      <x:c r="I1047" s="13" t="str">
        <x:v>Escala inteligente</x:v>
      </x:c>
      <x:c r="J1047" s="17" t="n">
        <x:f>E1047-D1047</x:f>
        <x:v>0</x:v>
      </x:c>
      <x:c r="K1047" s="19" t="n">
        <x:f>IFERROR(ABS(J1047/D1047),0)</x:f>
        <x:v>0</x:v>
      </x:c>
    </x:row>
    <x:row r="1048">
      <x:c r="A1048" s="13" t="str">
        <x:v>CON-001047</x:v>
      </x:c>
      <x:c r="B1048" s="23" t="n">
        <x:v>46175</x:v>
      </x:c>
      <x:c r="C1048" s="13" t="str">
        <x:v>Nubank Serviços</x:v>
      </x:c>
      <x:c r="D1048" s="17" t="n">
        <x:v>14371.11</x:v>
      </x:c>
      <x:c r="E1048" s="17" t="n">
        <x:v>14371.11</x:v>
      </x:c>
      <x:c r="F1048" s="13" t="str">
        <x:v>Conciliado</x:v>
      </x:c>
      <x:c r="G1048" s="13" t="str">
        <x:v>Sem divergência</x:v>
      </x:c>
      <x:c r="H1048" s="13" t="n">
        <x:v>0.15</x:v>
      </x:c>
      <x:c r="I1048" s="13" t="str">
        <x:v>Escala inteligente</x:v>
      </x:c>
      <x:c r="J1048" s="17" t="n">
        <x:f>E1048-D1048</x:f>
        <x:v>0</x:v>
      </x:c>
      <x:c r="K1048" s="19" t="n">
        <x:f>IFERROR(ABS(J1048/D1048),0)</x:f>
        <x:v>0</x:v>
      </x:c>
    </x:row>
    <x:row r="1049">
      <x:c r="A1049" s="13" t="str">
        <x:v>CON-001048</x:v>
      </x:c>
      <x:c r="B1049" s="23" t="n">
        <x:v>46196</x:v>
      </x:c>
      <x:c r="C1049" s="13" t="str">
        <x:v>Itaú Operacional</x:v>
      </x:c>
      <x:c r="D1049" s="17" t="n">
        <x:v>8898.59</x:v>
      </x:c>
      <x:c r="E1049" s="17" t="n">
        <x:v>8898.59</x:v>
      </x:c>
      <x:c r="F1049" s="13" t="str">
        <x:v>Conciliado</x:v>
      </x:c>
      <x:c r="G1049" s="13" t="str">
        <x:v>Sem divergência</x:v>
      </x:c>
      <x:c r="H1049" s="13" t="n">
        <x:v>0.22</x:v>
      </x:c>
      <x:c r="I1049" s="13" t="str">
        <x:v>Escala inteligente</x:v>
      </x:c>
      <x:c r="J1049" s="17" t="n">
        <x:f>E1049-D1049</x:f>
        <x:v>0</x:v>
      </x:c>
      <x:c r="K1049" s="19" t="n">
        <x:f>IFERROR(ABS(J1049/D1049),0)</x:f>
        <x:v>0</x:v>
      </x:c>
    </x:row>
    <x:row r="1050">
      <x:c r="A1050" s="13" t="str">
        <x:v>CON-001049</x:v>
      </x:c>
      <x:c r="B1050" s="23" t="n">
        <x:v>46196</x:v>
      </x:c>
      <x:c r="C1050" s="13" t="str">
        <x:v>Santander Recebimentos</x:v>
      </x:c>
      <x:c r="D1050" s="17" t="n">
        <x:v>24643.26</x:v>
      </x:c>
      <x:c r="E1050" s="17" t="n">
        <x:v>24643.26</x:v>
      </x:c>
      <x:c r="F1050" s="13" t="str">
        <x:v>Conciliado</x:v>
      </x:c>
      <x:c r="G1050" s="13" t="str">
        <x:v>Sem divergência</x:v>
      </x:c>
      <x:c r="H1050" s="13" t="n">
        <x:v>0.43</x:v>
      </x:c>
      <x:c r="I1050" s="13" t="str">
        <x:v>Escala inteligente</x:v>
      </x:c>
      <x:c r="J1050" s="17" t="n">
        <x:f>E1050-D1050</x:f>
        <x:v>0</x:v>
      </x:c>
      <x:c r="K1050" s="19" t="n">
        <x:f>IFERROR(ABS(J1050/D1050),0)</x:f>
        <x:v>0</x:v>
      </x:c>
    </x:row>
    <x:row r="1051">
      <x:c r="A1051" s="13" t="str">
        <x:v>CON-001050</x:v>
      </x:c>
      <x:c r="B1051" s="23" t="n">
        <x:v>46200</x:v>
      </x:c>
      <x:c r="C1051" s="13" t="str">
        <x:v>Bradesco Pagamentos</x:v>
      </x:c>
      <x:c r="D1051" s="17" t="n">
        <x:v>30643.07</x:v>
      </x:c>
      <x:c r="E1051" s="17" t="n">
        <x:v>30643.07</x:v>
      </x:c>
      <x:c r="F1051" s="13" t="str">
        <x:v>Conciliado</x:v>
      </x:c>
      <x:c r="G1051" s="13" t="str">
        <x:v>Sem divergência</x:v>
      </x:c>
      <x:c r="H1051" s="13" t="n">
        <x:v>0.22</x:v>
      </x:c>
      <x:c r="I1051" s="13" t="str">
        <x:v>Escala inteligente</x:v>
      </x:c>
      <x:c r="J1051" s="17" t="n">
        <x:f>E1051-D1051</x:f>
        <x:v>0</x:v>
      </x:c>
      <x:c r="K1051" s="19" t="n">
        <x:f>IFERROR(ABS(J1051/D1051),0)</x:f>
        <x:v>0</x:v>
      </x:c>
    </x:row>
  </x:sheetData>
  <x:conditionalFormatting sqref="F2:F1051">
    <x:cfRule type="expression" dxfId="0" priority="1">
      <x:formula>F2="Pendente"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eca66125d948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6" hidden="0" customWidth="1"/>
    <x:col min="6" max="6" width="16" hidden="0" customWidth="1"/>
    <x:col min="10" max="10" width="16" hidden="0" customWidth="1"/>
    <x:col min="11" max="11" width="16" hidden="0" customWidth="1"/>
    <x:col min="15" max="15" width="16" hidden="0" customWidth="1"/>
    <x:col min="2" max="2" width="24" hidden="0" customWidth="1"/>
    <x:col min="3" max="3" width="24" hidden="0" customWidth="1"/>
    <x:col min="4" max="4" width="24" hidden="0" customWidth="1"/>
    <x:col min="7" max="7" width="18" hidden="0" customWidth="1"/>
    <x:col min="8" max="8" width="18" hidden="0" customWidth="1"/>
    <x:col min="9" max="9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18" hidden="0" customWidth="1"/>
  </x:cols>
  <x:sheetData>
    <x:row r="1" ht="34" customHeight="1">
      <x:c r="A1" s="6" t="str">
        <x:v>ID_Cliente</x:v>
      </x:c>
      <x:c r="B1" s="6" t="str">
        <x:v>Cliente</x:v>
      </x:c>
      <x:c r="C1" s="6" t="str">
        <x:v>Segmento</x:v>
      </x:c>
      <x:c r="D1" s="6" t="str">
        <x:v>Cidade</x:v>
      </x:c>
      <x:c r="E1" s="6" t="str">
        <x:v>UF</x:v>
      </x:c>
      <x:c r="F1" s="6" t="str">
        <x:v>Plano</x:v>
      </x:c>
      <x:c r="G1" s="6" t="str">
        <x:v>Início_Relacionamento</x:v>
      </x:c>
      <x:c r="H1" s="6" t="str">
        <x:v>Mensalidade</x:v>
      </x:c>
      <x:c r="I1" s="6" t="str">
        <x:v>Transações_Mês</x:v>
      </x:c>
      <x:c r="J1" s="6" t="str">
        <x:v>Analistas_Alocados</x:v>
      </x:c>
      <x:c r="K1" s="6" t="str">
        <x:v>Risco</x:v>
      </x:c>
      <x:c r="L1" s="6" t="str">
        <x:v>NPS_2024</x:v>
      </x:c>
      <x:c r="M1" s="6" t="str">
        <x:v>NPS_Jun_2026</x:v>
      </x:c>
      <x:c r="N1" s="6" t="str">
        <x:v>Variação_NPS</x:v>
      </x:c>
      <x:c r="O1" s="6" t="str">
        <x:v>Status</x:v>
      </x:c>
      <x:c r="P1" s="6" t="str">
        <x:v>Participação_Receita_%</x:v>
      </x:c>
    </x:row>
    <x:row r="2">
      <x:c r="A2" s="13" t="str">
        <x:v>VAL-001</x:v>
      </x:c>
      <x:c r="B2" s="13" t="str">
        <x:v>Clínica Horizonte</x:v>
      </x:c>
      <x:c r="C2" s="13" t="str">
        <x:v>Clínicas e Saúde</x:v>
      </x:c>
      <x:c r="D2" s="13" t="str">
        <x:v>Santo André</x:v>
      </x:c>
      <x:c r="E2" s="13" t="str">
        <x:v>SP</x:v>
      </x:c>
      <x:c r="F2" s="13" t="str">
        <x:v>Essencial</x:v>
      </x:c>
      <x:c r="G2" s="15" t="n">
        <x:v>45108</x:v>
      </x:c>
      <x:c r="H2" s="17" t="n">
        <x:v>4901</x:v>
      </x:c>
      <x:c r="I2" s="13" t="n">
        <x:v>889</x:v>
      </x:c>
      <x:c r="J2" s="13" t="n">
        <x:v>2</x:v>
      </x:c>
      <x:c r="K2" s="13" t="str">
        <x:v>Baixo</x:v>
      </x:c>
      <x:c r="L2" s="13" t="n">
        <x:v>64</x:v>
      </x:c>
      <x:c r="M2" s="13" t="n">
        <x:v>91</x:v>
      </x:c>
      <x:c r="N2" s="13" t="n">
        <x:v>27</x:v>
      </x:c>
      <x:c r="O2" s="13" t="str">
        <x:v>Ativo</x:v>
      </x:c>
      <x:c r="P2" s="19" t="n">
        <x:v>0.013049393859515993</x:v>
      </x:c>
    </x:row>
    <x:row r="3">
      <x:c r="A3" s="13" t="str">
        <x:v>VAL-002</x:v>
      </x:c>
      <x:c r="B3" s="13" t="str">
        <x:v>Mendes &amp; Prado Consultoria</x:v>
      </x:c>
      <x:c r="C3" s="13" t="str">
        <x:v>Serviços Profissionais</x:v>
      </x:c>
      <x:c r="D3" s="13" t="str">
        <x:v>São Bernardo do Campo</x:v>
      </x:c>
      <x:c r="E3" s="13" t="str">
        <x:v>SP</x:v>
      </x:c>
      <x:c r="F3" s="13" t="str">
        <x:v>Gestão</x:v>
      </x:c>
      <x:c r="G3" s="15" t="n">
        <x:v>44743</x:v>
      </x:c>
      <x:c r="H3" s="17" t="n">
        <x:v>9541</x:v>
      </x:c>
      <x:c r="I3" s="13" t="n">
        <x:v>1646</x:v>
      </x:c>
      <x:c r="J3" s="13" t="n">
        <x:v>4</x:v>
      </x:c>
      <x:c r="K3" s="13" t="str">
        <x:v>Baixo</x:v>
      </x:c>
      <x:c r="L3" s="13" t="n">
        <x:v>56</x:v>
      </x:c>
      <x:c r="M3" s="13" t="n">
        <x:v>72</x:v>
      </x:c>
      <x:c r="N3" s="13" t="n">
        <x:v>16</x:v>
      </x:c>
      <x:c r="O3" s="13" t="str">
        <x:v>Ativo</x:v>
      </x:c>
      <x:c r="P3" s="19" t="n">
        <x:v>0.025403849584501547</x:v>
      </x:c>
    </x:row>
    <x:row r="4">
      <x:c r="A4" s="13" t="str">
        <x:v>VAL-003</x:v>
      </x:c>
      <x:c r="B4" s="13" t="str">
        <x:v>Casa Nova Varejo</x:v>
      </x:c>
      <x:c r="C4" s="13" t="str">
        <x:v>Varejo</x:v>
      </x:c>
      <x:c r="D4" s="13" t="str">
        <x:v>São Caetano do Sul</x:v>
      </x:c>
      <x:c r="E4" s="13" t="str">
        <x:v>SP</x:v>
      </x:c>
      <x:c r="F4" s="13" t="str">
        <x:v>Performance</x:v>
      </x:c>
      <x:c r="G4" s="15" t="n">
        <x:v>44774</x:v>
      </x:c>
      <x:c r="H4" s="17" t="n">
        <x:v>15129</x:v>
      </x:c>
      <x:c r="I4" s="13" t="n">
        <x:v>625</x:v>
      </x:c>
      <x:c r="J4" s="13" t="n">
        <x:v>7</x:v>
      </x:c>
      <x:c r="K4" s="13" t="str">
        <x:v>Baixo</x:v>
      </x:c>
      <x:c r="L4" s="13" t="n">
        <x:v>43</x:v>
      </x:c>
      <x:c r="M4" s="13" t="n">
        <x:v>56</x:v>
      </x:c>
      <x:c r="N4" s="13" t="n">
        <x:v>13</x:v>
      </x:c>
      <x:c r="O4" s="13" t="str">
        <x:v>Ativo</x:v>
      </x:c>
      <x:c r="P4" s="19" t="n">
        <x:v>0.04028244841881605</x:v>
      </x:c>
    </x:row>
    <x:row r="5">
      <x:c r="A5" s="13" t="str">
        <x:v>VAL-004</x:v>
      </x:c>
      <x:c r="B5" s="13" t="str">
        <x:v>NuvemBase Tecnologia</x:v>
      </x:c>
      <x:c r="C5" s="13" t="str">
        <x:v>Tecnologia</x:v>
      </x:c>
      <x:c r="D5" s="13" t="str">
        <x:v>Mauá</x:v>
      </x:c>
      <x:c r="E5" s="13" t="str">
        <x:v>SP</x:v>
      </x:c>
      <x:c r="F5" s="13" t="str">
        <x:v>Enterprise</x:v>
      </x:c>
      <x:c r="G5" s="15" t="n">
        <x:v>44927</x:v>
      </x:c>
      <x:c r="H5" s="17" t="n">
        <x:v>32443</x:v>
      </x:c>
      <x:c r="I5" s="13" t="n">
        <x:v>1434</x:v>
      </x:c>
      <x:c r="J5" s="13" t="n">
        <x:v>12</x:v>
      </x:c>
      <x:c r="K5" s="13" t="str">
        <x:v>Baixo</x:v>
      </x:c>
      <x:c r="L5" s="13" t="n">
        <x:v>52</x:v>
      </x:c>
      <x:c r="M5" s="13" t="n">
        <x:v>66</x:v>
      </x:c>
      <x:c r="N5" s="13" t="n">
        <x:v>14</x:v>
      </x:c>
      <x:c r="O5" s="13" t="str">
        <x:v>Ativo</x:v>
      </x:c>
      <x:c r="P5" s="19" t="n">
        <x:v>0.08638267394088499</x:v>
      </x:c>
    </x:row>
    <x:row r="6">
      <x:c r="A6" s="13" t="str">
        <x:v>VAL-005</x:v>
      </x:c>
      <x:c r="B6" s="13" t="str">
        <x:v>Construtora Alameda</x:v>
      </x:c>
      <x:c r="C6" s="13" t="str">
        <x:v>Construção</x:v>
      </x:c>
      <x:c r="D6" s="13" t="str">
        <x:v>São Paulo</x:v>
      </x:c>
      <x:c r="E6" s="13" t="str">
        <x:v>SP</x:v>
      </x:c>
      <x:c r="F6" s="13" t="str">
        <x:v>Essencial</x:v>
      </x:c>
      <x:c r="G6" s="15" t="n">
        <x:v>45047</x:v>
      </x:c>
      <x:c r="H6" s="17" t="n">
        <x:v>3861</x:v>
      </x:c>
      <x:c r="I6" s="13" t="n">
        <x:v>1660</x:v>
      </x:c>
      <x:c r="J6" s="13" t="n">
        <x:v>2</x:v>
      </x:c>
      <x:c r="K6" s="13" t="str">
        <x:v>Médio</x:v>
      </x:c>
      <x:c r="L6" s="13" t="n">
        <x:v>63</x:v>
      </x:c>
      <x:c r="M6" s="13" t="n">
        <x:v>75</x:v>
      </x:c>
      <x:c r="N6" s="13" t="n">
        <x:v>12</x:v>
      </x:c>
      <x:c r="O6" s="13" t="str">
        <x:v>Em renegociação</x:v>
      </x:c>
      <x:c r="P6" s="19" t="n">
        <x:v>0.01028029171426061</x:v>
      </x:c>
    </x:row>
    <x:row r="7">
      <x:c r="A7" s="13" t="str">
        <x:v>VAL-006</x:v>
      </x:c>
      <x:c r="B7" s="13" t="str">
        <x:v>Instituto Saber Mais</x:v>
      </x:c>
      <x:c r="C7" s="13" t="str">
        <x:v>Educação</x:v>
      </x:c>
      <x:c r="D7" s="13" t="str">
        <x:v>Guarulhos</x:v>
      </x:c>
      <x:c r="E7" s="13" t="str">
        <x:v>SP</x:v>
      </x:c>
      <x:c r="F7" s="13" t="str">
        <x:v>Gestão</x:v>
      </x:c>
      <x:c r="G7" s="15" t="n">
        <x:v>44228</x:v>
      </x:c>
      <x:c r="H7" s="17" t="n">
        <x:v>7446</x:v>
      </x:c>
      <x:c r="I7" s="13" t="n">
        <x:v>1440</x:v>
      </x:c>
      <x:c r="J7" s="13" t="n">
        <x:v>4</x:v>
      </x:c>
      <x:c r="K7" s="13" t="str">
        <x:v>Médio</x:v>
      </x:c>
      <x:c r="L7" s="13" t="n">
        <x:v>47</x:v>
      </x:c>
      <x:c r="M7" s="13" t="n">
        <x:v>72</x:v>
      </x:c>
      <x:c r="N7" s="13" t="n">
        <x:v>25</x:v>
      </x:c>
      <x:c r="O7" s="13" t="str">
        <x:v>Ativo</x:v>
      </x:c>
      <x:c r="P7" s="19" t="n">
        <x:v>0.019825706320741907</x:v>
      </x:c>
    </x:row>
    <x:row r="8">
      <x:c r="A8" s="13" t="str">
        <x:v>VAL-007</x:v>
      </x:c>
      <x:c r="B8" s="13" t="str">
        <x:v>Loja Prisma Online</x:v>
      </x:c>
      <x:c r="C8" s="13" t="str">
        <x:v>E-commerce</x:v>
      </x:c>
      <x:c r="D8" s="13" t="str">
        <x:v>Osasco</x:v>
      </x:c>
      <x:c r="E8" s="13" t="str">
        <x:v>SP</x:v>
      </x:c>
      <x:c r="F8" s="13" t="str">
        <x:v>Performance</x:v>
      </x:c>
      <x:c r="G8" s="15" t="n">
        <x:v>45170</x:v>
      </x:c>
      <x:c r="H8" s="17" t="n">
        <x:v>18606</x:v>
      </x:c>
      <x:c r="I8" s="13" t="n">
        <x:v>378</x:v>
      </x:c>
      <x:c r="J8" s="13" t="n">
        <x:v>7</x:v>
      </x:c>
      <x:c r="K8" s="13" t="str">
        <x:v>Médio</x:v>
      </x:c>
      <x:c r="L8" s="13" t="n">
        <x:v>41</x:v>
      </x:c>
      <x:c r="M8" s="13" t="n">
        <x:v>69</x:v>
      </x:c>
      <x:c r="N8" s="13" t="n">
        <x:v>28</x:v>
      </x:c>
      <x:c r="O8" s="13" t="str">
        <x:v>Ativo</x:v>
      </x:c>
      <x:c r="P8" s="19" t="n">
        <x:v>0.04954030241790544</x:v>
      </x:c>
    </x:row>
    <x:row r="9">
      <x:c r="A9" s="13" t="str">
        <x:v>VAL-008</x:v>
      </x:c>
      <x:c r="B9" s="13" t="str">
        <x:v>MetalSul Componentes</x:v>
      </x:c>
      <x:c r="C9" s="13" t="str">
        <x:v>Indústria Leve</x:v>
      </x:c>
      <x:c r="D9" s="13" t="str">
        <x:v>Campinas</x:v>
      </x:c>
      <x:c r="E9" s="13" t="str">
        <x:v>SP</x:v>
      </x:c>
      <x:c r="F9" s="13" t="str">
        <x:v>Enterprise</x:v>
      </x:c>
      <x:c r="G9" s="15" t="n">
        <x:v>45108</x:v>
      </x:c>
      <x:c r="H9" s="17" t="n">
        <x:v>23566</x:v>
      </x:c>
      <x:c r="I9" s="13" t="n">
        <x:v>664</x:v>
      </x:c>
      <x:c r="J9" s="13" t="n">
        <x:v>12</x:v>
      </x:c>
      <x:c r="K9" s="13" t="str">
        <x:v>Baixo</x:v>
      </x:c>
      <x:c r="L9" s="13" t="n">
        <x:v>55</x:v>
      </x:c>
      <x:c r="M9" s="13" t="n">
        <x:v>74</x:v>
      </x:c>
      <x:c r="N9" s="13" t="n">
        <x:v>19</x:v>
      </x:c>
      <x:c r="O9" s="13" t="str">
        <x:v>Encerrado</x:v>
      </x:c>
      <x:c r="P9" s="19" t="n">
        <x:v>0</x:v>
      </x:c>
    </x:row>
    <x:row r="10">
      <x:c r="A10" s="13" t="str">
        <x:v>VAL-009</x:v>
      </x:c>
      <x:c r="B10" s="13" t="str">
        <x:v>Odonto Prime</x:v>
      </x:c>
      <x:c r="C10" s="13" t="str">
        <x:v>Clínicas e Saúde</x:v>
      </x:c>
      <x:c r="D10" s="13" t="str">
        <x:v>Santos</x:v>
      </x:c>
      <x:c r="E10" s="13" t="str">
        <x:v>SP</x:v>
      </x:c>
      <x:c r="F10" s="13" t="str">
        <x:v>Essencial</x:v>
      </x:c>
      <x:c r="G10" s="15" t="n">
        <x:v>45352</x:v>
      </x:c>
      <x:c r="H10" s="17" t="n">
        <x:v>3809</x:v>
      </x:c>
      <x:c r="I10" s="13" t="n">
        <x:v>908</x:v>
      </x:c>
      <x:c r="J10" s="13" t="n">
        <x:v>2</x:v>
      </x:c>
      <x:c r="K10" s="13" t="str">
        <x:v>Médio</x:v>
      </x:c>
      <x:c r="L10" s="13" t="n">
        <x:v>45</x:v>
      </x:c>
      <x:c r="M10" s="13" t="n">
        <x:v>61</x:v>
      </x:c>
      <x:c r="N10" s="13" t="n">
        <x:v>16</x:v>
      </x:c>
      <x:c r="O10" s="13" t="str">
        <x:v>Ativo</x:v>
      </x:c>
      <x:c r="P10" s="19" t="n">
        <x:v>0.01014183660699784</x:v>
      </x:c>
    </x:row>
    <x:row r="11">
      <x:c r="A11" s="13" t="str">
        <x:v>VAL-010</x:v>
      </x:c>
      <x:c r="B11" s="13" t="str">
        <x:v>Atlas Contabilidade</x:v>
      </x:c>
      <x:c r="C11" s="13" t="str">
        <x:v>Serviços Profissionais</x:v>
      </x:c>
      <x:c r="D11" s="13" t="str">
        <x:v>Curitiba</x:v>
      </x:c>
      <x:c r="E11" s="13" t="str">
        <x:v>PR</x:v>
      </x:c>
      <x:c r="F11" s="13" t="str">
        <x:v>Gestão</x:v>
      </x:c>
      <x:c r="G11" s="15" t="n">
        <x:v>44287</x:v>
      </x:c>
      <x:c r="H11" s="17" t="n">
        <x:v>8284</x:v>
      </x:c>
      <x:c r="I11" s="13" t="n">
        <x:v>1414</x:v>
      </x:c>
      <x:c r="J11" s="13" t="n">
        <x:v>4</x:v>
      </x:c>
      <x:c r="K11" s="13" t="str">
        <x:v>Baixo</x:v>
      </x:c>
      <x:c r="L11" s="13" t="n">
        <x:v>45</x:v>
      </x:c>
      <x:c r="M11" s="13" t="n">
        <x:v>72</x:v>
      </x:c>
      <x:c r="N11" s="13" t="n">
        <x:v>27</x:v>
      </x:c>
      <x:c r="O11" s="13" t="str">
        <x:v>Ativo</x:v>
      </x:c>
      <x:c r="P11" s="19" t="n">
        <x:v>0.022056963626245762</x:v>
      </x:c>
    </x:row>
    <x:row r="12">
      <x:c r="A12" s="13" t="str">
        <x:v>VAL-011</x:v>
      </x:c>
      <x:c r="B12" s="13" t="str">
        <x:v>Rede Essencial</x:v>
      </x:c>
      <x:c r="C12" s="13" t="str">
        <x:v>Varejo</x:v>
      </x:c>
      <x:c r="D12" s="13" t="str">
        <x:v>Rio de Janeiro</x:v>
      </x:c>
      <x:c r="E12" s="13" t="str">
        <x:v>RJ</x:v>
      </x:c>
      <x:c r="F12" s="13" t="str">
        <x:v>Performance</x:v>
      </x:c>
      <x:c r="G12" s="15" t="n">
        <x:v>44774</x:v>
      </x:c>
      <x:c r="H12" s="17" t="n">
        <x:v>13838</x:v>
      </x:c>
      <x:c r="I12" s="13" t="n">
        <x:v>315</x:v>
      </x:c>
      <x:c r="J12" s="13" t="n">
        <x:v>7</x:v>
      </x:c>
      <x:c r="K12" s="13" t="str">
        <x:v>Médio</x:v>
      </x:c>
      <x:c r="L12" s="13" t="n">
        <x:v>67</x:v>
      </x:c>
      <x:c r="M12" s="13" t="n">
        <x:v>86</x:v>
      </x:c>
      <x:c r="N12" s="13" t="n">
        <x:v>19</x:v>
      </x:c>
      <x:c r="O12" s="13" t="str">
        <x:v>Ativo</x:v>
      </x:c>
      <x:c r="P12" s="19" t="n">
        <x:v>0.03684503412119615</x:v>
      </x:c>
    </x:row>
    <x:row r="13">
      <x:c r="A13" s="13" t="str">
        <x:v>VAL-012</x:v>
      </x:c>
      <x:c r="B13" s="13" t="str">
        <x:v>DataFlow Sistemas</x:v>
      </x:c>
      <x:c r="C13" s="13" t="str">
        <x:v>Tecnologia</x:v>
      </x:c>
      <x:c r="D13" s="13" t="str">
        <x:v>Santo André</x:v>
      </x:c>
      <x:c r="E13" s="13" t="str">
        <x:v>SP</x:v>
      </x:c>
      <x:c r="F13" s="13" t="str">
        <x:v>Enterprise</x:v>
      </x:c>
      <x:c r="G13" s="15" t="n">
        <x:v>44562</x:v>
      </x:c>
      <x:c r="H13" s="17" t="n">
        <x:v>31511</x:v>
      </x:c>
      <x:c r="I13" s="13" t="n">
        <x:v>672</x:v>
      </x:c>
      <x:c r="J13" s="13" t="n">
        <x:v>12</x:v>
      </x:c>
      <x:c r="K13" s="13" t="str">
        <x:v>Médio</x:v>
      </x:c>
      <x:c r="L13" s="13" t="n">
        <x:v>60</x:v>
      </x:c>
      <x:c r="M13" s="13" t="n">
        <x:v>84</x:v>
      </x:c>
      <x:c r="N13" s="13" t="n">
        <x:v>24</x:v>
      </x:c>
      <x:c r="O13" s="13" t="str">
        <x:v>Ativo</x:v>
      </x:c>
      <x:c r="P13" s="19" t="n">
        <x:v>0.08390113240302152</x:v>
      </x:c>
    </x:row>
    <x:row r="14">
      <x:c r="A14" s="13" t="str">
        <x:v>VAL-013</x:v>
      </x:c>
      <x:c r="B14" s="13" t="str">
        <x:v>Engenharia Vértice</x:v>
      </x:c>
      <x:c r="C14" s="13" t="str">
        <x:v>Construção</x:v>
      </x:c>
      <x:c r="D14" s="13" t="str">
        <x:v>São Bernardo do Campo</x:v>
      </x:c>
      <x:c r="E14" s="13" t="str">
        <x:v>SP</x:v>
      </x:c>
      <x:c r="F14" s="13" t="str">
        <x:v>Essencial</x:v>
      </x:c>
      <x:c r="G14" s="15" t="n">
        <x:v>44501</x:v>
      </x:c>
      <x:c r="H14" s="17" t="n">
        <x:v>4881</x:v>
      </x:c>
      <x:c r="I14" s="13" t="n">
        <x:v>2048</x:v>
      </x:c>
      <x:c r="J14" s="13" t="n">
        <x:v>2</x:v>
      </x:c>
      <x:c r="K14" s="13" t="str">
        <x:v>Baixo</x:v>
      </x:c>
      <x:c r="L14" s="13" t="n">
        <x:v>40</x:v>
      </x:c>
      <x:c r="M14" s="13" t="n">
        <x:v>63</x:v>
      </x:c>
      <x:c r="N14" s="13" t="n">
        <x:v>23</x:v>
      </x:c>
      <x:c r="O14" s="13" t="str">
        <x:v>Ativo</x:v>
      </x:c>
      <x:c r="P14" s="19" t="n">
        <x:v>0.012996141895184159</x:v>
      </x:c>
    </x:row>
    <x:row r="15">
      <x:c r="A15" s="13" t="str">
        <x:v>VAL-014</x:v>
      </x:c>
      <x:c r="B15" s="13" t="str">
        <x:v>Colégio Caminhos</x:v>
      </x:c>
      <x:c r="C15" s="13" t="str">
        <x:v>Educação</x:v>
      </x:c>
      <x:c r="D15" s="13" t="str">
        <x:v>São Caetano do Sul</x:v>
      </x:c>
      <x:c r="E15" s="13" t="str">
        <x:v>SP</x:v>
      </x:c>
      <x:c r="F15" s="13" t="str">
        <x:v>Gestão</x:v>
      </x:c>
      <x:c r="G15" s="15" t="n">
        <x:v>45231</x:v>
      </x:c>
      <x:c r="H15" s="17" t="n">
        <x:v>9735</x:v>
      </x:c>
      <x:c r="I15" s="13" t="n">
        <x:v>1296</x:v>
      </x:c>
      <x:c r="J15" s="13" t="n">
        <x:v>4</x:v>
      </x:c>
      <x:c r="K15" s="13" t="str">
        <x:v>Médio</x:v>
      </x:c>
      <x:c r="L15" s="13" t="n">
        <x:v>57</x:v>
      </x:c>
      <x:c r="M15" s="13" t="n">
        <x:v>70</x:v>
      </x:c>
      <x:c r="N15" s="13" t="n">
        <x:v>13</x:v>
      </x:c>
      <x:c r="O15" s="13" t="str">
        <x:v>Ativo</x:v>
      </x:c>
      <x:c r="P15" s="19" t="n">
        <x:v>0.02592039363852034</x:v>
      </x:c>
    </x:row>
    <x:row r="16">
      <x:c r="A16" s="13" t="str">
        <x:v>VAL-015</x:v>
      </x:c>
      <x:c r="B16" s="13" t="str">
        <x:v>Mercado Click</x:v>
      </x:c>
      <x:c r="C16" s="13" t="str">
        <x:v>E-commerce</x:v>
      </x:c>
      <x:c r="D16" s="13" t="str">
        <x:v>Mauá</x:v>
      </x:c>
      <x:c r="E16" s="13" t="str">
        <x:v>SP</x:v>
      </x:c>
      <x:c r="F16" s="13" t="str">
        <x:v>Performance</x:v>
      </x:c>
      <x:c r="G16" s="15" t="n">
        <x:v>45717</x:v>
      </x:c>
      <x:c r="H16" s="17" t="n">
        <x:v>15601</x:v>
      </x:c>
      <x:c r="I16" s="13" t="n">
        <x:v>1247</x:v>
      </x:c>
      <x:c r="J16" s="13" t="n">
        <x:v>7</x:v>
      </x:c>
      <x:c r="K16" s="13" t="str">
        <x:v>Baixo</x:v>
      </x:c>
      <x:c r="L16" s="13" t="n">
        <x:v>45</x:v>
      </x:c>
      <x:c r="M16" s="13" t="n">
        <x:v>68</x:v>
      </x:c>
      <x:c r="N16" s="13" t="n">
        <x:v>23</x:v>
      </x:c>
      <x:c r="O16" s="13" t="str">
        <x:v>Ativo</x:v>
      </x:c>
      <x:c r="P16" s="19" t="n">
        <x:v>0.04153919477704734</x:v>
      </x:c>
    </x:row>
    <x:row r="17">
      <x:c r="A17" s="13" t="str">
        <x:v>VAL-016</x:v>
      </x:c>
      <x:c r="B17" s="13" t="str">
        <x:v>Lumina Embalagens</x:v>
      </x:c>
      <x:c r="C17" s="13" t="str">
        <x:v>Indústria Leve</x:v>
      </x:c>
      <x:c r="D17" s="13" t="str">
        <x:v>São Paulo</x:v>
      </x:c>
      <x:c r="E17" s="13" t="str">
        <x:v>SP</x:v>
      </x:c>
      <x:c r="F17" s="13" t="str">
        <x:v>Enterprise</x:v>
      </x:c>
      <x:c r="G17" s="15" t="n">
        <x:v>45261</x:v>
      </x:c>
      <x:c r="H17" s="17" t="n">
        <x:v>31831</x:v>
      </x:c>
      <x:c r="I17" s="13" t="n">
        <x:v>1948</x:v>
      </x:c>
      <x:c r="J17" s="13" t="n">
        <x:v>12</x:v>
      </x:c>
      <x:c r="K17" s="13" t="str">
        <x:v>Baixo</x:v>
      </x:c>
      <x:c r="L17" s="13" t="n">
        <x:v>48</x:v>
      </x:c>
      <x:c r="M17" s="13" t="n">
        <x:v>63</x:v>
      </x:c>
      <x:c r="N17" s="13" t="n">
        <x:v>15</x:v>
      </x:c>
      <x:c r="O17" s="13" t="str">
        <x:v>Em renegociação</x:v>
      </x:c>
      <x:c r="P17" s="19" t="n">
        <x:v>0.08475316383233086</x:v>
      </x:c>
    </x:row>
    <x:row r="18">
      <x:c r="A18" s="13" t="str">
        <x:v>VAL-017</x:v>
      </x:c>
      <x:c r="B18" s="13" t="str">
        <x:v>Centro Médico Vida</x:v>
      </x:c>
      <x:c r="C18" s="13" t="str">
        <x:v>Clínicas e Saúde</x:v>
      </x:c>
      <x:c r="D18" s="13" t="str">
        <x:v>Guarulhos</x:v>
      </x:c>
      <x:c r="E18" s="13" t="str">
        <x:v>SP</x:v>
      </x:c>
      <x:c r="F18" s="13" t="str">
        <x:v>Essencial</x:v>
      </x:c>
      <x:c r="G18" s="15" t="n">
        <x:v>45413</x:v>
      </x:c>
      <x:c r="H18" s="17" t="n">
        <x:v>3781</x:v>
      </x:c>
      <x:c r="I18" s="13" t="n">
        <x:v>648</x:v>
      </x:c>
      <x:c r="J18" s="13" t="n">
        <x:v>2</x:v>
      </x:c>
      <x:c r="K18" s="13" t="str">
        <x:v>Baixo</x:v>
      </x:c>
      <x:c r="L18" s="13" t="n">
        <x:v>49</x:v>
      </x:c>
      <x:c r="M18" s="13" t="n">
        <x:v>77</x:v>
      </x:c>
      <x:c r="N18" s="13" t="n">
        <x:v>28</x:v>
      </x:c>
      <x:c r="O18" s="13" t="str">
        <x:v>Ativo</x:v>
      </x:c>
      <x:c r="P18" s="19" t="n">
        <x:v>0.010067283856933272</x:v>
      </x:c>
    </x:row>
    <x:row r="19">
      <x:c r="A19" s="13" t="str">
        <x:v>VAL-018</x:v>
      </x:c>
      <x:c r="B19" s="13" t="str">
        <x:v>Ponto Legal Advocacia</x:v>
      </x:c>
      <x:c r="C19" s="13" t="str">
        <x:v>Serviços Profissionais</x:v>
      </x:c>
      <x:c r="D19" s="13" t="str">
        <x:v>Osasco</x:v>
      </x:c>
      <x:c r="E19" s="13" t="str">
        <x:v>SP</x:v>
      </x:c>
      <x:c r="F19" s="13" t="str">
        <x:v>Gestão</x:v>
      </x:c>
      <x:c r="G19" s="15" t="n">
        <x:v>44562</x:v>
      </x:c>
      <x:c r="H19" s="17" t="n">
        <x:v>10051</x:v>
      </x:c>
      <x:c r="I19" s="13" t="n">
        <x:v>785</x:v>
      </x:c>
      <x:c r="J19" s="13" t="n">
        <x:v>4</x:v>
      </x:c>
      <x:c r="K19" s="13" t="str">
        <x:v>Baixo</x:v>
      </x:c>
      <x:c r="L19" s="13" t="n">
        <x:v>46</x:v>
      </x:c>
      <x:c r="M19" s="13" t="n">
        <x:v>70</x:v>
      </x:c>
      <x:c r="N19" s="13" t="n">
        <x:v>24</x:v>
      </x:c>
      <x:c r="O19" s="13" t="str">
        <x:v>Ativo</x:v>
      </x:c>
      <x:c r="P19" s="19" t="n">
        <x:v>0.026761774674963323</x:v>
      </x:c>
    </x:row>
    <x:row r="20">
      <x:c r="A20" s="13" t="str">
        <x:v>VAL-019</x:v>
      </x:c>
      <x:c r="B20" s="13" t="str">
        <x:v>Armazém Urbano</x:v>
      </x:c>
      <x:c r="C20" s="13" t="str">
        <x:v>Varejo</x:v>
      </x:c>
      <x:c r="D20" s="13" t="str">
        <x:v>Campinas</x:v>
      </x:c>
      <x:c r="E20" s="13" t="str">
        <x:v>SP</x:v>
      </x:c>
      <x:c r="F20" s="13" t="str">
        <x:v>Performance</x:v>
      </x:c>
      <x:c r="G20" s="15" t="n">
        <x:v>45323</x:v>
      </x:c>
      <x:c r="H20" s="17" t="n">
        <x:v>14341</x:v>
      </x:c>
      <x:c r="I20" s="13" t="n">
        <x:v>1006</x:v>
      </x:c>
      <x:c r="J20" s="13" t="n">
        <x:v>7</x:v>
      </x:c>
      <x:c r="K20" s="13" t="str">
        <x:v>Alto</x:v>
      </x:c>
      <x:c r="L20" s="13" t="n">
        <x:v>40</x:v>
      </x:c>
      <x:c r="M20" s="13" t="n">
        <x:v>62</x:v>
      </x:c>
      <x:c r="N20" s="13" t="n">
        <x:v>22</x:v>
      </x:c>
      <x:c r="O20" s="13" t="str">
        <x:v>Encerrado</x:v>
      </x:c>
      <x:c r="P20" s="19" t="n">
        <x:v>0</x:v>
      </x:c>
    </x:row>
    <x:row r="21">
      <x:c r="A21" s="13" t="str">
        <x:v>VAL-020</x:v>
      </x:c>
      <x:c r="B21" s="13" t="str">
        <x:v>Corelink Digital</x:v>
      </x:c>
      <x:c r="C21" s="13" t="str">
        <x:v>Tecnologia</x:v>
      </x:c>
      <x:c r="D21" s="13" t="str">
        <x:v>Santos</x:v>
      </x:c>
      <x:c r="E21" s="13" t="str">
        <x:v>SP</x:v>
      </x:c>
      <x:c r="F21" s="13" t="str">
        <x:v>Enterprise</x:v>
      </x:c>
      <x:c r="G21" s="15" t="n">
        <x:v>44682</x:v>
      </x:c>
      <x:c r="H21" s="17" t="n">
        <x:v>24076</x:v>
      </x:c>
      <x:c r="I21" s="13" t="n">
        <x:v>688</x:v>
      </x:c>
      <x:c r="J21" s="13" t="n">
        <x:v>12</x:v>
      </x:c>
      <x:c r="K21" s="13" t="str">
        <x:v>Baixo</x:v>
      </x:c>
      <x:c r="L21" s="13" t="n">
        <x:v>43</x:v>
      </x:c>
      <x:c r="M21" s="13" t="n">
        <x:v>67</x:v>
      </x:c>
      <x:c r="N21" s="13" t="n">
        <x:v>24</x:v>
      </x:c>
      <x:c r="O21" s="13" t="str">
        <x:v>Ativo</x:v>
      </x:c>
      <x:c r="P21" s="19" t="n">
        <x:v>0.06410471466266211</x:v>
      </x:c>
    </x:row>
    <x:row r="22">
      <x:c r="A22" s="13" t="str">
        <x:v>VAL-021</x:v>
      </x:c>
      <x:c r="B22" s="13" t="str">
        <x:v>Base Forte Obras</x:v>
      </x:c>
      <x:c r="C22" s="13" t="str">
        <x:v>Construção</x:v>
      </x:c>
      <x:c r="D22" s="13" t="str">
        <x:v>Curitiba</x:v>
      </x:c>
      <x:c r="E22" s="13" t="str">
        <x:v>PR</x:v>
      </x:c>
      <x:c r="F22" s="13" t="str">
        <x:v>Essencial</x:v>
      </x:c>
      <x:c r="G22" s="15" t="n">
        <x:v>45931</x:v>
      </x:c>
      <x:c r="H22" s="17" t="n">
        <x:v>4706</x:v>
      </x:c>
      <x:c r="I22" s="13" t="n">
        <x:v>715</x:v>
      </x:c>
      <x:c r="J22" s="13" t="n">
        <x:v>2</x:v>
      </x:c>
      <x:c r="K22" s="13" t="str">
        <x:v>Médio</x:v>
      </x:c>
      <x:c r="L22" s="13" t="n">
        <x:v>47</x:v>
      </x:c>
      <x:c r="M22" s="13" t="n">
        <x:v>58</x:v>
      </x:c>
      <x:c r="N22" s="13" t="n">
        <x:v>11</x:v>
      </x:c>
      <x:c r="O22" s="13" t="str">
        <x:v>Ativo</x:v>
      </x:c>
      <x:c r="P22" s="19" t="n">
        <x:v>0.01253018720728061</x:v>
      </x:c>
    </x:row>
    <x:row r="23">
      <x:c r="A23" s="13" t="str">
        <x:v>VAL-022</x:v>
      </x:c>
      <x:c r="B23" s="13" t="str">
        <x:v>Academia Evoluir</x:v>
      </x:c>
      <x:c r="C23" s="13" t="str">
        <x:v>Educação</x:v>
      </x:c>
      <x:c r="D23" s="13" t="str">
        <x:v>Rio de Janeiro</x:v>
      </x:c>
      <x:c r="E23" s="13" t="str">
        <x:v>RJ</x:v>
      </x:c>
      <x:c r="F23" s="13" t="str">
        <x:v>Gestão</x:v>
      </x:c>
      <x:c r="G23" s="15" t="n">
        <x:v>44501</x:v>
      </x:c>
      <x:c r="H23" s="17" t="n">
        <x:v>8301</x:v>
      </x:c>
      <x:c r="I23" s="13" t="n">
        <x:v>1745</x:v>
      </x:c>
      <x:c r="J23" s="13" t="n">
        <x:v>4</x:v>
      </x:c>
      <x:c r="K23" s="13" t="str">
        <x:v>Alto</x:v>
      </x:c>
      <x:c r="L23" s="13" t="n">
        <x:v>52</x:v>
      </x:c>
      <x:c r="M23" s="13" t="n">
        <x:v>80</x:v>
      </x:c>
      <x:c r="N23" s="13" t="n">
        <x:v>28</x:v>
      </x:c>
      <x:c r="O23" s="13" t="str">
        <x:v>Ativo</x:v>
      </x:c>
      <x:c r="P23" s="19" t="n">
        <x:v>0.022102227795927822</x:v>
      </x:c>
    </x:row>
    <x:row r="24">
      <x:c r="A24" s="13" t="str">
        <x:v>VAL-023</x:v>
      </x:c>
      <x:c r="B24" s="13" t="str">
        <x:v>ShopMix Brasil</x:v>
      </x:c>
      <x:c r="C24" s="13" t="str">
        <x:v>E-commerce</x:v>
      </x:c>
      <x:c r="D24" s="13" t="str">
        <x:v>Santo André</x:v>
      </x:c>
      <x:c r="E24" s="13" t="str">
        <x:v>SP</x:v>
      </x:c>
      <x:c r="F24" s="13" t="str">
        <x:v>Performance</x:v>
      </x:c>
      <x:c r="G24" s="15" t="n">
        <x:v>44409</x:v>
      </x:c>
      <x:c r="H24" s="17" t="n">
        <x:v>13450</x:v>
      </x:c>
      <x:c r="I24" s="13" t="n">
        <x:v>1067</x:v>
      </x:c>
      <x:c r="J24" s="13" t="n">
        <x:v>7</x:v>
      </x:c>
      <x:c r="K24" s="13" t="str">
        <x:v>Baixo</x:v>
      </x:c>
      <x:c r="L24" s="13" t="n">
        <x:v>55</x:v>
      </x:c>
      <x:c r="M24" s="13" t="n">
        <x:v>82</x:v>
      </x:c>
      <x:c r="N24" s="13" t="n">
        <x:v>27</x:v>
      </x:c>
      <x:c r="O24" s="13" t="str">
        <x:v>Ativo</x:v>
      </x:c>
      <x:c r="P24" s="19" t="n">
        <x:v>0.03581194601315856</x:v>
      </x:c>
    </x:row>
    <x:row r="25">
      <x:c r="A25" s="13" t="str">
        <x:v>VAL-024</x:v>
      </x:c>
      <x:c r="B25" s="13" t="str">
        <x:v>NovaForma Móveis</x:v>
      </x:c>
      <x:c r="C25" s="13" t="str">
        <x:v>Indústria Leve</x:v>
      </x:c>
      <x:c r="D25" s="13" t="str">
        <x:v>São Bernardo do Campo</x:v>
      </x:c>
      <x:c r="E25" s="13" t="str">
        <x:v>SP</x:v>
      </x:c>
      <x:c r="F25" s="13" t="str">
        <x:v>Enterprise</x:v>
      </x:c>
      <x:c r="G25" s="15" t="n">
        <x:v>44470</x:v>
      </x:c>
      <x:c r="H25" s="17" t="n">
        <x:v>26032</x:v>
      </x:c>
      <x:c r="I25" s="13" t="n">
        <x:v>1546</x:v>
      </x:c>
      <x:c r="J25" s="13" t="n">
        <x:v>12</x:v>
      </x:c>
      <x:c r="K25" s="13" t="str">
        <x:v>Baixo</x:v>
      </x:c>
      <x:c r="L25" s="13" t="n">
        <x:v>53</x:v>
      </x:c>
      <x:c r="M25" s="13" t="n">
        <x:v>69</x:v>
      </x:c>
      <x:c r="N25" s="13" t="n">
        <x:v>16</x:v>
      </x:c>
      <x:c r="O25" s="13" t="str">
        <x:v>Ativo</x:v>
      </x:c>
      <x:c r="P25" s="19" t="n">
        <x:v>0.06931275677431552</x:v>
      </x:c>
    </x:row>
    <x:row r="26">
      <x:c r="A26" s="13" t="str">
        <x:v>VAL-025</x:v>
      </x:c>
      <x:c r="B26" s="13" t="str">
        <x:v>Bem-Estar Terapias</x:v>
      </x:c>
      <x:c r="C26" s="13" t="str">
        <x:v>Clínicas e Saúde</x:v>
      </x:c>
      <x:c r="D26" s="13" t="str">
        <x:v>São Caetano do Sul</x:v>
      </x:c>
      <x:c r="E26" s="13" t="str">
        <x:v>SP</x:v>
      </x:c>
      <x:c r="F26" s="13" t="str">
        <x:v>Essencial</x:v>
      </x:c>
      <x:c r="G26" s="15" t="n">
        <x:v>44958</x:v>
      </x:c>
      <x:c r="H26" s="17" t="n">
        <x:v>5194</x:v>
      </x:c>
      <x:c r="I26" s="13" t="n">
        <x:v>1446</x:v>
      </x:c>
      <x:c r="J26" s="13" t="n">
        <x:v>2</x:v>
      </x:c>
      <x:c r="K26" s="13" t="str">
        <x:v>Baixo</x:v>
      </x:c>
      <x:c r="L26" s="13" t="n">
        <x:v>44</x:v>
      </x:c>
      <x:c r="M26" s="13" t="n">
        <x:v>54</x:v>
      </x:c>
      <x:c r="N26" s="13" t="n">
        <x:v>10</x:v>
      </x:c>
      <x:c r="O26" s="13" t="str">
        <x:v>Em renegociação</x:v>
      </x:c>
      <x:c r="P26" s="19" t="n">
        <x:v>0.013829535136977366</x:v>
      </x:c>
    </x:row>
    <x:row r="27">
      <x:c r="A27" s="13" t="str">
        <x:v>VAL-026</x:v>
      </x:c>
      <x:c r="B27" s="13" t="str">
        <x:v>Ribeiro Arquitetura</x:v>
      </x:c>
      <x:c r="C27" s="13" t="str">
        <x:v>Serviços Profissionais</x:v>
      </x:c>
      <x:c r="D27" s="13" t="str">
        <x:v>Mauá</x:v>
      </x:c>
      <x:c r="E27" s="13" t="str">
        <x:v>SP</x:v>
      </x:c>
      <x:c r="F27" s="13" t="str">
        <x:v>Gestão</x:v>
      </x:c>
      <x:c r="G27" s="15" t="n">
        <x:v>45870</x:v>
      </x:c>
      <x:c r="H27" s="17" t="n">
        <x:v>8993</x:v>
      </x:c>
      <x:c r="I27" s="13" t="n">
        <x:v>1913</x:v>
      </x:c>
      <x:c r="J27" s="13" t="n">
        <x:v>4</x:v>
      </x:c>
      <x:c r="K27" s="13" t="str">
        <x:v>Baixo</x:v>
      </x:c>
      <x:c r="L27" s="13" t="n">
        <x:v>53</x:v>
      </x:c>
      <x:c r="M27" s="13" t="n">
        <x:v>70</x:v>
      </x:c>
      <x:c r="N27" s="13" t="n">
        <x:v>17</x:v>
      </x:c>
      <x:c r="O27" s="13" t="str">
        <x:v>Ativo</x:v>
      </x:c>
      <x:c r="P27" s="19" t="n">
        <x:v>0.02394474576180929</x:v>
      </x:c>
    </x:row>
    <x:row r="28">
      <x:c r="A28" s="13" t="str">
        <x:v>VAL-027</x:v>
      </x:c>
      <x:c r="B28" s="13" t="str">
        <x:v>Mais Lar Utilidades</x:v>
      </x:c>
      <x:c r="C28" s="13" t="str">
        <x:v>Varejo</x:v>
      </x:c>
      <x:c r="D28" s="13" t="str">
        <x:v>São Paulo</x:v>
      </x:c>
      <x:c r="E28" s="13" t="str">
        <x:v>SP</x:v>
      </x:c>
      <x:c r="F28" s="13" t="str">
        <x:v>Performance</x:v>
      </x:c>
      <x:c r="G28" s="15" t="n">
        <x:v>45809</x:v>
      </x:c>
      <x:c r="H28" s="17" t="n">
        <x:v>16246</x:v>
      </x:c>
      <x:c r="I28" s="13" t="n">
        <x:v>1650</x:v>
      </x:c>
      <x:c r="J28" s="13" t="n">
        <x:v>7</x:v>
      </x:c>
      <x:c r="K28" s="13" t="str">
        <x:v>Baixo</x:v>
      </x:c>
      <x:c r="L28" s="13" t="n">
        <x:v>66</x:v>
      </x:c>
      <x:c r="M28" s="13" t="n">
        <x:v>88</x:v>
      </x:c>
      <x:c r="N28" s="13" t="n">
        <x:v>22</x:v>
      </x:c>
      <x:c r="O28" s="13" t="str">
        <x:v>Ativo</x:v>
      </x:c>
      <x:c r="P28" s="19" t="n">
        <x:v>0.043256570626748994</x:v>
      </x:c>
    </x:row>
    <x:row r="29">
      <x:c r="A29" s="13" t="str">
        <x:v>VAL-028</x:v>
      </x:c>
      <x:c r="B29" s="13" t="str">
        <x:v>Pixel Norte</x:v>
      </x:c>
      <x:c r="C29" s="13" t="str">
        <x:v>Tecnologia</x:v>
      </x:c>
      <x:c r="D29" s="13" t="str">
        <x:v>Guarulhos</x:v>
      </x:c>
      <x:c r="E29" s="13" t="str">
        <x:v>SP</x:v>
      </x:c>
      <x:c r="F29" s="13" t="str">
        <x:v>Enterprise</x:v>
      </x:c>
      <x:c r="G29" s="15" t="n">
        <x:v>44866</x:v>
      </x:c>
      <x:c r="H29" s="17" t="n">
        <x:v>28479</x:v>
      </x:c>
      <x:c r="I29" s="13" t="n">
        <x:v>1839</x:v>
      </x:c>
      <x:c r="J29" s="13" t="n">
        <x:v>12</x:v>
      </x:c>
      <x:c r="K29" s="13" t="str">
        <x:v>Alto</x:v>
      </x:c>
      <x:c r="L29" s="13" t="n">
        <x:v>59</x:v>
      </x:c>
      <x:c r="M29" s="13" t="n">
        <x:v>86</x:v>
      </x:c>
      <x:c r="N29" s="13" t="n">
        <x:v>27</x:v>
      </x:c>
      <x:c r="O29" s="13" t="str">
        <x:v>Ativo</x:v>
      </x:c>
      <x:c r="P29" s="19" t="n">
        <x:v>0.07582813461031544</x:v>
      </x:c>
    </x:row>
    <x:row r="30">
      <x:c r="A30" s="13" t="str">
        <x:v>VAL-029</x:v>
      </x:c>
      <x:c r="B30" s="13" t="str">
        <x:v>Planobra Serviços</x:v>
      </x:c>
      <x:c r="C30" s="13" t="str">
        <x:v>Construção</x:v>
      </x:c>
      <x:c r="D30" s="13" t="str">
        <x:v>Osasco</x:v>
      </x:c>
      <x:c r="E30" s="13" t="str">
        <x:v>SP</x:v>
      </x:c>
      <x:c r="F30" s="13" t="str">
        <x:v>Essencial</x:v>
      </x:c>
      <x:c r="G30" s="15" t="n">
        <x:v>45597</x:v>
      </x:c>
      <x:c r="H30" s="17" t="n">
        <x:v>4763</x:v>
      </x:c>
      <x:c r="I30" s="13" t="n">
        <x:v>1643</x:v>
      </x:c>
      <x:c r="J30" s="13" t="n">
        <x:v>2</x:v>
      </x:c>
      <x:c r="K30" s="13" t="str">
        <x:v>Baixo</x:v>
      </x:c>
      <x:c r="L30" s="13" t="n">
        <x:v>62</x:v>
      </x:c>
      <x:c r="M30" s="13" t="n">
        <x:v>73</x:v>
      </x:c>
      <x:c r="N30" s="13" t="n">
        <x:v>11</x:v>
      </x:c>
      <x:c r="O30" s="13" t="str">
        <x:v>Ativo</x:v>
      </x:c>
      <x:c r="P30" s="19" t="n">
        <x:v>0.012681955305626337</x:v>
      </x:c>
    </x:row>
    <x:row r="31">
      <x:c r="A31" s="13" t="str">
        <x:v>VAL-030</x:v>
      </x:c>
      <x:c r="B31" s="13" t="str">
        <x:v>Mundo Kids Cursos</x:v>
      </x:c>
      <x:c r="C31" s="13" t="str">
        <x:v>Educação</x:v>
      </x:c>
      <x:c r="D31" s="13" t="str">
        <x:v>Campinas</x:v>
      </x:c>
      <x:c r="E31" s="13" t="str">
        <x:v>SP</x:v>
      </x:c>
      <x:c r="F31" s="13" t="str">
        <x:v>Gestão</x:v>
      </x:c>
      <x:c r="G31" s="15" t="n">
        <x:v>45170</x:v>
      </x:c>
      <x:c r="H31" s="17" t="n">
        <x:v>10084</x:v>
      </x:c>
      <x:c r="I31" s="13" t="n">
        <x:v>1329</x:v>
      </x:c>
      <x:c r="J31" s="13" t="n">
        <x:v>4</x:v>
      </x:c>
      <x:c r="K31" s="13" t="str">
        <x:v>Alto</x:v>
      </x:c>
      <x:c r="L31" s="13" t="n">
        <x:v>63</x:v>
      </x:c>
      <x:c r="M31" s="13" t="n">
        <x:v>85</x:v>
      </x:c>
      <x:c r="N31" s="13" t="n">
        <x:v>22</x:v>
      </x:c>
      <x:c r="O31" s="13" t="str">
        <x:v>Ativo</x:v>
      </x:c>
      <x:c r="P31" s="19" t="n">
        <x:v>0.026849640416110848</x:v>
      </x:c>
    </x:row>
  </x:sheetData>
  <x:conditionalFormatting sqref="N2:N31">
    <x:cfRule type="colorScale" priority="1">
      <x:colorScale>
        <x:cfvo type="min"/>
        <x:cfvo type="percentile" val="50"/>
        <x:cfvo type="max"/>
        <x:color rgb="FFF8C9C9"/>
        <x:color rgb="FFFFF0B5"/>
        <x:color rgb="FFCBEB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b4fe238d403446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4" max="4" width="17" hidden="0" customWidth="1"/>
    <x:col min="9" max="9" width="17" hidden="0" customWidth="1"/>
    <x:col min="10" max="10" width="17" hidden="0" customWidth="1"/>
    <x:col min="11" max="11" width="17" hidden="0" customWidth="1"/>
    <x:col min="13" max="13" width="17" hidden="0" customWidth="1"/>
    <x:col min="2" max="2" width="25" hidden="0" customWidth="1"/>
    <x:col min="3" max="3" width="25" hidden="0" customWidth="1"/>
    <x:col min="12" max="12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6" t="str">
        <x:v>ID_Cliente</x:v>
      </x:c>
      <x:c r="B1" s="6" t="str">
        <x:v>Cliente</x:v>
      </x:c>
      <x:c r="C1" s="6" t="str">
        <x:v>Segmento</x:v>
      </x:c>
      <x:c r="D1" s="6" t="str">
        <x:v>Risco</x:v>
      </x:c>
      <x:c r="E1" s="6" t="str">
        <x:v>Vencido_2024</x:v>
      </x:c>
      <x:c r="F1" s="6" t="str">
        <x:v>Pico_Vencido_2025</x:v>
      </x:c>
      <x:c r="G1" s="6" t="str">
        <x:v>Vencido_Jun_2026</x:v>
      </x:c>
      <x:c r="H1" s="6" t="str">
        <x:v>Valor_Recuperado</x:v>
      </x:c>
      <x:c r="I1" s="6" t="str">
        <x:v>Promessas_Pagamento</x:v>
      </x:c>
      <x:c r="J1" s="6" t="str">
        <x:v>Promessas_Cumpridas</x:v>
      </x:c>
      <x:c r="K1" s="6" t="str">
        <x:v>Taxa_Cumprimento_%</x:v>
      </x:c>
      <x:c r="L1" s="6" t="str">
        <x:v>Estratégia_Principal</x:v>
      </x:c>
      <x:c r="M1" s="6" t="str">
        <x:v>Status_Cliente</x:v>
      </x:c>
    </x:row>
    <x:row r="2">
      <x:c r="A2" s="13" t="str">
        <x:v>VAL-001</x:v>
      </x:c>
      <x:c r="B2" s="13" t="str">
        <x:v>Clínica Horizonte</x:v>
      </x:c>
      <x:c r="C2" s="13" t="str">
        <x:v>Clínicas e Saúde</x:v>
      </x:c>
      <x:c r="D2" s="13" t="str">
        <x:v>Baixo</x:v>
      </x:c>
      <x:c r="E2" s="17" t="n">
        <x:v>24492.25</x:v>
      </x:c>
      <x:c r="F2" s="17" t="n">
        <x:v>34528.63</x:v>
      </x:c>
      <x:c r="G2" s="17" t="n">
        <x:v>12504.43</x:v>
      </x:c>
      <x:c r="H2" s="17" t="n">
        <x:v>22024.21</x:v>
      </x:c>
      <x:c r="I2" s="13" t="n">
        <x:v>29</x:v>
      </x:c>
      <x:c r="J2" s="13" t="n">
        <x:v>18</x:v>
      </x:c>
      <x:c r="K2" s="19" t="n">
        <x:v>0.6207</x:v>
      </x:c>
      <x:c r="L2" s="13" t="str">
        <x:v>WhatsApp + telefone</x:v>
      </x:c>
      <x:c r="M2" s="13" t="str">
        <x:v>Ativo</x:v>
      </x:c>
    </x:row>
    <x:row r="3">
      <x:c r="A3" s="13" t="str">
        <x:v>VAL-002</x:v>
      </x:c>
      <x:c r="B3" s="13" t="str">
        <x:v>Mendes &amp; Prado Consultoria</x:v>
      </x:c>
      <x:c r="C3" s="13" t="str">
        <x:v>Serviços Profissionais</x:v>
      </x:c>
      <x:c r="D3" s="13" t="str">
        <x:v>Baixo</x:v>
      </x:c>
      <x:c r="E3" s="17" t="n">
        <x:v>104866.44</x:v>
      </x:c>
      <x:c r="F3" s="17" t="n">
        <x:v>148052</x:v>
      </x:c>
      <x:c r="G3" s="17" t="n">
        <x:v>62081.56</x:v>
      </x:c>
      <x:c r="H3" s="17" t="n">
        <x:v>85970.45</x:v>
      </x:c>
      <x:c r="I3" s="13" t="n">
        <x:v>13</x:v>
      </x:c>
      <x:c r="J3" s="13" t="n">
        <x:v>10</x:v>
      </x:c>
      <x:c r="K3" s="19" t="n">
        <x:v>0.7692</x:v>
      </x:c>
      <x:c r="L3" s="13" t="str">
        <x:v>WhatsApp + telefone</x:v>
      </x:c>
      <x:c r="M3" s="13" t="str">
        <x:v>Ativo</x:v>
      </x:c>
    </x:row>
    <x:row r="4">
      <x:c r="A4" s="13" t="str">
        <x:v>VAL-003</x:v>
      </x:c>
      <x:c r="B4" s="13" t="str">
        <x:v>Casa Nova Varejo</x:v>
      </x:c>
      <x:c r="C4" s="13" t="str">
        <x:v>Varejo</x:v>
      </x:c>
      <x:c r="D4" s="13" t="str">
        <x:v>Baixo</x:v>
      </x:c>
      <x:c r="E4" s="17" t="n">
        <x:v>111224.98</x:v>
      </x:c>
      <x:c r="F4" s="17" t="n">
        <x:v>184094.89</x:v>
      </x:c>
      <x:c r="G4" s="17" t="n">
        <x:v>57208.31</x:v>
      </x:c>
      <x:c r="H4" s="17" t="n">
        <x:v>126886.58</x:v>
      </x:c>
      <x:c r="I4" s="13" t="n">
        <x:v>29</x:v>
      </x:c>
      <x:c r="J4" s="13" t="n">
        <x:v>22</x:v>
      </x:c>
      <x:c r="K4" s="19" t="n">
        <x:v>0.7586</x:v>
      </x:c>
      <x:c r="L4" s="13" t="str">
        <x:v>Negociação individual</x:v>
      </x:c>
      <x:c r="M4" s="13" t="str">
        <x:v>Ativo</x:v>
      </x:c>
    </x:row>
    <x:row r="5">
      <x:c r="A5" s="13" t="str">
        <x:v>VAL-004</x:v>
      </x:c>
      <x:c r="B5" s="13" t="str">
        <x:v>NuvemBase Tecnologia</x:v>
      </x:c>
      <x:c r="C5" s="13" t="str">
        <x:v>Tecnologia</x:v>
      </x:c>
      <x:c r="D5" s="13" t="str">
        <x:v>Baixo</x:v>
      </x:c>
      <x:c r="E5" s="17" t="n">
        <x:v>152181.25</x:v>
      </x:c>
      <x:c r="F5" s="17" t="n">
        <x:v>277577.61</x:v>
      </x:c>
      <x:c r="G5" s="17" t="n">
        <x:v>107542.15</x:v>
      </x:c>
      <x:c r="H5" s="17" t="n">
        <x:v>170035.47</x:v>
      </x:c>
      <x:c r="I5" s="13" t="n">
        <x:v>7</x:v>
      </x:c>
      <x:c r="J5" s="13" t="n">
        <x:v>5</x:v>
      </x:c>
      <x:c r="K5" s="19" t="n">
        <x:v>0.7143</x:v>
      </x:c>
      <x:c r="L5" s="13" t="str">
        <x:v>Negociação individual</x:v>
      </x:c>
      <x:c r="M5" s="13" t="str">
        <x:v>Ativo</x:v>
      </x:c>
    </x:row>
    <x:row r="6">
      <x:c r="A6" s="13" t="str">
        <x:v>VAL-005</x:v>
      </x:c>
      <x:c r="B6" s="13" t="str">
        <x:v>Construtora Alameda</x:v>
      </x:c>
      <x:c r="C6" s="13" t="str">
        <x:v>Construção</x:v>
      </x:c>
      <x:c r="D6" s="13" t="str">
        <x:v>Médio</x:v>
      </x:c>
      <x:c r="E6" s="17" t="n">
        <x:v>91538.57</x:v>
      </x:c>
      <x:c r="F6" s="17" t="n">
        <x:v>158359.44</x:v>
      </x:c>
      <x:c r="G6" s="17" t="n">
        <x:v>59577.04</x:v>
      </x:c>
      <x:c r="H6" s="17" t="n">
        <x:v>98782.41</x:v>
      </x:c>
      <x:c r="I6" s="13" t="n">
        <x:v>16</x:v>
      </x:c>
      <x:c r="J6" s="13" t="n">
        <x:v>12</x:v>
      </x:c>
      <x:c r="K6" s="19" t="n">
        <x:v>0.75</x:v>
      </x:c>
      <x:c r="L6" s="13" t="str">
        <x:v>Régua automática</x:v>
      </x:c>
      <x:c r="M6" s="13" t="str">
        <x:v>Em renegociação</x:v>
      </x:c>
    </x:row>
    <x:row r="7">
      <x:c r="A7" s="13" t="str">
        <x:v>VAL-006</x:v>
      </x:c>
      <x:c r="B7" s="13" t="str">
        <x:v>Instituto Saber Mais</x:v>
      </x:c>
      <x:c r="C7" s="13" t="str">
        <x:v>Educação</x:v>
      </x:c>
      <x:c r="D7" s="13" t="str">
        <x:v>Médio</x:v>
      </x:c>
      <x:c r="E7" s="17" t="n">
        <x:v>85985.94</x:v>
      </x:c>
      <x:c r="F7" s="17" t="n">
        <x:v>153971.04</x:v>
      </x:c>
      <x:c r="G7" s="17" t="n">
        <x:v>80972.38</x:v>
      </x:c>
      <x:c r="H7" s="17" t="n">
        <x:v>72998.67</x:v>
      </x:c>
      <x:c r="I7" s="13" t="n">
        <x:v>16</x:v>
      </x:c>
      <x:c r="J7" s="13" t="n">
        <x:v>14</x:v>
      </x:c>
      <x:c r="K7" s="19" t="n">
        <x:v>0.875</x:v>
      </x:c>
      <x:c r="L7" s="13" t="str">
        <x:v>Régua automática</x:v>
      </x:c>
      <x:c r="M7" s="13" t="str">
        <x:v>Ativo</x:v>
      </x:c>
    </x:row>
    <x:row r="8">
      <x:c r="A8" s="13" t="str">
        <x:v>VAL-007</x:v>
      </x:c>
      <x:c r="B8" s="13" t="str">
        <x:v>Loja Prisma Online</x:v>
      </x:c>
      <x:c r="C8" s="13" t="str">
        <x:v>E-commerce</x:v>
      </x:c>
      <x:c r="D8" s="13" t="str">
        <x:v>Médio</x:v>
      </x:c>
      <x:c r="E8" s="17" t="n">
        <x:v>28129.72</x:v>
      </x:c>
      <x:c r="F8" s="17" t="n">
        <x:v>37947.62</x:v>
      </x:c>
      <x:c r="G8" s="17" t="n">
        <x:v>13309.3</x:v>
      </x:c>
      <x:c r="H8" s="17" t="n">
        <x:v>24638.32</x:v>
      </x:c>
      <x:c r="I8" s="13" t="n">
        <x:v>15</x:v>
      </x:c>
      <x:c r="J8" s="13" t="n">
        <x:v>12</x:v>
      </x:c>
      <x:c r="K8" s="19" t="n">
        <x:v>0.8</x:v>
      </x:c>
      <x:c r="L8" s="13" t="str">
        <x:v>Negociação individual</x:v>
      </x:c>
      <x:c r="M8" s="13" t="str">
        <x:v>Ativo</x:v>
      </x:c>
    </x:row>
    <x:row r="9">
      <x:c r="A9" s="13" t="str">
        <x:v>VAL-008</x:v>
      </x:c>
      <x:c r="B9" s="13" t="str">
        <x:v>MetalSul Componentes</x:v>
      </x:c>
      <x:c r="C9" s="13" t="str">
        <x:v>Indústria Leve</x:v>
      </x:c>
      <x:c r="D9" s="13" t="str">
        <x:v>Baixo</x:v>
      </x:c>
      <x:c r="E9" s="17" t="n">
        <x:v>67125.23</x:v>
      </x:c>
      <x:c r="F9" s="17" t="n">
        <x:v>118605.59</x:v>
      </x:c>
      <x:c r="G9" s="17" t="n">
        <x:v>42207.16</x:v>
      </x:c>
      <x:c r="H9" s="17" t="n">
        <x:v>76398.42</x:v>
      </x:c>
      <x:c r="I9" s="13" t="n">
        <x:v>19</x:v>
      </x:c>
      <x:c r="J9" s="13" t="n">
        <x:v>12</x:v>
      </x:c>
      <x:c r="K9" s="19" t="n">
        <x:v>0.6316</x:v>
      </x:c>
      <x:c r="L9" s="13" t="str">
        <x:v>WhatsApp + telefone</x:v>
      </x:c>
      <x:c r="M9" s="13" t="str">
        <x:v>Encerrado</x:v>
      </x:c>
    </x:row>
    <x:row r="10">
      <x:c r="A10" s="13" t="str">
        <x:v>VAL-009</x:v>
      </x:c>
      <x:c r="B10" s="13" t="str">
        <x:v>Odonto Prime</x:v>
      </x:c>
      <x:c r="C10" s="13" t="str">
        <x:v>Clínicas e Saúde</x:v>
      </x:c>
      <x:c r="D10" s="13" t="str">
        <x:v>Médio</x:v>
      </x:c>
      <x:c r="E10" s="17" t="n">
        <x:v>163973.91</x:v>
      </x:c>
      <x:c r="F10" s="17" t="n">
        <x:v>283324.27</x:v>
      </x:c>
      <x:c r="G10" s="17" t="n">
        <x:v>105100.25</x:v>
      </x:c>
      <x:c r="H10" s="17" t="n">
        <x:v>178224.03</x:v>
      </x:c>
      <x:c r="I10" s="13" t="n">
        <x:v>35</x:v>
      </x:c>
      <x:c r="J10" s="13" t="n">
        <x:v>28</x:v>
      </x:c>
      <x:c r="K10" s="19" t="n">
        <x:v>0.8</x:v>
      </x:c>
      <x:c r="L10" s="13" t="str">
        <x:v>WhatsApp + telefone</x:v>
      </x:c>
      <x:c r="M10" s="13" t="str">
        <x:v>Ativo</x:v>
      </x:c>
    </x:row>
    <x:row r="11">
      <x:c r="A11" s="13" t="str">
        <x:v>VAL-010</x:v>
      </x:c>
      <x:c r="B11" s="13" t="str">
        <x:v>Atlas Contabilidade</x:v>
      </x:c>
      <x:c r="C11" s="13" t="str">
        <x:v>Serviços Profissionais</x:v>
      </x:c>
      <x:c r="D11" s="13" t="str">
        <x:v>Baixo</x:v>
      </x:c>
      <x:c r="E11" s="17" t="n">
        <x:v>82399.15</x:v>
      </x:c>
      <x:c r="F11" s="17" t="n">
        <x:v>152747.5</x:v>
      </x:c>
      <x:c r="G11" s="17" t="n">
        <x:v>70897.42</x:v>
      </x:c>
      <x:c r="H11" s="17" t="n">
        <x:v>81850.08</x:v>
      </x:c>
      <x:c r="I11" s="13" t="n">
        <x:v>24</x:v>
      </x:c>
      <x:c r="J11" s="13" t="n">
        <x:v>19</x:v>
      </x:c>
      <x:c r="K11" s="19" t="n">
        <x:v>0.7917</x:v>
      </x:c>
      <x:c r="L11" s="13" t="str">
        <x:v>Negociação individual</x:v>
      </x:c>
      <x:c r="M11" s="13" t="str">
        <x:v>Ativo</x:v>
      </x:c>
    </x:row>
    <x:row r="12">
      <x:c r="A12" s="13" t="str">
        <x:v>VAL-011</x:v>
      </x:c>
      <x:c r="B12" s="13" t="str">
        <x:v>Rede Essencial</x:v>
      </x:c>
      <x:c r="C12" s="13" t="str">
        <x:v>Varejo</x:v>
      </x:c>
      <x:c r="D12" s="13" t="str">
        <x:v>Médio</x:v>
      </x:c>
      <x:c r="E12" s="17" t="n">
        <x:v>42477.62</x:v>
      </x:c>
      <x:c r="F12" s="17" t="n">
        <x:v>58692.59</x:v>
      </x:c>
      <x:c r="G12" s="17" t="n">
        <x:v>30036.76</x:v>
      </x:c>
      <x:c r="H12" s="17" t="n">
        <x:v>28655.83</x:v>
      </x:c>
      <x:c r="I12" s="13" t="n">
        <x:v>22</x:v>
      </x:c>
      <x:c r="J12" s="13" t="n">
        <x:v>19</x:v>
      </x:c>
      <x:c r="K12" s="19" t="n">
        <x:v>0.8636</x:v>
      </x:c>
      <x:c r="L12" s="13" t="str">
        <x:v>Régua automática</x:v>
      </x:c>
      <x:c r="M12" s="13" t="str">
        <x:v>Ativo</x:v>
      </x:c>
    </x:row>
    <x:row r="13">
      <x:c r="A13" s="13" t="str">
        <x:v>VAL-012</x:v>
      </x:c>
      <x:c r="B13" s="13" t="str">
        <x:v>DataFlow Sistemas</x:v>
      </x:c>
      <x:c r="C13" s="13" t="str">
        <x:v>Tecnologia</x:v>
      </x:c>
      <x:c r="D13" s="13" t="str">
        <x:v>Médio</x:v>
      </x:c>
      <x:c r="E13" s="17" t="n">
        <x:v>122750.7</x:v>
      </x:c>
      <x:c r="F13" s="17" t="n">
        <x:v>182767</x:v>
      </x:c>
      <x:c r="G13" s="17" t="n">
        <x:v>80517.57</x:v>
      </x:c>
      <x:c r="H13" s="17" t="n">
        <x:v>102249.43</x:v>
      </x:c>
      <x:c r="I13" s="13" t="n">
        <x:v>31</x:v>
      </x:c>
      <x:c r="J13" s="13" t="n">
        <x:v>19</x:v>
      </x:c>
      <x:c r="K13" s="19" t="n">
        <x:v>0.6129</x:v>
      </x:c>
      <x:c r="L13" s="13" t="str">
        <x:v>Régua automática</x:v>
      </x:c>
      <x:c r="M13" s="13" t="str">
        <x:v>Ativo</x:v>
      </x:c>
    </x:row>
    <x:row r="14">
      <x:c r="A14" s="13" t="str">
        <x:v>VAL-013</x:v>
      </x:c>
      <x:c r="B14" s="13" t="str">
        <x:v>Engenharia Vértice</x:v>
      </x:c>
      <x:c r="C14" s="13" t="str">
        <x:v>Construção</x:v>
      </x:c>
      <x:c r="D14" s="13" t="str">
        <x:v>Baixo</x:v>
      </x:c>
      <x:c r="E14" s="17" t="n">
        <x:v>128404.82</x:v>
      </x:c>
      <x:c r="F14" s="17" t="n">
        <x:v>245491.51</x:v>
      </x:c>
      <x:c r="G14" s="17" t="n">
        <x:v>107427.66</x:v>
      </x:c>
      <x:c r="H14" s="17" t="n">
        <x:v>138063.85</x:v>
      </x:c>
      <x:c r="I14" s="13" t="n">
        <x:v>11</x:v>
      </x:c>
      <x:c r="J14" s="13" t="n">
        <x:v>8</x:v>
      </x:c>
      <x:c r="K14" s="19" t="n">
        <x:v>0.7273</x:v>
      </x:c>
      <x:c r="L14" s="13" t="str">
        <x:v>WhatsApp + telefone</x:v>
      </x:c>
      <x:c r="M14" s="13" t="str">
        <x:v>Ativo</x:v>
      </x:c>
    </x:row>
    <x:row r="15">
      <x:c r="A15" s="13" t="str">
        <x:v>VAL-014</x:v>
      </x:c>
      <x:c r="B15" s="13" t="str">
        <x:v>Colégio Caminhos</x:v>
      </x:c>
      <x:c r="C15" s="13" t="str">
        <x:v>Educação</x:v>
      </x:c>
      <x:c r="D15" s="13" t="str">
        <x:v>Médio</x:v>
      </x:c>
      <x:c r="E15" s="17" t="n">
        <x:v>160754.72</x:v>
      </x:c>
      <x:c r="F15" s="17" t="n">
        <x:v>226835.94</x:v>
      </x:c>
      <x:c r="G15" s="17" t="n">
        <x:v>65602.6</x:v>
      </x:c>
      <x:c r="H15" s="17" t="n">
        <x:v>161233.34</x:v>
      </x:c>
      <x:c r="I15" s="13" t="n">
        <x:v>4</x:v>
      </x:c>
      <x:c r="J15" s="13" t="n">
        <x:v>3</x:v>
      </x:c>
      <x:c r="K15" s="19" t="n">
        <x:v>0.75</x:v>
      </x:c>
      <x:c r="L15" s="13" t="str">
        <x:v>WhatsApp + telefone</x:v>
      </x:c>
      <x:c r="M15" s="13" t="str">
        <x:v>Ativo</x:v>
      </x:c>
    </x:row>
    <x:row r="16">
      <x:c r="A16" s="13" t="str">
        <x:v>VAL-015</x:v>
      </x:c>
      <x:c r="B16" s="13" t="str">
        <x:v>Mercado Click</x:v>
      </x:c>
      <x:c r="C16" s="13" t="str">
        <x:v>E-commerce</x:v>
      </x:c>
      <x:c r="D16" s="13" t="str">
        <x:v>Baixo</x:v>
      </x:c>
      <x:c r="E16" s="17" t="n">
        <x:v>110740.55</x:v>
      </x:c>
      <x:c r="F16" s="17" t="n">
        <x:v>222485.54</x:v>
      </x:c>
      <x:c r="G16" s="17" t="n">
        <x:v>109003.42</x:v>
      </x:c>
      <x:c r="H16" s="17" t="n">
        <x:v>113482.12</x:v>
      </x:c>
      <x:c r="I16" s="13" t="n">
        <x:v>13</x:v>
      </x:c>
      <x:c r="J16" s="13" t="n">
        <x:v>11</x:v>
      </x:c>
      <x:c r="K16" s="19" t="n">
        <x:v>0.8462</x:v>
      </x:c>
      <x:c r="L16" s="13" t="str">
        <x:v>Negociação individual</x:v>
      </x:c>
      <x:c r="M16" s="13" t="str">
        <x:v>Ativo</x:v>
      </x:c>
    </x:row>
    <x:row r="17">
      <x:c r="A17" s="13" t="str">
        <x:v>VAL-016</x:v>
      </x:c>
      <x:c r="B17" s="13" t="str">
        <x:v>Lumina Embalagens</x:v>
      </x:c>
      <x:c r="C17" s="13" t="str">
        <x:v>Indústria Leve</x:v>
      </x:c>
      <x:c r="D17" s="13" t="str">
        <x:v>Baixo</x:v>
      </x:c>
      <x:c r="E17" s="17" t="n">
        <x:v>55550.37</x:v>
      </x:c>
      <x:c r="F17" s="17" t="n">
        <x:v>96448.99</x:v>
      </x:c>
      <x:c r="G17" s="17" t="n">
        <x:v>49826.18</x:v>
      </x:c>
      <x:c r="H17" s="17" t="n">
        <x:v>46622.82</x:v>
      </x:c>
      <x:c r="I17" s="13" t="n">
        <x:v>33</x:v>
      </x:c>
      <x:c r="J17" s="13" t="n">
        <x:v>26</x:v>
      </x:c>
      <x:c r="K17" s="19" t="n">
        <x:v>0.7879</x:v>
      </x:c>
      <x:c r="L17" s="13" t="str">
        <x:v>Negociação individual</x:v>
      </x:c>
      <x:c r="M17" s="13" t="str">
        <x:v>Em renegociação</x:v>
      </x:c>
    </x:row>
    <x:row r="18">
      <x:c r="A18" s="13" t="str">
        <x:v>VAL-017</x:v>
      </x:c>
      <x:c r="B18" s="13" t="str">
        <x:v>Centro Médico Vida</x:v>
      </x:c>
      <x:c r="C18" s="13" t="str">
        <x:v>Clínicas e Saúde</x:v>
      </x:c>
      <x:c r="D18" s="13" t="str">
        <x:v>Baixo</x:v>
      </x:c>
      <x:c r="E18" s="17" t="n">
        <x:v>46214.67</x:v>
      </x:c>
      <x:c r="F18" s="17" t="n">
        <x:v>96853.95</x:v>
      </x:c>
      <x:c r="G18" s="17" t="n">
        <x:v>34533.43</x:v>
      </x:c>
      <x:c r="H18" s="17" t="n">
        <x:v>62320.51</x:v>
      </x:c>
      <x:c r="I18" s="13" t="n">
        <x:v>16</x:v>
      </x:c>
      <x:c r="J18" s="13" t="n">
        <x:v>10</x:v>
      </x:c>
      <x:c r="K18" s="19" t="n">
        <x:v>0.625</x:v>
      </x:c>
      <x:c r="L18" s="13" t="str">
        <x:v>WhatsApp + telefone</x:v>
      </x:c>
      <x:c r="M18" s="13" t="str">
        <x:v>Ativo</x:v>
      </x:c>
    </x:row>
    <x:row r="19">
      <x:c r="A19" s="13" t="str">
        <x:v>VAL-018</x:v>
      </x:c>
      <x:c r="B19" s="13" t="str">
        <x:v>Ponto Legal Advocacia</x:v>
      </x:c>
      <x:c r="C19" s="13" t="str">
        <x:v>Serviços Profissionais</x:v>
      </x:c>
      <x:c r="D19" s="13" t="str">
        <x:v>Baixo</x:v>
      </x:c>
      <x:c r="E19" s="17" t="n">
        <x:v>15249.61</x:v>
      </x:c>
      <x:c r="F19" s="17" t="n">
        <x:v>19962.75</x:v>
      </x:c>
      <x:c r="G19" s="17" t="n">
        <x:v>6370.86</x:v>
      </x:c>
      <x:c r="H19" s="17" t="n">
        <x:v>13591.89</x:v>
      </x:c>
      <x:c r="I19" s="13" t="n">
        <x:v>4</x:v>
      </x:c>
      <x:c r="J19" s="13" t="n">
        <x:v>3</x:v>
      </x:c>
      <x:c r="K19" s="19" t="n">
        <x:v>0.75</x:v>
      </x:c>
      <x:c r="L19" s="13" t="str">
        <x:v>Negociação individual</x:v>
      </x:c>
      <x:c r="M19" s="13" t="str">
        <x:v>Ativo</x:v>
      </x:c>
    </x:row>
    <x:row r="20">
      <x:c r="A20" s="13" t="str">
        <x:v>VAL-019</x:v>
      </x:c>
      <x:c r="B20" s="13" t="str">
        <x:v>Armazém Urbano</x:v>
      </x:c>
      <x:c r="C20" s="13" t="str">
        <x:v>Varejo</x:v>
      </x:c>
      <x:c r="D20" s="13" t="str">
        <x:v>Alto</x:v>
      </x:c>
      <x:c r="E20" s="17" t="n">
        <x:v>152782.87</x:v>
      </x:c>
      <x:c r="F20" s="17" t="n">
        <x:v>302787.02</x:v>
      </x:c>
      <x:c r="G20" s="17" t="n">
        <x:v>164587.09</x:v>
      </x:c>
      <x:c r="H20" s="17" t="n">
        <x:v>138199.93</x:v>
      </x:c>
      <x:c r="I20" s="13" t="n">
        <x:v>24</x:v>
      </x:c>
      <x:c r="J20" s="13" t="n">
        <x:v>16</x:v>
      </x:c>
      <x:c r="K20" s="19" t="n">
        <x:v>0.6667</x:v>
      </x:c>
      <x:c r="L20" s="13" t="str">
        <x:v>Negociação individual</x:v>
      </x:c>
      <x:c r="M20" s="13" t="str">
        <x:v>Encerrado</x:v>
      </x:c>
    </x:row>
    <x:row r="21">
      <x:c r="A21" s="13" t="str">
        <x:v>VAL-020</x:v>
      </x:c>
      <x:c r="B21" s="13" t="str">
        <x:v>Corelink Digital</x:v>
      </x:c>
      <x:c r="C21" s="13" t="str">
        <x:v>Tecnologia</x:v>
      </x:c>
      <x:c r="D21" s="13" t="str">
        <x:v>Baixo</x:v>
      </x:c>
      <x:c r="E21" s="17" t="n">
        <x:v>58599.9</x:v>
      </x:c>
      <x:c r="F21" s="17" t="n">
        <x:v>80447.31</x:v>
      </x:c>
      <x:c r="G21" s="17" t="n">
        <x:v>35495.81</x:v>
      </x:c>
      <x:c r="H21" s="17" t="n">
        <x:v>44951.51</x:v>
      </x:c>
      <x:c r="I21" s="13" t="n">
        <x:v>18</x:v>
      </x:c>
      <x:c r="J21" s="13" t="n">
        <x:v>15</x:v>
      </x:c>
      <x:c r="K21" s="19" t="n">
        <x:v>0.8333</x:v>
      </x:c>
      <x:c r="L21" s="13" t="str">
        <x:v>WhatsApp + telefone</x:v>
      </x:c>
      <x:c r="M21" s="13" t="str">
        <x:v>Ativo</x:v>
      </x:c>
    </x:row>
    <x:row r="22">
      <x:c r="A22" s="13" t="str">
        <x:v>VAL-021</x:v>
      </x:c>
      <x:c r="B22" s="13" t="str">
        <x:v>Base Forte Obras</x:v>
      </x:c>
      <x:c r="C22" s="13" t="str">
        <x:v>Construção</x:v>
      </x:c>
      <x:c r="D22" s="13" t="str">
        <x:v>Médio</x:v>
      </x:c>
      <x:c r="E22" s="17" t="n">
        <x:v>57164.82</x:v>
      </x:c>
      <x:c r="F22" s="17" t="n">
        <x:v>77819.03</x:v>
      </x:c>
      <x:c r="G22" s="17" t="n">
        <x:v>36174.28</x:v>
      </x:c>
      <x:c r="H22" s="17" t="n">
        <x:v>41644.75</x:v>
      </x:c>
      <x:c r="I22" s="13" t="n">
        <x:v>17</x:v>
      </x:c>
      <x:c r="J22" s="13" t="n">
        <x:v>11</x:v>
      </x:c>
      <x:c r="K22" s="19" t="n">
        <x:v>0.6471</x:v>
      </x:c>
      <x:c r="L22" s="13" t="str">
        <x:v>Régua automática</x:v>
      </x:c>
      <x:c r="M22" s="13" t="str">
        <x:v>Ativo</x:v>
      </x:c>
    </x:row>
    <x:row r="23">
      <x:c r="A23" s="13" t="str">
        <x:v>VAL-022</x:v>
      </x:c>
      <x:c r="B23" s="13" t="str">
        <x:v>Academia Evoluir</x:v>
      </x:c>
      <x:c r="C23" s="13" t="str">
        <x:v>Educação</x:v>
      </x:c>
      <x:c r="D23" s="13" t="str">
        <x:v>Alto</x:v>
      </x:c>
      <x:c r="E23" s="17" t="n">
        <x:v>172728.66</x:v>
      </x:c>
      <x:c r="F23" s="17" t="n">
        <x:v>307982.73</x:v>
      </x:c>
      <x:c r="G23" s="17" t="n">
        <x:v>165359.06</x:v>
      </x:c>
      <x:c r="H23" s="17" t="n">
        <x:v>142623.67</x:v>
      </x:c>
      <x:c r="I23" s="13" t="n">
        <x:v>26</x:v>
      </x:c>
      <x:c r="J23" s="13" t="n">
        <x:v>23</x:v>
      </x:c>
      <x:c r="K23" s="19" t="n">
        <x:v>0.8846</x:v>
      </x:c>
      <x:c r="L23" s="13" t="str">
        <x:v>Régua automática</x:v>
      </x:c>
      <x:c r="M23" s="13" t="str">
        <x:v>Ativo</x:v>
      </x:c>
    </x:row>
    <x:row r="24">
      <x:c r="A24" s="13" t="str">
        <x:v>VAL-023</x:v>
      </x:c>
      <x:c r="B24" s="13" t="str">
        <x:v>ShopMix Brasil</x:v>
      </x:c>
      <x:c r="C24" s="13" t="str">
        <x:v>E-commerce</x:v>
      </x:c>
      <x:c r="D24" s="13" t="str">
        <x:v>Baixo</x:v>
      </x:c>
      <x:c r="E24" s="17" t="n">
        <x:v>16767.49</x:v>
      </x:c>
      <x:c r="F24" s="17" t="n">
        <x:v>25535.85</x:v>
      </x:c>
      <x:c r="G24" s="17" t="n">
        <x:v>13417.33</x:v>
      </x:c>
      <x:c r="H24" s="17" t="n">
        <x:v>12118.52</x:v>
      </x:c>
      <x:c r="I24" s="13" t="n">
        <x:v>37</x:v>
      </x:c>
      <x:c r="J24" s="13" t="n">
        <x:v>25</x:v>
      </x:c>
      <x:c r="K24" s="19" t="n">
        <x:v>0.6757</x:v>
      </x:c>
      <x:c r="L24" s="13" t="str">
        <x:v>Régua automática</x:v>
      </x:c>
      <x:c r="M24" s="13" t="str">
        <x:v>Ativo</x:v>
      </x:c>
    </x:row>
    <x:row r="25">
      <x:c r="A25" s="13" t="str">
        <x:v>VAL-024</x:v>
      </x:c>
      <x:c r="B25" s="13" t="str">
        <x:v>NovaForma Móveis</x:v>
      </x:c>
      <x:c r="C25" s="13" t="str">
        <x:v>Indústria Leve</x:v>
      </x:c>
      <x:c r="D25" s="13" t="str">
        <x:v>Baixo</x:v>
      </x:c>
      <x:c r="E25" s="17" t="n">
        <x:v>151995.27</x:v>
      </x:c>
      <x:c r="F25" s="17" t="n">
        <x:v>259138.85</x:v>
      </x:c>
      <x:c r="G25" s="17" t="n">
        <x:v>123596</x:v>
      </x:c>
      <x:c r="H25" s="17" t="n">
        <x:v>135542.85</x:v>
      </x:c>
      <x:c r="I25" s="13" t="n">
        <x:v>23</x:v>
      </x:c>
      <x:c r="J25" s="13" t="n">
        <x:v>19</x:v>
      </x:c>
      <x:c r="K25" s="19" t="n">
        <x:v>0.8261</x:v>
      </x:c>
      <x:c r="L25" s="13" t="str">
        <x:v>Régua automática</x:v>
      </x:c>
      <x:c r="M25" s="13" t="str">
        <x:v>Ativo</x:v>
      </x:c>
    </x:row>
    <x:row r="26">
      <x:c r="A26" s="13" t="str">
        <x:v>VAL-025</x:v>
      </x:c>
      <x:c r="B26" s="13" t="str">
        <x:v>Bem-Estar Terapias</x:v>
      </x:c>
      <x:c r="C26" s="13" t="str">
        <x:v>Clínicas e Saúde</x:v>
      </x:c>
      <x:c r="D26" s="13" t="str">
        <x:v>Baixo</x:v>
      </x:c>
      <x:c r="E26" s="17" t="n">
        <x:v>82430.59</x:v>
      </x:c>
      <x:c r="F26" s="17" t="n">
        <x:v>114858.91</x:v>
      </x:c>
      <x:c r="G26" s="17" t="n">
        <x:v>47322.43</x:v>
      </x:c>
      <x:c r="H26" s="17" t="n">
        <x:v>67536.48</x:v>
      </x:c>
      <x:c r="I26" s="13" t="n">
        <x:v>25</x:v>
      </x:c>
      <x:c r="J26" s="13" t="n">
        <x:v>16</x:v>
      </x:c>
      <x:c r="K26" s="19" t="n">
        <x:v>0.64</x:v>
      </x:c>
      <x:c r="L26" s="13" t="str">
        <x:v>Régua automática</x:v>
      </x:c>
      <x:c r="M26" s="13" t="str">
        <x:v>Em renegociação</x:v>
      </x:c>
    </x:row>
    <x:row r="27">
      <x:c r="A27" s="13" t="str">
        <x:v>VAL-026</x:v>
      </x:c>
      <x:c r="B27" s="13" t="str">
        <x:v>Ribeiro Arquitetura</x:v>
      </x:c>
      <x:c r="C27" s="13" t="str">
        <x:v>Serviços Profissionais</x:v>
      </x:c>
      <x:c r="D27" s="13" t="str">
        <x:v>Baixo</x:v>
      </x:c>
      <x:c r="E27" s="17" t="n">
        <x:v>115621.31</x:v>
      </x:c>
      <x:c r="F27" s="17" t="n">
        <x:v>186994.16</x:v>
      </x:c>
      <x:c r="G27" s="17" t="n">
        <x:v>91428.1</x:v>
      </x:c>
      <x:c r="H27" s="17" t="n">
        <x:v>95566.05</x:v>
      </x:c>
      <x:c r="I27" s="13" t="n">
        <x:v>5</x:v>
      </x:c>
      <x:c r="J27" s="13" t="n">
        <x:v>4</x:v>
      </x:c>
      <x:c r="K27" s="19" t="n">
        <x:v>0.8</x:v>
      </x:c>
      <x:c r="L27" s="13" t="str">
        <x:v>WhatsApp + telefone</x:v>
      </x:c>
      <x:c r="M27" s="13" t="str">
        <x:v>Ativo</x:v>
      </x:c>
    </x:row>
    <x:row r="28">
      <x:c r="A28" s="13" t="str">
        <x:v>VAL-027</x:v>
      </x:c>
      <x:c r="B28" s="13" t="str">
        <x:v>Mais Lar Utilidades</x:v>
      </x:c>
      <x:c r="C28" s="13" t="str">
        <x:v>Varejo</x:v>
      </x:c>
      <x:c r="D28" s="13" t="str">
        <x:v>Baixo</x:v>
      </x:c>
      <x:c r="E28" s="17" t="n">
        <x:v>55766.04</x:v>
      </x:c>
      <x:c r="F28" s="17" t="n">
        <x:v>105936.17</x:v>
      </x:c>
      <x:c r="G28" s="17" t="n">
        <x:v>34639.69</x:v>
      </x:c>
      <x:c r="H28" s="17" t="n">
        <x:v>71296.48</x:v>
      </x:c>
      <x:c r="I28" s="13" t="n">
        <x:v>8</x:v>
      </x:c>
      <x:c r="J28" s="13" t="n">
        <x:v>5</x:v>
      </x:c>
      <x:c r="K28" s="19" t="n">
        <x:v>0.625</x:v>
      </x:c>
      <x:c r="L28" s="13" t="str">
        <x:v>Régua automática</x:v>
      </x:c>
      <x:c r="M28" s="13" t="str">
        <x:v>Ativo</x:v>
      </x:c>
    </x:row>
    <x:row r="29">
      <x:c r="A29" s="13" t="str">
        <x:v>VAL-028</x:v>
      </x:c>
      <x:c r="B29" s="13" t="str">
        <x:v>Pixel Norte</x:v>
      </x:c>
      <x:c r="C29" s="13" t="str">
        <x:v>Tecnologia</x:v>
      </x:c>
      <x:c r="D29" s="13" t="str">
        <x:v>Alto</x:v>
      </x:c>
      <x:c r="E29" s="17" t="n">
        <x:v>116400.37</x:v>
      </x:c>
      <x:c r="F29" s="17" t="n">
        <x:v>207953.53</x:v>
      </x:c>
      <x:c r="G29" s="17" t="n">
        <x:v>96128.37</x:v>
      </x:c>
      <x:c r="H29" s="17" t="n">
        <x:v>111825.16</x:v>
      </x:c>
      <x:c r="I29" s="13" t="n">
        <x:v>21</x:v>
      </x:c>
      <x:c r="J29" s="13" t="n">
        <x:v>15</x:v>
      </x:c>
      <x:c r="K29" s="19" t="n">
        <x:v>0.7143</x:v>
      </x:c>
      <x:c r="L29" s="13" t="str">
        <x:v>WhatsApp + telefone</x:v>
      </x:c>
      <x:c r="M29" s="13" t="str">
        <x:v>Ativo</x:v>
      </x:c>
    </x:row>
    <x:row r="30">
      <x:c r="A30" s="13" t="str">
        <x:v>VAL-029</x:v>
      </x:c>
      <x:c r="B30" s="13" t="str">
        <x:v>Planobra Serviços</x:v>
      </x:c>
      <x:c r="C30" s="13" t="str">
        <x:v>Construção</x:v>
      </x:c>
      <x:c r="D30" s="13" t="str">
        <x:v>Baixo</x:v>
      </x:c>
      <x:c r="E30" s="17" t="n">
        <x:v>136797.23</x:v>
      </x:c>
      <x:c r="F30" s="17" t="n">
        <x:v>279150.48</x:v>
      </x:c>
      <x:c r="G30" s="17" t="n">
        <x:v>136061.81</x:v>
      </x:c>
      <x:c r="H30" s="17" t="n">
        <x:v>143088.66</x:v>
      </x:c>
      <x:c r="I30" s="13" t="n">
        <x:v>11</x:v>
      </x:c>
      <x:c r="J30" s="13" t="n">
        <x:v>10</x:v>
      </x:c>
      <x:c r="K30" s="19" t="n">
        <x:v>0.9091</x:v>
      </x:c>
      <x:c r="L30" s="13" t="str">
        <x:v>Régua automática</x:v>
      </x:c>
      <x:c r="M30" s="13" t="str">
        <x:v>Ativo</x:v>
      </x:c>
    </x:row>
    <x:row r="31">
      <x:c r="A31" s="13" t="str">
        <x:v>VAL-030</x:v>
      </x:c>
      <x:c r="B31" s="13" t="str">
        <x:v>Mundo Kids Cursos</x:v>
      </x:c>
      <x:c r="C31" s="13" t="str">
        <x:v>Educação</x:v>
      </x:c>
      <x:c r="D31" s="13" t="str">
        <x:v>Alto</x:v>
      </x:c>
      <x:c r="E31" s="17" t="n">
        <x:v>124087.28</x:v>
      </x:c>
      <x:c r="F31" s="17" t="n">
        <x:v>181931.56</x:v>
      </x:c>
      <x:c r="G31" s="17" t="n">
        <x:v>62747.23</x:v>
      </x:c>
      <x:c r="H31" s="17" t="n">
        <x:v>119184.33</x:v>
      </x:c>
      <x:c r="I31" s="13" t="n">
        <x:v>30</x:v>
      </x:c>
      <x:c r="J31" s="13" t="n">
        <x:v>24</x:v>
      </x:c>
      <x:c r="K31" s="19" t="n">
        <x:v>0.8</x:v>
      </x:c>
      <x:c r="L31" s="13" t="str">
        <x:v>Negociação individual</x:v>
      </x:c>
      <x:c r="M31" s="13" t="str">
        <x:v>Ativo</x:v>
      </x:c>
    </x:row>
  </x:sheetData>
  <x:conditionalFormatting sqref="H2:H31">
    <x:cfRule type="dataBar" priority="1">
      <x:dataBar>
        <x:cfvo type="min"/>
        <x:cfvo type="max"/>
        <x:color rgb="FF52C79A"/>
      </x:dataBar>
      <x:extLst>
        <x:ext xmlns:x14="http://schemas.microsoft.com/office/spreadsheetml/2009/9/main" uri="{B025F937-C7B1-47D3-B67F-A62EFF666E3E}">
          <x14:id>{E7AE0154-F438-EB9F-0B67-20D6A6C2F2A7}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fc5d9e9c15741a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7AE0154-F438-EB9F-0B67-20D6A6C2F2A7}">
            <x14:dataBar gradient="1">
              <x14:cfvo type="min"/>
              <x14:cfvo type="max"/>
              <x14:fillColor rgb="FF52C79A"/>
            </x14:dataBar>
          </x14:cfRule>
          <xm:sqref>H2:H31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6" max="6" width="17" hidden="0" customWidth="1"/>
    <x:col min="7" max="7" width="17" hidden="0" customWidth="1"/>
    <x:col min="8" max="8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4" max="4" width="34" hidden="0" customWidth="1"/>
    <x:col min="5" max="5" width="34" hidden="0" customWidth="1"/>
    <x:col min="9" max="9" width="34" hidden="0" customWidth="1"/>
  </x:cols>
  <x:sheetData>
    <x:row r="1" ht="34" customHeight="1">
      <x:c r="A1" s="6" t="str">
        <x:v>ID_Iniciativa</x:v>
      </x:c>
      <x:c r="B1" s="6" t="str">
        <x:v>Data_Início</x:v>
      </x:c>
      <x:c r="C1" s="6" t="str">
        <x:v>Área</x:v>
      </x:c>
      <x:c r="D1" s="6" t="str">
        <x:v>Iniciativa</x:v>
      </x:c>
      <x:c r="E1" s="6" t="str">
        <x:v>Objetivo</x:v>
      </x:c>
      <x:c r="F1" s="6" t="str">
        <x:v>Investimento</x:v>
      </x:c>
      <x:c r="G1" s="6" t="str">
        <x:v>Status</x:v>
      </x:c>
      <x:c r="H1" s="6" t="str">
        <x:v>Conclusão_%</x:v>
      </x:c>
      <x:c r="I1" s="6" t="str">
        <x:v>KPI_Principal</x:v>
      </x:c>
      <x:c r="J1" s="6" t="str">
        <x:v>Impacto_Estimado</x:v>
      </x:c>
      <x:c r="K1" s="6" t="str">
        <x:v>Unidade</x:v>
      </x:c>
      <x:c r="L1" s="6" t="str">
        <x:v>Payback_Meses</x:v>
      </x:c>
      <x:c r="M1" s="6" t="str">
        <x:v>Prioridade</x:v>
      </x:c>
    </x:row>
    <x:row r="2">
      <x:c r="A2" s="13" t="str">
        <x:v>INI-001</x:v>
      </x:c>
      <x:c r="B2" s="23" t="n">
        <x:v>45762</x:v>
      </x:c>
      <x:c r="C2" s="13" t="str">
        <x:v>Processos</x:v>
      </x:c>
      <x:c r="D2" s="13" t="str">
        <x:v>Operação Clareza</x:v>
      </x:c>
      <x:c r="E2" s="13" t="str">
        <x:v>Redesenhar ponta a ponta as rotinas financeiras</x:v>
      </x:c>
      <x:c r="F2" s="17" t="n">
        <x:v>185000</x:v>
      </x:c>
      <x:c r="G2" s="13" t="str">
        <x:v>Concluída</x:v>
      </x:c>
      <x:c r="H2" s="25" t="n">
        <x:v>100</x:v>
      </x:c>
      <x:c r="I2" s="13" t="str">
        <x:v>Fechamento em D+5</x:v>
      </x:c>
      <x:c r="J2" s="13" t="n">
        <x:v>18.9</x:v>
      </x:c>
      <x:c r="K2" s="13" t="str">
        <x:v>p.p.</x:v>
      </x:c>
      <x:c r="L2" s="13" t="n">
        <x:v>6</x:v>
      </x:c>
      <x:c r="M2" s="13" t="str">
        <x:v>Alta</x:v>
      </x:c>
    </x:row>
    <x:row r="3">
      <x:c r="A3" s="13" t="str">
        <x:v>INI-002</x:v>
      </x:c>
      <x:c r="B3" s="23" t="n">
        <x:v>45778</x:v>
      </x:c>
      <x:c r="C3" s="13" t="str">
        <x:v>Tecnologia</x:v>
      </x:c>
      <x:c r="D3" s="13" t="str">
        <x:v>Integração bancária via API</x:v>
      </x:c>
      <x:c r="E3" s="13" t="str">
        <x:v>Automatizar importação e conciliação de movimentos</x:v>
      </x:c>
      <x:c r="F3" s="17" t="n">
        <x:v>320000</x:v>
      </x:c>
      <x:c r="G3" s="13" t="str">
        <x:v>Concluída</x:v>
      </x:c>
      <x:c r="H3" s="25" t="n">
        <x:v>100</x:v>
      </x:c>
      <x:c r="I3" s="13" t="str">
        <x:v>Taxa de conciliação</x:v>
      </x:c>
      <x:c r="J3" s="13" t="n">
        <x:v>11.8</x:v>
      </x:c>
      <x:c r="K3" s="13" t="str">
        <x:v>p.p.</x:v>
      </x:c>
      <x:c r="L3" s="13" t="n">
        <x:v>12</x:v>
      </x:c>
      <x:c r="M3" s="13" t="str">
        <x:v>Alta</x:v>
      </x:c>
    </x:row>
    <x:row r="4">
      <x:c r="A4" s="13" t="str">
        <x:v>INI-003</x:v>
      </x:c>
      <x:c r="B4" s="23" t="n">
        <x:v>45797</x:v>
      </x:c>
      <x:c r="C4" s="13" t="str">
        <x:v>Cobrança</x:v>
      </x:c>
      <x:c r="D4" s="13" t="str">
        <x:v>Régua inteligente de cobrança</x:v>
      </x:c>
      <x:c r="E4" s="13" t="str">
        <x:v>Priorizar clientes por risco e propensão de pagamento</x:v>
      </x:c>
      <x:c r="F4" s="17" t="n">
        <x:v>145000</x:v>
      </x:c>
      <x:c r="G4" s="13" t="str">
        <x:v>Concluída</x:v>
      </x:c>
      <x:c r="H4" s="25" t="n">
        <x:v>100</x:v>
      </x:c>
      <x:c r="I4" s="13" t="str">
        <x:v>Inadimplência</x:v>
      </x:c>
      <x:c r="J4" s="13" t="n">
        <x:v>-7.9</x:v>
      </x:c>
      <x:c r="K4" s="13" t="str">
        <x:v>p.p.</x:v>
      </x:c>
      <x:c r="L4" s="13" t="n">
        <x:v>8</x:v>
      </x:c>
      <x:c r="M4" s="13" t="str">
        <x:v>Alta</x:v>
      </x:c>
    </x:row>
    <x:row r="5">
      <x:c r="A5" s="13" t="str">
        <x:v>INI-004</x:v>
      </x:c>
      <x:c r="B5" s="23" t="n">
        <x:v>45818</x:v>
      </x:c>
      <x:c r="C5" s="13" t="str">
        <x:v>Dados</x:v>
      </x:c>
      <x:c r="D5" s="13" t="str">
        <x:v>Forecast de caixa por cenários</x:v>
      </x:c>
      <x:c r="E5" s="13" t="str">
        <x:v>Aumentar previsibilidade de entradas e saídas</x:v>
      </x:c>
      <x:c r="F5" s="17" t="n">
        <x:v>135000</x:v>
      </x:c>
      <x:c r="G5" s="13" t="str">
        <x:v>Concluída</x:v>
      </x:c>
      <x:c r="H5" s="25" t="n">
        <x:v>100</x:v>
      </x:c>
      <x:c r="I5" s="13" t="str">
        <x:v>Acurácia do forecast</x:v>
      </x:c>
      <x:c r="J5" s="13" t="n">
        <x:v>29.2</x:v>
      </x:c>
      <x:c r="K5" s="13" t="str">
        <x:v>p.p.</x:v>
      </x:c>
      <x:c r="L5" s="13" t="n">
        <x:v>7</x:v>
      </x:c>
      <x:c r="M5" s="13" t="str">
        <x:v>Alta</x:v>
      </x:c>
    </x:row>
    <x:row r="6">
      <x:c r="A6" s="13" t="str">
        <x:v>INI-005</x:v>
      </x:c>
      <x:c r="B6" s="23" t="n">
        <x:v>45839</x:v>
      </x:c>
      <x:c r="C6" s="13" t="str">
        <x:v>Pessoas</x:v>
      </x:c>
      <x:c r="D6" s="13" t="str">
        <x:v>Células por carteira de clientes</x:v>
      </x:c>
      <x:c r="E6" s="13" t="str">
        <x:v>Criar donos claros para cada operação</x:v>
      </x:c>
      <x:c r="F6" s="17" t="n">
        <x:v>88000</x:v>
      </x:c>
      <x:c r="G6" s="13" t="str">
        <x:v>Concluída</x:v>
      </x:c>
      <x:c r="H6" s="25" t="n">
        <x:v>100</x:v>
      </x:c>
      <x:c r="I6" s="13" t="str">
        <x:v>NPS</x:v>
      </x:c>
      <x:c r="J6" s="13" t="n">
        <x:v>19</x:v>
      </x:c>
      <x:c r="K6" s="13" t="str">
        <x:v>pontos</x:v>
      </x:c>
      <x:c r="L6" s="13" t="n">
        <x:v>5</x:v>
      </x:c>
      <x:c r="M6" s="13" t="str">
        <x:v>Média</x:v>
      </x:c>
    </x:row>
    <x:row r="7">
      <x:c r="A7" s="13" t="str">
        <x:v>INI-006</x:v>
      </x:c>
      <x:c r="B7" s="23" t="n">
        <x:v>45874</x:v>
      </x:c>
      <x:c r="C7" s="13" t="str">
        <x:v>Governança</x:v>
      </x:c>
      <x:c r="D7" s="13" t="str">
        <x:v>Ritual semanal de indicadores</x:v>
      </x:c>
      <x:c r="E7" s="13" t="str">
        <x:v>Antecipar desvios e acelerar decisões</x:v>
      </x:c>
      <x:c r="F7" s="17" t="n">
        <x:v>42000</x:v>
      </x:c>
      <x:c r="G7" s="13" t="str">
        <x:v>Concluída</x:v>
      </x:c>
      <x:c r="H7" s="25" t="n">
        <x:v>100</x:v>
      </x:c>
      <x:c r="I7" s="13" t="str">
        <x:v>Tempo de resposta</x:v>
      </x:c>
      <x:c r="J7" s="13" t="n">
        <x:v>-48</x:v>
      </x:c>
      <x:c r="K7" s="13" t="str">
        <x:v>%</x:v>
      </x:c>
      <x:c r="L7" s="13" t="n">
        <x:v>3</x:v>
      </x:c>
      <x:c r="M7" s="13" t="str">
        <x:v>Média</x:v>
      </x:c>
    </x:row>
    <x:row r="8">
      <x:c r="A8" s="13" t="str">
        <x:v>INI-007</x:v>
      </x:c>
      <x:c r="B8" s="23" t="n">
        <x:v>45901</x:v>
      </x:c>
      <x:c r="C8" s="13" t="str">
        <x:v>Automação</x:v>
      </x:c>
      <x:c r="D8" s="13" t="str">
        <x:v>Robôs de baixa e classificação</x:v>
      </x:c>
      <x:c r="E8" s="13" t="str">
        <x:v>Eliminar tarefas repetitivas e erros de digitação</x:v>
      </x:c>
      <x:c r="F8" s="17" t="n">
        <x:v>275000</x:v>
      </x:c>
      <x:c r="G8" s="13" t="str">
        <x:v>Concluída</x:v>
      </x:c>
      <x:c r="H8" s="25" t="n">
        <x:v>100</x:v>
      </x:c>
      <x:c r="I8" s="13" t="str">
        <x:v>Horas manuais</x:v>
      </x:c>
      <x:c r="J8" s="13" t="n">
        <x:v>-58</x:v>
      </x:c>
      <x:c r="K8" s="13" t="str">
        <x:v>%</x:v>
      </x:c>
      <x:c r="L8" s="13" t="n">
        <x:v>11</x:v>
      </x:c>
      <x:c r="M8" s="13" t="str">
        <x:v>Alta</x:v>
      </x:c>
    </x:row>
    <x:row r="9">
      <x:c r="A9" s="13" t="str">
        <x:v>INI-008</x:v>
      </x:c>
      <x:c r="B9" s="23" t="n">
        <x:v>45940</x:v>
      </x:c>
      <x:c r="C9" s="13" t="str">
        <x:v>Customer Success</x:v>
      </x:c>
      <x:c r="D9" s="13" t="str">
        <x:v>Portal financeiro do cliente</x:v>
      </x:c>
      <x:c r="E9" s="13" t="str">
        <x:v>Entregar visão de caixa, cobranças e pendências</x:v>
      </x:c>
      <x:c r="F9" s="17" t="n">
        <x:v>210000</x:v>
      </x:c>
      <x:c r="G9" s="13" t="str">
        <x:v>Concluída</x:v>
      </x:c>
      <x:c r="H9" s="25" t="n">
        <x:v>100</x:v>
      </x:c>
      <x:c r="I9" s="13" t="str">
        <x:v>Chamados operacionais</x:v>
      </x:c>
      <x:c r="J9" s="13" t="n">
        <x:v>-36</x:v>
      </x:c>
      <x:c r="K9" s="13" t="str">
        <x:v>%</x:v>
      </x:c>
      <x:c r="L9" s="13" t="n">
        <x:v>13</x:v>
      </x:c>
      <x:c r="M9" s="13" t="str">
        <x:v>Média</x:v>
      </x:c>
    </x:row>
    <x:row r="10">
      <x:c r="A10" s="13" t="str">
        <x:v>INI-009</x:v>
      </x:c>
      <x:c r="B10" s="23" t="n">
        <x:v>46037</x:v>
      </x:c>
      <x:c r="C10" s="13" t="str">
        <x:v>Analytics</x:v>
      </x:c>
      <x:c r="D10" s="13" t="str">
        <x:v>Score financeiro preditivo</x:v>
      </x:c>
      <x:c r="E10" s="13" t="str">
        <x:v>Identificar risco de atraso antes do vencimento</x:v>
      </x:c>
      <x:c r="F10" s="17" t="n">
        <x:v>245000</x:v>
      </x:c>
      <x:c r="G10" s="13" t="str">
        <x:v>Em andamento</x:v>
      </x:c>
      <x:c r="H10" s="25" t="n">
        <x:v>74</x:v>
      </x:c>
      <x:c r="I10" s="13" t="str">
        <x:v>Atrasos acima de 30 dias</x:v>
      </x:c>
      <x:c r="J10" s="13" t="n">
        <x:v>-28</x:v>
      </x:c>
      <x:c r="K10" s="13" t="str">
        <x:v>%</x:v>
      </x:c>
      <x:c r="L10" s="13" t="n">
        <x:v>15</x:v>
      </x:c>
      <x:c r="M10" s="13" t="str">
        <x:v>Alta</x:v>
      </x:c>
    </x:row>
    <x:row r="11">
      <x:c r="A11" s="13" t="str">
        <x:v>INI-010</x:v>
      </x:c>
      <x:c r="B11" s="23" t="n">
        <x:v>46054</x:v>
      </x:c>
      <x:c r="C11" s="13" t="str">
        <x:v>Produto</x:v>
      </x:c>
      <x:c r="D11" s="13" t="str">
        <x:v>Benchmark setorial</x:v>
      </x:c>
      <x:c r="E11" s="13" t="str">
        <x:v>Comparar performance financeira por segmento</x:v>
      </x:c>
      <x:c r="F11" s="17" t="n">
        <x:v>160000</x:v>
      </x:c>
      <x:c r="G11" s="13" t="str">
        <x:v>Em andamento</x:v>
      </x:c>
      <x:c r="H11" s="25" t="n">
        <x:v>58</x:v>
      </x:c>
      <x:c r="I11" s="13" t="str">
        <x:v>Retenção de clientes</x:v>
      </x:c>
      <x:c r="J11" s="13" t="n">
        <x:v>5.2</x:v>
      </x:c>
      <x:c r="K11" s="13" t="str">
        <x:v>p.p.</x:v>
      </x:c>
      <x:c r="L11" s="13" t="n">
        <x:v>18</x:v>
      </x:c>
      <x:c r="M11" s="13" t="str">
        <x:v>Média</x:v>
      </x:c>
    </x:row>
  </x:sheetData>
  <x:conditionalFormatting sqref="H2:H11">
    <x:cfRule type="dataBar" priority="1">
      <x:dataBar>
        <x:cfvo type="min"/>
        <x:cfvo type="max"/>
        <x:color rgb="FFD7AD54"/>
      </x:dataBar>
      <x:extLst>
        <x:ext xmlns:x14="http://schemas.microsoft.com/office/spreadsheetml/2009/9/main" uri="{B025F937-C7B1-47D3-B67F-A62EFF666E3E}">
          <x14:id>{7077DD3C-3A6A-9B73-1B4A-8B8F5CE79C79}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9afdc8f3821448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077DD3C-3A6A-9B73-1B4A-8B8F5CE79C79}">
            <x14:dataBar gradient="1">
              <x14:cfvo type="min"/>
              <x14:cfvo type="max"/>
              <x14:fillColor rgb="FFD7AD54"/>
            </x14:dataBar>
          </x14:cfRule>
          <xm:sqref>H2:H11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4" customHeight="1">
      <x:c r="A1" s="6" t="str">
        <x:v>KPI</x:v>
      </x:c>
      <x:c r="B1" s="6" t="str">
        <x:v>Categoria</x:v>
      </x:c>
      <x:c r="C1" s="6" t="str">
        <x:v>Meta_Jun_2026</x:v>
      </x:c>
      <x:c r="D1" s="6" t="str">
        <x:v>Resultado_Jun_2026</x:v>
      </x:c>
      <x:c r="E1" s="6" t="str">
        <x:v>Unidade</x:v>
      </x:c>
      <x:c r="F1" s="6" t="str">
        <x:v>Pilar</x:v>
      </x:c>
      <x:c r="G1" s="6" t="str">
        <x:v>Desvio_Absoluto</x:v>
      </x:c>
      <x:c r="H1" s="6" t="str">
        <x:v>Atingimento_%</x:v>
      </x:c>
      <x:c r="I1" s="6" t="str">
        <x:v>Status_Meta</x:v>
      </x:c>
    </x:row>
    <x:row r="2">
      <x:c r="A2" s="13" t="str">
        <x:v>Clientes ativos</x:v>
      </x:c>
      <x:c r="B2" s="13" t="str">
        <x:v>Crescimento</x:v>
      </x:c>
      <x:c r="C2" s="13" t="n">
        <x:v>30</x:v>
      </x:c>
      <x:c r="D2" s="13" t="n">
        <x:v>28</x:v>
      </x:c>
      <x:c r="E2" s="13" t="str">
        <x:v>clientes</x:v>
      </x:c>
      <x:c r="F2" s="13" t="str">
        <x:v>Escala</x:v>
      </x:c>
      <x:c r="G2" s="13" t="n">
        <x:f>D2-C2</x:f>
        <x:v>-2</x:v>
      </x:c>
      <x:c r="H2" s="19" t="n">
        <x:f>IFERROR(D2/C2,0)</x:f>
        <x:v>0.9333333333333333</x:v>
      </x:c>
      <x:c r="I2" s="13" t="str">
        <x:f>IF(D2&gt;=C2,"Atingida","Abaixo da meta")</x:f>
        <x:v>Abaixo da meta</x:v>
      </x:c>
    </x:row>
    <x:row r="3">
      <x:c r="A3" s="13" t="str">
        <x:v>Transações processadas</x:v>
      </x:c>
      <x:c r="B3" s="13" t="str">
        <x:v>Crescimento</x:v>
      </x:c>
      <x:c r="C3" s="13" t="n">
        <x:v>48000</x:v>
      </x:c>
      <x:c r="D3" s="13" t="n">
        <x:v>49539</x:v>
      </x:c>
      <x:c r="E3" s="13" t="str">
        <x:v>transações</x:v>
      </x:c>
      <x:c r="F3" s="13" t="str">
        <x:v>Escala</x:v>
      </x:c>
      <x:c r="G3" s="13" t="n">
        <x:f>D3-C3</x:f>
        <x:v>1539</x:v>
      </x:c>
      <x:c r="H3" s="19" t="n">
        <x:f>IFERROR(D3/C3,0)</x:f>
        <x:v>1.0320625</x:v>
      </x:c>
      <x:c r="I3" s="13" t="str">
        <x:f>IF(D3&gt;=C3,"Atingida","Abaixo da meta")</x:f>
        <x:v>Atingida</x:v>
      </x:c>
    </x:row>
    <x:row r="4">
      <x:c r="A4" s="13" t="str">
        <x:v>Receita mensal recorrente</x:v>
      </x:c>
      <x:c r="B4" s="13" t="str">
        <x:v>Financeiro</x:v>
      </x:c>
      <x:c r="C4" s="13" t="n">
        <x:v>225000</x:v>
      </x:c>
      <x:c r="D4" s="13" t="n">
        <x:v>236772.6840959709</x:v>
      </x:c>
      <x:c r="E4" s="13" t="str">
        <x:v>R$</x:v>
      </x:c>
      <x:c r="F4" s="13" t="str">
        <x:v>Rentabilidade</x:v>
      </x:c>
      <x:c r="G4" s="13" t="n">
        <x:f>D4-C4</x:f>
        <x:v>11772.684095970908</x:v>
      </x:c>
      <x:c r="H4" s="19" t="n">
        <x:f>IFERROR(D4/C4,0)</x:f>
        <x:v>1.0523230404265373</x:v>
      </x:c>
      <x:c r="I4" s="13" t="str">
        <x:f>IF(D4&gt;=C4,"Atingida","Abaixo da meta")</x:f>
        <x:v>Atingida</x:v>
      </x:c>
    </x:row>
    <x:row r="5">
      <x:c r="A5" s="13" t="str">
        <x:v>Margem bruta</x:v>
      </x:c>
      <x:c r="B5" s="13" t="str">
        <x:v>Financeiro</x:v>
      </x:c>
      <x:c r="C5" s="13" t="n">
        <x:v>0.42</x:v>
      </x:c>
      <x:c r="D5" s="13" t="n">
        <x:v>0.4334481719785289</x:v>
      </x:c>
      <x:c r="E5" s="13" t="str">
        <x:v>%</x:v>
      </x:c>
      <x:c r="F5" s="13" t="str">
        <x:v>Rentabilidade</x:v>
      </x:c>
      <x:c r="G5" s="13" t="n">
        <x:f>D5-C5</x:f>
        <x:v>0.013448171978528933</x:v>
      </x:c>
      <x:c r="H5" s="19" t="n">
        <x:f>IFERROR(D5/C5,0)</x:f>
        <x:v>1.0320194570917356</x:v>
      </x:c>
      <x:c r="I5" s="13" t="str">
        <x:f>IF(D5&gt;=C5,"Atingida","Abaixo da meta")</x:f>
        <x:v>Atingida</x:v>
      </x:c>
    </x:row>
    <x:row r="6">
      <x:c r="A6" s="13" t="str">
        <x:v>Fechamentos em D+5</x:v>
      </x:c>
      <x:c r="B6" s="13" t="str">
        <x:v>Eficiência</x:v>
      </x:c>
      <x:c r="C6" s="13" t="n">
        <x:v>96</x:v>
      </x:c>
      <x:c r="D6" s="13" t="n">
        <x:v>98.41497511890474</x:v>
      </x:c>
      <x:c r="E6" s="13" t="str">
        <x:v>%</x:v>
      </x:c>
      <x:c r="F6" s="13" t="str">
        <x:v>Excelência</x:v>
      </x:c>
      <x:c r="G6" s="13" t="n">
        <x:f>D6-C6</x:f>
        <x:v>2.414975118904735</x:v>
      </x:c>
      <x:c r="H6" s="19" t="n">
        <x:f>IFERROR(D6/C6,0)</x:f>
        <x:v>1.0251559908219243</x:v>
      </x:c>
      <x:c r="I6" s="13" t="str">
        <x:f>IF(D6&gt;=C6,"Atingida","Abaixo da meta")</x:f>
        <x:v>Atingida</x:v>
      </x:c>
    </x:row>
    <x:row r="7">
      <x:c r="A7" s="13" t="str">
        <x:v>Taxa de conciliação</x:v>
      </x:c>
      <x:c r="B7" s="13" t="str">
        <x:v>Eficiência</x:v>
      </x:c>
      <x:c r="C7" s="13" t="n">
        <x:v>99</x:v>
      </x:c>
      <x:c r="D7" s="13" t="n">
        <x:v>99.27410614921325</x:v>
      </x:c>
      <x:c r="E7" s="13" t="str">
        <x:v>%</x:v>
      </x:c>
      <x:c r="F7" s="13" t="str">
        <x:v>Excelência</x:v>
      </x:c>
      <x:c r="G7" s="13" t="n">
        <x:f>D7-C7</x:f>
        <x:v>0.27410614921325305</x:v>
      </x:c>
      <x:c r="H7" s="19" t="n">
        <x:f>IFERROR(D7/C7,0)</x:f>
        <x:v>1.0027687489819521</x:v>
      </x:c>
      <x:c r="I7" s="13" t="str">
        <x:f>IF(D7&gt;=C7,"Atingida","Abaixo da meta")</x:f>
        <x:v>Atingida</x:v>
      </x:c>
    </x:row>
    <x:row r="8">
      <x:c r="A8" s="13" t="str">
        <x:v>Inadimplência</x:v>
      </x:c>
      <x:c r="B8" s="13" t="str">
        <x:v>Risco</x:v>
      </x:c>
      <x:c r="C8" s="13" t="n">
        <x:v>6</x:v>
      </x:c>
      <x:c r="D8" s="13" t="n">
        <x:v>5.2876925979130736</x:v>
      </x:c>
      <x:c r="E8" s="13" t="str">
        <x:v>%</x:v>
      </x:c>
      <x:c r="F8" s="13" t="str">
        <x:v>Controle</x:v>
      </x:c>
      <x:c r="G8" s="13" t="n">
        <x:f>D8-C8</x:f>
        <x:v>-0.7123074020869264</x:v>
      </x:c>
      <x:c r="H8" s="19" t="n">
        <x:f>IFERROR(C8/D8,0)</x:f>
        <x:v>1.1347104410661197</x:v>
      </x:c>
      <x:c r="I8" s="13" t="str">
        <x:f>IF(D8&lt;=C8,"Atingida","Abaixo da meta")</x:f>
        <x:v>Atingida</x:v>
      </x:c>
    </x:row>
    <x:row r="9">
      <x:c r="A9" s="13" t="str">
        <x:v>DSO</x:v>
      </x:c>
      <x:c r="B9" s="13" t="str">
        <x:v>Risco</x:v>
      </x:c>
      <x:c r="C9" s="13" t="n">
        <x:v>32</x:v>
      </x:c>
      <x:c r="D9" s="13" t="n">
        <x:v>31.14148222765901</x:v>
      </x:c>
      <x:c r="E9" s="13" t="str">
        <x:v>dias</x:v>
      </x:c>
      <x:c r="F9" s="13" t="str">
        <x:v>Controle</x:v>
      </x:c>
      <x:c r="G9" s="13" t="n">
        <x:f>D9-C9</x:f>
        <x:v>-0.8585177723409885</x:v>
      </x:c>
      <x:c r="H9" s="19" t="n">
        <x:f>IFERROR(C9/D9,0)</x:f>
        <x:v>1.02756830153635</x:v>
      </x:c>
      <x:c r="I9" s="13" t="str">
        <x:f>IF(D9&lt;=C9,"Atingida","Abaixo da meta")</x:f>
        <x:v>Atingida</x:v>
      </x:c>
    </x:row>
    <x:row r="10">
      <x:c r="A10" s="13" t="str">
        <x:v>Acurácia do forecast</x:v>
      </x:c>
      <x:c r="B10" s="13" t="str">
        <x:v>Planejamento</x:v>
      </x:c>
      <x:c r="C10" s="13" t="n">
        <x:v>95</x:v>
      </x:c>
      <x:c r="D10" s="13" t="n">
        <x:v>95.9521217835213</x:v>
      </x:c>
      <x:c r="E10" s="13" t="str">
        <x:v>%</x:v>
      </x:c>
      <x:c r="F10" s="13" t="str">
        <x:v>Previsibilidade</x:v>
      </x:c>
      <x:c r="G10" s="13" t="n">
        <x:f>D10-C10</x:f>
        <x:v>0.9521217835213065</x:v>
      </x:c>
      <x:c r="H10" s="19" t="n">
        <x:f>IFERROR(D10/C10,0)</x:f>
        <x:v>1.010022334563382</x:v>
      </x:c>
      <x:c r="I10" s="13" t="str">
        <x:f>IF(D10&gt;=C10,"Atingida","Abaixo da meta")</x:f>
        <x:v>Atingida</x:v>
      </x:c>
    </x:row>
    <x:row r="11">
      <x:c r="A11" s="13" t="str">
        <x:v>Horas manuais mensais</x:v>
      </x:c>
      <x:c r="B11" s="13" t="str">
        <x:v>Produtividade</x:v>
      </x:c>
      <x:c r="C11" s="13" t="n">
        <x:v>620</x:v>
      </x:c>
      <x:c r="D11" s="13" t="n">
        <x:v>610</x:v>
      </x:c>
      <x:c r="E11" s="13" t="str">
        <x:v>horas</x:v>
      </x:c>
      <x:c r="F11" s="13" t="str">
        <x:v>Automação</x:v>
      </x:c>
      <x:c r="G11" s="13" t="n">
        <x:f>D11-C11</x:f>
        <x:v>-10</x:v>
      </x:c>
      <x:c r="H11" s="19" t="n">
        <x:f>IFERROR(C11/D11,0)</x:f>
        <x:v>1.0163934426229508</x:v>
      </x:c>
      <x:c r="I11" s="13" t="str">
        <x:f>IF(D11&lt;=C11,"Atingida","Abaixo da meta")</x:f>
        <x:v>Atingida</x:v>
      </x:c>
    </x:row>
    <x:row r="12">
      <x:c r="A12" s="13" t="str">
        <x:v>Erros por mil lançamentos</x:v>
      </x:c>
      <x:c r="B12" s="13" t="str">
        <x:v>Qualidade</x:v>
      </x:c>
      <x:c r="C12" s="13" t="n">
        <x:v>3</x:v>
      </x:c>
      <x:c r="D12" s="13" t="n">
        <x:v>3.1272833847530404</x:v>
      </x:c>
      <x:c r="E12" s="13" t="str">
        <x:v>erros</x:v>
      </x:c>
      <x:c r="F12" s="13" t="str">
        <x:v>Excelência</x:v>
      </x:c>
      <x:c r="G12" s="13" t="n">
        <x:f>D12-C12</x:f>
        <x:v>0.12728338475304035</x:v>
      </x:c>
      <x:c r="H12" s="19" t="n">
        <x:f>IFERROR(C12/D12,0)</x:f>
        <x:v>0.9592990563715441</x:v>
      </x:c>
      <x:c r="I12" s="13" t="str">
        <x:f>IF(D12&lt;=C12,"Atingida","Abaixo da meta")</x:f>
        <x:v>Abaixo da meta</x:v>
      </x:c>
    </x:row>
    <x:row r="13">
      <x:c r="A13" s="13" t="str">
        <x:v>NPS</x:v>
      </x:c>
      <x:c r="B13" s="13" t="str">
        <x:v>Cliente</x:v>
      </x:c>
      <x:c r="C13" s="13" t="n">
        <x:v>76</x:v>
      </x:c>
      <x:c r="D13" s="13" t="n">
        <x:v>76.8286688694834</x:v>
      </x:c>
      <x:c r="E13" s="13" t="str">
        <x:v>pontos</x:v>
      </x:c>
      <x:c r="F13" s="13" t="str">
        <x:v>Experiência</x:v>
      </x:c>
      <x:c r="G13" s="13" t="n">
        <x:f>D13-C13</x:f>
        <x:v>0.8286688694833941</x:v>
      </x:c>
      <x:c r="H13" s="19" t="n">
        <x:f>IFERROR(D13/C13,0)</x:f>
        <x:v>1.0109035377563604</x:v>
      </x:c>
      <x:c r="I13" s="13" t="str">
        <x:f>IF(D13&gt;=C13,"Atingida","Abaixo da meta")</x:f>
        <x:v>Atingida</x:v>
      </x:c>
    </x:row>
  </x:sheetData>
  <x:conditionalFormatting sqref="I2:I13">
    <x:cfRule type="expression" dxfId="1" priority="1">
      <x:formula>I2="Atingida"</x:formula>
    </x:cfRule>
    <x:cfRule type="expression" dxfId="2" priority="2">
      <x:formula>I2="Abaixo da meta"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6a415024e742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55" t="str">
        <x:v>VALORA — HISTÓRIA DOS DADOS</x:v>
      </x:c>
      <x:c r="B1" s="55"/>
      <x:c r="C1" s="55"/>
      <x:c r="D1" s="55"/>
      <x:c r="E1" s="55"/>
      <x:c r="F1" s="55"/>
      <x:c r="G1" s="55"/>
      <x:c r="H1" s="55"/>
      <x:c r="J1" t="str">
        <x:v>Mês</x:v>
      </x:c>
      <x:c r="K1" t="str">
        <x:v>Receita</x:v>
      </x:c>
      <x:c r="L1" t="str">
        <x:v>Margem</x:v>
      </x:c>
      <x:c r="M1" t="str">
        <x:v>NPS</x:v>
      </x:c>
    </x:row>
    <x:row r="2" ht="22" customHeight="1">
      <x:c r="A2" s="55"/>
      <x:c r="B2" s="55"/>
      <x:c r="C2" s="55"/>
      <x:c r="D2" s="55"/>
      <x:c r="E2" s="55"/>
      <x:c r="F2" s="55"/>
      <x:c r="G2" s="55"/>
      <x:c r="H2" s="55"/>
      <x:c r="J2" s="49" t="n">
        <x:v>45292</x:v>
      </x:c>
      <x:c r="K2" s="51" t="n">
        <x:v>74297.55106523697</x:v>
      </x:c>
      <x:c r="L2" s="53" t="n">
        <x:v>0.35851665652887355</x:v>
      </x:c>
      <x:c r="M2" t="n">
        <x:v>61.20238295711849</x:v>
      </x:c>
    </x:row>
    <x:row r="3" ht="22" customHeight="1">
      <x:c r="A3" s="35" t="str">
        <x:v>Do crescimento desorganizado à escala financeira inteligente | Jan/2024 a Jun/2026</x:v>
      </x:c>
      <x:c r="B3" s="35"/>
      <x:c r="C3" s="35"/>
      <x:c r="D3" s="35"/>
      <x:c r="E3" s="35"/>
      <x:c r="F3" s="35"/>
      <x:c r="G3" s="35"/>
      <x:c r="H3" s="35"/>
      <x:c r="J3" s="49" t="n">
        <x:v>45323</x:v>
      </x:c>
      <x:c r="K3" s="51" t="n">
        <x:v>80784.2251232777</x:v>
      </x:c>
      <x:c r="L3" s="53" t="n">
        <x:v>0.3579903214180764</x:v>
      </x:c>
      <x:c r="M3" t="n">
        <x:v>61.56851601409524</x:v>
      </x:c>
    </x:row>
    <x:row r="4" ht="22" customHeight="1">
      <x:c r="A4" s="33"/>
      <x:c r="B4" s="33"/>
      <x:c r="C4" s="33"/>
      <x:c r="D4" s="33"/>
      <x:c r="E4" s="33"/>
      <x:c r="F4" s="33"/>
      <x:c r="G4" s="33"/>
      <x:c r="H4" s="33"/>
      <x:c r="J4" s="49" t="n">
        <x:v>45352</x:v>
      </x:c>
      <x:c r="K4" s="51" t="n">
        <x:v>88241.44329076272</x:v>
      </x:c>
      <x:c r="L4" s="53" t="n">
        <x:v>0.35367150143990594</x:v>
      </x:c>
      <x:c r="M4" t="n">
        <x:v>60.804941983119406</x:v>
      </x:c>
    </x:row>
    <x:row r="5" ht="22" customHeight="1">
      <x:c r="A5" s="56" t="str">
        <x:v>CLIENTES ATIVOS
28</x:v>
      </x:c>
      <x:c r="B5" s="56"/>
      <x:c r="C5" s="56" t="str">
        <x:v>RECEITA MENSAL
236772.6840959709</x:v>
      </x:c>
      <x:c r="D5" s="56"/>
      <x:c r="E5" s="56" t="str">
        <x:v>CONCILIAÇÃO
99.27410614921325</x:v>
      </x:c>
      <x:c r="F5" s="56"/>
      <x:c r="G5" s="56" t="str">
        <x:v>NPS
76.8286688694834</x:v>
      </x:c>
      <x:c r="H5" s="56"/>
      <x:c r="J5" s="49" t="n">
        <x:v>45383</x:v>
      </x:c>
      <x:c r="K5" s="51" t="n">
        <x:v>90538.79898074007</x:v>
      </x:c>
      <x:c r="L5" s="53" t="n">
        <x:v>0.3482545497919222</x:v>
      </x:c>
      <x:c r="M5" t="n">
        <x:v>59.65019056534796</x:v>
      </x:c>
    </x:row>
    <x:row r="6" ht="22" customHeight="1">
      <x:c r="A6" s="56"/>
      <x:c r="B6" s="56"/>
      <x:c r="C6" s="56"/>
      <x:c r="D6" s="56"/>
      <x:c r="E6" s="56"/>
      <x:c r="F6" s="56"/>
      <x:c r="G6" s="56"/>
      <x:c r="H6" s="56"/>
      <x:c r="J6" s="49" t="n">
        <x:v>45413</x:v>
      </x:c>
      <x:c r="K6" s="51" t="n">
        <x:v>98329.30705311807</x:v>
      </x:c>
      <x:c r="L6" s="53" t="n">
        <x:v>0.34984720104407285</x:v>
      </x:c>
      <x:c r="M6" t="n">
        <x:v>59.36625564149672</x:v>
      </x:c>
    </x:row>
    <x:row r="7" ht="22" customHeight="1">
      <x:c r="A7" s="56"/>
      <x:c r="B7" s="56"/>
      <x:c r="C7" s="56"/>
      <x:c r="D7" s="56"/>
      <x:c r="E7" s="56"/>
      <x:c r="F7" s="56"/>
      <x:c r="G7" s="56"/>
      <x:c r="H7" s="56"/>
      <x:c r="J7" s="49" t="n">
        <x:v>45444</x:v>
      </x:c>
      <x:c r="K7" s="51" t="n">
        <x:v>99420.46198176568</x:v>
      </x:c>
      <x:c r="L7" s="53" t="n">
        <x:v>0.3434439688253375</x:v>
      </x:c>
      <x:c r="M7" t="n">
        <x:v>59.126316470397896</x:v>
      </x:c>
    </x:row>
    <x:row r="8" ht="22" customHeight="1">
      <x:c r="A8" s="33"/>
      <x:c r="B8" s="33"/>
      <x:c r="C8" s="33"/>
      <x:c r="D8" s="33"/>
      <x:c r="E8" s="33"/>
      <x:c r="F8" s="33"/>
      <x:c r="G8" s="33"/>
      <x:c r="H8" s="33"/>
      <x:c r="J8" s="49" t="n">
        <x:v>45474</x:v>
      </x:c>
      <x:c r="K8" s="51" t="n">
        <x:v>106910.5693339348</x:v>
      </x:c>
      <x:c r="L8" s="53" t="n">
        <x:v>0.33817447571071874</x:v>
      </x:c>
      <x:c r="M8" t="n">
        <x:v>58.92713838210739</x:v>
      </x:c>
    </x:row>
    <x:row r="9" ht="22" customHeight="1">
      <x:c r="A9" s="33"/>
      <x:c r="B9" s="33"/>
      <x:c r="C9" s="33"/>
      <x:c r="D9" s="33"/>
      <x:c r="E9" s="33"/>
      <x:c r="F9" s="33"/>
      <x:c r="G9" s="33"/>
      <x:c r="H9" s="33"/>
      <x:c r="J9" s="49" t="n">
        <x:v>45505</x:v>
      </x:c>
      <x:c r="K9" s="51" t="n">
        <x:v>108310.7645162402</x:v>
      </x:c>
      <x:c r="L9" s="53" t="n">
        <x:v>0.321858049295587</x:v>
      </x:c>
      <x:c r="M9" t="n">
        <x:v>56.34172501112744</x:v>
      </x:c>
    </x:row>
    <x:row r="10" ht="22" customHeight="1">
      <x:c r="A10" s="57" t="str">
        <x:v>Indicador</x:v>
      </x:c>
      <x:c r="B10" s="57" t="str">
        <x:v>Pico da crise</x:v>
      </x:c>
      <x:c r="C10" s="57" t="str">
        <x:v>Jun/2026</x:v>
      </x:c>
      <x:c r="D10" s="33"/>
      <x:c r="E10" s="33"/>
      <x:c r="F10" s="33"/>
      <x:c r="G10" s="33"/>
      <x:c r="H10" s="33"/>
      <x:c r="J10" s="49" t="n">
        <x:v>45536</x:v>
      </x:c>
      <x:c r="K10" s="51" t="n">
        <x:v>110802.84764689385</x:v>
      </x:c>
      <x:c r="L10" s="53" t="n">
        <x:v>0.31084175080884274</x:v>
      </x:c>
      <x:c r="M10" t="n">
        <x:v>52.53204058597005</x:v>
      </x:c>
    </x:row>
    <x:row r="11" ht="22" customHeight="1">
      <x:c r="A11" s="58" t="str">
        <x:v>Fechamentos em D+5</x:v>
      </x:c>
      <x:c r="B11" s="58" t="n">
        <x:v>71.2</x:v>
      </x:c>
      <x:c r="C11" s="58" t="n">
        <x:v>98.4</x:v>
      </x:c>
      <x:c r="D11" s="33"/>
      <x:c r="E11" s="33"/>
      <x:c r="F11" s="33"/>
      <x:c r="G11" s="33"/>
      <x:c r="H11" s="33"/>
      <x:c r="J11" s="49" t="n">
        <x:v>45566</x:v>
      </x:c>
      <x:c r="K11" s="51" t="n">
        <x:v>114060.9670909109</x:v>
      </x:c>
      <x:c r="L11" s="53" t="n">
        <x:v>0.2919097766154899</x:v>
      </x:c>
      <x:c r="M11" t="n">
        <x:v>50.79618645470303</x:v>
      </x:c>
    </x:row>
    <x:row r="12" ht="22" customHeight="1">
      <x:c r="A12" s="58" t="str">
        <x:v>Conciliação</x:v>
      </x:c>
      <x:c r="B12" s="58" t="n">
        <x:v>80.2</x:v>
      </x:c>
      <x:c r="C12" s="58" t="n">
        <x:v>99.3</x:v>
      </x:c>
      <x:c r="D12" s="33"/>
      <x:c r="E12" s="33"/>
      <x:c r="F12" s="33"/>
      <x:c r="G12" s="33"/>
      <x:c r="H12" s="33"/>
      <x:c r="J12" s="49" t="n">
        <x:v>45597</x:v>
      </x:c>
      <x:c r="K12" s="51" t="n">
        <x:v>115030.17758855723</x:v>
      </x:c>
      <x:c r="L12" s="53" t="n">
        <x:v>0.2791502491332619</x:v>
      </x:c>
      <x:c r="M12" t="n">
        <x:v>48.26844785039418</x:v>
      </x:c>
    </x:row>
    <x:row r="13" ht="22" customHeight="1">
      <x:c r="A13" s="58" t="str">
        <x:v>Inadimplência</x:v>
      </x:c>
      <x:c r="B13" s="58" t="n">
        <x:v>15.7</x:v>
      </x:c>
      <x:c r="C13" s="58" t="n">
        <x:v>5.3</x:v>
      </x:c>
      <x:c r="D13" s="33"/>
      <x:c r="E13" s="33"/>
      <x:c r="F13" s="33"/>
      <x:c r="G13" s="33"/>
      <x:c r="H13" s="33"/>
      <x:c r="J13" s="49" t="n">
        <x:v>45627</x:v>
      </x:c>
      <x:c r="K13" s="51" t="n">
        <x:v>117408.95293813059</x:v>
      </x:c>
      <x:c r="L13" s="53" t="n">
        <x:v>0.26579784141593366</x:v>
      </x:c>
      <x:c r="M13" t="n">
        <x:v>45.265435863387886</x:v>
      </x:c>
    </x:row>
    <x:row r="14" ht="22" customHeight="1">
      <x:c r="A14" s="58" t="str">
        <x:v>DSO</x:v>
      </x:c>
      <x:c r="B14" s="58" t="n">
        <x:v>59.8</x:v>
      </x:c>
      <x:c r="C14" s="58" t="n">
        <x:v>31.1</x:v>
      </x:c>
      <x:c r="D14" s="33"/>
      <x:c r="E14" s="33"/>
      <x:c r="F14" s="33"/>
      <x:c r="G14" s="33"/>
      <x:c r="H14" s="33"/>
      <x:c r="J14" s="49" t="n">
        <x:v>45658</x:v>
      </x:c>
      <x:c r="K14" s="51" t="n">
        <x:v>124740.08246696755</x:v>
      </x:c>
      <x:c r="L14" s="53" t="n">
        <x:v>0.2513851344061751</x:v>
      </x:c>
      <x:c r="M14" t="n">
        <x:v>44.5719888841507</x:v>
      </x:c>
    </x:row>
    <x:row r="15" ht="22" customHeight="1">
      <x:c r="A15" s="58" t="str">
        <x:v>Acurácia forecast</x:v>
      </x:c>
      <x:c r="B15" s="58" t="n">
        <x:v>60.3</x:v>
      </x:c>
      <x:c r="C15" s="58" t="n">
        <x:v>96</x:v>
      </x:c>
      <x:c r="D15" s="33"/>
      <x:c r="E15" s="33"/>
      <x:c r="F15" s="33"/>
      <x:c r="G15" s="33"/>
      <x:c r="H15" s="33"/>
      <x:c r="J15" s="49" t="n">
        <x:v>45689</x:v>
      </x:c>
      <x:c r="K15" s="51" t="n">
        <x:v>132998.552369038</x:v>
      </x:c>
      <x:c r="L15" s="53" t="n">
        <x:v>0.25013230704126443</x:v>
      </x:c>
      <x:c r="M15" t="n">
        <x:v>42.889369354555306</x:v>
      </x:c>
    </x:row>
    <x:row r="16" ht="22" customHeight="1">
      <x:c r="A16" s="58" t="str">
        <x:v>NPS</x:v>
      </x:c>
      <x:c r="B16" s="58" t="n">
        <x:v>40.3</x:v>
      </x:c>
      <x:c r="C16" s="58" t="n">
        <x:v>76.8</x:v>
      </x:c>
      <x:c r="D16" s="33"/>
      <x:c r="E16" s="33"/>
      <x:c r="F16" s="33"/>
      <x:c r="G16" s="33"/>
      <x:c r="H16" s="33"/>
      <x:c r="J16" s="49" t="n">
        <x:v>45717</x:v>
      </x:c>
      <x:c r="K16" s="51" t="n">
        <x:v>135116.42644659706</x:v>
      </x:c>
      <x:c r="L16" s="53" t="n">
        <x:v>0.2364815502524449</x:v>
      </x:c>
      <x:c r="M16" t="n">
        <x:v>42.5172722819578</x:v>
      </x:c>
    </x:row>
    <x:row r="17" ht="22" customHeight="1">
      <x:c r="A17" s="33"/>
      <x:c r="B17" s="33"/>
      <x:c r="C17" s="33"/>
      <x:c r="D17" s="33"/>
      <x:c r="E17" s="33"/>
      <x:c r="F17" s="33"/>
      <x:c r="G17" s="33"/>
      <x:c r="H17" s="33"/>
      <x:c r="J17" s="49" t="n">
        <x:v>45748</x:v>
      </x:c>
      <x:c r="K17" s="51" t="n">
        <x:v>145027.79665305227</x:v>
      </x:c>
      <x:c r="L17" s="53" t="n">
        <x:v>0.22814787178425472</x:v>
      </x:c>
      <x:c r="M17" t="n">
        <x:v>40.28430477588896</x:v>
      </x:c>
    </x:row>
    <x:row r="18" ht="22" customHeight="1">
      <x:c r="A18" s="33"/>
      <x:c r="B18" s="33"/>
      <x:c r="C18" s="33"/>
      <x:c r="D18" s="33"/>
      <x:c r="E18" s="33"/>
      <x:c r="F18" s="33"/>
      <x:c r="G18" s="33"/>
      <x:c r="H18" s="33"/>
      <x:c r="J18" s="49" t="n">
        <x:v>45778</x:v>
      </x:c>
      <x:c r="K18" s="51" t="n">
        <x:v>153286.29978843135</x:v>
      </x:c>
      <x:c r="L18" s="53" t="n">
        <x:v>0.24179723037257067</x:v>
      </x:c>
      <x:c r="M18" t="n">
        <x:v>43.30996661540049</x:v>
      </x:c>
    </x:row>
    <x:row r="19" ht="22" customHeight="1">
      <x:c r="A19" s="33"/>
      <x:c r="B19" s="33"/>
      <x:c r="C19" s="33"/>
      <x:c r="D19" s="33"/>
      <x:c r="E19" s="33"/>
      <x:c r="F19" s="33"/>
      <x:c r="G19" s="33"/>
      <x:c r="H19" s="33"/>
      <x:c r="J19" s="49" t="n">
        <x:v>45809</x:v>
      </x:c>
      <x:c r="K19" s="51" t="n">
        <x:v>162553.26894723816</x:v>
      </x:c>
      <x:c r="L19" s="53" t="n">
        <x:v>0.2619618897624426</x:v>
      </x:c>
      <x:c r="M19" t="n">
        <x:v>46.22145237011098</x:v>
      </x:c>
    </x:row>
    <x:row r="20" ht="22" customHeight="1">
      <x:c r="A20" s="33"/>
      <x:c r="B20" s="33"/>
      <x:c r="C20" s="33"/>
      <x:c r="D20" s="33"/>
      <x:c r="E20" s="33"/>
      <x:c r="F20" s="33"/>
      <x:c r="G20" s="33"/>
      <x:c r="H20" s="33"/>
      <x:c r="J20" s="49" t="n">
        <x:v>45839</x:v>
      </x:c>
      <x:c r="K20" s="51" t="n">
        <x:v>172954.91286422205</x:v>
      </x:c>
      <x:c r="L20" s="53" t="n">
        <x:v>0.2782446133646769</x:v>
      </x:c>
      <x:c r="M20" t="n">
        <x:v>51.184849275949816</x:v>
      </x:c>
    </x:row>
    <x:row r="21" ht="22" customHeight="1">
      <x:c r="A21" s="33"/>
      <x:c r="B21" s="33"/>
      <x:c r="C21" s="33"/>
      <x:c r="D21" s="33"/>
      <x:c r="E21" s="33"/>
      <x:c r="F21" s="33"/>
      <x:c r="G21" s="33"/>
      <x:c r="H21" s="33"/>
      <x:c r="J21" s="49" t="n">
        <x:v>45870</x:v>
      </x:c>
      <x:c r="K21" s="51" t="n">
        <x:v>181920.7248203757</x:v>
      </x:c>
      <x:c r="L21" s="53" t="n">
        <x:v>0.2932644839268786</x:v>
      </x:c>
      <x:c r="M21" t="n">
        <x:v>54.61707389151832</x:v>
      </x:c>
    </x:row>
    <x:row r="22" ht="22" customHeight="1">
      <x:c r="A22" s="33"/>
      <x:c r="B22" s="33"/>
      <x:c r="C22" s="33"/>
      <x:c r="D22" s="33"/>
      <x:c r="E22" s="33"/>
      <x:c r="F22" s="33"/>
      <x:c r="G22" s="33"/>
      <x:c r="H22" s="33"/>
      <x:c r="J22" s="49" t="n">
        <x:v>45901</x:v>
      </x:c>
      <x:c r="K22" s="51" t="n">
        <x:v>192246.46048872132</x:v>
      </x:c>
      <x:c r="L22" s="53" t="n">
        <x:v>0.3128047251345103</x:v>
      </x:c>
      <x:c r="M22" t="n">
        <x:v>59.96732993212293</x:v>
      </x:c>
    </x:row>
    <x:row r="23" ht="22" customHeight="1">
      <x:c r="A23" s="33"/>
      <x:c r="B23" s="33"/>
      <x:c r="C23" s="33"/>
      <x:c r="D23" s="33"/>
      <x:c r="E23" s="33"/>
      <x:c r="F23" s="33"/>
      <x:c r="G23" s="33"/>
      <x:c r="H23" s="33"/>
      <x:c r="J23" s="49" t="n">
        <x:v>45931</x:v>
      </x:c>
      <x:c r="K23" s="51" t="n">
        <x:v>195827.04462815277</x:v>
      </x:c>
      <x:c r="L23" s="53" t="n">
        <x:v>0.33731466756154055</x:v>
      </x:c>
      <x:c r="M23" t="n">
        <x:v>62.212476460445195</x:v>
      </x:c>
    </x:row>
    <x:row r="24" ht="22" customHeight="1">
      <x:c r="A24" s="33"/>
      <x:c r="B24" s="33"/>
      <x:c r="C24" s="33"/>
      <x:c r="D24" s="33"/>
      <x:c r="E24" s="33"/>
      <x:c r="F24" s="33"/>
      <x:c r="G24" s="33"/>
      <x:c r="H24" s="33"/>
      <x:c r="J24" s="49" t="n">
        <x:v>45962</x:v>
      </x:c>
      <x:c r="K24" s="51" t="n">
        <x:v>200750.57426877788</x:v>
      </x:c>
      <x:c r="L24" s="53" t="n">
        <x:v>0.35310301637659885</x:v>
      </x:c>
      <x:c r="M24" t="n">
        <x:v>67.1616745016904</x:v>
      </x:c>
    </x:row>
    <x:row r="25" ht="22" customHeight="1">
      <x:c r="A25" s="33"/>
      <x:c r="B25" s="33"/>
      <x:c r="C25" s="33"/>
      <x:c r="D25" s="33"/>
      <x:c r="E25" s="33"/>
      <x:c r="F25" s="33"/>
      <x:c r="G25" s="33"/>
      <x:c r="H25" s="33"/>
      <x:c r="J25" s="49" t="n">
        <x:v>45992</x:v>
      </x:c>
      <x:c r="K25" s="51" t="n">
        <x:v>200906.14850105185</x:v>
      </x:c>
      <x:c r="L25" s="53" t="n">
        <x:v>0.3758338640634691</x:v>
      </x:c>
      <x:c r="M25" t="n">
        <x:v>70.1704884281541</x:v>
      </x:c>
    </x:row>
    <x:row r="26" ht="22" customHeight="1">
      <x:c r="A26" s="33"/>
      <x:c r="B26" s="33"/>
      <x:c r="C26" s="33"/>
      <x:c r="D26" s="33"/>
      <x:c r="E26" s="33"/>
      <x:c r="F26" s="33"/>
      <x:c r="G26" s="33"/>
      <x:c r="H26" s="33"/>
      <x:c r="J26" s="49" t="n">
        <x:v>46023</x:v>
      </x:c>
      <x:c r="K26" s="51" t="n">
        <x:v>206247.89090636614</x:v>
      </x:c>
      <x:c r="L26" s="53" t="n">
        <x:v>0.40231589567921333</x:v>
      </x:c>
      <x:c r="M26" t="n">
        <x:v>71.94756816069851</x:v>
      </x:c>
    </x:row>
    <x:row r="27" ht="22" customHeight="1">
      <x:c r="A27" s="33"/>
      <x:c r="B27" s="33"/>
      <x:c r="C27" s="33"/>
      <x:c r="D27" s="33"/>
      <x:c r="E27" s="33"/>
      <x:c r="F27" s="33"/>
      <x:c r="G27" s="33"/>
      <x:c r="H27" s="33"/>
      <x:c r="J27" s="49" t="n">
        <x:v>46054</x:v>
      </x:c>
      <x:c r="K27" s="51" t="n">
        <x:v>213518.1275121618</x:v>
      </x:c>
      <x:c r="L27" s="53" t="n">
        <x:v>0.4080877343610774</x:v>
      </x:c>
      <x:c r="M27" t="n">
        <x:v>73.02511781452935</x:v>
      </x:c>
    </x:row>
    <x:row r="28" ht="22" customHeight="1">
      <x:c r="A28" s="33"/>
      <x:c r="B28" s="33"/>
      <x:c r="C28" s="33"/>
      <x:c r="D28" s="33"/>
      <x:c r="E28" s="33"/>
      <x:c r="F28" s="33"/>
      <x:c r="G28" s="33"/>
      <x:c r="H28" s="33"/>
      <x:c r="J28" s="49" t="n">
        <x:v>46082</x:v>
      </x:c>
      <x:c r="K28" s="51" t="n">
        <x:v>218791.88748343877</x:v>
      </x:c>
      <x:c r="L28" s="53" t="n">
        <x:v>0.4168151188689171</x:v>
      </x:c>
      <x:c r="M28" t="n">
        <x:v>74.14872748047404</x:v>
      </x:c>
    </x:row>
    <x:row r="29" ht="22" customHeight="1">
      <x:c r="A29" s="33"/>
      <x:c r="B29" s="33"/>
      <x:c r="C29" s="33"/>
      <x:c r="D29" s="33"/>
      <x:c r="E29" s="33"/>
      <x:c r="F29" s="33"/>
      <x:c r="G29" s="33"/>
      <x:c r="H29" s="33"/>
      <x:c r="J29" s="49" t="n">
        <x:v>46113</x:v>
      </x:c>
      <x:c r="K29" s="51" t="n">
        <x:v>222109.40327540724</x:v>
      </x:c>
      <x:c r="L29" s="53" t="n">
        <x:v>0.42180350885292184</x:v>
      </x:c>
      <x:c r="M29" t="n">
        <x:v>75.50877561127432</x:v>
      </x:c>
    </x:row>
    <x:row r="30" ht="22" customHeight="1">
      <x:c r="A30" s="33"/>
      <x:c r="B30" s="33"/>
      <x:c r="C30" s="33"/>
      <x:c r="D30" s="33"/>
      <x:c r="E30" s="33"/>
      <x:c r="F30" s="33"/>
      <x:c r="G30" s="33"/>
      <x:c r="H30" s="33"/>
      <x:c r="J30" s="49" t="n">
        <x:v>46143</x:v>
      </x:c>
      <x:c r="K30" s="51" t="n">
        <x:v>232960.54171078658</x:v>
      </x:c>
      <x:c r="L30" s="53" t="n">
        <x:v>0.4299772376209675</x:v>
      </x:c>
      <x:c r="M30" t="n">
        <x:v>76.48906074159653</x:v>
      </x:c>
    </x:row>
    <x:row r="31">
      <x:c r="J31" s="49" t="n">
        <x:v>46174</x:v>
      </x:c>
      <x:c r="K31" s="51" t="n">
        <x:v>236772.6840959709</x:v>
      </x:c>
      <x:c r="L31" s="53" t="n">
        <x:v>0.4334481719785289</x:v>
      </x:c>
      <x:c r="M31" t="n">
        <x:v>76.8286688694834</x:v>
      </x:c>
    </x:row>
  </x:sheetData>
  <x:mergeCells>
    <x:mergeCell ref="A1:H2"/>
    <x:mergeCell ref="A3:H3"/>
    <x:mergeCell ref="A5:B7"/>
    <x:mergeCell ref="C5:D7"/>
    <x:mergeCell ref="E5:F7"/>
    <x:mergeCell ref="G5:H7"/>
  </x:mergeCells>
  <x:pageMargins left="0.7" right="0.7" top="0.75" bottom="0.75" header="0.3" footer="0.3"/>
  <x:drawing xmlns:r="http://schemas.openxmlformats.org/officeDocument/2006/relationships" r:id="R4da8f4641b43447c"/>
</x:worksheet>
</file>